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hidden" name="NVScriptsProperties" sheetId="2" r:id="rId6"/>
    <sheet state="hidden" name="DO NOT DELETE - AutoCrat Job Se" sheetId="3" r:id="rId7"/>
  </sheets>
  <definedNames/>
  <calcPr/>
</workbook>
</file>

<file path=xl/sharedStrings.xml><?xml version="1.0" encoding="utf-8"?>
<sst xmlns="http://schemas.openxmlformats.org/spreadsheetml/2006/main" count="40964" uniqueCount="24391">
  <si>
    <t>Job ID</t>
  </si>
  <si>
    <t>autocratn</t>
  </si>
  <si>
    <t>Timestamp</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</si>
  <si>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</si>
  <si>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</si>
  <si>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</si>
  <si>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</si>
  <si>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</si>
  <si>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</si>
  <si>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</si>
  <si>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</si>
  <si>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</si>
  <si>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</si>
  <si>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</si>
  <si>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</si>
  <si>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</si>
  <si>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</si>
  <si>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</si>
  <si>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</si>
  <si>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</si>
  <si>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</si>
  <si>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</si>
  <si>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</si>
  <si>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</si>
  <si>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</si>
  <si>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</si>
  <si>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</si>
  <si>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</si>
  <si>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</si>
  <si>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</si>
  <si>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</si>
  <si>
    <t>_1593281101917</t>
  </si>
  <si>
    <t>Pengajuan</t>
  </si>
  <si>
    <t>14kD9Qy9nYdaach3DE50dW4SOokJ_AHweQF3n3WnteIQ</t>
  </si>
  <si>
    <t>Lampirkan Photo terbaru .jpeg (Ukuran File Max. 1MB)</t>
  </si>
  <si>
    <t>&lt;&lt;Cabang Al-Wildan (Tempat Bekerja)&gt;&gt;_&lt;&lt;Nama Lengkap (dengan gelar)&gt;&gt;_&lt;&lt;Mata pelajaran (isi jika mengisi posisi guru)&gt;&gt;</t>
  </si>
  <si>
    <t>GOOG_DOC</t>
  </si>
  <si>
    <t>PDF</t>
  </si>
  <si>
    <t>["1M0fftzBv0vjY1YVoib1epB5XDi2F5tfV"]</t>
  </si>
  <si>
    <t>[]</t>
  </si>
  <si>
    <t>MULTIPLE_OUTPUT</t>
  </si>
  <si>
    <t>autocratp</t>
  </si>
  <si>
    <t>dataSheetName</t>
  </si>
  <si>
    <t>[{"tag":"Photo URL","type":"IMAGE","details":{"headerMap":"Photo URL","isUnmapped":false,"imageWidth":"125","imageHeight":"175"}},{"tag":"nama","type":"STANDARD","details":{"isUnmapped":false,"headerMap":"Nama Lengkap (dengan gelar)"}},{"tag":"email","type":"STANDARD","details":{"headerMap":"Email Address","isUnmapped":false}},{"tag":"tanggal Pengisian data","type":"STANDARD","details":{"headerMap":"Timestamp","isUnmapped":false}},{"tag":"hp","type":"STANDARD","details":{"isUnmapped":false,"headerMap":"No. HP aktif"}},{"tag":"nik","type":"STANDARD","details":{"isUnmapped":false,"headerMap":"NIK KTP/ No. Paspor"}},{"tag":"alamat","type":"STANDARD","details":{"isUnmapped":false,"headerMap":"Alamat domisi sekarang"}},{"tag":"tempatlahir","type":"STANDARD","details":{"isUnmapped":false,"headerMap":"Tempat Lahir (Kota)"}},{"tag":"tanggallahir","type":"STANDARD","details":{"isUnmapped":false,"headerMap":"Tanggal Lahir (dd-mm-yyyy)"}},{"tag":"usia","type":"STANDARD","details":{"isUnmapped":false,"headerMap":"Usia Sekarang (...tahun...bulan)"}},{"tag":"status","type":"STANDARD","details":{"isUnmapped":false,"headerMap":"Status"}},{"tag":"transport","type":"STANDARD","details":{"isUnmapped":false,"headerMap":"Transport yang digunakan Ke Sekolah"}},{"tag":"posisi","type":"STANDARD","details":{"isUnmapped":false,"headerMap":"Posisi "}},{"tag":"mapel","type":"STANDARD","details":{"isUnmapped":false,"headerMap":"Mata pelajaran (isi jika mengisi posisi guru)"}},{"tag":"unit","type":"STANDARD","details":{"isUnmapped":false,"headerMap":"Unit"}},{"tag":"cabang","type":"STANDARD","details":{"isUnmapped":false,"headerMap":"Cabang Al-Wildan (Tempat Bekerja)"}},{"tag":"tinggi","type":"STANDARD","details":{"headerMap":"Tinggi Badan (cm)","isUnmapped":false}},{"tag":"BB","type":"STANDARD","details":{"headerMap":"Berat Badan (Kg)","isUnmapped":false}},{"tag":"s1","type":"STANDARD","details":{"isUnmapped":false,"headerMap":"Lulusan PTN/PTS/LN (Strata-1) - Nama Universitas"}},{"tag":"prodi-1","type":"STANDARD","details":{"isUnmapped":false,"headerMap":"Program Studi (S1)"}},{"tag":"ipk-1","type":"STANDARD","details":{"isUnmapped":false,"headerMap":"IPK (contoh : 3.95)"}},{"tag":"s2","type":"STANDARD","details":{"isUnmapped":false,"headerMap":"Lulusan PTN/PTS/LN (Strata-2) - Nama Universitas"}},{"tag":"prodi-2","type":"STANDARD","details":{"isUnmapped":false,"headerMap":"Program Studi (S2)"}},{"tag":"ipk-2","type":"STANDARD","details":{"isUnmapped":false,"headerMap":"IPK S2 (contoh : 3.95)"}},{"tag":"s3","type":"STANDARD","details":{"isUnmapped":false,"headerMap":"Lulusan PTN/PTS/LN (Strata-3) - Nama Universitas"}},{"tag":"prodi-3","type":"STANDARD","details":{"isUnmapped":false,"headerMap":"Program Studi (S3)"}},{"tag":"ipk-3","type":"STANDARD","details":{"isUnmapped":false,"headerMap":"IPK S3 (contoh : 3.95)"}},{"tag":"p1","type":"STANDARD","details":{"isUnmapped":false,"headerMap":"Pengalaman bekerja 1"}},{"tag":"n1","type":"STANDARD","details":{"isUnmapped":false,"headerMap":"Gaji tempat kerja sebelumnya-1 (contoh : 5.000.000)"}},{"tag":"p2","type":"STANDARD","details":{"isUnmapped":false,"headerMap":"Pengalaman bekerja-2"}},{"tag":"n2","type":"STANDARD","details":{"isUnmapped":false,"headerMap":"Gaji tempat kerja sebelumnya-2 (contoh : 5.000.000)"}},{"tag":"p3","type":"STANDARD","details":{"isUnmapped":false,"headerMap":"Pengalaman bekerja-3"}},{"tag":"n3","type":"STANDARD","details":{"isUnmapped":false,"headerMap":"Gaji tempat kerja sebelumnya-3 (contoh : 5.000.000)"}},{"tag":"NAW","type":"STANDARD","details":{"isUnmapped":false,"headerMap":"GAJI YANG DIAJUKAN KE AL-WILDAN (contoh : 5.000.000)"}},{"tag":"norek","type":"STANDARD","details":{"isUnmapped":false,"headerMap":"No Rekening Bank Syariah Indonesia (BSI), untuk Keperluan Penggajian/Payroll tiap Bulan"}},{"tag":"norek2","type":"STANDARD","details":{"isUnmapped":false,"headerMap":"No Rekening Bank Lain (Jika tidak memiliki Bank Syariah Indonesia, untuk penggajian sementara)"}},{"tag":"bank2","type":"STANDARD","details":{"headerMap":"Nama Bank","isUnmapped":false}}]</t>
  </si>
  <si>
    <t>"Form Responses 1"</t>
  </si>
  <si>
    <t>v</t>
  </si>
  <si>
    <t>"5.1"</t>
  </si>
  <si>
    <t>dataSheetId</t>
  </si>
  <si>
    <t>2026-09-22T05:39:26.138Z</t>
  </si>
  <si>
    <t>"1.447283278E9"</t>
  </si>
  <si>
    <t>updateTime</t>
  </si>
  <si>
    <t>"1.775442552123E12"</t>
  </si>
  <si>
    <t>vp</t>
  </si>
  <si>
    <t>ssId</t>
  </si>
  <si>
    <t>"1lPhpl0VPdgskady_0mnNSOkMu1uCZla5ccTdU7uxacY"</t>
  </si>
  <si>
    <t>Nama Lengkap (dengan gelar)</t>
  </si>
  <si>
    <t>No. HP aktif</t>
  </si>
  <si>
    <t>NIK KTP/ No. Paspor</t>
  </si>
  <si>
    <t>Alamat domisi sekarang</t>
  </si>
  <si>
    <t>Tempat Lahir (Kota)</t>
  </si>
  <si>
    <t>Tanggal Lahir (dd-mm-yyyy)</t>
  </si>
  <si>
    <t>Usia Sekarang (...tahun...bulan)</t>
  </si>
  <si>
    <t>Status</t>
  </si>
  <si>
    <t>Transport yang digunakan Ke Sekolah</t>
  </si>
  <si>
    <t xml:space="preserve">Posisi </t>
  </si>
  <si>
    <t>Mata pelajaran (isi jika mengisi posisi guru)</t>
  </si>
  <si>
    <t>Unit</t>
  </si>
  <si>
    <t>Cabang Al-Wildan (Tempat Bekerja)</t>
  </si>
  <si>
    <t>Lulusan PTN/PTS/LN (Strata-1) - Nama Universitas</t>
  </si>
  <si>
    <t>Program Studi (S1)</t>
  </si>
  <si>
    <t>IPK (contoh : 3.95)</t>
  </si>
  <si>
    <t>Lulusan PTN/PTS/LN (Strata-2) - Nama Universitas</t>
  </si>
  <si>
    <t>Program Studi (S2)</t>
  </si>
  <si>
    <t>IPK S2 (contoh : 3.95)</t>
  </si>
  <si>
    <t>Lulusan PTN/PTS/LN (Strata-3) - Nama Universitas</t>
  </si>
  <si>
    <t>Program Studi (S3)</t>
  </si>
  <si>
    <t>IPK S3 (contoh : 3.95)</t>
  </si>
  <si>
    <t>Pengalaman bekerja 1</t>
  </si>
  <si>
    <t>Gaji tempat kerja sebelumnya-1 (contoh : 5.000.000)</t>
  </si>
  <si>
    <t>Pengalaman bekerja-2</t>
  </si>
  <si>
    <t>Gaji tempat kerja sebelumnya-2 (contoh : 5.000.000)</t>
  </si>
  <si>
    <t>Pengalaman bekerja-3</t>
  </si>
  <si>
    <t>Gaji tempat kerja sebelumnya-3 (contoh : 5.000.000)</t>
  </si>
  <si>
    <t>GAJI YANG DIAJUKAN KE AL-WILDAN (contoh : 5.000.000)</t>
  </si>
  <si>
    <t>No Rekening Bank Syariah Indonesia (BSI), untuk Keperluan Penggajian/Payroll tiap Bulan</t>
  </si>
  <si>
    <t>No Rekening Bank Lain (Jika tidak memiliki Bank Syariah Indonesia, untuk penggajian sementara)</t>
  </si>
  <si>
    <t>Nama Bank</t>
  </si>
  <si>
    <t>Tinggi Badan (cm)</t>
  </si>
  <si>
    <t>Berat Badan (Kg)</t>
  </si>
  <si>
    <t>Email Address</t>
  </si>
  <si>
    <t>Merged Doc ID - Pengajuan</t>
  </si>
  <si>
    <t>Merged Doc URL - Pengajuan</t>
  </si>
  <si>
    <t>Link to merged Doc - Pengajuan</t>
  </si>
  <si>
    <t>Document Merge Status - Pengajuan</t>
  </si>
  <si>
    <t>https://drive.google.com/open?id=1DOVVKeH7fIfVEvuxKHQG-Jz2Ag1543be</t>
  </si>
  <si>
    <t>https://drive.google.com/uc?export=view&amp;id=1DOVVKeH7fIfVEvuxKHQG-Jz2Ag1543be</t>
  </si>
  <si>
    <t>Siti Hajrul Jamilah, S.Pd.</t>
  </si>
  <si>
    <t>082299161624</t>
  </si>
  <si>
    <t>Kp. Cihuni RT 003 RW 003 No. 37, Pagedangan, Tangerang</t>
  </si>
  <si>
    <t>Tangerang</t>
  </si>
  <si>
    <t>04-061992</t>
  </si>
  <si>
    <t>28 tahun 0 bulan</t>
  </si>
  <si>
    <t>Menikah</t>
  </si>
  <si>
    <t>Motor Pribadi</t>
  </si>
  <si>
    <t>Guru Mata Pelajaran</t>
  </si>
  <si>
    <t>Bahasa Indonesia</t>
  </si>
  <si>
    <t>SMP</t>
  </si>
  <si>
    <t>Al-Wildan 1 Gading Serpong</t>
  </si>
  <si>
    <t>Universitas Negeri Jakarta</t>
  </si>
  <si>
    <t>Pendidikan Bahasa dan Sastra Indonesia</t>
  </si>
  <si>
    <t>3.70</t>
  </si>
  <si>
    <t>Bimbel &amp; Privat</t>
  </si>
  <si>
    <t>SMA Wahana Cita Jayapura</t>
  </si>
  <si>
    <t>SDI Sinar Cendekia</t>
  </si>
  <si>
    <t>0717212004</t>
  </si>
  <si>
    <t>1VLCR9RE8UQfa-7DdLQA0fhBaMuJu3CP4</t>
  </si>
  <si>
    <t>https://drive.google.com/file/d/1VLCR9RE8UQfa-7DdLQA0fhBaMuJu3CP4/view?usp=drivesdk</t>
  </si>
  <si>
    <t>Document successfully created; Document successfully merged; PDF created; Run via form trigger as kemal.stafsus@gmail.com; Timestamp: Jun 27 2020 10:38 PM</t>
  </si>
  <si>
    <t>https://drive.google.com/open?id=1VkaNvMvb_JAQDZluH6dTVS0ClZx4DAsi</t>
  </si>
  <si>
    <t>https://drive.google.com/uc?export=view&amp;id=1VkaNvMvb_JAQDZluH6dTVS0ClZx4DAsi</t>
  </si>
  <si>
    <t>ldria Putra, S.Pd.</t>
  </si>
  <si>
    <t>082285820788</t>
  </si>
  <si>
    <t>1301062904900002</t>
  </si>
  <si>
    <t>Jl. Bidar XII No.77, Kel. Pakulon Barat, Kec. Kelapa Dua,  Kab. Tangerang Banten</t>
  </si>
  <si>
    <t>Lubuk Basung</t>
  </si>
  <si>
    <t>29-04-1990</t>
  </si>
  <si>
    <t>Matematika</t>
  </si>
  <si>
    <t>SMP-SMA</t>
  </si>
  <si>
    <t>Al-Wildan 3 BSD</t>
  </si>
  <si>
    <t>Universitas Bung Hatta Padang</t>
  </si>
  <si>
    <t>Pendidikan Matematika</t>
  </si>
  <si>
    <t>3.16</t>
  </si>
  <si>
    <t>Universitas Indraprasta PGRi Jakarta (on Going)</t>
  </si>
  <si>
    <t>Pendidikan Matematika dan IPA</t>
  </si>
  <si>
    <t>3.86</t>
  </si>
  <si>
    <t>Asisten Dosen Pendidikan Matematika di Sekolah Tinggi Keguruan dan Ilmu Pendidikan Surya (STKIP Surya) Tangerang</t>
  </si>
  <si>
    <t>Trainer Matematika di SCLE Surya Institute penempatan di P2TIM Teluk Bintuni Papua dan Petrotekno Bogor</t>
  </si>
  <si>
    <t xml:space="preserve">8.400.000 - 18.900.000 </t>
  </si>
  <si>
    <t>4.000.000 - 5.500.000</t>
  </si>
  <si>
    <t>14HDTZiKFFpf-s6RG3RfVrW8bmRJFPzXk</t>
  </si>
  <si>
    <t>https://drive.google.com/file/d/14HDTZiKFFpf-s6RG3RfVrW8bmRJFPzXk/view?usp=drivesdk</t>
  </si>
  <si>
    <t>Document successfully created; Document successfully merged; PDF created; Run via form trigger as kemal.stafsus@gmail.com; Timestamp: Jun 27 2020 11:10 PM</t>
  </si>
  <si>
    <t>https://drive.google.com/open?id=15RX_iNcwPcW9cE3MDSxdfs9he67Aa02s</t>
  </si>
  <si>
    <t>https://drive.google.com/uc?export=view&amp;id=15RX_iNcwPcW9cE3MDSxdfs9he67Aa02s</t>
  </si>
  <si>
    <t>Teja Komara, S.S.</t>
  </si>
  <si>
    <t>081932920345</t>
  </si>
  <si>
    <t>3216060309950016</t>
  </si>
  <si>
    <t>Tridaya Indah 1, Blok C.13 No.13 Rt.003  Rw.007, Desa Tridaya Sakti, Kecamatan Tambun Selatan, Kabupaten Bekasi</t>
  </si>
  <si>
    <t>Bekasi</t>
  </si>
  <si>
    <t>03-09-1994</t>
  </si>
  <si>
    <t>25 tahun 9 bulan</t>
  </si>
  <si>
    <t>Lajang</t>
  </si>
  <si>
    <t>Bahasa Inggris</t>
  </si>
  <si>
    <t>Universitas Pendidikan Indonesia</t>
  </si>
  <si>
    <t>Bahasa dan Sastra Inggris</t>
  </si>
  <si>
    <t>3.67</t>
  </si>
  <si>
    <t>Pusat Pengembangan Strategi dan Diplomasi Kebahasaan</t>
  </si>
  <si>
    <t>PT. BFI Finance Indonesia, Tbk.</t>
  </si>
  <si>
    <t>0850038264</t>
  </si>
  <si>
    <t>BNI</t>
  </si>
  <si>
    <t>1L9a9-WeYwiNdCrpG5CWzGV_R4jpOMHLU1D_ZPOj2Xjs</t>
  </si>
  <si>
    <t>https://docs.google.com/document/d/1L9a9-WeYwiNdCrpG5CWzGV_R4jpOMHLU1D_ZPOj2Xjs/edit?usp=drivesdk</t>
  </si>
  <si>
    <t>Document successfully created; Document successfully merged; Run via form trigger as kemal.stafsus@gmail.com; Timestamp: Jun 28 2020 12:16 AM</t>
  </si>
  <si>
    <t>https://drive.google.com/open?id=1YzGrq7DUVBlJjEYEtYmMQ_tTvlotc1NC</t>
  </si>
  <si>
    <t>https://drive.google.com/uc?export=view&amp;id=1YzGrq7DUVBlJjEYEtYmMQ_tTvlotc1NC</t>
  </si>
  <si>
    <t>Krisna Wicaksono Sumargo, A.Md.</t>
  </si>
  <si>
    <t>089609807361</t>
  </si>
  <si>
    <t>3674061712870007</t>
  </si>
  <si>
    <t>Taman Pondok Cabe Blok A4 no. 21, Pondok Cabe Udik, Pamulang, Tangerang Selatan, Banten 15418</t>
  </si>
  <si>
    <t>Jakarta</t>
  </si>
  <si>
    <t>32 tahun 6 bulan</t>
  </si>
  <si>
    <t>Semester Akhir Program S1 Pendidikan Bahasa Inggris Universitas Terbuka</t>
  </si>
  <si>
    <t>Pendidikan Bahasa Inggris</t>
  </si>
  <si>
    <t>2.48 (berjalan dan belum alih kredit dari program D3)</t>
  </si>
  <si>
    <t>PT Pandu Bahtera Bakti - HSE Assistant Manager</t>
  </si>
  <si>
    <t>PT Shing Pak Services - Quality Assurance Staff</t>
  </si>
  <si>
    <t>5.500.000 - 6.000.000</t>
  </si>
  <si>
    <t>4.750.000 - 5.000.000</t>
  </si>
  <si>
    <t>BNI Syariah</t>
  </si>
  <si>
    <t>1ClqYj9NS_ZHuEtCbdFoih_E5uosYUc-WWURCSQZbi1M</t>
  </si>
  <si>
    <t>https://docs.google.com/document/d/1ClqYj9NS_ZHuEtCbdFoih_E5uosYUc-WWURCSQZbi1M/edit?usp=drivesdk</t>
  </si>
  <si>
    <t>Document successfully created; Document successfully merged; Run via form trigger as kemal.stafsus@gmail.com; Timestamp: Jun 28 2020 2:35 AM</t>
  </si>
  <si>
    <t>https://drive.google.com/open?id=1jwnR6mg67_PgmCk0uHDAiFF1D8aebnEd</t>
  </si>
  <si>
    <t>https://drive.google.com/uc?export=view&amp;id=1jwnR6mg67_PgmCk0uHDAiFF1D8aebnEd</t>
  </si>
  <si>
    <t>Moh Nur Nugraha</t>
  </si>
  <si>
    <t>081947011198</t>
  </si>
  <si>
    <t>3209361905880003</t>
  </si>
  <si>
    <t>Jln. Raya Puspitek Perum. Panorama Serpong Blok D6 no. 3 Bhakti jaya - Setu - Tangsel</t>
  </si>
  <si>
    <t>Cirebon</t>
  </si>
  <si>
    <t>19-05-1988</t>
  </si>
  <si>
    <t>32 tahun 1 bulan</t>
  </si>
  <si>
    <t>Bahasa Arab, Diniyah</t>
  </si>
  <si>
    <t>LIPIA</t>
  </si>
  <si>
    <t>Syariah</t>
  </si>
  <si>
    <t>Guru Bahasa Arab SD Islam Abu Dzar</t>
  </si>
  <si>
    <t>Rp. 3.900.000,00</t>
  </si>
  <si>
    <t>Guru Takhosus As Sunnah</t>
  </si>
  <si>
    <t>Rp. 1.600.000</t>
  </si>
  <si>
    <t>Guru Bahasa Arab BISA</t>
  </si>
  <si>
    <t>Rp. 1.250.000</t>
  </si>
  <si>
    <t>Rp. 4.150.000 ( Gapok UMR Tangsel )</t>
  </si>
  <si>
    <t>0429164757</t>
  </si>
  <si>
    <t>1IDdtK6y8J1eu5vjsfwAQ_g0GT7_LigcXxGajYOrzeto</t>
  </si>
  <si>
    <t>https://docs.google.com/document/d/1IDdtK6y8J1eu5vjsfwAQ_g0GT7_LigcXxGajYOrzeto/edit?usp=drivesdk</t>
  </si>
  <si>
    <t>Document successfully created; Document successfully merged; Run via form trigger as kemal.stafsus@gmail.com; Timestamp: Jun 28 2020 3:37 AM</t>
  </si>
  <si>
    <t>https://drive.google.com/open?id=1qTo2v4agbeoF_iNS8QrdltDzwQLKOUNY</t>
  </si>
  <si>
    <t>https://drive.google.com/uc?export=view&amp;id=1qTo2v4agbeoF_iNS8QrdltDzwQLKOUNY</t>
  </si>
  <si>
    <t>Yusril Maulana, S.E</t>
  </si>
  <si>
    <t>085286333877</t>
  </si>
  <si>
    <t>3603171212820006</t>
  </si>
  <si>
    <t>Jl. Veteran Pos 2, Duta Asri Rancagong Blok D 14, Ds. Rancagong, Kec. Legok, Tangerang.</t>
  </si>
  <si>
    <t>12-12-1982</t>
  </si>
  <si>
    <t>37 Tahun 6 Bulan</t>
  </si>
  <si>
    <t>Management</t>
  </si>
  <si>
    <t>Universitas Pamulang</t>
  </si>
  <si>
    <t>Ekonomi Manajemen</t>
  </si>
  <si>
    <t>2.95</t>
  </si>
  <si>
    <t>-</t>
  </si>
  <si>
    <t>Yayasan Pendidikan Adria Pratama Mulya.
Bagian Tata Usaha/HRD
Juli 2014 - Desember 2018</t>
  </si>
  <si>
    <t>PT Tekarindo Sejahtera
Bagian Purchasing
Januari 2019 - Desember 2019</t>
  </si>
  <si>
    <t>PT Rukun Cipta Sukses Abadi
Bagian Staf Warehouse/Gudang
Januari 2020 - April 2020
(PHK Pandemik Covid 19)</t>
  </si>
  <si>
    <t>0722197382</t>
  </si>
  <si>
    <t>BCA</t>
  </si>
  <si>
    <t>1lljHNYVQ8qU2zbDRLBcByoUnTtLjZMMkK4bZwgWKUmU</t>
  </si>
  <si>
    <t>https://docs.google.com/document/d/1lljHNYVQ8qU2zbDRLBcByoUnTtLjZMMkK4bZwgWKUmU/edit?usp=drivesdk</t>
  </si>
  <si>
    <t>Document successfully created; Document successfully merged; Run via form trigger as kemal.stafsus@gmail.com; Timestamp: Jun 28 2020 3:41 AM</t>
  </si>
  <si>
    <t>https://drive.google.com/open?id=1vE1B_tfDbaBKblA8StZsPpC4ITJysCEl</t>
  </si>
  <si>
    <t>https://drive.google.com/uc?export=view&amp;id=1vE1B_tfDbaBKblA8StZsPpC4ITJysCEl</t>
  </si>
  <si>
    <t>Safruddin Baderan S.pd</t>
  </si>
  <si>
    <t>085213670938</t>
  </si>
  <si>
    <t>7503130407960002</t>
  </si>
  <si>
    <t>Kp. Sindangkerta Rt 01/ Rw 13. Ds. Bojongkerta kec. Warungkiara Sukabumi jawa barat</t>
  </si>
  <si>
    <t>Ikhwan Dumoga SULUT</t>
  </si>
  <si>
    <t>04 - 07 - 1996</t>
  </si>
  <si>
    <t>24 tahun</t>
  </si>
  <si>
    <t>Bahasa Arab</t>
  </si>
  <si>
    <t>SMA</t>
  </si>
  <si>
    <t>Al-Wildan 4 Lebak Bulus</t>
  </si>
  <si>
    <t>S1</t>
  </si>
  <si>
    <t>Pendidikan Pengajaran Bahasa Arab Siba Ar Raayah Sukabumi</t>
  </si>
  <si>
    <t>3.27</t>
  </si>
  <si>
    <t>Guru Bahasa Arab di FIWA ciseeng Bogor 2019-2020</t>
  </si>
  <si>
    <t>Rp. 6.000.000</t>
  </si>
  <si>
    <t>0849013312</t>
  </si>
  <si>
    <t>1ViHyE4JGxDWZupHdUk4zAt49i7smMwFbTh1Z6OkpPwQ</t>
  </si>
  <si>
    <t>https://docs.google.com/document/d/1ViHyE4JGxDWZupHdUk4zAt49i7smMwFbTh1Z6OkpPwQ/edit?usp=drivesdk</t>
  </si>
  <si>
    <t>Document successfully created; Document successfully merged; Run via form trigger as kemal.stafsus@gmail.com; Timestamp: Jun 28 2020 4:16 AM</t>
  </si>
  <si>
    <t>https://drive.google.com/open?id=1NJp57V1EXq-RRiWKRlFP9g1MoM0zzR7P</t>
  </si>
  <si>
    <t>https://drive.google.com/uc?export=view&amp;id=1NJp57V1EXq-RRiWKRlFP9g1MoM0zzR7P</t>
  </si>
  <si>
    <t>Martin Daniel S.Pd A.H</t>
  </si>
  <si>
    <t>08311847917</t>
  </si>
  <si>
    <t>1806020809940004</t>
  </si>
  <si>
    <t>Tanjung Kait, Tangerang</t>
  </si>
  <si>
    <t>Lampung</t>
  </si>
  <si>
    <t>08-09-1994</t>
  </si>
  <si>
    <t>25 Tahun 9 bulan</t>
  </si>
  <si>
    <t>Transportasi Umum/Online</t>
  </si>
  <si>
    <t>Bahasa Arab dan Diniyyah</t>
  </si>
  <si>
    <t>IAI Agus Salim Metro Lampung</t>
  </si>
  <si>
    <t>Pendidikan Agama Islam</t>
  </si>
  <si>
    <t>SMP IT Baitul Muslim. Lampung Timur</t>
  </si>
  <si>
    <t>IBS Al-Binaa, Pebayuran Bekasi</t>
  </si>
  <si>
    <t>0574351400</t>
  </si>
  <si>
    <t>1X-orkqKk3fbi9_gK7KYFV4yxYUTJVb4yHi10hKKhnfw</t>
  </si>
  <si>
    <t>https://docs.google.com/document/d/1X-orkqKk3fbi9_gK7KYFV4yxYUTJVb4yHi10hKKhnfw/edit?usp=drivesdk</t>
  </si>
  <si>
    <t>Document successfully created; Invalid image URL [https://drive.google.com/uc?export=view&amp;id=1NJp57V1EXq-RRiWKRlFP9g1MoM0zzR7P], make sure that it is public; Document successfully merged; Run via form trigger as kemal.stafsus@gmail.com; Timestamp: Jun 28 2020 5:45 AM</t>
  </si>
  <si>
    <t>https://drive.google.com/open?id=1SWgb1X9EY1UlxQIvrveDJTNEdUzAmOtp</t>
  </si>
  <si>
    <t>https://drive.google.com/uc?export=view&amp;id=1SWgb1X9EY1UlxQIvrveDJTNEdUzAmOtp</t>
  </si>
  <si>
    <t>Diana Fajrin Mardhiyyah S.Hum.</t>
  </si>
  <si>
    <t>081284421882</t>
  </si>
  <si>
    <t>3603284804970001</t>
  </si>
  <si>
    <t>Perum Dasana Indah RD 7 no. 6, Bojong Nangka, Kelapa Dua, Tangerang</t>
  </si>
  <si>
    <t>08-04-1997</t>
  </si>
  <si>
    <t>23 tahun 3 bulan</t>
  </si>
  <si>
    <t>Diniyyah</t>
  </si>
  <si>
    <t>Universitas Indonesia</t>
  </si>
  <si>
    <t>Program Studi Arab</t>
  </si>
  <si>
    <t>3.71</t>
  </si>
  <si>
    <t>Bank Syariah Mandiri (an. Alfisyahr Kirana)</t>
  </si>
  <si>
    <t>1F_HFneLnfBsxygIVvuCY_bdYs6aR-c_jLITKH90wJYg</t>
  </si>
  <si>
    <t>https://docs.google.com/document/d/1F_HFneLnfBsxygIVvuCY_bdYs6aR-c_jLITKH90wJYg/edit?usp=drivesdk</t>
  </si>
  <si>
    <t>Document successfully created; Document successfully merged; Run via form trigger as kemal.stafsus@gmail.com; Timestamp: Jun 28 2020 6:34 AM</t>
  </si>
  <si>
    <t>https://drive.google.com/open?id=1U-0hkBOJ_oP3Oinp9eosS_rNqw2gY0r-</t>
  </si>
  <si>
    <t>https://drive.google.com/uc?export=view&amp;id=1U-0hkBOJ_oP3Oinp9eosS_rNqw2gY0r-</t>
  </si>
  <si>
    <t>Wieka Septiyana, M.Pd</t>
  </si>
  <si>
    <t>089683351732</t>
  </si>
  <si>
    <t>3604096310940001</t>
  </si>
  <si>
    <t>Jln. Nyi Melati NO 16 RT 11 RW 08 Kp Periang pondok jagung Serpong Utara</t>
  </si>
  <si>
    <t>Serang</t>
  </si>
  <si>
    <t>23-10-1994</t>
  </si>
  <si>
    <t>25 tahun 6 bulan</t>
  </si>
  <si>
    <t>Universitas Sultan Ageng Tirtayasa</t>
  </si>
  <si>
    <t>3.22</t>
  </si>
  <si>
    <t>3.58-</t>
  </si>
  <si>
    <t>Syafana Islamic School</t>
  </si>
  <si>
    <t>STKIP Sinar Cendekia</t>
  </si>
  <si>
    <t>Politeknik INPUT PIKSI</t>
  </si>
  <si>
    <t>0458273669</t>
  </si>
  <si>
    <t>Muamalat</t>
  </si>
  <si>
    <t>1ys3KVIjbfI_yCNHbszPtcM4z5I1ulNJjeEt12-WBdps</t>
  </si>
  <si>
    <t>https://docs.google.com/document/d/1ys3KVIjbfI_yCNHbszPtcM4z5I1ulNJjeEt12-WBdps/edit?usp=drivesdk</t>
  </si>
  <si>
    <t>Document successfully created; Document successfully merged; Run via form trigger as kemal.stafsus@gmail.com; Timestamp: Jun 28 2020 10:09 AM</t>
  </si>
  <si>
    <t>https://drive.google.com/open?id=1Hh10FqKxMbv7uVLtY5-0wyaZ5dPr_nCi</t>
  </si>
  <si>
    <t>https://drive.google.com/uc?export=view&amp;id=1Hh10FqKxMbv7uVLtY5-0wyaZ5dPr_nCi</t>
  </si>
  <si>
    <t>Syamsiah, S.Pd</t>
  </si>
  <si>
    <t>085210954500</t>
  </si>
  <si>
    <t>5206036307940002</t>
  </si>
  <si>
    <t>Penjaringan jakarta utara</t>
  </si>
  <si>
    <t>Bima NTB</t>
  </si>
  <si>
    <t>26 tahun</t>
  </si>
  <si>
    <t>Mobil Pribadi</t>
  </si>
  <si>
    <t>Al Qur'an</t>
  </si>
  <si>
    <t>SD</t>
  </si>
  <si>
    <t>Strata 1</t>
  </si>
  <si>
    <t>PIAUD PENDIDIKAN ISLAM ANAK USIA DINI</t>
  </si>
  <si>
    <t>2.75</t>
  </si>
  <si>
    <t>Pernah mengajar di Madinatunnajah dan di al wildan selama 5 tahun</t>
  </si>
  <si>
    <t>0443657177</t>
  </si>
  <si>
    <t xml:space="preserve">BNI SYARI'AH </t>
  </si>
  <si>
    <t>1dzNrjNLB5gxAYW5txTV_xlLhNuFqF8BgX5L-toYHe2s</t>
  </si>
  <si>
    <t>https://docs.google.com/document/d/1dzNrjNLB5gxAYW5txTV_xlLhNuFqF8BgX5L-toYHe2s/edit?usp=drivesdk</t>
  </si>
  <si>
    <t>Document successfully created; Invalid image URL [https://drive.google.com/uc?export=view&amp;id=1Hh10FqKxMbv7uVLtY5-0wyaZ5dPr_nCi], make sure that it is public; Document successfully merged; Run via form trigger as kemal.stafsus@gmail.com; Timestamp: Jun 29 2020 9:48 AM</t>
  </si>
  <si>
    <t>https://drive.google.com/open?id=1KhJDuSdTEUhHTwFzKWDvp2vAlL3lqegF</t>
  </si>
  <si>
    <t>https://drive.google.com/uc?export=view&amp;id=1KhJDuSdTEUhHTwFzKWDvp2vAlL3lqegF</t>
  </si>
  <si>
    <t>Nuriel Hakiki S.Pd</t>
  </si>
  <si>
    <t>085239809449</t>
  </si>
  <si>
    <t>5205036501970012</t>
  </si>
  <si>
    <t>Dompu</t>
  </si>
  <si>
    <t>25 Januari 1997</t>
  </si>
  <si>
    <t>Jalan kaki</t>
  </si>
  <si>
    <t>Pendidikan B. Inggris</t>
  </si>
  <si>
    <t>University of Muhammadiyah Malang</t>
  </si>
  <si>
    <t>Pend. Bahasa Inggris</t>
  </si>
  <si>
    <t>3.20</t>
  </si>
  <si>
    <t>Guru kindergarten</t>
  </si>
  <si>
    <t>0897833292</t>
  </si>
  <si>
    <t>1Q3uQI_zjGqT62R9nc8h4JK0ZDhTBjJ5dpUoxEuOtxS8</t>
  </si>
  <si>
    <t>https://docs.google.com/document/d/1Q3uQI_zjGqT62R9nc8h4JK0ZDhTBjJ5dpUoxEuOtxS8/edit?usp=drivesdk</t>
  </si>
  <si>
    <t>Document successfully created; Document successfully merged; Run via form trigger as kemal.stafsus@gmail.com; Timestamp: Jun 29 2020 10:32 AM</t>
  </si>
  <si>
    <t>https://drive.google.com/open?id=1WR5JqYZG0c9Of10n1-Etqm7AklVIubJ1</t>
  </si>
  <si>
    <t>https://drive.google.com/uc?export=view&amp;id=1WR5JqYZG0c9Of10n1-Etqm7AklVIubJ1</t>
  </si>
  <si>
    <t>Nur Listiana, S.Pd.</t>
  </si>
  <si>
    <t>089637669596</t>
  </si>
  <si>
    <t>3172045812960009</t>
  </si>
  <si>
    <t>Gg. Abimanyu, Kel. Kalisegoro, Kec. Gunungpati, Semarang.</t>
  </si>
  <si>
    <t>15-05-1996</t>
  </si>
  <si>
    <t>24 tahun 1 bulan</t>
  </si>
  <si>
    <t>Universitas Negeri Semarang</t>
  </si>
  <si>
    <t>LKP Kampung Inggris Semarang</t>
  </si>
  <si>
    <t>0794928262</t>
  </si>
  <si>
    <t>18kMIxLzmpUtmMhN--b2WCavSxrqCk6yUjvdl-0GlJU8</t>
  </si>
  <si>
    <t>https://docs.google.com/document/d/18kMIxLzmpUtmMhN--b2WCavSxrqCk6yUjvdl-0GlJU8/edit?usp=drivesdk</t>
  </si>
  <si>
    <t>Document successfully created; Document successfully merged; Run via form trigger as kemal.stafsus@gmail.com; Timestamp: Jun 29 2020 10:14 PM</t>
  </si>
  <si>
    <t>https://drive.google.com/open?id=1X6oKd6N-LW09wEotS23IS7gA-v8Zweli</t>
  </si>
  <si>
    <t>https://drive.google.com/uc?export=view&amp;id=1X6oKd6N-LW09wEotS23IS7gA-v8Zweli</t>
  </si>
  <si>
    <t>Akhmad Khairil Alam, S.Pd.</t>
  </si>
  <si>
    <t>082112258131</t>
  </si>
  <si>
    <t>1671072406940009</t>
  </si>
  <si>
    <t>Cinere</t>
  </si>
  <si>
    <t>Palembang</t>
  </si>
  <si>
    <t>24-06-1994</t>
  </si>
  <si>
    <t xml:space="preserve">PTS </t>
  </si>
  <si>
    <t>Pendidikan matematika</t>
  </si>
  <si>
    <t>3.51</t>
  </si>
  <si>
    <t>Guru bimbel 2014-2020</t>
  </si>
  <si>
    <t>0298673168</t>
  </si>
  <si>
    <t>1dna-YAGCes6SW1gXOYesbvpbbbtAX5QmBllqvZXAUnU</t>
  </si>
  <si>
    <t>https://docs.google.com/document/d/1dna-YAGCes6SW1gXOYesbvpbbbtAX5QmBllqvZXAUnU/edit?usp=drivesdk</t>
  </si>
  <si>
    <t>Document successfully created; Document successfully merged; Run via form trigger as kemal.stafsus@gmail.com; Timestamp: Jun 29 2020 10:35 PM</t>
  </si>
  <si>
    <t>https://drive.google.com/open?id=1jbJsZ_0X2YOQ0sdysWcZMpvbTQFjl-o7</t>
  </si>
  <si>
    <t>https://drive.google.com/uc?export=view&amp;id=1jbJsZ_0X2YOQ0sdysWcZMpvbTQFjl-o7</t>
  </si>
  <si>
    <t>Abdul Basir, SE</t>
  </si>
  <si>
    <t>087774009140</t>
  </si>
  <si>
    <t>3603021503830003</t>
  </si>
  <si>
    <t>Perum Banten Indah Permai Blok G6/12a Unyur Kota Serang Banten</t>
  </si>
  <si>
    <t>15-03-1983</t>
  </si>
  <si>
    <t>36tahun 4bulan</t>
  </si>
  <si>
    <t>Tata Usaha</t>
  </si>
  <si>
    <t>Manajemen</t>
  </si>
  <si>
    <t>2.89</t>
  </si>
  <si>
    <t>BRI unit pasar rau kota serang</t>
  </si>
  <si>
    <t>1ZtKTnvW6YMhGpYDkNGhkohED73w0zsVgEihhgI1Gcew</t>
  </si>
  <si>
    <t>https://docs.google.com/document/d/1ZtKTnvW6YMhGpYDkNGhkohED73w0zsVgEihhgI1Gcew/edit?usp=drivesdk</t>
  </si>
  <si>
    <t>Document successfully created; Invalid image URL [https://drive.google.com/uc?export=view&amp;id=1jbJsZ_0X2YOQ0sdysWcZMpvbTQFjl-o7], make sure that it is public; Document successfully merged; Run via form trigger as kemal.stafsus@gmail.com; Timestamp: Jul 1 2020 8:30 PM</t>
  </si>
  <si>
    <t>https://drive.google.com/open?id=1aoERwgfIev3_D1FNH1rPMdjJumw2K0g1</t>
  </si>
  <si>
    <t>https://drive.google.com/uc?export=view&amp;id=1aoERwgfIev3_D1FNH1rPMdjJumw2K0g1</t>
  </si>
  <si>
    <t>Salman Abu Alkhair, S.Pd</t>
  </si>
  <si>
    <t>085215998338</t>
  </si>
  <si>
    <t>5203170212960002</t>
  </si>
  <si>
    <t>BSD</t>
  </si>
  <si>
    <t>Cianjur</t>
  </si>
  <si>
    <t>02-12-1996</t>
  </si>
  <si>
    <t>23 tahun</t>
  </si>
  <si>
    <t>STIBA Arraayah</t>
  </si>
  <si>
    <t>PBA</t>
  </si>
  <si>
    <t>Fitrah Islamic World Academy</t>
  </si>
  <si>
    <t>0835575130</t>
  </si>
  <si>
    <t>1yY9EFzUGnB7iFzL4PQB58khv8CCQmS2GBON2G_vC6Ys</t>
  </si>
  <si>
    <t>https://docs.google.com/document/d/1yY9EFzUGnB7iFzL4PQB58khv8CCQmS2GBON2G_vC6Ys/edit?usp=drivesdk</t>
  </si>
  <si>
    <t>Document successfully created; Document successfully merged; Run via form trigger as kemal.stafsus@gmail.com; Timestamp: Jul 1 2020 10:58 PM</t>
  </si>
  <si>
    <t>https://drive.google.com/open?id=1-CD3tEMlBIJHDKQXVCRaSNn_iZOD5VNr</t>
  </si>
  <si>
    <t>https://drive.google.com/uc?export=view&amp;id=1-CD3tEMlBIJHDKQXVCRaSNn_iZOD5VNr</t>
  </si>
  <si>
    <t>Hari Agusasi Pramesti, S.Pd</t>
  </si>
  <si>
    <t>087884420942</t>
  </si>
  <si>
    <t>3175085208950002</t>
  </si>
  <si>
    <t xml:space="preserve">Jl. Swadaya No. 67 
RT. 07/RW. 01
Pondok Karya
Pondok Aren
Tangerang Selatan </t>
  </si>
  <si>
    <t>12 Agustus 1995</t>
  </si>
  <si>
    <t>24 tahun 11 bulan</t>
  </si>
  <si>
    <t>Fisika dan matematika SMP</t>
  </si>
  <si>
    <t xml:space="preserve">Universitas Negeri Yogyakarta </t>
  </si>
  <si>
    <t>Pendidikan Fisika</t>
  </si>
  <si>
    <t>3.41</t>
  </si>
  <si>
    <t xml:space="preserve">Bimbel Primagama Rawamangun </t>
  </si>
  <si>
    <t>0838433953</t>
  </si>
  <si>
    <t>19XiP4h2FkWKkCmgzICJgWj-nUCL-tIYcTHl_AiJtEH0</t>
  </si>
  <si>
    <t>https://docs.google.com/document/d/19XiP4h2FkWKkCmgzICJgWj-nUCL-tIYcTHl_AiJtEH0/edit?usp=drivesdk</t>
  </si>
  <si>
    <t>Document successfully created; Document successfully merged; Run via form trigger as kemal.stafsus@gmail.com; Timestamp: Jul 3 2020 12:27 AM</t>
  </si>
  <si>
    <t>https://drive.google.com/open?id=1B42LK9uQwlDpGNiPbUsJbq9bm79H4PJX</t>
  </si>
  <si>
    <t>https://drive.google.com/uc?export=view&amp;id=1B42LK9uQwlDpGNiPbUsJbq9bm79H4PJX</t>
  </si>
  <si>
    <t>Janatan Nisa, S.Pd</t>
  </si>
  <si>
    <t>083870336689</t>
  </si>
  <si>
    <t>Perumahan Dasana Indah blok So. 16 no. 12 RT.008/016 bojong nangka, kelapa dua, kab. Tangerang</t>
  </si>
  <si>
    <t>21 September 1996</t>
  </si>
  <si>
    <t>23 tahun 10 bulan</t>
  </si>
  <si>
    <t>Guru Bimbingan Konseling</t>
  </si>
  <si>
    <t>Bimbingan dan Konseling</t>
  </si>
  <si>
    <t>3.46</t>
  </si>
  <si>
    <t xml:space="preserve">SMA Labschool Jakarta </t>
  </si>
  <si>
    <t>0846015709</t>
  </si>
  <si>
    <t>1Syel5sSRmz_TSqrItN2DXr3b2B0Lh3H_d2fgj6iTBmM</t>
  </si>
  <si>
    <t>https://docs.google.com/document/d/1Syel5sSRmz_TSqrItN2DXr3b2B0Lh3H_d2fgj6iTBmM/edit?usp=drivesdk</t>
  </si>
  <si>
    <t>Document successfully created; Document successfully merged; Run via form trigger as kemal.stafsus@gmail.com; Timestamp: Jul 3 2020 12:55 AM</t>
  </si>
  <si>
    <t>https://drive.google.com/open?id=1ZkiqB-zJJNyWYLyW9deJKP1rBopWDqR4</t>
  </si>
  <si>
    <t>https://drive.google.com/uc?export=view&amp;id=1ZkiqB-zJJNyWYLyW9deJKP1rBopWDqR4</t>
  </si>
  <si>
    <t>Anna Fitriana, S.Pd</t>
  </si>
  <si>
    <t>081398295682</t>
  </si>
  <si>
    <t>3603286805950005</t>
  </si>
  <si>
    <t>Jalan Sampan 1B no 20 Kelapa Dua, Tangerang</t>
  </si>
  <si>
    <t>25 tahun 2 bulan</t>
  </si>
  <si>
    <t>Sosiologi</t>
  </si>
  <si>
    <t xml:space="preserve">Universitas Negeri Jakarta </t>
  </si>
  <si>
    <t>Pendidikan Sosiologi</t>
  </si>
  <si>
    <t>3.69</t>
  </si>
  <si>
    <t>Tutor di Mitra Pelajar</t>
  </si>
  <si>
    <t>0649412452</t>
  </si>
  <si>
    <t xml:space="preserve">BNI </t>
  </si>
  <si>
    <t>1l1-kkTzHZohz27dnwo3rhEH9kzUGJBdvsT4wmMjrJ7M</t>
  </si>
  <si>
    <t>https://docs.google.com/document/d/1l1-kkTzHZohz27dnwo3rhEH9kzUGJBdvsT4wmMjrJ7M/edit?usp=drivesdk</t>
  </si>
  <si>
    <t>Document successfully created; Document successfully merged; Run via form trigger as kemal.stafsus@gmail.com; Timestamp: Jul 3 2020 1:00 AM</t>
  </si>
  <si>
    <t>https://drive.google.com/open?id=1QBSpJ4_2G99Q1nmgadiARdLlDxEkl-Jz</t>
  </si>
  <si>
    <t>https://drive.google.com/uc?export=view&amp;id=1QBSpJ4_2G99Q1nmgadiARdLlDxEkl-Jz</t>
  </si>
  <si>
    <t>Yeni Fitriani, S. Pd., Gr</t>
  </si>
  <si>
    <t>082214513320</t>
  </si>
  <si>
    <t>3214114704920003</t>
  </si>
  <si>
    <t>Jalan bidar 2 No. 7 Kelapa Dua Tangerang</t>
  </si>
  <si>
    <t>Purwakarta</t>
  </si>
  <si>
    <t>07-04-1992</t>
  </si>
  <si>
    <t>28 Tahun 2 Bulan</t>
  </si>
  <si>
    <t xml:space="preserve">Ekonomi </t>
  </si>
  <si>
    <t>Pendidikan Ekonomi</t>
  </si>
  <si>
    <t>SMA Negeri 2 Moro</t>
  </si>
  <si>
    <t>Rp 2.700.000,-</t>
  </si>
  <si>
    <t xml:space="preserve">Bimbel Edulab </t>
  </si>
  <si>
    <t>Rp 3.500.000,-</t>
  </si>
  <si>
    <t>Insan Cendekia Madani</t>
  </si>
  <si>
    <t>Rp 4.300.000,-</t>
  </si>
  <si>
    <t>Rp 4.500.000,-</t>
  </si>
  <si>
    <t>0838139554</t>
  </si>
  <si>
    <t>12SzgPtpVSPkt0_BwlFKLtSXMMuDD9bIpJPHK_oRI6RU</t>
  </si>
  <si>
    <t>https://docs.google.com/document/d/12SzgPtpVSPkt0_BwlFKLtSXMMuDD9bIpJPHK_oRI6RU/edit?usp=drivesdk</t>
  </si>
  <si>
    <t>Document successfully created; Document successfully merged; Run via form trigger as kemal.stafsus@gmail.com; Timestamp: Jul 3 2020 1:04 AM</t>
  </si>
  <si>
    <t>https://drive.google.com/open?id=17DE8f2To229RgrZWBaVyFJ4GinLKmwKh</t>
  </si>
  <si>
    <t>https://drive.google.com/uc?export=view&amp;id=17DE8f2To229RgrZWBaVyFJ4GinLKmwKh</t>
  </si>
  <si>
    <t>Yulia Safitri, M. Pd.</t>
  </si>
  <si>
    <t>3173066207820003</t>
  </si>
  <si>
    <t>Jl. Sampan 2B, No.34C, Kelapa Dua</t>
  </si>
  <si>
    <t>22-07-1982</t>
  </si>
  <si>
    <t>Universitas Islamic Syekh Yusuf, Tangerang</t>
  </si>
  <si>
    <t>FKIP Bahasa Inggris</t>
  </si>
  <si>
    <t>3.79</t>
  </si>
  <si>
    <t>Universitas Indra Prasta (Unindra)</t>
  </si>
  <si>
    <t>SMA Yadika 2, Jakarta</t>
  </si>
  <si>
    <t>SMA Permata Insani, Tangerang</t>
  </si>
  <si>
    <t>SMA Bintara, Depok</t>
  </si>
  <si>
    <t>0725847986</t>
  </si>
  <si>
    <t>1ayWApseGgiEgejT5oMl4bV6OAxiD6x697d7CTfWQwYw</t>
  </si>
  <si>
    <t>https://docs.google.com/document/d/1ayWApseGgiEgejT5oMl4bV6OAxiD6x697d7CTfWQwYw/edit?usp=drivesdk</t>
  </si>
  <si>
    <t>Document successfully created; Document successfully merged; Run via form trigger as kemal.stafsus@gmail.com; Timestamp: Jul 3 2020 1:12 AM</t>
  </si>
  <si>
    <t>https://drive.google.com/open?id=1Y52kaTICqIw0Yppe2TesxNi-CwlqxJte</t>
  </si>
  <si>
    <t>https://drive.google.com/uc?export=view&amp;id=1Y52kaTICqIw0Yppe2TesxNi-CwlqxJte</t>
  </si>
  <si>
    <t>Qathrun Nada</t>
  </si>
  <si>
    <t>087764599210</t>
  </si>
  <si>
    <t>3274056001960006</t>
  </si>
  <si>
    <t>Jl. Bidar 1, No. 2, Gading Serpong, Kelapa Dua, Tangerang Selatan, Banten</t>
  </si>
  <si>
    <t>20 - 01 - 1996</t>
  </si>
  <si>
    <t>24 tahun, 5 bulan</t>
  </si>
  <si>
    <t>Boarding (disekolah : Khusus Musyrif &amp; Musyrifah)</t>
  </si>
  <si>
    <t>Arabic, Al Qur'an, Diniyyah</t>
  </si>
  <si>
    <t>SMA (Proses S1)</t>
  </si>
  <si>
    <t>Ilmu Hadits</t>
  </si>
  <si>
    <t>Guru Arabic, Shorof, Qiro'ah, Siroh, Musyrifah di Pondok Pesantren Assunnah Cirebon</t>
  </si>
  <si>
    <t>Guru Al Qur'an, Musyrifah di Al Binaa Islamic School Bekasi</t>
  </si>
  <si>
    <t>Guru Al Qur'an, Musyrifah di Pondok Pesantren Imam Syafi'i Brebes</t>
  </si>
  <si>
    <t>10P9ka2eiRCH6ZZkMv6NRqp0ChmkOXjUJKRnuSAxPbDM</t>
  </si>
  <si>
    <t>https://docs.google.com/document/d/10P9ka2eiRCH6ZZkMv6NRqp0ChmkOXjUJKRnuSAxPbDM/edit?usp=drivesdk</t>
  </si>
  <si>
    <t>Document successfully created; Document successfully merged; Run via form trigger as kemal.stafsus@gmail.com; Timestamp: Jul 3 2020 1:34 AM</t>
  </si>
  <si>
    <t>https://drive.google.com/open?id=1Ppjxrdga5J-5zY-A1PTIuAoElu39vggn</t>
  </si>
  <si>
    <t>https://drive.google.com/uc?export=view&amp;id=1Ppjxrdga5J-5zY-A1PTIuAoElu39vggn</t>
  </si>
  <si>
    <t>Meyta Rahmadaniati, S.Ikom</t>
  </si>
  <si>
    <t>085770516515</t>
  </si>
  <si>
    <t>3671116205850001</t>
  </si>
  <si>
    <t>Sudimara Pinang, Kota Tangerang</t>
  </si>
  <si>
    <t>22 Mei 1985</t>
  </si>
  <si>
    <t>English SMP &amp; PE SMP SMA</t>
  </si>
  <si>
    <t>Univ. Prof. DR. Moestopo (Beragama)</t>
  </si>
  <si>
    <t>Ilmu Komunikasi (Humas)</t>
  </si>
  <si>
    <t>3.65 atau 3.66 (lupa)</t>
  </si>
  <si>
    <t xml:space="preserve">Tahun 2008-2012 Yayasan Bina Pratama </t>
  </si>
  <si>
    <t>Tahun 2014 Dunia Bahasa</t>
  </si>
  <si>
    <t>Tahun 2015-2019 CST English Centre</t>
  </si>
  <si>
    <t>Kurleb 5.500.000 (include tunjangan jabatan &amp; insentif)</t>
  </si>
  <si>
    <t>0836738005</t>
  </si>
  <si>
    <t>1S0_PmWhjN2z5c_tFKwMAypBaSUjotyEGowKBdTiXRd4</t>
  </si>
  <si>
    <t>https://docs.google.com/document/d/1S0_PmWhjN2z5c_tFKwMAypBaSUjotyEGowKBdTiXRd4/edit?usp=drivesdk</t>
  </si>
  <si>
    <t>Document successfully created; Document successfully merged; Run via form trigger as kemal.stafsus@gmail.com; Timestamp: Jul 3 2020 1:39 AM</t>
  </si>
  <si>
    <t>https://drive.google.com/open?id=1BK_zOqr0THTo5Ilp1MrvGL-c4qkDJJsd</t>
  </si>
  <si>
    <t>https://drive.google.com/uc?export=view&amp;id=1BK_zOqr0THTo5Ilp1MrvGL-c4qkDJJsd</t>
  </si>
  <si>
    <t>FITRIA NUR ANNISA, S.Pd</t>
  </si>
  <si>
    <t>087781842198</t>
  </si>
  <si>
    <t>3271042702071803</t>
  </si>
  <si>
    <t>Pesona Karawaci Blok C6 No. 6, Bojong Nangka - Kelapa Dua</t>
  </si>
  <si>
    <t>CILACAP</t>
  </si>
  <si>
    <t>13-05-1994</t>
  </si>
  <si>
    <t>26 tahun 1 bulan</t>
  </si>
  <si>
    <t>GEOGRAFI</t>
  </si>
  <si>
    <t>UNIVERSITAS PENDIDIKAN INDONESIA</t>
  </si>
  <si>
    <t>Pendidikan Geografi</t>
  </si>
  <si>
    <t>3.49</t>
  </si>
  <si>
    <t>Madania School, Parung - Bogor</t>
  </si>
  <si>
    <t>INSAN CENDEKIA MADANI, BSD</t>
  </si>
  <si>
    <t>0264756613</t>
  </si>
  <si>
    <t>1Ajktr0ge7vFepV9V0q3IITFc8ka2AIXNjQ0wBnBw5E8</t>
  </si>
  <si>
    <t>https://docs.google.com/document/d/1Ajktr0ge7vFepV9V0q3IITFc8ka2AIXNjQ0wBnBw5E8/edit?usp=drivesdk</t>
  </si>
  <si>
    <t>Document successfully created; Invalid image URL [https://drive.google.com/uc?export=view&amp;id=1BK_zOqr0THTo5Ilp1MrvGL-c4qkDJJsd], make sure that it is public; Document successfully merged; Run via form trigger as kemal.stafsus@gmail.com; Timestamp: Jul 3 2020 1:41 AM</t>
  </si>
  <si>
    <t>https://drive.google.com/open?id=1UX09wvon6QVOG6Ok8g3qx6ahjg96JVYb</t>
  </si>
  <si>
    <t>https://drive.google.com/uc?export=view&amp;id=1UX09wvon6QVOG6Ok8g3qx6ahjg96JVYb</t>
  </si>
  <si>
    <t>Ayu melisa putri, S.Pd, M.Si</t>
  </si>
  <si>
    <t>081286914724</t>
  </si>
  <si>
    <t>1375027006900002</t>
  </si>
  <si>
    <t>Jalan Layar V no 7. Kelapa Dua</t>
  </si>
  <si>
    <t xml:space="preserve">Bukittinggi </t>
  </si>
  <si>
    <t>30-06-1990</t>
  </si>
  <si>
    <t>Fisika</t>
  </si>
  <si>
    <t>Universitas negeri padang</t>
  </si>
  <si>
    <t>Pendidikan fisika</t>
  </si>
  <si>
    <t>Institut pertanian bogor</t>
  </si>
  <si>
    <t xml:space="preserve">Biofisika </t>
  </si>
  <si>
    <t>Bimbingan belajar bintang pelajar bogor (part time 2014-2016)</t>
  </si>
  <si>
    <t>0356501070</t>
  </si>
  <si>
    <t>1BOzDABVh6swVu0ru5g3i9sXOXy0voHSBDXFmoTirv90</t>
  </si>
  <si>
    <t>https://docs.google.com/document/d/1BOzDABVh6swVu0ru5g3i9sXOXy0voHSBDXFmoTirv90/edit?usp=drivesdk</t>
  </si>
  <si>
    <t>Document successfully created; Document successfully merged; Run via form trigger as kemal.stafsus@gmail.com; Timestamp: Jul 3 2020 1:46 AM</t>
  </si>
  <si>
    <t>https://drive.google.com/open?id=1mZuWOibzXSvJ5rffQbl3VgF8TZVkXhc4</t>
  </si>
  <si>
    <t>https://drive.google.com/uc?export=view&amp;id=1mZuWOibzXSvJ5rffQbl3VgF8TZVkXhc4</t>
  </si>
  <si>
    <t>Indah Dwi Cahyani</t>
  </si>
  <si>
    <t>089513638656</t>
  </si>
  <si>
    <t>Jalan Bidar II no.12 Perumahan bumi kelapa dua, gading serpong. Tangerang-Banten</t>
  </si>
  <si>
    <t>Kuningan, Jawa Barat</t>
  </si>
  <si>
    <t>19 September 1999</t>
  </si>
  <si>
    <t>20 tahun, 10 bulan</t>
  </si>
  <si>
    <t>Guru Al Qur'an</t>
  </si>
  <si>
    <t>Diploma</t>
  </si>
  <si>
    <t>SMA: IPS, Pondok Pesantren: Tahfidzul Qur'an</t>
  </si>
  <si>
    <t>(Lulusan Ponpes)</t>
  </si>
  <si>
    <t>MTS Sabilul Qur'an</t>
  </si>
  <si>
    <t>Private class</t>
  </si>
  <si>
    <t>0725269209</t>
  </si>
  <si>
    <t>1NEpdE1zXbt9PXC8muwY-k4hxQYD6sH9Zub3wbWDprYk</t>
  </si>
  <si>
    <t>https://docs.google.com/document/d/1NEpdE1zXbt9PXC8muwY-k4hxQYD6sH9Zub3wbWDprYk/edit?usp=drivesdk</t>
  </si>
  <si>
    <t>Document successfully created; Document successfully merged; Run via form trigger as kemal.stafsus@gmail.com; Timestamp: Jul 3 2020 1:47 AM</t>
  </si>
  <si>
    <t>https://drive.google.com/open?id=1kFcDuG2OzXaMLlg-npumM_afXxgxyEsk</t>
  </si>
  <si>
    <t>https://drive.google.com/uc?export=view&amp;id=1kFcDuG2OzXaMLlg-npumM_afXxgxyEsk</t>
  </si>
  <si>
    <t>Abdul Muthalib,M.Pd.</t>
  </si>
  <si>
    <t>082334441798</t>
  </si>
  <si>
    <t>5271020506880004</t>
  </si>
  <si>
    <t>Kampung Sawah, pagedangan</t>
  </si>
  <si>
    <t>PARADO</t>
  </si>
  <si>
    <t>5 Juni 1988</t>
  </si>
  <si>
    <t>32 tahun</t>
  </si>
  <si>
    <t>Kepala Sekolah</t>
  </si>
  <si>
    <t>Universitas Mataram</t>
  </si>
  <si>
    <t>civic education</t>
  </si>
  <si>
    <t>3.32</t>
  </si>
  <si>
    <t>Unindra Jkt</t>
  </si>
  <si>
    <t>Bahasa inggris</t>
  </si>
  <si>
    <t>3.30</t>
  </si>
  <si>
    <t>Lembaga Privat Mataram</t>
  </si>
  <si>
    <t>Emisc Jkr</t>
  </si>
  <si>
    <t>Al wildan</t>
  </si>
  <si>
    <t>2.500.000-8.000.000</t>
  </si>
  <si>
    <t>0465078194</t>
  </si>
  <si>
    <t>1E7KRz1v-LeCu8gefZkbBmdks0DgR0p6H23DKKLHGawA</t>
  </si>
  <si>
    <t>https://docs.google.com/document/d/1E7KRz1v-LeCu8gefZkbBmdks0DgR0p6H23DKKLHGawA/edit?usp=drivesdk</t>
  </si>
  <si>
    <t>Document successfully created; Document successfully merged; Run via form trigger as kemal.stafsus@gmail.com; Timestamp: Jul 3 2020 1:57 AM</t>
  </si>
  <si>
    <t>https://drive.google.com/open?id=1WAEfEFyYB2gj5qQuzJx5XZRL_VSSh4L6</t>
  </si>
  <si>
    <t>https://drive.google.com/uc?export=view&amp;id=1WAEfEFyYB2gj5qQuzJx5XZRL_VSSh4L6</t>
  </si>
  <si>
    <t xml:space="preserve">Insan Taris Aufar, S.Pd.I. </t>
  </si>
  <si>
    <t>3173041302940006</t>
  </si>
  <si>
    <t>Jl. Kano V No. 8, Kelapa Dua</t>
  </si>
  <si>
    <t>13-02-1994</t>
  </si>
  <si>
    <t>26 tahun 4 bulan</t>
  </si>
  <si>
    <t>STAIQ Al-Qudwah Depok</t>
  </si>
  <si>
    <t xml:space="preserve">Manajemen Pendidikan </t>
  </si>
  <si>
    <t>PONPES Al-Hassan Bekasi (2014-2016)</t>
  </si>
  <si>
    <t>Al-Wildan Islamic School 1 Gading Serpong (2016-2019)</t>
  </si>
  <si>
    <t>Al-Wildan Islamic School 3 BSD City (2019-2020)</t>
  </si>
  <si>
    <t>0460604032</t>
  </si>
  <si>
    <t>1lXGXKA3aYQpVYJQfyV4zps6JX1GK1v-Vnc0a216KCKU</t>
  </si>
  <si>
    <t>https://docs.google.com/document/d/1lXGXKA3aYQpVYJQfyV4zps6JX1GK1v-Vnc0a216KCKU/edit?usp=drivesdk</t>
  </si>
  <si>
    <t>Document successfully created; Invalid image URL [https://drive.google.com/uc?export=view&amp;id=1WAEfEFyYB2gj5qQuzJx5XZRL_VSSh4L6], make sure that it is public; Document successfully merged; Run via form trigger as kemal.stafsus@gmail.com; Timestamp: Jul 3 2020 3:19 AM</t>
  </si>
  <si>
    <t>https://drive.google.com/open?id=1SMAtZp3dm0b-7YiZN6svw1bHGQnctJXL</t>
  </si>
  <si>
    <t>https://drive.google.com/uc?export=view&amp;id=1SMAtZp3dm0b-7YiZN6svw1bHGQnctJXL</t>
  </si>
  <si>
    <t>Galuh Pramananda, S.Pd.</t>
  </si>
  <si>
    <t>082236023936</t>
  </si>
  <si>
    <t>5203072807920001</t>
  </si>
  <si>
    <t>Jl. H. Nudin No. 28C Lebak Bulus, Jakarta Selatan</t>
  </si>
  <si>
    <t>Alas</t>
  </si>
  <si>
    <t>22-07-1992</t>
  </si>
  <si>
    <t>27 tahun 11 bulan</t>
  </si>
  <si>
    <t>Wakil Kepala Sekolah</t>
  </si>
  <si>
    <t>English dan rumpunnya (Math, Science)</t>
  </si>
  <si>
    <t>SM-3T Teluk Wondama</t>
  </si>
  <si>
    <t>SMK Kesehatan As-Syafi'i</t>
  </si>
  <si>
    <t>0192371510</t>
  </si>
  <si>
    <t>12iOaWgfe8ika1E4k8LWiUrnDRoSyuDiapHEheb1ZPbQ</t>
  </si>
  <si>
    <t>https://docs.google.com/document/d/12iOaWgfe8ika1E4k8LWiUrnDRoSyuDiapHEheb1ZPbQ/edit?usp=drivesdk</t>
  </si>
  <si>
    <t>Document successfully created; Document successfully merged; Run via form trigger as kemal.stafsus@gmail.com; Timestamp: Jul 3 2020 4:13 AM</t>
  </si>
  <si>
    <t>https://drive.google.com/open?id=1iJ4UyQ2S5nz_TrD-F3adL4xCmViB_k6T</t>
  </si>
  <si>
    <t>https://drive.google.com/uc?export=view&amp;id=1iJ4UyQ2S5nz_TrD-F3adL4xCmViB_k6T</t>
  </si>
  <si>
    <t>Syafiq Muhammad Al Khatieb, Lc., M.A</t>
  </si>
  <si>
    <t>081999922700</t>
  </si>
  <si>
    <t>5271011507880001</t>
  </si>
  <si>
    <t>Komplek Perumahan Qoryah Thoyyibah (PQT) Jln. Zam-zam 1 blok D no. 23 Srengseng Kembangan Jakarta Barat</t>
  </si>
  <si>
    <t>Makkah</t>
  </si>
  <si>
    <t>15 Juli 1988</t>
  </si>
  <si>
    <t>31 tahun 11 bulan</t>
  </si>
  <si>
    <t>Islamic University of Madinah</t>
  </si>
  <si>
    <t>Noble Hadits and Islamic Studies</t>
  </si>
  <si>
    <t>4.27 of 5.00</t>
  </si>
  <si>
    <t>Universitas Muhammadiyah Jakarta</t>
  </si>
  <si>
    <t>Magister Studi Islam (Hukum Islam)</t>
  </si>
  <si>
    <t>3.7 of 4.00</t>
  </si>
  <si>
    <t>Handling full Land Arrangement travel kawasan Makkah Madinah Jeddah dan Guiding haji dan umroh</t>
  </si>
  <si>
    <t>- + 5.500.000 per pekan</t>
  </si>
  <si>
    <t>0469826625</t>
  </si>
  <si>
    <t>BNI Syari'ah</t>
  </si>
  <si>
    <t>1ZRAI8LC2llMYO0apwSGwaqO5n-0TWcTdQF7RbsDhHcI</t>
  </si>
  <si>
    <t>https://docs.google.com/document/d/1ZRAI8LC2llMYO0apwSGwaqO5n-0TWcTdQF7RbsDhHcI/edit?usp=drivesdk</t>
  </si>
  <si>
    <t>Document successfully created; Document successfully merged; Run via form trigger as kemal.stafsus@gmail.com; Timestamp: Jul 3 2020 5:13 AM</t>
  </si>
  <si>
    <t>https://drive.google.com/open?id=1r3cAj5WlSpeTYSdo6fLYylI-JTKSeDBs</t>
  </si>
  <si>
    <t>https://drive.google.com/uc?export=view&amp;id=1r3cAj5WlSpeTYSdo6fLYylI-JTKSeDBs</t>
  </si>
  <si>
    <t>Yundi Haikal Aziz LC/BA</t>
  </si>
  <si>
    <t>081297501057</t>
  </si>
  <si>
    <t>3510062204960004</t>
  </si>
  <si>
    <t>(Rumah Babeh Lango) 
Jalan Masjid No.4 Gang Haji Said RT. 06 RW. 03, Ciater Kec. Serpong Kota Tangerang Selatan, Banten 15310</t>
  </si>
  <si>
    <t>Ponorogo</t>
  </si>
  <si>
    <t>22-04-1996</t>
  </si>
  <si>
    <t>24 tahun 2 bulan</t>
  </si>
  <si>
    <t>Universitas Islam Madinah</t>
  </si>
  <si>
    <t xml:space="preserve">4.65 ( 5 ) </t>
  </si>
  <si>
    <t>Pesantren Islam Al Irsyad ( Kesiswaan )</t>
  </si>
  <si>
    <t xml:space="preserve">Gaji pengabdian ( 350.000 ) </t>
  </si>
  <si>
    <t xml:space="preserve">Petugas Haji Tahunan / TEMUS </t>
  </si>
  <si>
    <t xml:space="preserve">48 JT selama 62 hari kerja </t>
  </si>
  <si>
    <t xml:space="preserve">6 JT + 1 JT </t>
  </si>
  <si>
    <t>0911041748</t>
  </si>
  <si>
    <t>1zMD0V9RAmIjMHPRBBJczSyWijZTvEIiNGSaFdqhnVg8</t>
  </si>
  <si>
    <t>https://docs.google.com/document/d/1zMD0V9RAmIjMHPRBBJczSyWijZTvEIiNGSaFdqhnVg8/edit?usp=drivesdk</t>
  </si>
  <si>
    <t>Document successfully created; Document successfully merged; Run via form trigger as kemal.stafsus@gmail.com; Timestamp: Jul 3 2020 7:24 AM</t>
  </si>
  <si>
    <t>https://drive.google.com/open?id=1bvlWDQ98sA2EttfYaLtvIQlmLQQ3w9TY</t>
  </si>
  <si>
    <t>https://drive.google.com/uc?export=view&amp;id=1bvlWDQ98sA2EttfYaLtvIQlmLQQ3w9TY</t>
  </si>
  <si>
    <t>Azizah Ayu Zahra</t>
  </si>
  <si>
    <t>089621150019</t>
  </si>
  <si>
    <t>3671116709940001</t>
  </si>
  <si>
    <t>Pinang Ciledug Tangerang</t>
  </si>
  <si>
    <t>Bogor</t>
  </si>
  <si>
    <t>27-September-1994</t>
  </si>
  <si>
    <t>25 tahun 10 bulan</t>
  </si>
  <si>
    <t>Pondok pesantren Ummahatul Mukminin</t>
  </si>
  <si>
    <t xml:space="preserve">Ulum Syar'iyyah </t>
  </si>
  <si>
    <t>SDQ Anwarul Mukhlasin Magelang Jawa Tengah</t>
  </si>
  <si>
    <t>Mengajar Madrasah Tahfizhul Qur'an ponpes Al Aminiyah</t>
  </si>
  <si>
    <t>Mengajar Arabic Akhwat di Melia Grove Graha Raya</t>
  </si>
  <si>
    <t>0836743128</t>
  </si>
  <si>
    <t>1-bQioHCbVK45dp52tLoGplqH46M7RKo1pLhCa7HElMo</t>
  </si>
  <si>
    <t>https://docs.google.com/document/d/1-bQioHCbVK45dp52tLoGplqH46M7RKo1pLhCa7HElMo/edit?usp=drivesdk</t>
  </si>
  <si>
    <t>Document successfully created; Document successfully merged; Run via form trigger as kemal.stafsus@gmail.com; Timestamp: Jul 3 2020 7:26 AM</t>
  </si>
  <si>
    <t>https://drive.google.com/open?id=12mMJgktMd_3oZWY0GsML2i3TfZhhrCqJ</t>
  </si>
  <si>
    <t>https://drive.google.com/uc?export=view&amp;id=12mMJgktMd_3oZWY0GsML2i3TfZhhrCqJ</t>
  </si>
  <si>
    <t>Muksin, Lc</t>
  </si>
  <si>
    <t>085717613371</t>
  </si>
  <si>
    <t>3203010607850017</t>
  </si>
  <si>
    <t>Griya duren gede No 43, (kamar A12),  Jalan: Jati Padang Utara, gang musholla alhuda, 
RT: 009 /RW: 02, 
Kelurahan : Jati Padang
Kecamatan : Pasar Minggu
JAKARTA SELATAN, kode pos: 12540</t>
  </si>
  <si>
    <t>Lombok Timur</t>
  </si>
  <si>
    <t>06-07-1985</t>
  </si>
  <si>
    <t>35 tahun</t>
  </si>
  <si>
    <t>LN</t>
  </si>
  <si>
    <t xml:space="preserve">Syariah </t>
  </si>
  <si>
    <t>4.39</t>
  </si>
  <si>
    <t xml:space="preserve">Kepala Sekolah SD EMIISC Jakarta </t>
  </si>
  <si>
    <t>Sekretaris Alraqeeb Universal Group, Riyadh, KSA</t>
  </si>
  <si>
    <t>0433518736</t>
  </si>
  <si>
    <t xml:space="preserve">BNI Syariah </t>
  </si>
  <si>
    <t>16etZwwX-QZTbi7W8WdwrZ3OBrnwDJxHU3P9_tGuZ2D0</t>
  </si>
  <si>
    <t>https://docs.google.com/document/d/16etZwwX-QZTbi7W8WdwrZ3OBrnwDJxHU3P9_tGuZ2D0/edit?usp=drivesdk</t>
  </si>
  <si>
    <t>Document successfully created; Document successfully merged; Run via form trigger as kemal.stafsus@gmail.com; Timestamp: Jul 3 2020 8:04 AM</t>
  </si>
  <si>
    <t>https://drive.google.com/open?id=1DRPE8ANuFFV3dMZDrKKX80z2t_9XHopP</t>
  </si>
  <si>
    <t>https://drive.google.com/uc?export=view&amp;id=1DRPE8ANuFFV3dMZDrKKX80z2t_9XHopP</t>
  </si>
  <si>
    <t>Mutia Dwi Haryanti, S.Mat., M.Pd.</t>
  </si>
  <si>
    <t>085693538453</t>
  </si>
  <si>
    <t>3603284305930003</t>
  </si>
  <si>
    <t>Jalan Danau Ranau Raya No. 4 Perum 2 Karawaci - Tangerang</t>
  </si>
  <si>
    <t>Bandung</t>
  </si>
  <si>
    <t>03-05-1993</t>
  </si>
  <si>
    <t>27 tahun 2 bulan</t>
  </si>
  <si>
    <t>Universitas Pendidikan Indonesia (UPI)</t>
  </si>
  <si>
    <t>3.47</t>
  </si>
  <si>
    <t>Insan Cendekia Madani (ICM) BSD</t>
  </si>
  <si>
    <t>0835851985</t>
  </si>
  <si>
    <t>1tb9thzuovWsXqmCeIM2jPFFg1Hj7Pxu4RuFHHSKy2n4</t>
  </si>
  <si>
    <t>https://docs.google.com/document/d/1tb9thzuovWsXqmCeIM2jPFFg1Hj7Pxu4RuFHHSKy2n4/edit?usp=drivesdk</t>
  </si>
  <si>
    <t>Document successfully created; Invalid image URL [https://drive.google.com/uc?export=view&amp;id=1DRPE8ANuFFV3dMZDrKKX80z2t_9XHopP], make sure that it is public; Document successfully merged; Run via form trigger as kemal.stafsus@gmail.com; Timestamp: Jul 3 2020 1:32 PM</t>
  </si>
  <si>
    <t>https://drive.google.com/open?id=12e4kp3NGla0-_noEDsSKpleyFL69HqWp</t>
  </si>
  <si>
    <t>https://drive.google.com/uc?export=view&amp;id=12e4kp3NGla0-_noEDsSKpleyFL69HqWp</t>
  </si>
  <si>
    <t>Adib Meiditha Wibowo, S.Si.</t>
  </si>
  <si>
    <t>081617520007</t>
  </si>
  <si>
    <t>3674062105960006</t>
  </si>
  <si>
    <t>Vila Dago Pamulang Cluster Kintamani Blok G 5 No. 9, RT. 002, RW. 024, Kelurahan Benda Baru, Kecamatan Pamulang, Kota Tangerang Selatan</t>
  </si>
  <si>
    <t>21-05-1996</t>
  </si>
  <si>
    <t>Universitas Jenderal Soedirman (Unsoed)</t>
  </si>
  <si>
    <t>3.40</t>
  </si>
  <si>
    <t>0841046266</t>
  </si>
  <si>
    <t>1HzT4frt4znf-r5sA3IjN7b-q1RGxPo6NW5WAK32ImsM</t>
  </si>
  <si>
    <t>https://docs.google.com/document/d/1HzT4frt4znf-r5sA3IjN7b-q1RGxPo6NW5WAK32ImsM/edit?usp=drivesdk</t>
  </si>
  <si>
    <t>Document successfully created; Document successfully merged; Run via form trigger as kemal.stafsus@gmail.com; Timestamp: Jul 3 2020 6:54 PM</t>
  </si>
  <si>
    <t>https://drive.google.com/open?id=1muhvj9Oc7aPHt8cWXPWDNPteLGypQ8Zw</t>
  </si>
  <si>
    <t>https://drive.google.com/uc?export=view&amp;id=1muhvj9Oc7aPHt8cWXPWDNPteLGypQ8Zw</t>
  </si>
  <si>
    <t>Rani Puspita Rahayu, M.Pd</t>
  </si>
  <si>
    <t>082388071507</t>
  </si>
  <si>
    <t>1301056911890003</t>
  </si>
  <si>
    <t>Jalan Bidar XII No 77 Kelapa Dua Kabupaten Tangerang Banten</t>
  </si>
  <si>
    <t>Bukittinggi</t>
  </si>
  <si>
    <t>30 tahun 8 bulan</t>
  </si>
  <si>
    <t>3.74</t>
  </si>
  <si>
    <t>Universitas Negeri Malang</t>
  </si>
  <si>
    <t>3.38</t>
  </si>
  <si>
    <t>Alwildan Islamic School</t>
  </si>
  <si>
    <t>6.000.000-7.000.000</t>
  </si>
  <si>
    <t>0836123794</t>
  </si>
  <si>
    <t>1POOPqa9-45OmUHCOFavJRhDAWXV5TiTcNliiPfJviHI</t>
  </si>
  <si>
    <t>https://docs.google.com/document/d/1POOPqa9-45OmUHCOFavJRhDAWXV5TiTcNliiPfJviHI/edit?usp=drivesdk</t>
  </si>
  <si>
    <t>Document successfully created; Document successfully merged; Run via form trigger as kemal.stafsus@gmail.com; Timestamp: Jul 4 2020 12:38 AM</t>
  </si>
  <si>
    <t>https://drive.google.com/open?id=1o-PrHK3x7EMoC8FLVkBUQRBSCudexrdr</t>
  </si>
  <si>
    <t>https://drive.google.com/uc?export=view&amp;id=1o-PrHK3x7EMoC8FLVkBUQRBSCudexrdr</t>
  </si>
  <si>
    <t>Dian Mukti Primasari, S.Pd., Gr</t>
  </si>
  <si>
    <t>08995928224</t>
  </si>
  <si>
    <t>3374066807890004</t>
  </si>
  <si>
    <t>Cluster Benda Green Gardenia
Jl.TPU Parakan, Pd Benda, Pamulang
Tangsel</t>
  </si>
  <si>
    <t>Semarang</t>
  </si>
  <si>
    <t>28-07-1989</t>
  </si>
  <si>
    <t>31Tahun</t>
  </si>
  <si>
    <t>English</t>
  </si>
  <si>
    <t>IKIP PGRI Semarang</t>
  </si>
  <si>
    <t>UIN SYARIF HIDAYATULLAH (Mengerjakan Thesis)</t>
  </si>
  <si>
    <t>3,41 (Rata2 selama perkuliahan)</t>
  </si>
  <si>
    <t>Mentari International school Jakarta (Tahun 2012)</t>
  </si>
  <si>
    <t>Rp 4.000.000,- (Home allowance dan uang listrik dapat)</t>
  </si>
  <si>
    <t>INSAN CENDEKIA MADANI (Tahun 2013-2019)</t>
  </si>
  <si>
    <t>Rp 6.000.000,- (Masih mendapat home allowance, BPJS Kesehatan, BPJS ketenagakerjaan, tunjangan suami, tunjangan lain yang sifatnya tugas dan makan siang)</t>
  </si>
  <si>
    <t>Al-Wildan Islamic School 1 Gading Serpoong (2019-Present)</t>
  </si>
  <si>
    <t>Rp 6.000.000,- (Tidak mendapat tambahan lain kecuali tugas tambahan)</t>
  </si>
  <si>
    <t>Bismillah....ana mengajukan 8Juta rupiah mengingat tahun lalu ana belum nego gaji. Alasan ana 1). sudah tersertifikasi Cambridge A's Level dari tahun 2017. 2) Guru Professional berserifikat pendidik dari Diknas th 2019. 3)Insha Allah lulus S2 tahun ini, aamiin. 4) Perfomance ana di AW 1 tahun 2019 konsisten menjadi mumtaz teacher. 5) testimoni guru, siswa dan segenap civitas Al-Wildan 1 (Untuk dibuktikan). Syukron Jazakallahu khairan</t>
  </si>
  <si>
    <t>BNI SYARIAH</t>
  </si>
  <si>
    <t>1Ma5NFbP4XZoHg7UItMpjDopvgeUPNIERpRXRoZTlrW8</t>
  </si>
  <si>
    <t>https://docs.google.com/document/d/1Ma5NFbP4XZoHg7UItMpjDopvgeUPNIERpRXRoZTlrW8/edit?usp=drivesdk</t>
  </si>
  <si>
    <t>Document successfully created; Document successfully merged; Run via form trigger as kemal.stafsus@gmail.com; Timestamp: Jul 4 2020 12:54 AM</t>
  </si>
  <si>
    <t>https://drive.google.com/open?id=1-Hr6U1wKCGzaVuqx2tyXtKqwuuzdZHRh</t>
  </si>
  <si>
    <t>https://drive.google.com/uc?export=view&amp;id=1-Hr6U1wKCGzaVuqx2tyXtKqwuuzdZHRh</t>
  </si>
  <si>
    <t>Arya Indrajana, ST</t>
  </si>
  <si>
    <t>08119503104</t>
  </si>
  <si>
    <t>Cluster Mahagoni Park Blok B1 No 9 Bintaro Jaya Sektor 9 Perigi Baru Pondok Aren Tangerang Selatan 15228</t>
  </si>
  <si>
    <t>26-08-1970</t>
  </si>
  <si>
    <t>49 tahun 11 bulan</t>
  </si>
  <si>
    <t>Management, Guru Mata Pelajaran</t>
  </si>
  <si>
    <t>S1- Institut Teknologi Bandung</t>
  </si>
  <si>
    <t>Teknik Mesin</t>
  </si>
  <si>
    <t>3.05</t>
  </si>
  <si>
    <t>Direktur Utama</t>
  </si>
  <si>
    <t>0739108267</t>
  </si>
  <si>
    <t>1-ki1oZTSSq3eLlhrg3AkHi_GZSoJuaHVUncYDDeP-n8</t>
  </si>
  <si>
    <t>https://docs.google.com/document/d/1-ki1oZTSSq3eLlhrg3AkHi_GZSoJuaHVUncYDDeP-n8/edit?usp=drivesdk</t>
  </si>
  <si>
    <t>Document successfully created; Document successfully merged; Run via form trigger as kemal.stafsus@gmail.com; Timestamp: Jul 4 2020 1:00 AM</t>
  </si>
  <si>
    <t>https://drive.google.com/open?id=1Y9oNAu55ai-gI05rHOPeiHCR1sfoYon4</t>
  </si>
  <si>
    <t>https://drive.google.com/uc?export=view&amp;id=1Y9oNAu55ai-gI05rHOPeiHCR1sfoYon4</t>
  </si>
  <si>
    <t>Ulya Himmawati,Lc</t>
  </si>
  <si>
    <t>0895378850037</t>
  </si>
  <si>
    <t>3319075810920002</t>
  </si>
  <si>
    <t>Jl. Bidar IV nmr 6A kelapa dua kabupaten tangerang</t>
  </si>
  <si>
    <t>Kudus jawa tengah</t>
  </si>
  <si>
    <t>18-10-92</t>
  </si>
  <si>
    <t xml:space="preserve">Diniyah dan Quran </t>
  </si>
  <si>
    <t>LIPIA JAKARTA</t>
  </si>
  <si>
    <t xml:space="preserve">Syari’ah </t>
  </si>
  <si>
    <t>4,20 dari 5,00</t>
  </si>
  <si>
    <t xml:space="preserve">Guru diniyah dan al quran 3 thn di Al Wildan </t>
  </si>
  <si>
    <t>0345963027</t>
  </si>
  <si>
    <t>1O4VcelY5NIYwAzYzzRqdviTXSB2CWm8jynah3joRxAM</t>
  </si>
  <si>
    <t>https://docs.google.com/document/d/1O4VcelY5NIYwAzYzzRqdviTXSB2CWm8jynah3joRxAM/edit?usp=drivesdk</t>
  </si>
  <si>
    <t>Document successfully created; Document successfully merged; Run via form trigger as kemal.stafsus@gmail.com; Timestamp: Jul 4 2020 1:06 AM</t>
  </si>
  <si>
    <t>https://drive.google.com/open?id=11fYn_WLU1tXd18idN_n7ThtewoItEVR-</t>
  </si>
  <si>
    <t>https://drive.google.com/uc?export=view&amp;id=11fYn_WLU1tXd18idN_n7ThtewoItEVR-</t>
  </si>
  <si>
    <t>Nurul Azizah, Lc, MH</t>
  </si>
  <si>
    <t>08561999206</t>
  </si>
  <si>
    <t>3173065204910003</t>
  </si>
  <si>
    <t>Jl. Semanan jaya I no. 10 semanan, kalideres, jakbar</t>
  </si>
  <si>
    <t>12-04-1991</t>
  </si>
  <si>
    <t>29 tahun</t>
  </si>
  <si>
    <t>Diantar Keluarga</t>
  </si>
  <si>
    <t>Arabic dan SKI</t>
  </si>
  <si>
    <t>Universitas Al Azhar Cairo</t>
  </si>
  <si>
    <t>Dirasat islamiyyah wal arabiyah</t>
  </si>
  <si>
    <t>3.25</t>
  </si>
  <si>
    <t>Institut Ilmu Al Quran Jakarta</t>
  </si>
  <si>
    <t>Hukum Ekonomi Syariah</t>
  </si>
  <si>
    <t>Dosen PTIQ fakultas ahwal syakhsiyah dan ekonomi syariah</t>
  </si>
  <si>
    <t>230.000 per-jam</t>
  </si>
  <si>
    <t>Lafazh Center</t>
  </si>
  <si>
    <t>Guru arabic al- wildan</t>
  </si>
  <si>
    <t>0751969752</t>
  </si>
  <si>
    <t>1K-UNYcL3mRAc743yXbdNtQ6GoshlVvKLh_xXMIdNdgk</t>
  </si>
  <si>
    <t>https://docs.google.com/document/d/1K-UNYcL3mRAc743yXbdNtQ6GoshlVvKLh_xXMIdNdgk/edit?usp=drivesdk</t>
  </si>
  <si>
    <t>https://drive.google.com/open?id=199Ie0EsboBJOBUQ7lDYFIGaxb8m2MpNL</t>
  </si>
  <si>
    <t>https://drive.google.com/uc?export=view&amp;id=199Ie0EsboBJOBUQ7lDYFIGaxb8m2MpNL</t>
  </si>
  <si>
    <t>Abdillah Bahannan, BA</t>
  </si>
  <si>
    <t>087878030502</t>
  </si>
  <si>
    <t>3511110310890003</t>
  </si>
  <si>
    <t>Jl. Imam Bonjol 13/03 No.59 Bondowoso Jawa Timur</t>
  </si>
  <si>
    <t>Bondowoso</t>
  </si>
  <si>
    <t>03-10-1989</t>
  </si>
  <si>
    <t>30 tahun 9 bulan</t>
  </si>
  <si>
    <t>Duda (Tanpa Anak)</t>
  </si>
  <si>
    <t>Akidah, Akhlak</t>
  </si>
  <si>
    <t xml:space="preserve">guru diniyah </t>
  </si>
  <si>
    <t>0429164587</t>
  </si>
  <si>
    <t>1B9svvASczwQBfyayu9lZPsejy1BVsJDaONa6GpxjZZA</t>
  </si>
  <si>
    <t>https://docs.google.com/document/d/1B9svvASczwQBfyayu9lZPsejy1BVsJDaONa6GpxjZZA/edit?usp=drivesdk</t>
  </si>
  <si>
    <t>Document successfully created; Document successfully merged; Run via form trigger as kemal.stafsus@gmail.com; Timestamp: Jul 4 2020 1:42 AM</t>
  </si>
  <si>
    <t>https://drive.google.com/open?id=19WC66zLSf-NwOjJWUMzl4dJrzlIg2GJa</t>
  </si>
  <si>
    <t>https://drive.google.com/uc?export=view&amp;id=19WC66zLSf-NwOjJWUMzl4dJrzlIg2GJa</t>
  </si>
  <si>
    <t>M. FAHRURROZI KHATOMI</t>
  </si>
  <si>
    <t>085287431337</t>
  </si>
  <si>
    <t>5203162102940004</t>
  </si>
  <si>
    <t>KELAPA DUA, GADING SERPONG TANGERANG</t>
  </si>
  <si>
    <t>GUNUNG SARI (LOMBOK BARAT - NTB)</t>
  </si>
  <si>
    <t>21-02-1994</t>
  </si>
  <si>
    <t>26 TAHUN 4 BULAN</t>
  </si>
  <si>
    <t>ARABIC, FIKIH, AKIDAH DAN AKHLAQ, SKI</t>
  </si>
  <si>
    <t>SYARIAH</t>
  </si>
  <si>
    <t>4.85 (Skala 5)</t>
  </si>
  <si>
    <t>GURU MAPEL</t>
  </si>
  <si>
    <t>4.500.OOO</t>
  </si>
  <si>
    <t>0429162342</t>
  </si>
  <si>
    <t>1Bznh-YSZbLy1KRmVJfCRQgxolq0715zgJO4-MBEwA2g</t>
  </si>
  <si>
    <t>https://docs.google.com/document/d/1Bznh-YSZbLy1KRmVJfCRQgxolq0715zgJO4-MBEwA2g/edit?usp=drivesdk</t>
  </si>
  <si>
    <t>Document successfully created; Document successfully merged; Run via form trigger as kemal.stafsus@gmail.com; Timestamp: Jul 4 2020 1:56 AM</t>
  </si>
  <si>
    <t>https://drive.google.com/open?id=1zf4jmRII-78g1kBGVF3sBb_YVX3n2ydi</t>
  </si>
  <si>
    <t>https://drive.google.com/uc?export=view&amp;id=1zf4jmRII-78g1kBGVF3sBb_YVX3n2ydi</t>
  </si>
  <si>
    <t>ANGGI RIVANA</t>
  </si>
  <si>
    <t>087808040003</t>
  </si>
  <si>
    <t>3671090905850006</t>
  </si>
  <si>
    <t>JL.ALAM INDAH V BLOK B2L7 PERUMAHAN MEDANG LESTARI KAB.TANGERANG</t>
  </si>
  <si>
    <t xml:space="preserve">JAKARTA </t>
  </si>
  <si>
    <t>09 - 05 - 1985</t>
  </si>
  <si>
    <t xml:space="preserve">SEKOLAH TINGGI AGAMA ISLAM ASY-SYUKRIYYAH  TANGERANG </t>
  </si>
  <si>
    <t xml:space="preserve">PENDIDIKAN AGAMA ISLAM </t>
  </si>
  <si>
    <t>3.37</t>
  </si>
  <si>
    <t>PTIQ JAKARTA</t>
  </si>
  <si>
    <t>MENAGEMEN PENDIDIKAN ISLAM</t>
  </si>
  <si>
    <t>INSYALLAH</t>
  </si>
  <si>
    <t xml:space="preserve">INSYALLAH </t>
  </si>
  <si>
    <t>DOSEN STAIS ASYUKRIYYAH KOTA TANGERANG</t>
  </si>
  <si>
    <t>5.000.000 - 6.000.000</t>
  </si>
  <si>
    <t>BNI SYARIAH &amp; BSM</t>
  </si>
  <si>
    <t>1qzCBlTm1XmCExG24JuEZocy9WqVcrSwM4rT-D-PvqqE</t>
  </si>
  <si>
    <t>https://docs.google.com/document/d/1qzCBlTm1XmCExG24JuEZocy9WqVcrSwM4rT-D-PvqqE/edit?usp=drivesdk</t>
  </si>
  <si>
    <t>Document successfully created; Document successfully merged; Run via form trigger as kemal.stafsus@gmail.com; Timestamp: Jul 4 2020 2:05 AM</t>
  </si>
  <si>
    <t>https://drive.google.com/open?id=1qV9eYUEPlUO5P2YcLglFFyzaRKe09Nhc</t>
  </si>
  <si>
    <t>https://drive.google.com/uc?export=view&amp;id=1qV9eYUEPlUO5P2YcLglFFyzaRKe09Nhc</t>
  </si>
  <si>
    <t>Idi Darma, S.Pd., M.M.</t>
  </si>
  <si>
    <t>081370861684</t>
  </si>
  <si>
    <t>3275010806810044</t>
  </si>
  <si>
    <t>Jl. Layar IVA No. 23 Kelapa Dua Tangerang</t>
  </si>
  <si>
    <t>Samuda, Sampit</t>
  </si>
  <si>
    <t>08061984</t>
  </si>
  <si>
    <t>36 tahun 1bulan</t>
  </si>
  <si>
    <t>Univ. Muhammadiyah Makassar</t>
  </si>
  <si>
    <t>Bahasa dan Sastra Indonesia</t>
  </si>
  <si>
    <t>Univ. Islam Malang</t>
  </si>
  <si>
    <t>3.45</t>
  </si>
  <si>
    <t>Guru Mapel</t>
  </si>
  <si>
    <t>0584577561</t>
  </si>
  <si>
    <t>1s1UXneVniuzkr_lSxP7P4PxLw-liJcXEw9GC2AwEWFs</t>
  </si>
  <si>
    <t>https://docs.google.com/document/d/1s1UXneVniuzkr_lSxP7P4PxLw-liJcXEw9GC2AwEWFs/edit?usp=drivesdk</t>
  </si>
  <si>
    <t>Document successfully created; Document successfully merged; Run via form trigger as kemal.stafsus@gmail.com; Timestamp: Jul 4 2020 2:10 AM</t>
  </si>
  <si>
    <t>https://drive.google.com/open?id=13mQ4EqtQUfU-cFXJ_TFjaq6oExCO_09E</t>
  </si>
  <si>
    <t>https://drive.google.com/uc?export=view&amp;id=13mQ4EqtQUfU-cFXJ_TFjaq6oExCO_09E</t>
  </si>
  <si>
    <t>Insan Cendekia Madani (ICM) - BSD</t>
  </si>
  <si>
    <t>Al-Wildan Islamic School</t>
  </si>
  <si>
    <t>1KLQ1gChFOt9yGqg9rhlg3cKim4kkWyezvsuOphdDV88</t>
  </si>
  <si>
    <t>https://docs.google.com/document/d/1KLQ1gChFOt9yGqg9rhlg3cKim4kkWyezvsuOphdDV88/edit?usp=drivesdk</t>
  </si>
  <si>
    <t>https://drive.google.com/open?id=1f9n_PCmF-KK5HLD9epC2GPi-GSUwYqnJ</t>
  </si>
  <si>
    <t>https://drive.google.com/uc?export=view&amp;id=1f9n_PCmF-KK5HLD9epC2GPi-GSUwYqnJ</t>
  </si>
  <si>
    <t>Marliza, S.T.</t>
  </si>
  <si>
    <t>0811972203</t>
  </si>
  <si>
    <t>3174086203820001</t>
  </si>
  <si>
    <t>Jalan layar 2b no 16</t>
  </si>
  <si>
    <t>22 03 1982</t>
  </si>
  <si>
    <t>38 tahun 4bulan</t>
  </si>
  <si>
    <t>Math English Science</t>
  </si>
  <si>
    <t>PTN S1 Universitas Indonesia</t>
  </si>
  <si>
    <t>Teknik Industri</t>
  </si>
  <si>
    <t>3.18</t>
  </si>
  <si>
    <t xml:space="preserve">QEHS engineer </t>
  </si>
  <si>
    <t>Guru TK (Kuala Lumpur)</t>
  </si>
  <si>
    <t>Guru math eng science</t>
  </si>
  <si>
    <t>0621137349</t>
  </si>
  <si>
    <t>1Dxx89MPh2zfEVyno2N_whGkj9Rh3qJjGhpNLQD2KV0E</t>
  </si>
  <si>
    <t>https://docs.google.com/document/d/1Dxx89MPh2zfEVyno2N_whGkj9Rh3qJjGhpNLQD2KV0E/edit?usp=drivesdk</t>
  </si>
  <si>
    <t>Document successfully created; Document successfully merged; Run via form trigger as kemal.stafsus@gmail.com; Timestamp: Jul 4 2020 2:11 AM</t>
  </si>
  <si>
    <t>https://drive.google.com/open?id=1JxlOHvJ_CsYcvUSFxC0G-pJ1SsM6GNVE</t>
  </si>
  <si>
    <t>https://drive.google.com/uc?export=view&amp;id=1JxlOHvJ_CsYcvUSFxC0G-pJ1SsM6GNVE</t>
  </si>
  <si>
    <t>Husni Mubarok</t>
  </si>
  <si>
    <t>081297933334</t>
  </si>
  <si>
    <t>Jl. Aria wangsakara no 13 rt/rw 01/01 kp lengkong kiai desa lengkong kulon kec pagedangan kab tangerang</t>
  </si>
  <si>
    <t>Bima</t>
  </si>
  <si>
    <t>01 Januari 1992</t>
  </si>
  <si>
    <t>28th</t>
  </si>
  <si>
    <t>Al-Qur'an dan PAI</t>
  </si>
  <si>
    <t>D3 Mais Cilacap</t>
  </si>
  <si>
    <t>اللغة العربية والعلوم الشرعية</t>
  </si>
  <si>
    <t>Mengabdi di yayasan al sofwa jakarta pada divisi dakwah dan sosial</t>
  </si>
  <si>
    <t>Admin stokis di PT Setya Kuliner Mandiri</t>
  </si>
  <si>
    <t>Presdir langsung menyebutkan nominal gaji 4jt, dan sekarang ana mengajukan 5jt</t>
  </si>
  <si>
    <t>0230308513</t>
  </si>
  <si>
    <t>BNI SYARIAH CAB BOGOR</t>
  </si>
  <si>
    <t>1wss0mkS9gYm04PbSyuCimu3QP-E-tQliGrcGSDm8ME8</t>
  </si>
  <si>
    <t>https://docs.google.com/document/d/1wss0mkS9gYm04PbSyuCimu3QP-E-tQliGrcGSDm8ME8/edit?usp=drivesdk</t>
  </si>
  <si>
    <t>Document successfully created; Document successfully merged; Run via form trigger as kemal.stafsus@gmail.com; Timestamp: Jul 4 2020 2:12 AM</t>
  </si>
  <si>
    <t>https://drive.google.com/open?id=1fNdyITWFvim4y3bOE50nInFdOn6DnCX0</t>
  </si>
  <si>
    <t>https://drive.google.com/uc?export=view&amp;id=1fNdyITWFvim4y3bOE50nInFdOn6DnCX0</t>
  </si>
  <si>
    <t>Dinar Pusparini, S. Pd. I</t>
  </si>
  <si>
    <t>081387946795</t>
  </si>
  <si>
    <t>3603285308850003</t>
  </si>
  <si>
    <t>Jalan Layar 1 no 27</t>
  </si>
  <si>
    <t>13-08-1985</t>
  </si>
  <si>
    <t>34 tahun 10 bulan</t>
  </si>
  <si>
    <t>Alquran, Arabic</t>
  </si>
  <si>
    <t>Universitas Muhammadiyah Tangerang</t>
  </si>
  <si>
    <t>PGSD</t>
  </si>
  <si>
    <t>3.23</t>
  </si>
  <si>
    <t>Management Pendidikan Agama Islam</t>
  </si>
  <si>
    <t>Sedang Berjalan</t>
  </si>
  <si>
    <t>SDIT AlFityan Tangerang</t>
  </si>
  <si>
    <t>SD Nurul Islam</t>
  </si>
  <si>
    <t xml:space="preserve">SD Alwildan Islamic School </t>
  </si>
  <si>
    <t>0464922427</t>
  </si>
  <si>
    <t>1c7nH-j3w3lirVMZ6EX8fKCFayAiebw8oWze89xYnvaA</t>
  </si>
  <si>
    <t>https://docs.google.com/document/d/1c7nH-j3w3lirVMZ6EX8fKCFayAiebw8oWze89xYnvaA/edit?usp=drivesdk</t>
  </si>
  <si>
    <t>Document successfully created; Document successfully merged; Run via form trigger as kemal.stafsus@gmail.com; Timestamp: Jul 4 2020 2:16 AM</t>
  </si>
  <si>
    <t>https://drive.google.com/open?id=1a7kHf3enQipELkjIMt67AsLdkbU9tSP3</t>
  </si>
  <si>
    <t>https://drive.google.com/uc?export=view&amp;id=1a7kHf3enQipELkjIMt67AsLdkbU9tSP3</t>
  </si>
  <si>
    <t>Riska Dian Pratiwi, M.Pd.</t>
  </si>
  <si>
    <t>085288333850</t>
  </si>
  <si>
    <t>3209034106920014</t>
  </si>
  <si>
    <t>Jl. Bidar 1 no 7 Gading Serpong, Kec. Kelapa Dua Kab. Tangerang</t>
  </si>
  <si>
    <t>01 Juni 1992</t>
  </si>
  <si>
    <t>28 tahun 1 bulan</t>
  </si>
  <si>
    <t>Biology</t>
  </si>
  <si>
    <t>IAIN Syekh Nurjati Cirebon</t>
  </si>
  <si>
    <t>Pendidikan Biologi</t>
  </si>
  <si>
    <t>3.19</t>
  </si>
  <si>
    <t>Insan Cendekia Madani (2013 - 2019)</t>
  </si>
  <si>
    <t>0835844718</t>
  </si>
  <si>
    <t>BNI syariah</t>
  </si>
  <si>
    <t>1eW5knXYxrHbiOI1jeUWxDNVq6kFSosKWgRdLs5lvW_0</t>
  </si>
  <si>
    <t>https://docs.google.com/document/d/1eW5knXYxrHbiOI1jeUWxDNVq6kFSosKWgRdLs5lvW_0/edit?usp=drivesdk</t>
  </si>
  <si>
    <t>Document successfully created; Document successfully merged; Run via form trigger as kemal.stafsus@gmail.com; Timestamp: Jul 4 2020 3:08 AM</t>
  </si>
  <si>
    <t>https://drive.google.com/open?id=1QwlBKbJQ1P36wL7DO675yJk5EZSrtPhh</t>
  </si>
  <si>
    <t>https://drive.google.com/uc?export=view&amp;id=1QwlBKbJQ1P36wL7DO675yJk5EZSrtPhh</t>
  </si>
  <si>
    <t>Afra Nayla</t>
  </si>
  <si>
    <t>085727156390</t>
  </si>
  <si>
    <t>3301145601990002</t>
  </si>
  <si>
    <t>Jl. Bidar 2 no. 7, Kelapa Dua, Tangerang</t>
  </si>
  <si>
    <t>Cilacap</t>
  </si>
  <si>
    <t>16-01-1999</t>
  </si>
  <si>
    <t>21 tahun 6 bulan</t>
  </si>
  <si>
    <t>Al qur'an</t>
  </si>
  <si>
    <t>Belum</t>
  </si>
  <si>
    <t>0838103561</t>
  </si>
  <si>
    <t>1AKKeKwYZ7s2QG4Y0XxShPilfQdB4Zm-AQBskSqhqa1s</t>
  </si>
  <si>
    <t>https://docs.google.com/document/d/1AKKeKwYZ7s2QG4Y0XxShPilfQdB4Zm-AQBskSqhqa1s/edit?usp=drivesdk</t>
  </si>
  <si>
    <t>Document successfully created; Document successfully merged; Run via form trigger as kemal.stafsus@gmail.com; Timestamp: Jul 4 2020 3:32 AM</t>
  </si>
  <si>
    <t>https://drive.google.com/open?id=1v9FwqX8caAQyGR0YohTDLD5UrELAhsKn</t>
  </si>
  <si>
    <t>https://drive.google.com/uc?export=view&amp;id=1v9FwqX8caAQyGR0YohTDLD5UrELAhsKn</t>
  </si>
  <si>
    <t>Muhammad Ibadurrohman, Lc.</t>
  </si>
  <si>
    <t>083837146434</t>
  </si>
  <si>
    <t>3376021003940001</t>
  </si>
  <si>
    <t xml:space="preserve">Jl. Ciater Raya </t>
  </si>
  <si>
    <t>Tegal</t>
  </si>
  <si>
    <t>10-03-1994</t>
  </si>
  <si>
    <t>26 tahun 3 bulan</t>
  </si>
  <si>
    <t>Arabic dan Diniyyah</t>
  </si>
  <si>
    <t>LIPIA Jakarta</t>
  </si>
  <si>
    <t>3.77</t>
  </si>
  <si>
    <t>Guru Al-Wildan Islamic School 3 BSD</t>
  </si>
  <si>
    <t>0429164009</t>
  </si>
  <si>
    <t>1IfZqwDs19jPPfdUmZjo5cSBr3Mnmvwb_wmVNRGZG7DY</t>
  </si>
  <si>
    <t>https://docs.google.com/document/d/1IfZqwDs19jPPfdUmZjo5cSBr3Mnmvwb_wmVNRGZG7DY/edit?usp=drivesdk</t>
  </si>
  <si>
    <t>Document successfully created; Document successfully merged; Run via form trigger as kemal.stafsus@gmail.com; Timestamp: Jul 4 2020 3:39 AM</t>
  </si>
  <si>
    <t>https://drive.google.com/open?id=1_jTAG-Qjk18iggZXt-88wuRaHmjUhOkH</t>
  </si>
  <si>
    <t>https://drive.google.com/uc?export=view&amp;id=1_jTAG-Qjk18iggZXt-88wuRaHmjUhOkH</t>
  </si>
  <si>
    <t>Uswatun Khasanah</t>
  </si>
  <si>
    <t>081281657370</t>
  </si>
  <si>
    <t>3671075310920004</t>
  </si>
  <si>
    <t>13-10-1992</t>
  </si>
  <si>
    <t>28 Tahun 9 Bulan</t>
  </si>
  <si>
    <t>Universitas Islam Negeri Jakarta</t>
  </si>
  <si>
    <t>Pendidikan Bahsa Inggris</t>
  </si>
  <si>
    <t xml:space="preserve">Kharisma Bangsa School </t>
  </si>
  <si>
    <t>Sekolah Tinggi Ilmu Ekonomi Ahmad Dahlan</t>
  </si>
  <si>
    <t>Variatif</t>
  </si>
  <si>
    <t>Madrasah Pembangunan UIN incorporate with IEC</t>
  </si>
  <si>
    <t>0737597258</t>
  </si>
  <si>
    <t>1jm9BXaJxOcUsXXoz1edURuFk0Y3B6oXN5g4P8StthxQ</t>
  </si>
  <si>
    <t>https://docs.google.com/document/d/1jm9BXaJxOcUsXXoz1edURuFk0Y3B6oXN5g4P8StthxQ/edit?usp=drivesdk</t>
  </si>
  <si>
    <t>Document successfully created; Document successfully merged; Run via form trigger as kemal.stafsus@gmail.com; Timestamp: Jul 4 2020 4:00 AM</t>
  </si>
  <si>
    <t>https://drive.google.com/open?id=1_MQaM4U-jl0Do26xJs8Ukc8VcjonQn80</t>
  </si>
  <si>
    <t>https://drive.google.com/uc?export=view&amp;id=1_MQaM4U-jl0Do26xJs8Ukc8VcjonQn80</t>
  </si>
  <si>
    <t>Riska Amelia, M.Si</t>
  </si>
  <si>
    <t>08129893296</t>
  </si>
  <si>
    <t>3671096603870001</t>
  </si>
  <si>
    <t>Jl. Pelabuhan Ratu 3 No.12, RT.8/RW.15, Kelurahan Cibodas Baru, Kecamatan Cibodas, Perumnas dua Karawaci Kota Tangerang, Banten 15138</t>
  </si>
  <si>
    <t>26-03-1987</t>
  </si>
  <si>
    <t xml:space="preserve">33 tahun 3 bulan </t>
  </si>
  <si>
    <t>Wakil Kepala Sekolah, Guru Bimbingan Konseling</t>
  </si>
  <si>
    <t>Bimbingan Konseling (SMP-SMA), English, Phonics, Life Skills, Math, Reading (Kindergarten)</t>
  </si>
  <si>
    <t>Universitas Negeri Jakarta (UNJ)</t>
  </si>
  <si>
    <t>Psikologi</t>
  </si>
  <si>
    <t>UIN Jakarta</t>
  </si>
  <si>
    <t>Sains Psikologi Pendidikan</t>
  </si>
  <si>
    <t>3.44</t>
  </si>
  <si>
    <t>Insan Cendekia Madani (SMP-SMA)</t>
  </si>
  <si>
    <t>4.000.000 dan rumah tinggal</t>
  </si>
  <si>
    <t>Madrasah Aliyah (MA) Pembangunan UIN Jakarta</t>
  </si>
  <si>
    <t>Sinar Cendekia (SD dan STKIP)</t>
  </si>
  <si>
    <t>7.000.000 (termasuk tunjangan jabatan Character Building Coordinator)</t>
  </si>
  <si>
    <t>7.000.000 - 8.000.000</t>
  </si>
  <si>
    <t>0202712894</t>
  </si>
  <si>
    <t>BNI TAPLUS
BNI KCP UI DEPOK
RISKA AMELIA
0202712894</t>
  </si>
  <si>
    <t>1lbKFLAVr4ZMRH7iDQPx8TnI_ObGAulUfGrt_tA5Po4s</t>
  </si>
  <si>
    <t>https://docs.google.com/document/d/1lbKFLAVr4ZMRH7iDQPx8TnI_ObGAulUfGrt_tA5Po4s/edit?usp=drivesdk</t>
  </si>
  <si>
    <t>Document successfully created; Document successfully merged; Run via form trigger as kemal.stafsus@gmail.com; Timestamp: Jul 4 2020 4:46 AM</t>
  </si>
  <si>
    <t>https://drive.google.com/open?id=1W8NtczfMvrAJsTfMc0fsWccIptRuVHmA</t>
  </si>
  <si>
    <t>https://drive.google.com/uc?export=view&amp;id=1W8NtczfMvrAJsTfMc0fsWccIptRuVHmA</t>
  </si>
  <si>
    <t>Eko Tri Budi Raharjo Ph.D</t>
  </si>
  <si>
    <t>082324640209</t>
  </si>
  <si>
    <t>7210141411870001</t>
  </si>
  <si>
    <t>Jl. Layar II No 22, Kelapa Dua, Tangerang</t>
  </si>
  <si>
    <t>Kendari</t>
  </si>
  <si>
    <t>14-11-1987</t>
  </si>
  <si>
    <t>32 Tahun 8 Bulan</t>
  </si>
  <si>
    <t>Aqidah, Akhlaq, Fiqih, Arabic</t>
  </si>
  <si>
    <t>International University of Africa</t>
  </si>
  <si>
    <t>Islamic Studies</t>
  </si>
  <si>
    <t>3.00</t>
  </si>
  <si>
    <t>Univrsity of The Holy Qur'an and Islamic Sciences</t>
  </si>
  <si>
    <t>Aqidah</t>
  </si>
  <si>
    <t>3.55</t>
  </si>
  <si>
    <t>University of The Holy Qur'an and Taseel of Sciences</t>
  </si>
  <si>
    <t>0310549980</t>
  </si>
  <si>
    <t>1dScuRo631_GiVEAumN59dfG3rU0Ln2YOx8u9MjZA3nQ</t>
  </si>
  <si>
    <t>https://docs.google.com/document/d/1dScuRo631_GiVEAumN59dfG3rU0Ln2YOx8u9MjZA3nQ/edit?usp=drivesdk</t>
  </si>
  <si>
    <t>Document successfully created; Document successfully merged; Run via form trigger as kemal.stafsus@gmail.com; Timestamp: Jul 4 2020 6:38 AM</t>
  </si>
  <si>
    <t>https://drive.google.com/open?id=187VZtHR4j2S-1B4ddSQ0yjR9kV2u5lvA</t>
  </si>
  <si>
    <t>https://drive.google.com/uc?export=view&amp;id=187VZtHR4j2S-1B4ddSQ0yjR9kV2u5lvA</t>
  </si>
  <si>
    <t>Dadang Suherman lc</t>
  </si>
  <si>
    <t>085217753667</t>
  </si>
  <si>
    <t>3276023105830008</t>
  </si>
  <si>
    <t>Desa batu nunggul kecamatan rajeg kabupaten Tangerang</t>
  </si>
  <si>
    <t>31 Mei 1983</t>
  </si>
  <si>
    <t>37 tahun 2 bulan</t>
  </si>
  <si>
    <t>Al-Qur'an, Arabic,Ski</t>
  </si>
  <si>
    <t>SYARI'AH</t>
  </si>
  <si>
    <t>Imam masjid Telkom Gambir dan guru SMAIT Raflesia</t>
  </si>
  <si>
    <t>0798799933</t>
  </si>
  <si>
    <t>1WE2uL7xnyOycvXYGZ4cMRTP65nHnUbpbHdIFRqiMaWs</t>
  </si>
  <si>
    <t>https://docs.google.com/document/d/1WE2uL7xnyOycvXYGZ4cMRTP65nHnUbpbHdIFRqiMaWs/edit?usp=drivesdk</t>
  </si>
  <si>
    <t>Document successfully created; Document successfully merged; Run via form trigger as kemal.stafsus@gmail.com; Timestamp: Jul 4 2020 6:55 AM</t>
  </si>
  <si>
    <t>https://drive.google.com/open?id=1MJhCLNfhBjVue8mQ9nn3Ihz3wpl9Ykhy</t>
  </si>
  <si>
    <t>https://drive.google.com/uc?export=view&amp;id=1MJhCLNfhBjVue8mQ9nn3Ihz3wpl9Ykhy</t>
  </si>
  <si>
    <t>Sahid Abdullah</t>
  </si>
  <si>
    <t>081906323007</t>
  </si>
  <si>
    <t>3604250902870002</t>
  </si>
  <si>
    <t>Jl Kano Raya no.78 Kelapa Dua Tangerang</t>
  </si>
  <si>
    <t>09-02-1987</t>
  </si>
  <si>
    <t>On Process (UIN Syarif Hidayatullah Jakarta)</t>
  </si>
  <si>
    <t>Head Subject Of Tahfizh</t>
  </si>
  <si>
    <t>Guru Al Quran, Arabic &amp; Agama</t>
  </si>
  <si>
    <t>Wakil Kepala Sekolah (Kurikulum)</t>
  </si>
  <si>
    <t>Ikut Presdir</t>
  </si>
  <si>
    <t>0726629332</t>
  </si>
  <si>
    <t>1ZT2IR0Ep8hEjTPhKmXCn2amhKL2HJN-ukjYZXOU9zBg</t>
  </si>
  <si>
    <t>https://docs.google.com/document/d/1ZT2IR0Ep8hEjTPhKmXCn2amhKL2HJN-ukjYZXOU9zBg/edit?usp=drivesdk</t>
  </si>
  <si>
    <t>Document successfully created; Document successfully merged; Run via form trigger as kemal.stafsus@gmail.com; Timestamp: Jul 4 2020 7:42 AM</t>
  </si>
  <si>
    <t>https://drive.google.com/open?id=1zDO307HB2zN80lSm06czdMoHLD5CYrzw</t>
  </si>
  <si>
    <t>https://drive.google.com/uc?export=view&amp;id=1zDO307HB2zN80lSm06czdMoHLD5CYrzw</t>
  </si>
  <si>
    <t>BAYU TRI HASTUTI, S.S, M.M</t>
  </si>
  <si>
    <t>081286111304</t>
  </si>
  <si>
    <t>3671015111710007</t>
  </si>
  <si>
    <t>BUMI MAS RAYA BLOK B7 NO 11 CIKOKOL, TANGERANG</t>
  </si>
  <si>
    <t>PADANG PANJANG</t>
  </si>
  <si>
    <t>11-11-1971</t>
  </si>
  <si>
    <t>48 TAHUN, 9 BULAN</t>
  </si>
  <si>
    <t>ENGLISH</t>
  </si>
  <si>
    <t>SEKOLAH TINGGI BAHASA ASING YAPARI-ABA BANDUNG</t>
  </si>
  <si>
    <t>BAHASA INGGRIS</t>
  </si>
  <si>
    <t>UNIVERSITAS TRISAKTI</t>
  </si>
  <si>
    <t>MANAJEMEN SUMBER DAYA MANUSIA</t>
  </si>
  <si>
    <t>LAW OFFICE IN TANGERANG</t>
  </si>
  <si>
    <t>UNIVERSITAS MERCU BUANA; UNIVERSITAS TRISAKTI; UNIVERSITAS SYECH YUSUF TANGERANG, LBPP LIA TANGERANG</t>
  </si>
  <si>
    <t>0725865235</t>
  </si>
  <si>
    <t>1u7GZsdNQsWXHJSndTwIigE7l7wOTPKlk7mOntM82lgc</t>
  </si>
  <si>
    <t>https://docs.google.com/document/d/1u7GZsdNQsWXHJSndTwIigE7l7wOTPKlk7mOntM82lgc/edit?usp=drivesdk</t>
  </si>
  <si>
    <t>Document successfully created; Document successfully merged; Run via form trigger as kemal.stafsus@gmail.com; Timestamp: Jul 4 2020 8:02 AM</t>
  </si>
  <si>
    <t>https://drive.google.com/open?id=1Olrx4S0Ehl2Bc6TQK9o-3ygmJIbxzjnI</t>
  </si>
  <si>
    <t>https://drive.google.com/uc?export=view&amp;id=1Olrx4S0Ehl2Bc6TQK9o-3ygmJIbxzjnI</t>
  </si>
  <si>
    <t>umar nur, lc</t>
  </si>
  <si>
    <t>08114231789</t>
  </si>
  <si>
    <t>7308221103800001</t>
  </si>
  <si>
    <t>jl. kalipaten, pakulonan barat, kelapa dua</t>
  </si>
  <si>
    <t>bone</t>
  </si>
  <si>
    <t>11-03-1980</t>
  </si>
  <si>
    <t>40 tahun 3 bulan</t>
  </si>
  <si>
    <t>Alquran dan Arabic</t>
  </si>
  <si>
    <t>al-azhar</t>
  </si>
  <si>
    <t>syariah</t>
  </si>
  <si>
    <t>SD syafana</t>
  </si>
  <si>
    <t>SD athirah</t>
  </si>
  <si>
    <t>SMP-SMA immim</t>
  </si>
  <si>
    <t>0693149032</t>
  </si>
  <si>
    <t>1Loq9ADq7Oa7ANkhYEs5nwOobGIZbmlQ_Cx5MBvpKf3w</t>
  </si>
  <si>
    <t>https://docs.google.com/document/d/1Loq9ADq7Oa7ANkhYEs5nwOobGIZbmlQ_Cx5MBvpKf3w/edit?usp=drivesdk</t>
  </si>
  <si>
    <t>Document successfully created; Document successfully merged; Run via form trigger as kemal.stafsus@gmail.com; Timestamp: Jul 4 2020 9:36 AM</t>
  </si>
  <si>
    <t>https://drive.google.com/open?id=1KrSUDCQVmlFsnTJVrnARA3wSwoz7hhYc</t>
  </si>
  <si>
    <t>https://drive.google.com/uc?export=view&amp;id=1KrSUDCQVmlFsnTJVrnARA3wSwoz7hhYc</t>
  </si>
  <si>
    <t>Alfian Nurdin</t>
  </si>
  <si>
    <t>085294811548</t>
  </si>
  <si>
    <t>3203052810970004</t>
  </si>
  <si>
    <t>Jl. Ciater Raya No.48, Rw. Mekar Jaya, Kec. Serpong, Kota Tangerang Selatan, Banten 15310 (Al Wildan Islamic School 3 BSD )</t>
  </si>
  <si>
    <t>28-10-1997</t>
  </si>
  <si>
    <t>22 Tahun 8 Bulan</t>
  </si>
  <si>
    <t>Guru Mata Pelajaran, Musyrif</t>
  </si>
  <si>
    <t>Sedang menempuh di ITBA</t>
  </si>
  <si>
    <t>1 Tahun Mengajar di Al WIldan Islamic School 3 BSD</t>
  </si>
  <si>
    <t>0857460509</t>
  </si>
  <si>
    <t>1cLUGPcBNm6Gdq59C1NqzrD5jsVpoAvjFCITI4MQxUVw</t>
  </si>
  <si>
    <t>https://docs.google.com/document/d/1cLUGPcBNm6Gdq59C1NqzrD5jsVpoAvjFCITI4MQxUVw/edit?usp=drivesdk</t>
  </si>
  <si>
    <t>Document successfully created; Invalid image URL [https://drive.google.com/uc?export=view&amp;id=1KrSUDCQVmlFsnTJVrnARA3wSwoz7hhYc], make sure that it is public; Document successfully merged; Run via form trigger as kemal.stafsus@gmail.com; Timestamp: Jul 4 2020 10:31 AM</t>
  </si>
  <si>
    <t>https://drive.google.com/open?id=1zayilDBm2QIkgBdYk9fUvNVS0T5WLAsm</t>
  </si>
  <si>
    <t>https://drive.google.com/uc?export=view&amp;id=1zayilDBm2QIkgBdYk9fUvNVS0T5WLAsm</t>
  </si>
  <si>
    <t>Firdaus</t>
  </si>
  <si>
    <t>08599957643</t>
  </si>
  <si>
    <t>7307030402990001</t>
  </si>
  <si>
    <t>Jl. Ciater Raya No.48, Rw. Mekar Jaya, Kec. Serpong, Kota Tangerang Selatan, Banten 15310</t>
  </si>
  <si>
    <t>Sinjai</t>
  </si>
  <si>
    <t>04-02-1999</t>
  </si>
  <si>
    <t>21 tahun 4 bulan</t>
  </si>
  <si>
    <t>Sedang Menempuh di ITBA</t>
  </si>
  <si>
    <t>Musyrif dan Oprator Sekolah di Jakarta</t>
  </si>
  <si>
    <t>Musyrif dan Guru Al Qur'an</t>
  </si>
  <si>
    <t>0557472220</t>
  </si>
  <si>
    <t>1zUeMMlJTVZrHH8q9Pf_EtV4yMfTzjhKFQg0mmWFacgs</t>
  </si>
  <si>
    <t>https://docs.google.com/document/d/1zUeMMlJTVZrHH8q9Pf_EtV4yMfTzjhKFQg0mmWFacgs/edit?usp=drivesdk</t>
  </si>
  <si>
    <t>Document successfully created; Document successfully merged; Run via form trigger as kemal.stafsus@gmail.com; Timestamp: Jul 4 2020 10:34 AM</t>
  </si>
  <si>
    <t>https://drive.google.com/open?id=1PFQkMSv8qBYzpOUdz3EhwrjmMIopt14q</t>
  </si>
  <si>
    <t>https://drive.google.com/uc?export=view&amp;id=1PFQkMSv8qBYzpOUdz3EhwrjmMIopt14q</t>
  </si>
  <si>
    <t>Irma Yulriani A.Md</t>
  </si>
  <si>
    <t>085695299817</t>
  </si>
  <si>
    <t>3671014407690006</t>
  </si>
  <si>
    <t>Jln. Asri Indah 3 Blok A 1 / J 10. Perumahan Medang Lestari, Tangerang</t>
  </si>
  <si>
    <t>,4 Juli 1969</t>
  </si>
  <si>
    <t>51 tahun</t>
  </si>
  <si>
    <t>PG/TK</t>
  </si>
  <si>
    <t>IKIP Jakarta /  U N J</t>
  </si>
  <si>
    <t>Smith &amp; Nephew Healthcare Company</t>
  </si>
  <si>
    <t>PT. Pramita Mulia Mitrakarya</t>
  </si>
  <si>
    <t>Syafana Islamic School Gading Serpong</t>
  </si>
  <si>
    <t>0904424048</t>
  </si>
  <si>
    <t>11A3gHuLhP8SLgSmzN8WgPmIGQWaP8_iHZ_45AjLewGU</t>
  </si>
  <si>
    <t>https://docs.google.com/document/d/11A3gHuLhP8SLgSmzN8WgPmIGQWaP8_iHZ_45AjLewGU/edit?usp=drivesdk</t>
  </si>
  <si>
    <t>Document successfully created; Document successfully merged; Run via form trigger as kemal.stafsus@gmail.com; Timestamp: Jul 4 2020 12:27 PM</t>
  </si>
  <si>
    <t>https://drive.google.com/open?id=1U4AzE0JGgKz_D_ggd7vg9Mg_nAymKwYv</t>
  </si>
  <si>
    <t>https://drive.google.com/uc?export=view&amp;id=1U4AzE0JGgKz_D_ggd7vg9Mg_nAymKwYv</t>
  </si>
  <si>
    <t>Musa Syahrijal Munadi</t>
  </si>
  <si>
    <t>081310206516</t>
  </si>
  <si>
    <t>3272040307990021</t>
  </si>
  <si>
    <t>Kota Tangerang Selatan</t>
  </si>
  <si>
    <t>Sukabumi</t>
  </si>
  <si>
    <t>03 Juli 1999</t>
  </si>
  <si>
    <t>Masih dalam tahapan di ITBA</t>
  </si>
  <si>
    <t>Al Qur'an dalam tahapan di ITBA</t>
  </si>
  <si>
    <t>.</t>
  </si>
  <si>
    <t>pesantren internasional Al Andalus</t>
  </si>
  <si>
    <t>Al Wildan internasional Islamic school</t>
  </si>
  <si>
    <t>0857467924</t>
  </si>
  <si>
    <t>1LqhOpIBvGkNGIqxCeAJPi64srd-RByGiJXQoHBP3EQQ</t>
  </si>
  <si>
    <t>https://docs.google.com/document/d/1LqhOpIBvGkNGIqxCeAJPi64srd-RByGiJXQoHBP3EQQ/edit?usp=drivesdk</t>
  </si>
  <si>
    <t>Document successfully created; Document successfully merged; Run via form trigger as kemal.stafsus@gmail.com; Timestamp: Jul 5 2020 8:07 AM</t>
  </si>
  <si>
    <t>https://drive.google.com/open?id=1nobcChkq_C5fQOo_iGwlrxx_sRX0i-ie</t>
  </si>
  <si>
    <t>https://drive.google.com/uc?export=view&amp;id=1nobcChkq_C5fQOo_iGwlrxx_sRX0i-ie</t>
  </si>
  <si>
    <t>Ully amri jamhur</t>
  </si>
  <si>
    <t>081284845712</t>
  </si>
  <si>
    <t>Jalan merican raya no 5 perum 2</t>
  </si>
  <si>
    <t>12 september 1983</t>
  </si>
  <si>
    <t>36y 2m</t>
  </si>
  <si>
    <t>Janda (Single Parent)</t>
  </si>
  <si>
    <t>English for kinder</t>
  </si>
  <si>
    <t>Uni. Esa Unggul</t>
  </si>
  <si>
    <t>Ilmu komunikasi</t>
  </si>
  <si>
    <t>Secretary FO manager Aryaduta hotel lippo karawaci</t>
  </si>
  <si>
    <t>1,2jt</t>
  </si>
  <si>
    <t>Sales of Celebrity Fitbess PIM</t>
  </si>
  <si>
    <t>2,1jt</t>
  </si>
  <si>
    <t>Customers Service Sequislife pusat</t>
  </si>
  <si>
    <t>2,5jt</t>
  </si>
  <si>
    <t>0654058627</t>
  </si>
  <si>
    <t xml:space="preserve">BNI syariah </t>
  </si>
  <si>
    <t>1PlFdReoLHtny3Zp9DHF5dKZHe_ArjRlur3P2oAeOJF8</t>
  </si>
  <si>
    <t>https://docs.google.com/document/d/1PlFdReoLHtny3Zp9DHF5dKZHe_ArjRlur3P2oAeOJF8/edit?usp=drivesdk</t>
  </si>
  <si>
    <t>Document successfully created; Document successfully merged; Run via form trigger as kemal.stafsus@gmail.com; Timestamp: Jul 5 2020 10:44 AM</t>
  </si>
  <si>
    <t>https://drive.google.com/open?id=1sArePawBLKlip_ysZOx-QzoUlqksiRd-</t>
  </si>
  <si>
    <t>https://drive.google.com/uc?export=view&amp;id=1sArePawBLKlip_ysZOx-QzoUlqksiRd-</t>
  </si>
  <si>
    <t>Nur Fauziyah L.c</t>
  </si>
  <si>
    <t>3329065608870002</t>
  </si>
  <si>
    <t>Jl layar kelapa dua tangerang</t>
  </si>
  <si>
    <t>Brebes</t>
  </si>
  <si>
    <t>16-08-1987</t>
  </si>
  <si>
    <t>32 th 10 bln</t>
  </si>
  <si>
    <t>Diniyah, Bahasa Arab dan Al-Qur'an</t>
  </si>
  <si>
    <t>LIPIA jakarta</t>
  </si>
  <si>
    <t>Nuraida boarding School</t>
  </si>
  <si>
    <t>Al wildan Islamic school</t>
  </si>
  <si>
    <t>0429249075</t>
  </si>
  <si>
    <t>1t_nJzl_vO9UrJ6xpJwO5ZN8AfF_pEpZjS9AJfNXUnIs</t>
  </si>
  <si>
    <t>https://docs.google.com/document/d/1t_nJzl_vO9UrJ6xpJwO5ZN8AfF_pEpZjS9AJfNXUnIs/edit?usp=drivesdk</t>
  </si>
  <si>
    <t>Document successfully created; Document successfully merged; Run via form trigger as kemal.stafsus@gmail.com; Timestamp: Jul 5 2020 10:48 AM</t>
  </si>
  <si>
    <t>https://drive.google.com/open?id=1szhU50KNjDpw8c2NMsaelyci-p_zq2vW</t>
  </si>
  <si>
    <t>https://drive.google.com/uc?export=view&amp;id=1szhU50KNjDpw8c2NMsaelyci-p_zq2vW</t>
  </si>
  <si>
    <t xml:space="preserve">Aisah Isnaeni, S.Pd, M. Pd </t>
  </si>
  <si>
    <t>085966733445</t>
  </si>
  <si>
    <t>3601346210900001</t>
  </si>
  <si>
    <t>Jl. Suka mulya 1 no 70 rt 01/08 serua indah, ciputat</t>
  </si>
  <si>
    <t>Pandeglang</t>
  </si>
  <si>
    <t>22-10-1990</t>
  </si>
  <si>
    <t>29 tahun 8 bulan</t>
  </si>
  <si>
    <t>Biologi</t>
  </si>
  <si>
    <t xml:space="preserve">UIN Syarif hidayatullah Jakarta </t>
  </si>
  <si>
    <t xml:space="preserve">Pendidikan Biologi </t>
  </si>
  <si>
    <t xml:space="preserve">UPI- Bandung </t>
  </si>
  <si>
    <t>3.81</t>
  </si>
  <si>
    <t xml:space="preserve">Guru MTK dan Biologi SD-SMP di Maestro </t>
  </si>
  <si>
    <t xml:space="preserve">Staff dan guru Biologi SD-SMA di Primagama Tangcity </t>
  </si>
  <si>
    <t>Guru MTK dan IPA di Insan Cendikia Madani</t>
  </si>
  <si>
    <t xml:space="preserve">Kontribusi selama masa bakti tahun ajaran 2019/2020 di Al Wildan 3 BSD : (1) Keterbatasan ketiadaan laboratoium pembelajaran praktikum tetap dapat dilakukan baik di dalam kelas maupun luar kelas dengan menggunakan alat dan bahan sederhana pada jenjang SMP-SMA dengan tema praktikum yang telah dilakukan adalah uji hasil fotosintesis, dampak pencemaran lingkungan air terhadap orgme, pengaruh berbagai aktfivitas terhadap denyut nadi, uji kandungan makanan, uji urine, observasi fungsi gigi dan lidah dalam sistem pencernaan (2) membuat proyek media belajar sistem pernapasan (3) berdiskusi dengan tim IPA untuk membuat satu praktikum terintegrasi Biologi, fisika dan kimia dalam ujian praktikum kelas 9. Rencana yang akan saya lakukan untuk tahun ajaran 2020/2021 mendatang: (1) menganalisis dan menyederhanakan bahan ajar dikarena kelas 8-10-11 sudah menggunakan sumber belajar cambridge IGCSE sehingga dengan multilevel teaching menjadi lebih berat namun tetap di package dengan tepat sasaran (2) sudah mengajuan alat dan bahan sebagai investasi laboratorium di al wildan 3 BSD sehingga dapat digunakan semaksimal mungkin. Akan tetapi situasi pandemi ( home based learning) tetap harus merancang percobaan yang bisa dilakukan dirumah (3) membuat proyek model pembelajaran. Berdasarkan nilai inflasi mengacu pada data BI yang mengalami kenaikan pada setiap tahunnya dan berdasarkan uraian sebelumnya, maka gaji yang diajukan ke Al wildan sebesar 6.000.000.  </t>
  </si>
  <si>
    <t>0857628043</t>
  </si>
  <si>
    <t>1wPyTMv-b6LXBQC8vSzWFF46aopiHvVvdMM1ARu5qX1U</t>
  </si>
  <si>
    <t>https://docs.google.com/document/d/1wPyTMv-b6LXBQC8vSzWFF46aopiHvVvdMM1ARu5qX1U/edit?usp=drivesdk</t>
  </si>
  <si>
    <t>Document successfully created; Document successfully merged; Run via form trigger as kemal.stafsus@gmail.com; Timestamp: Jul 5 2020 11:10 AM</t>
  </si>
  <si>
    <t>https://drive.google.com/open?id=1ZXwCZ-JlEIsXVIvPpMbelTIRwleedsnr</t>
  </si>
  <si>
    <t>https://drive.google.com/uc?export=view&amp;id=1ZXwCZ-JlEIsXVIvPpMbelTIRwleedsnr</t>
  </si>
  <si>
    <t>Adipa  Firyal</t>
  </si>
  <si>
    <t>081210944902</t>
  </si>
  <si>
    <t>3201024911990002</t>
  </si>
  <si>
    <t>Jl bidar iii no. 12, klapa dua, kab. Tangerang</t>
  </si>
  <si>
    <t>09 - 11 - 1999</t>
  </si>
  <si>
    <t>20 tahun 7 bulan</t>
  </si>
  <si>
    <t>Al Quran markaz</t>
  </si>
  <si>
    <t>Pengabdian di unit SD (Bogor)</t>
  </si>
  <si>
    <t>Guru Al Quran &amp; diniyyah unit SD (Bogor)</t>
  </si>
  <si>
    <t>Guru Al Quran unit SMP-SMA Alwildan 1</t>
  </si>
  <si>
    <t>0584992340</t>
  </si>
  <si>
    <t>1FJPOZUEiKeq6xh24XSKHY4TdjcVk1zAB43o3Dnrsra8</t>
  </si>
  <si>
    <t>https://docs.google.com/document/d/1FJPOZUEiKeq6xh24XSKHY4TdjcVk1zAB43o3Dnrsra8/edit?usp=drivesdk</t>
  </si>
  <si>
    <t>Document successfully created; Document successfully merged; Run via form trigger as kemal.stafsus@gmail.com; Timestamp: Jul 5 2020 12:08 PM</t>
  </si>
  <si>
    <t>https://drive.google.com/open?id=1dTSorYbBp3YFvgUmh1VR1R3ClEMhLM5_</t>
  </si>
  <si>
    <t>https://drive.google.com/uc?export=view&amp;id=1dTSorYbBp3YFvgUmh1VR1R3ClEMhLM5_</t>
  </si>
  <si>
    <t>Vera Noviani</t>
  </si>
  <si>
    <t>085279751496</t>
  </si>
  <si>
    <t>1872034609980001</t>
  </si>
  <si>
    <t>Jl Bidar III No.12, Kelapa Dua, Kabupaten Tangerang</t>
  </si>
  <si>
    <t>Banyumas</t>
  </si>
  <si>
    <t>06091998</t>
  </si>
  <si>
    <t>Pengabdian Unit SD-SMP (Lampung)</t>
  </si>
  <si>
    <t>Al Wildan 1 Islamic School</t>
  </si>
  <si>
    <t>0899278745</t>
  </si>
  <si>
    <t>Bni Syariah</t>
  </si>
  <si>
    <t>1Z8tb-gUGuTXWb27chyP8JtsJFnE8ANQCdHRJtKDwrr0</t>
  </si>
  <si>
    <t>https://docs.google.com/document/d/1Z8tb-gUGuTXWb27chyP8JtsJFnE8ANQCdHRJtKDwrr0/edit?usp=drivesdk</t>
  </si>
  <si>
    <t>Document successfully created; Document successfully merged; Run via form trigger as kemal.stafsus@gmail.com; Timestamp: Jul 5 2020 12:29 PM</t>
  </si>
  <si>
    <t>https://drive.google.com/open?id=1hJ1NNvF4tx2adDP3r2q9NRIE2dluOsKL</t>
  </si>
  <si>
    <t>https://drive.google.com/uc?export=view&amp;id=1hJ1NNvF4tx2adDP3r2q9NRIE2dluOsKL</t>
  </si>
  <si>
    <t>Septi Amalia Nugroho</t>
  </si>
  <si>
    <t>082126383275</t>
  </si>
  <si>
    <t>1808125509980003</t>
  </si>
  <si>
    <t>Jl Bidar III no 12, Kelapa Dua, Gading Serpong, Tangerang Selatan</t>
  </si>
  <si>
    <t>Tanjung Balai Medan</t>
  </si>
  <si>
    <t>15-09-1998</t>
  </si>
  <si>
    <t>21 tahun 10 bulan</t>
  </si>
  <si>
    <t>Alqur'an</t>
  </si>
  <si>
    <t>Pengabdian SMA dan masyarakat ummahat (Al-Anshor Putri Lampung)</t>
  </si>
  <si>
    <t>Al-Wildan Islamic School 1</t>
  </si>
  <si>
    <t>0899289281</t>
  </si>
  <si>
    <t>1maOw8WGQ0-XBO-7DyRLi11rV5JLeV7DDigEIFtvWqfw</t>
  </si>
  <si>
    <t>https://docs.google.com/document/d/1maOw8WGQ0-XBO-7DyRLi11rV5JLeV7DDigEIFtvWqfw/edit?usp=drivesdk</t>
  </si>
  <si>
    <t>Document successfully created; Document successfully merged; Run via form trigger as kemal.stafsus@gmail.com; Timestamp: Jul 5 2020 12:30 PM</t>
  </si>
  <si>
    <t>https://drive.google.com/open?id=1aP48EeVE_KzqFEu8pqsqjnzgn3F36KNv</t>
  </si>
  <si>
    <t>https://drive.google.com/uc?export=view&amp;id=1aP48EeVE_KzqFEu8pqsqjnzgn3F36KNv</t>
  </si>
  <si>
    <t>Suseno Apriadi, M.Pd.</t>
  </si>
  <si>
    <t>085728100716</t>
  </si>
  <si>
    <t>3327070104870061</t>
  </si>
  <si>
    <t>Jl. Ciater Raya no 48. Rawa Mekar Jaya, Serpong, Tangsel</t>
  </si>
  <si>
    <t>Klaten</t>
  </si>
  <si>
    <t>1 April 1987</t>
  </si>
  <si>
    <t>33 Tahun 3 Bulan</t>
  </si>
  <si>
    <t>Universitas Muhammadiyah Surakarta</t>
  </si>
  <si>
    <t>Universitas Sebelas Maret Surakarta</t>
  </si>
  <si>
    <t>Mengajar di SMP SMA dan Universitas Yayasan Selamat Sri Kendal</t>
  </si>
  <si>
    <t>Mengajar Di Al wildan 3</t>
  </si>
  <si>
    <t>0841058034</t>
  </si>
  <si>
    <t>1JwQU6nwazaxgS6bEdn3gye9QuikHDUsX3If_fmh9fvk</t>
  </si>
  <si>
    <t>https://docs.google.com/document/d/1JwQU6nwazaxgS6bEdn3gye9QuikHDUsX3If_fmh9fvk/edit?usp=drivesdk</t>
  </si>
  <si>
    <t>Document successfully created; Document successfully merged; Run via form trigger as kemal.stafsus@gmail.com; Timestamp: Jul 5 2020 9:15 PM</t>
  </si>
  <si>
    <t>https://drive.google.com/open?id=118g-JTaEszjWthrtGVCo928qyPEqsjZ1</t>
  </si>
  <si>
    <t>https://drive.google.com/uc?export=view&amp;id=118g-JTaEszjWthrtGVCo928qyPEqsjZ1</t>
  </si>
  <si>
    <t>Mia Clarissa Dewi., SE., M.Si</t>
  </si>
  <si>
    <t>081314820913</t>
  </si>
  <si>
    <t>3579015304890002</t>
  </si>
  <si>
    <t>Cluster Villa Rizki Ilhami (VRI) Plus Blok A15 Kelurahan Bojong Nangka Kecamatan Kelapa Dua Kabupaten Tangerang</t>
  </si>
  <si>
    <t>Malang</t>
  </si>
  <si>
    <t>13-04-1989</t>
  </si>
  <si>
    <t>31 tahun 2 bulan</t>
  </si>
  <si>
    <t>IPA</t>
  </si>
  <si>
    <t>Institut Pertanian Bogor</t>
  </si>
  <si>
    <t>Ekonomi Sumberdaya dan Lingkungan</t>
  </si>
  <si>
    <t>3.78</t>
  </si>
  <si>
    <t>Primatologi</t>
  </si>
  <si>
    <t>3.90</t>
  </si>
  <si>
    <t>Peneliti Yayasan Orangutan Indonesia</t>
  </si>
  <si>
    <t>Guru SD Al Wildan Inslamic School</t>
  </si>
  <si>
    <t>1-jt55P32dKENrES7bSiDzeorQh0C-x2K06p2beIwTls</t>
  </si>
  <si>
    <t>https://docs.google.com/document/d/1-jt55P32dKENrES7bSiDzeorQh0C-x2K06p2beIwTls/edit?usp=drivesdk</t>
  </si>
  <si>
    <t>Document successfully created; Document successfully merged; Run via form trigger as kemal.stafsus@gmail.com; Timestamp: Jul 5 2020 10:15 PM</t>
  </si>
  <si>
    <t>https://drive.google.com/open?id=1qrLMgoqyBIJc61frqU5bmaa9fL5PfXEc</t>
  </si>
  <si>
    <t>https://drive.google.com/uc?export=view&amp;id=1qrLMgoqyBIJc61frqU5bmaa9fL5PfXEc</t>
  </si>
  <si>
    <t>irunawati, S. Pd</t>
  </si>
  <si>
    <t>081294963800</t>
  </si>
  <si>
    <t>3175054902760006</t>
  </si>
  <si>
    <t>jln. Layar II B no 15 rt 7 rw 7 perum kelapa dua Tangerang</t>
  </si>
  <si>
    <t>Lontar</t>
  </si>
  <si>
    <t>09021976</t>
  </si>
  <si>
    <t>44 thn 5 bulan</t>
  </si>
  <si>
    <t>Al Qur'an, Arabic, PAI</t>
  </si>
  <si>
    <t>STAIINDO</t>
  </si>
  <si>
    <t>guru</t>
  </si>
  <si>
    <t>0355186014</t>
  </si>
  <si>
    <t>16HOF0nke_u8Vv2xdTT_Yt65oZgo-7A1YH2HjBqur07s</t>
  </si>
  <si>
    <t>https://docs.google.com/document/d/16HOF0nke_u8Vv2xdTT_Yt65oZgo-7A1YH2HjBqur07s/edit?usp=drivesdk</t>
  </si>
  <si>
    <t>Document successfully created; Invalid image URL [https://drive.google.com/uc?export=view&amp;id=1qrLMgoqyBIJc61frqU5bmaa9fL5PfXEc], make sure that it is public; Document successfully merged; Run via form trigger as kemal.stafsus@gmail.com; Timestamp: Jul 5 2020 10:32 PM</t>
  </si>
  <si>
    <t>https://drive.google.com/open?id=1eAhTgG2JiLhYPpPsQFfpk3_JcjVpNyFZ</t>
  </si>
  <si>
    <t>https://drive.google.com/uc?export=view&amp;id=1eAhTgG2JiLhYPpPsQFfpk3_JcjVpNyFZ</t>
  </si>
  <si>
    <t xml:space="preserve">Rahmat Hidayat </t>
  </si>
  <si>
    <t>081809255022</t>
  </si>
  <si>
    <t>3205421807870006</t>
  </si>
  <si>
    <t xml:space="preserve">Cihuni Pagedangan Gading Serpong </t>
  </si>
  <si>
    <t>18-07-1987</t>
  </si>
  <si>
    <t>Arabic, Al-Qur'an dan Diniyah</t>
  </si>
  <si>
    <t>Al-Azhar Cairo Mesir</t>
  </si>
  <si>
    <t>Islamic Law</t>
  </si>
  <si>
    <t>Ommu Darman Diplomat</t>
  </si>
  <si>
    <t>Fikih Perbandingan</t>
  </si>
  <si>
    <t>Di Mulai dari Gontor, Syafana hingga Al-Wildan 11 tahun</t>
  </si>
  <si>
    <t>0839134328</t>
  </si>
  <si>
    <t>Bni syariah</t>
  </si>
  <si>
    <t>1TStGA1rxyjrF0IzapCm1Y83Rj8RE1uH2wg67eCjTisk</t>
  </si>
  <si>
    <t>https://docs.google.com/document/d/1TStGA1rxyjrF0IzapCm1Y83Rj8RE1uH2wg67eCjTisk/edit?usp=drivesdk</t>
  </si>
  <si>
    <t>Document successfully created; Document successfully merged; Run via form trigger as kemal.stafsus@gmail.com; Timestamp: Jul 5 2020 10:48 PM</t>
  </si>
  <si>
    <t>https://drive.google.com/open?id=1p7JCu-CfjBfK6TSkt2B6QsfkFgC-zKcF</t>
  </si>
  <si>
    <t>https://drive.google.com/uc?export=view&amp;id=1p7JCu-CfjBfK6TSkt2B6QsfkFgC-zKcF</t>
  </si>
  <si>
    <t>NASRIYATI, SKom</t>
  </si>
  <si>
    <t>3175094810780012</t>
  </si>
  <si>
    <t xml:space="preserve">Karawaci Residence Blok D7 No 8 </t>
  </si>
  <si>
    <t xml:space="preserve">Jakarta </t>
  </si>
  <si>
    <t>8 Oktober 1978</t>
  </si>
  <si>
    <t>41  tahun 10 bulan</t>
  </si>
  <si>
    <t xml:space="preserve">Math </t>
  </si>
  <si>
    <t>S1 Universitas Indones</t>
  </si>
  <si>
    <t>Ilmu Komputer</t>
  </si>
  <si>
    <t xml:space="preserve">Al wildan islamic school </t>
  </si>
  <si>
    <t>1m75oDUTeoiHoopzC850Lm5dOADjypDPpamJ1WG20SNI</t>
  </si>
  <si>
    <t>https://docs.google.com/document/d/1m75oDUTeoiHoopzC850Lm5dOADjypDPpamJ1WG20SNI/edit?usp=drivesdk</t>
  </si>
  <si>
    <t>Document successfully created; Document successfully merged; Run via form trigger as kemal.stafsus@gmail.com; Timestamp: Jul 5 2020 10:55 PM</t>
  </si>
  <si>
    <t>https://drive.google.com/open?id=165bYs3mXX8kDwUz4_ZH1mQznzrYuVv0r</t>
  </si>
  <si>
    <t>https://drive.google.com/uc?export=view&amp;id=165bYs3mXX8kDwUz4_ZH1mQznzrYuVv0r</t>
  </si>
  <si>
    <t>Shinta Dian Permatasari</t>
  </si>
  <si>
    <t>081310074386</t>
  </si>
  <si>
    <t>3175026005780019</t>
  </si>
  <si>
    <t>Komplek Puri Kartika Lama AE 20 Ciledug Tangerang</t>
  </si>
  <si>
    <t>42 tahun 2 bulan</t>
  </si>
  <si>
    <t>Universitas Mercu Buana</t>
  </si>
  <si>
    <t>Manajement Perusahaan</t>
  </si>
  <si>
    <t>2.88</t>
  </si>
  <si>
    <t>Staf Admin Al Wildan Kindergarten</t>
  </si>
  <si>
    <t>Marketing Star Up PT. Hallo Arif Gemilang (HAG)</t>
  </si>
  <si>
    <t>Staff Kependidikan (Magister Akutansi Universitas Indonesia)</t>
  </si>
  <si>
    <t>0839947027</t>
  </si>
  <si>
    <t>1oLIx51TX-SQZbKNycqDENY7xi705wAkyqDBspU5I0gs</t>
  </si>
  <si>
    <t>https://docs.google.com/document/d/1oLIx51TX-SQZbKNycqDENY7xi705wAkyqDBspU5I0gs/edit?usp=drivesdk</t>
  </si>
  <si>
    <t>Document successfully created; Document successfully merged; Run via form trigger as kemal.stafsus@gmail.com; Timestamp: Jul 5 2020 11:34 PM</t>
  </si>
  <si>
    <t>https://drive.google.com/open?id=19kjK8bdNJG6qZzxuzmcDiX9zW7d_ufS-</t>
  </si>
  <si>
    <t>https://drive.google.com/uc?export=view&amp;id=19kjK8bdNJG6qZzxuzmcDiX9zW7d_ufS-</t>
  </si>
  <si>
    <t>Bung Tomo, A.Md.</t>
  </si>
  <si>
    <t>081318103062</t>
  </si>
  <si>
    <t>5205031011860003</t>
  </si>
  <si>
    <t>Jl. Layar 2 no. 40 Kelapa Dua</t>
  </si>
  <si>
    <t>10-11-1986</t>
  </si>
  <si>
    <t>33 Tahun</t>
  </si>
  <si>
    <t>Al Quran, Arabic &amp; PAI</t>
  </si>
  <si>
    <t>STIE AMM MATARAM</t>
  </si>
  <si>
    <t>D3 Akuntansi</t>
  </si>
  <si>
    <t xml:space="preserve">Belum </t>
  </si>
  <si>
    <t xml:space="preserve">- </t>
  </si>
  <si>
    <t>Bergabung di Al Wildan sejak Februari 2013</t>
  </si>
  <si>
    <t>Rp. 4.500.000,-</t>
  </si>
  <si>
    <t>Rp. 6.000.000,- (Enam Juta Rupiah)</t>
  </si>
  <si>
    <t>0805891015</t>
  </si>
  <si>
    <t>1KT_PsC2Kl3nwTNPN9jW2vnXHD0gnDTU9dZ3ofsDoVE8</t>
  </si>
  <si>
    <t>https://docs.google.com/document/d/1KT_PsC2Kl3nwTNPN9jW2vnXHD0gnDTU9dZ3ofsDoVE8/edit?usp=drivesdk</t>
  </si>
  <si>
    <t>Document successfully created; Document successfully merged; Run via form trigger as kemal.stafsus@gmail.com; Timestamp: Jul 5 2020 11:43 PM</t>
  </si>
  <si>
    <t>https://drive.google.com/open?id=1dgCqq-1fNUIHZXgX0Wp1WkJbYSPj-2s1</t>
  </si>
  <si>
    <t>https://drive.google.com/uc?export=view&amp;id=1dgCqq-1fNUIHZXgX0Wp1WkJbYSPj-2s1</t>
  </si>
  <si>
    <t xml:space="preserve">Atikah </t>
  </si>
  <si>
    <t>085641538705</t>
  </si>
  <si>
    <t>3402125610990003</t>
  </si>
  <si>
    <t>Pondok sawo jamilurrohman glondong wirokerten banguntapan bantul yogyakarta</t>
  </si>
  <si>
    <t>Yogyakarta</t>
  </si>
  <si>
    <t>16-10-1999</t>
  </si>
  <si>
    <t>20 tahun 8 bulan</t>
  </si>
  <si>
    <t>Al quran SMP SMA</t>
  </si>
  <si>
    <t>Guru Alquran dan musyrifah dan nahwu shorof ketika mengabdi di islamic centre binbaz yogyakarta</t>
  </si>
  <si>
    <t>Guru Al quran dan musyrifah di mahad imam Ahmad bin Hanbal semarang</t>
  </si>
  <si>
    <t>Guru Al quran dan musyrifah SMA di mahad Al wafa setu bekasi</t>
  </si>
  <si>
    <t>0895675214</t>
  </si>
  <si>
    <t>1zlRpKHQfi_dBABXea2c0ZGfjZzpsMcwlgZLBZ2nVOX8</t>
  </si>
  <si>
    <t>https://docs.google.com/document/d/1zlRpKHQfi_dBABXea2c0ZGfjZzpsMcwlgZLBZ2nVOX8/edit?usp=drivesdk</t>
  </si>
  <si>
    <t>Document successfully created; Document successfully merged; Run via form trigger as kemal.stafsus@gmail.com; Timestamp: Jul 5 2020 11:52 PM</t>
  </si>
  <si>
    <t>https://drive.google.com/open?id=1Ik12MSVNv0kqKb1YPYcPSSIyrdf02hbq</t>
  </si>
  <si>
    <t>https://drive.google.com/uc?export=view&amp;id=1Ik12MSVNv0kqKb1YPYcPSSIyrdf02hbq</t>
  </si>
  <si>
    <t>YHANA DWI AVIAN, M.Pd</t>
  </si>
  <si>
    <t>085658008566</t>
  </si>
  <si>
    <t>3317080306900001</t>
  </si>
  <si>
    <t>JL. BIDAR III, NO.52 KELAPA DUA - KAB. TANGERANG</t>
  </si>
  <si>
    <t>REMBANG</t>
  </si>
  <si>
    <t>03-06-1990</t>
  </si>
  <si>
    <t>30 tahun 1bulan</t>
  </si>
  <si>
    <t>IPA, SCIENCE, MATH</t>
  </si>
  <si>
    <t>PGRI SEMARANG</t>
  </si>
  <si>
    <t>PENDIDIKAN BIOLOGI</t>
  </si>
  <si>
    <t>UNIVERSITAS INDRAPRASTA PGRI JAKARTA</t>
  </si>
  <si>
    <t>FAKULTAS MATEMATIKA DAN ILMU PENGETAHUAN ALAM</t>
  </si>
  <si>
    <t>SMK Penerbangan Kartika Aqasa Bhakti Semarang</t>
  </si>
  <si>
    <t>SMK BEST AGRO INTERNATIONAL</t>
  </si>
  <si>
    <t>SEMEN INDONESIA LOGISTIK (BUMN)</t>
  </si>
  <si>
    <t>0737581180</t>
  </si>
  <si>
    <t>MANDIRI</t>
  </si>
  <si>
    <t>1E4JiYZrY2trVI15VjCLjCD98W41zVEqcxJsTU1J2404</t>
  </si>
  <si>
    <t>https://docs.google.com/document/d/1E4JiYZrY2trVI15VjCLjCD98W41zVEqcxJsTU1J2404/edit?usp=drivesdk</t>
  </si>
  <si>
    <t>Document successfully created; Invalid image URL [https://drive.google.com/uc?export=view&amp;id=1Ik12MSVNv0kqKb1YPYcPSSIyrdf02hbq], make sure that it is public; Document successfully merged; Run via form trigger as kemal.stafsus@gmail.com; Timestamp: Jul 5 2020 11:59 PM</t>
  </si>
  <si>
    <t>https://drive.google.com/open?id=13BYZk1qXamXkgWCajuBdTq7QZpgYpJGW</t>
  </si>
  <si>
    <t>https://drive.google.com/uc?export=view&amp;id=13BYZk1qXamXkgWCajuBdTq7QZpgYpJGW</t>
  </si>
  <si>
    <t xml:space="preserve">Tholib Abdillah Mahri, Lc. </t>
  </si>
  <si>
    <t>087757685773</t>
  </si>
  <si>
    <t>3514151706910002</t>
  </si>
  <si>
    <t>Pasuruan Jawa Timur</t>
  </si>
  <si>
    <t>10-03-1991</t>
  </si>
  <si>
    <t xml:space="preserve">Aqidah dan Fiqh(ITBA) </t>
  </si>
  <si>
    <t>Lipia Jakarta</t>
  </si>
  <si>
    <t>Kepala Asrama Ikhwan Al-Wildan 3 BSD</t>
  </si>
  <si>
    <t xml:space="preserve">10.000.000 (hanya menulis pengajuan) </t>
  </si>
  <si>
    <t>0429162115</t>
  </si>
  <si>
    <t>1YfVZRcX8bC3rK4_vE89I5LgjVxiqSz1Xs4a9EMlX4vE</t>
  </si>
  <si>
    <t>https://docs.google.com/document/d/1YfVZRcX8bC3rK4_vE89I5LgjVxiqSz1Xs4a9EMlX4vE/edit?usp=drivesdk</t>
  </si>
  <si>
    <t>Document successfully created; Document successfully merged; Run via form trigger as kemal.stafsus@gmail.com; Timestamp: Jul 6 2020 12:18 AM</t>
  </si>
  <si>
    <t>https://drive.google.com/open?id=1a8GudGYIr5F87847hqOF2IhetyZ01jeS</t>
  </si>
  <si>
    <t>https://drive.google.com/uc?export=view&amp;id=1a8GudGYIr5F87847hqOF2IhetyZ01jeS</t>
  </si>
  <si>
    <t>Vegi Wahyu Murni, S.Pd., M.Si.</t>
  </si>
  <si>
    <t>082245199071</t>
  </si>
  <si>
    <t>3173076202900004</t>
  </si>
  <si>
    <t>jl pondok bandung no 34 rt 012/003, kota bambu utara, jakarta barat</t>
  </si>
  <si>
    <t>22-02-1990</t>
  </si>
  <si>
    <t>30 tahun 5 bulan</t>
  </si>
  <si>
    <t>Kimia SMA, matematika SMP</t>
  </si>
  <si>
    <t>Pendidikan Kimia</t>
  </si>
  <si>
    <t>3.21</t>
  </si>
  <si>
    <t>Kimia</t>
  </si>
  <si>
    <t>3.64</t>
  </si>
  <si>
    <t>Guru kimia</t>
  </si>
  <si>
    <t>1xqH8pdCAwnnLFabMuxtQ7i0AHjQUUlFNgBbx0TkZB0Q</t>
  </si>
  <si>
    <t>https://docs.google.com/document/d/1xqH8pdCAwnnLFabMuxtQ7i0AHjQUUlFNgBbx0TkZB0Q/edit?usp=drivesdk</t>
  </si>
  <si>
    <t>Document successfully created; Document successfully merged; Run via form trigger as kemal.stafsus@gmail.com; Timestamp: Jul 6 2020 12:29 AM</t>
  </si>
  <si>
    <t>https://drive.google.com/open?id=1AMNylIEjjirgOLb0Rd1XY2xthT1A4h9D</t>
  </si>
  <si>
    <t>https://drive.google.com/uc?export=view&amp;id=1AMNylIEjjirgOLb0Rd1XY2xthT1A4h9D</t>
  </si>
  <si>
    <t>SAHMAN YAHYA, S. Pd.</t>
  </si>
  <si>
    <t>081346659097</t>
  </si>
  <si>
    <t>3671090812830003</t>
  </si>
  <si>
    <t>KELURAHAN PARIGI KECAMATAN PONDOK AREN TANGERANG SELATAN</t>
  </si>
  <si>
    <t>NTONGGU-BIMA</t>
  </si>
  <si>
    <t>08-12-1983</t>
  </si>
  <si>
    <t xml:space="preserve">36 Tahun 6 Bulan </t>
  </si>
  <si>
    <t>Matematika dan Mapel Umum</t>
  </si>
  <si>
    <t>PENDIDIKAN MATEMATIKA</t>
  </si>
  <si>
    <t>Masih dalam proses tesis, in syaa Allah 6 bulan lagi aamiin</t>
  </si>
  <si>
    <t>Pendidikan MIPA</t>
  </si>
  <si>
    <t>Karyawan perusahaan Plywood</t>
  </si>
  <si>
    <t>Guru mapel dan walas</t>
  </si>
  <si>
    <t>2.000.000 (7 tahun yang lalu)</t>
  </si>
  <si>
    <t xml:space="preserve">6.000.000 (berdasarkan rapat bersama ust Abdurrahim di Ruko catalina sekitar 6 tahun yang lalu, jika Sekolah Al Wildan sudah berjalan 5 atau 6 tahun standar gaji guru Al Wildan khususnya guru Ruko sudah 6 juta ke atas. besar harapan semoga tahun ini bisa terealisasi aamiin dan manajemen bisa mengusulkan dan mengingatkan beliau tarkait hasil rapat yang sering beliau utarakan di Ruko dulu. Syukran </t>
  </si>
  <si>
    <t>0428253297</t>
  </si>
  <si>
    <t>1eWDHb25bUIk92-oXbtjZq3PKVkdHTNOM5sbGTtp6xOs</t>
  </si>
  <si>
    <t>https://docs.google.com/document/d/1eWDHb25bUIk92-oXbtjZq3PKVkdHTNOM5sbGTtp6xOs/edit?usp=drivesdk</t>
  </si>
  <si>
    <t>https://drive.google.com/open?id=1WKk6XhN9sQ5_vV1G1_847GfocVVf63hp</t>
  </si>
  <si>
    <t>https://drive.google.com/uc?export=view&amp;id=1WKk6XhN9sQ5_vV1G1_847GfocVVf63hp</t>
  </si>
  <si>
    <t>Risma Widiawati</t>
  </si>
  <si>
    <t>082119341759</t>
  </si>
  <si>
    <t>3206274808930002</t>
  </si>
  <si>
    <t>Kepala dua, Tangerang</t>
  </si>
  <si>
    <t>Tasikmalaya</t>
  </si>
  <si>
    <t>08-08-1993</t>
  </si>
  <si>
    <t>26 tahun 10 bulan</t>
  </si>
  <si>
    <t>Alquran, Arabic, Diniyyah</t>
  </si>
  <si>
    <t xml:space="preserve">Lipia Jakarta </t>
  </si>
  <si>
    <t>Bahasa Arab (Takmily)</t>
  </si>
  <si>
    <t>Guru SD Alwildan 1 (2017-2020)</t>
  </si>
  <si>
    <t>Tidak</t>
  </si>
  <si>
    <t>0429269750</t>
  </si>
  <si>
    <t>1PJ847fLeSAwEmxkJDQSYEWin8EiB_valfUOYbGM1qCQ</t>
  </si>
  <si>
    <t>https://docs.google.com/document/d/1PJ847fLeSAwEmxkJDQSYEWin8EiB_valfUOYbGM1qCQ/edit?usp=drivesdk</t>
  </si>
  <si>
    <t>Document successfully created; Document successfully merged; Run via form trigger as kemal.stafsus@gmail.com; Timestamp: Jul 6 2020 12:40 AM</t>
  </si>
  <si>
    <t>https://drive.google.com/open?id=18enLEvEaGMkDFzndxGYUbQjp795zC4oZ</t>
  </si>
  <si>
    <t>https://drive.google.com/uc?export=view&amp;id=18enLEvEaGMkDFzndxGYUbQjp795zC4oZ</t>
  </si>
  <si>
    <t>Thaif Tamimah</t>
  </si>
  <si>
    <t>088210826366</t>
  </si>
  <si>
    <t>3216194402010004</t>
  </si>
  <si>
    <t>Kelapa dua,serpong-tangerang</t>
  </si>
  <si>
    <t>04-02-2001</t>
  </si>
  <si>
    <t>19 tahun 5 bulan</t>
  </si>
  <si>
    <t>Musyrifah</t>
  </si>
  <si>
    <t>SMA sederajat</t>
  </si>
  <si>
    <t>Pondok pesantren minhajul muslim</t>
  </si>
  <si>
    <t>Pernah bekerja sebagai guru dan musrifah selama 4 bulan di ponpes alwafa setu-bekasi</t>
  </si>
  <si>
    <t>Alwildan internasional islamic boarding school Tangerang Selatan</t>
  </si>
  <si>
    <t>0901156171</t>
  </si>
  <si>
    <t>1DnQeeH3h3OWpfG9aA40JFVqlUKkeQbBW5Tf52Mpmlmk</t>
  </si>
  <si>
    <t>https://docs.google.com/document/d/1DnQeeH3h3OWpfG9aA40JFVqlUKkeQbBW5Tf52Mpmlmk/edit?usp=drivesdk</t>
  </si>
  <si>
    <t>Document successfully created; Document successfully merged; Run via form trigger as kemal.stafsus@gmail.com; Timestamp: Jul 6 2020 12:45 AM</t>
  </si>
  <si>
    <t>https://drive.google.com/open?id=1VYhHY0hEvXjyQ8M8FIhG7Qr2AUEiomBt</t>
  </si>
  <si>
    <t>https://drive.google.com/uc?export=view&amp;id=1VYhHY0hEvXjyQ8M8FIhG7Qr2AUEiomBt</t>
  </si>
  <si>
    <t>Muhammad Nashir Arifin, Lc</t>
  </si>
  <si>
    <t>085210127223</t>
  </si>
  <si>
    <t>32048706058110012</t>
  </si>
  <si>
    <t>Ciater BSD city</t>
  </si>
  <si>
    <t>06 Mei 1981</t>
  </si>
  <si>
    <t>39 tahun 2 bulan</t>
  </si>
  <si>
    <t>Fiqh dan Aqidah</t>
  </si>
  <si>
    <t>Al-Alzhar University</t>
  </si>
  <si>
    <t>IBNU HAJAR BOARDING SCHOOL</t>
  </si>
  <si>
    <t>Al-Wildan 1</t>
  </si>
  <si>
    <t>Al-Wildan 3</t>
  </si>
  <si>
    <t>0318001415</t>
  </si>
  <si>
    <t>1lOCd1fe9Op1TogGvjcOdlHYw9dGa0r05v_YOeWI_v3c</t>
  </si>
  <si>
    <t>https://docs.google.com/document/d/1lOCd1fe9Op1TogGvjcOdlHYw9dGa0r05v_YOeWI_v3c/edit?usp=drivesdk</t>
  </si>
  <si>
    <t>Document successfully created; Document successfully merged; Run via form trigger as kemal.stafsus@gmail.com; Timestamp: Jul 6 2020 12:53 AM</t>
  </si>
  <si>
    <t>https://drive.google.com/open?id=1gNfMpQDivoBo2uwN6Ook3xO_D4zjbX7a</t>
  </si>
  <si>
    <t>https://drive.google.com/uc?export=view&amp;id=1gNfMpQDivoBo2uwN6Ook3xO_D4zjbX7a</t>
  </si>
  <si>
    <t>HERYADI, Lc</t>
  </si>
  <si>
    <t>081315912151</t>
  </si>
  <si>
    <t>3202290309790004</t>
  </si>
  <si>
    <t>Jln Bidar VE no 09 Rt 05/08 Kelapa dua Tangerang</t>
  </si>
  <si>
    <t>SINGKAWANG</t>
  </si>
  <si>
    <t>02-09-1979</t>
  </si>
  <si>
    <t>40 tahun 10 Bulan</t>
  </si>
  <si>
    <t>S1 LIPIA JAKARTA</t>
  </si>
  <si>
    <t>Syari'ah</t>
  </si>
  <si>
    <t>3.80</t>
  </si>
  <si>
    <t>0739585514</t>
  </si>
  <si>
    <t>1hs8U6vEWpkZocV-6igMZFmEOhV-um7LFRG4kXcoLkeI</t>
  </si>
  <si>
    <t>https://docs.google.com/document/d/1hs8U6vEWpkZocV-6igMZFmEOhV-um7LFRG4kXcoLkeI/edit?usp=drivesdk</t>
  </si>
  <si>
    <t>Document successfully created; Document successfully merged; Run via form trigger as kemal.stafsus@gmail.com; Timestamp: Jul 6 2020 12:54 AM</t>
  </si>
  <si>
    <t>https://drive.google.com/open?id=10zvwPdfobXoVd-9o37CQdGp2NR55Pqf2</t>
  </si>
  <si>
    <t>https://drive.google.com/uc?export=view&amp;id=10zvwPdfobXoVd-9o37CQdGp2NR55Pqf2</t>
  </si>
  <si>
    <t>Husni Mubarok, S.Pd.</t>
  </si>
  <si>
    <t>32043000101921001</t>
  </si>
  <si>
    <t>01Januari 1992</t>
  </si>
  <si>
    <t xml:space="preserve">STAIS ASY SYUKRIYYAH </t>
  </si>
  <si>
    <t>PAI</t>
  </si>
  <si>
    <t>3.36</t>
  </si>
  <si>
    <t>Khidmah di Yayasan Al Sofwa Jakarta dibawah dept dakwah dan sosial</t>
  </si>
  <si>
    <t>Admin Stokis PT SETYA KULINER MANDIRI</t>
  </si>
  <si>
    <t>1idFQHXerMIV4HLyYbvvpyFazUqHsbe1axEnVJ3sxMG4</t>
  </si>
  <si>
    <t>https://docs.google.com/document/d/1idFQHXerMIV4HLyYbvvpyFazUqHsbe1axEnVJ3sxMG4/edit?usp=drivesdk</t>
  </si>
  <si>
    <t>Document successfully created; Document successfully merged; Run via form trigger as kemal.stafsus@gmail.com; Timestamp: Jul 6 2020 4:59 AM</t>
  </si>
  <si>
    <t>https://drive.google.com/open?id=12CXHUa9pGre51NeCXOB60NtIlSirY41E</t>
  </si>
  <si>
    <t>https://drive.google.com/uc?export=view&amp;id=12CXHUa9pGre51NeCXOB60NtIlSirY41E</t>
  </si>
  <si>
    <t>35111110310890003</t>
  </si>
  <si>
    <t>30 Tahun 9 bulan</t>
  </si>
  <si>
    <t>Diniyah</t>
  </si>
  <si>
    <t>Lipia</t>
  </si>
  <si>
    <t>guru diniyah,musrif,guru ITBA</t>
  </si>
  <si>
    <t>1HCVTqKBcWb6Ss8UCh7RBdrS5nKmihQ60rrFib8gaa9w</t>
  </si>
  <si>
    <t>https://docs.google.com/document/d/1HCVTqKBcWb6Ss8UCh7RBdrS5nKmihQ60rrFib8gaa9w/edit?usp=drivesdk</t>
  </si>
  <si>
    <t>Document successfully created; Document successfully merged; Run via form trigger as kemal.stafsus@gmail.com; Timestamp: Jul 6 2020 5:46 AM</t>
  </si>
  <si>
    <t>https://drive.google.com/open?id=1L0JnDPqgzdhPUahlMs7jWAqCHYHBh1Ld</t>
  </si>
  <si>
    <t>https://drive.google.com/uc?export=view&amp;id=1L0JnDPqgzdhPUahlMs7jWAqCHYHBh1Ld</t>
  </si>
  <si>
    <t>Isni Putri Etyoningsih, S.Si</t>
  </si>
  <si>
    <t>081584169094</t>
  </si>
  <si>
    <t>3674045109950003</t>
  </si>
  <si>
    <t>jl sukamulya 1 rt 4 rw 7</t>
  </si>
  <si>
    <t>tangerang</t>
  </si>
  <si>
    <t>11-09-1995</t>
  </si>
  <si>
    <t>24 tahun 10 bulan</t>
  </si>
  <si>
    <t xml:space="preserve">UIN Syarif Hidayatullah </t>
  </si>
  <si>
    <t>Junior Asisten QA Indofood Flexible Packaging (2013)</t>
  </si>
  <si>
    <t>tenaga pendidik SMP = Matematika-IPA (2018)</t>
  </si>
  <si>
    <t>tenaga pendidik SMP-SMA= Kimia (2019-saat ini)</t>
  </si>
  <si>
    <t>sesuai perkiraan UMK Kab. Tangerang, 4.000.000 jika tahun ini (2020) terjadi kenaikan UMK menjadi 3.800.000 (UMK Kab Tangerang tahun 2020)</t>
  </si>
  <si>
    <t>0747371238</t>
  </si>
  <si>
    <t>1Ka6nZqsPg5TqFcER0TIc4CvCSBbfnxNfFs0wPr29OSY</t>
  </si>
  <si>
    <t>https://docs.google.com/document/d/1Ka6nZqsPg5TqFcER0TIc4CvCSBbfnxNfFs0wPr29OSY/edit?usp=drivesdk</t>
  </si>
  <si>
    <t>Document successfully created; Document successfully merged; Run via form trigger as kemal.stafsus@gmail.com; Timestamp: Jul 6 2020 6:28 AM</t>
  </si>
  <si>
    <t>https://drive.google.com/open?id=1lv1kHTM4E3k5C-5FW-DBCqC8cN0PHz4R</t>
  </si>
  <si>
    <t>https://drive.google.com/uc?export=view&amp;id=1lv1kHTM4E3k5C-5FW-DBCqC8cN0PHz4R</t>
  </si>
  <si>
    <t xml:space="preserve">Rofaidha Kurniawati, S.Pd </t>
  </si>
  <si>
    <t>087727727285</t>
  </si>
  <si>
    <t>3402136302950002</t>
  </si>
  <si>
    <t>Jl Hamim no 42E RT 07 RW 08, Lebak Bulus, Cilandak, Jakarta Selatan</t>
  </si>
  <si>
    <t>Bantul</t>
  </si>
  <si>
    <t>23-02-1995</t>
  </si>
  <si>
    <t>25 tahun 4 bulan</t>
  </si>
  <si>
    <t>UNY</t>
  </si>
  <si>
    <t>3.61</t>
  </si>
  <si>
    <t>Guru Matematika SMP dan Kimia SMA, Musyrifah Al Wildan 1 (2017-2018)</t>
  </si>
  <si>
    <t>0730968731</t>
  </si>
  <si>
    <t>1Gt0HAA5Mz2bH4ePZ9CTnul-uaMS8LtPYYENLWkpm1Nw</t>
  </si>
  <si>
    <t>https://docs.google.com/document/d/1Gt0HAA5Mz2bH4ePZ9CTnul-uaMS8LtPYYENLWkpm1Nw/edit?usp=drivesdk</t>
  </si>
  <si>
    <t>Document successfully created; Document successfully merged; Run via form trigger as kemal.stafsus@gmail.com; Timestamp: Jul 6 2020 8:46 AM</t>
  </si>
  <si>
    <t>https://drive.google.com/open?id=1-VXHdF97tg91HZyKOVKODzhk75qZ59sI</t>
  </si>
  <si>
    <t>https://drive.google.com/uc?export=view&amp;id=1-VXHdF97tg91HZyKOVKODzhk75qZ59sI</t>
  </si>
  <si>
    <t>Idi Darma, S.Pd., M.M</t>
  </si>
  <si>
    <t>Jl. Layar Va No. 23 Rt 003 Rw 07, Kelapa Dua, Tangerang</t>
  </si>
  <si>
    <t>Universitas Muhammadiyah Makassar</t>
  </si>
  <si>
    <t>Universitas Islam Malang</t>
  </si>
  <si>
    <t>3.42</t>
  </si>
  <si>
    <t>Menjadi guru bahasa Indonesia</t>
  </si>
  <si>
    <t>1SiWe2p1VetPFOIEsQRyvwGhcxiOM9ogpgnvFcWllbTI</t>
  </si>
  <si>
    <t>https://docs.google.com/document/d/1SiWe2p1VetPFOIEsQRyvwGhcxiOM9ogpgnvFcWllbTI/edit?usp=drivesdk</t>
  </si>
  <si>
    <t>Document successfully created; Invalid image URL [https://drive.google.com/uc?export=view&amp;id=1-VXHdF97tg91HZyKOVKODzhk75qZ59sI], make sure that it is public; Document successfully merged; Run via form trigger as kemal.stafsus@gmail.com; Timestamp: Jul 6 2020 10:57 AM</t>
  </si>
  <si>
    <t>https://drive.google.com/open?id=1v50eXdFei-MWfI-1riYrBfNtlnDQjl0K</t>
  </si>
  <si>
    <t>https://drive.google.com/uc?export=view&amp;id=1v50eXdFei-MWfI-1riYrBfNtlnDQjl0K</t>
  </si>
  <si>
    <t>Wahyoe santhoso S.sos</t>
  </si>
  <si>
    <t>081396112999</t>
  </si>
  <si>
    <t>3216163011780003</t>
  </si>
  <si>
    <t>komplek puri kartika blok ae20 ciledug, Tangerang</t>
  </si>
  <si>
    <t>30-11-1978</t>
  </si>
  <si>
    <t>Tim Kreatif</t>
  </si>
  <si>
    <t>UMUM/Tata Usaha/Tim Kreatif/Tim IT/Lainnya</t>
  </si>
  <si>
    <t>Universitas Padjadjaran</t>
  </si>
  <si>
    <t>2.96</t>
  </si>
  <si>
    <t>0715165462</t>
  </si>
  <si>
    <t>1ul3DLImunUr4nl68Ju7p-4k1_7NhZf4JRjhqTC5WbaU</t>
  </si>
  <si>
    <t>https://docs.google.com/document/d/1ul3DLImunUr4nl68Ju7p-4k1_7NhZf4JRjhqTC5WbaU/edit?usp=drivesdk</t>
  </si>
  <si>
    <t>Document successfully created; Document successfully merged; Run via form trigger as kemal.stafsus@gmail.com; Timestamp: Jul 6 2020 10:29 PM</t>
  </si>
  <si>
    <t>https://drive.google.com/open?id=1d4oehX6cIXXxj6euwZO3Up2OFuvZDGQn</t>
  </si>
  <si>
    <t>https://drive.google.com/uc?export=view&amp;id=1d4oehX6cIXXxj6euwZO3Up2OFuvZDGQn</t>
  </si>
  <si>
    <t>Muniroh S. Ag</t>
  </si>
  <si>
    <t>081779861671</t>
  </si>
  <si>
    <t>3604335403760002</t>
  </si>
  <si>
    <t>Boarding Alwildan 1</t>
  </si>
  <si>
    <t>14-03-1976</t>
  </si>
  <si>
    <t>Janda (Tanpa Anak)</t>
  </si>
  <si>
    <t>Fac Syariah. Jurusan Hujum perdata</t>
  </si>
  <si>
    <t>IAIN SGD BAndung</t>
  </si>
  <si>
    <t>Musyrifah Di Daarut Tauhid</t>
  </si>
  <si>
    <t>Musyrifah di Daarul Quran Bandung</t>
  </si>
  <si>
    <t>Musyrifah di Al- Bina Bekasi</t>
  </si>
  <si>
    <t>0906357566</t>
  </si>
  <si>
    <t>1lwPpkmqkyOtvdgmA6tiTl733mA2fVvTKuTRkHlhwPpI</t>
  </si>
  <si>
    <t>https://docs.google.com/document/d/1lwPpkmqkyOtvdgmA6tiTl733mA2fVvTKuTRkHlhwPpI/edit?usp=drivesdk</t>
  </si>
  <si>
    <t>Document successfully created; Document successfully merged; Run via form trigger as kemal.stafsus@gmail.com; Timestamp: Jul 6 2020 10:44 PM</t>
  </si>
  <si>
    <t>https://drive.google.com/open?id=13Qfk14b8tHflBfXKraaqM87tE648ErhO</t>
  </si>
  <si>
    <t>https://drive.google.com/uc?export=view&amp;id=13Qfk14b8tHflBfXKraaqM87tE648ErhO</t>
  </si>
  <si>
    <t>Nur Jannah Hary Amalul Ahli</t>
  </si>
  <si>
    <t>081286207499</t>
  </si>
  <si>
    <t>3174035003790008</t>
  </si>
  <si>
    <t>Jalan kano raya no 88</t>
  </si>
  <si>
    <t>10 Maret 1979</t>
  </si>
  <si>
    <t>41 4 bulan</t>
  </si>
  <si>
    <t>Alquran markaz</t>
  </si>
  <si>
    <t>Al Azhar Cairo university</t>
  </si>
  <si>
    <t>Jurusan tafsir alquran</t>
  </si>
  <si>
    <t xml:space="preserve">PTIQ Jakarta </t>
  </si>
  <si>
    <t>Manajemen pendidikan Islam</t>
  </si>
  <si>
    <t>3.75</t>
  </si>
  <si>
    <t xml:space="preserve">Koordinator Markaz dan kepala musyrifah dan guru </t>
  </si>
  <si>
    <t>0355185883</t>
  </si>
  <si>
    <t>1haHUnoL7--LALdNRJh0EMZhsn0uAe48K_25ZBIowOzs</t>
  </si>
  <si>
    <t>https://docs.google.com/document/d/1haHUnoL7--LALdNRJh0EMZhsn0uAe48K_25ZBIowOzs/edit?usp=drivesdk</t>
  </si>
  <si>
    <t>Document successfully created; Document successfully merged; Run via form trigger as kemal.stafsus@gmail.com; Timestamp: Jul 6 2020 10:47 PM</t>
  </si>
  <si>
    <t>https://drive.google.com/open?id=1yRM_2d13_RDqHzfC2lmcHYBmv4gJlBUd</t>
  </si>
  <si>
    <t>https://drive.google.com/uc?export=view&amp;id=1yRM_2d13_RDqHzfC2lmcHYBmv4gJlBUd</t>
  </si>
  <si>
    <t>Budiman,S.pd</t>
  </si>
  <si>
    <t>085205028190</t>
  </si>
  <si>
    <t>5206061203821003</t>
  </si>
  <si>
    <t>Cilenggang 1 RT 01 RW 01 No.51 Serpong,Tangsel.Banten</t>
  </si>
  <si>
    <t>31-12-1982</t>
  </si>
  <si>
    <t>37 tahun 7 bulan</t>
  </si>
  <si>
    <t>AlQur'an</t>
  </si>
  <si>
    <t>PTS-STKIP PURNAMA</t>
  </si>
  <si>
    <t>Pendidikan Ilmu Ekonomi(PDU/Adm.Perkantoran)</t>
  </si>
  <si>
    <t>3.01</t>
  </si>
  <si>
    <t>0816445988</t>
  </si>
  <si>
    <t>1tQRdHWSsIrZofNTA0ju92p15fwPjQLzjxhN38FATCcs</t>
  </si>
  <si>
    <t>https://docs.google.com/document/d/1tQRdHWSsIrZofNTA0ju92p15fwPjQLzjxhN38FATCcs/edit?usp=drivesdk</t>
  </si>
  <si>
    <t>Document successfully created; Document successfully merged; Run via form trigger as kemal.stafsus@gmail.com; Timestamp: Jul 6 2020 10:57 PM</t>
  </si>
  <si>
    <t>https://drive.google.com/open?id=1ChggcJCnIj_9Ezf3WM6pp6PLtyOFkBHY</t>
  </si>
  <si>
    <t>https://drive.google.com/uc?export=view&amp;id=1ChggcJCnIj_9Ezf3WM6pp6PLtyOFkBHY</t>
  </si>
  <si>
    <t>M Sidik Vasni, Lc.</t>
  </si>
  <si>
    <t>082221115654</t>
  </si>
  <si>
    <t>1403092104900009</t>
  </si>
  <si>
    <t>Jl. Syamsi Raya Blok A No. 107 Villa Ilhami Islamic Village Karawaci Kelapa Dua Tangerang</t>
  </si>
  <si>
    <t>Duri</t>
  </si>
  <si>
    <t>21 April 1990</t>
  </si>
  <si>
    <t xml:space="preserve">30 Tahin 3 Bulan </t>
  </si>
  <si>
    <t xml:space="preserve">SKI dan Arabic </t>
  </si>
  <si>
    <t xml:space="preserve">
Kepala Musyrif Tahun ajaran 2017/2018
Guru Diniah 2017- sekarang </t>
  </si>
  <si>
    <t>0429164699</t>
  </si>
  <si>
    <t>1YelBjpS2Ihgu7Flu5bDKWBYDuE-izY3LBQezWAJjBQA</t>
  </si>
  <si>
    <t>https://docs.google.com/document/d/1YelBjpS2Ihgu7Flu5bDKWBYDuE-izY3LBQezWAJjBQA/edit?usp=drivesdk</t>
  </si>
  <si>
    <t>Document successfully created; Document successfully merged; Run via form trigger as kemal.stafsus@gmail.com; Timestamp: Jul 6 2020 11:20 PM</t>
  </si>
  <si>
    <t>https://drive.google.com/open?id=14h5Yatcytb_4598m3GW_or4StjfL42No</t>
  </si>
  <si>
    <t>https://drive.google.com/uc?export=view&amp;id=14h5Yatcytb_4598m3GW_or4StjfL42No</t>
  </si>
  <si>
    <t>Tesya Salsabila</t>
  </si>
  <si>
    <t>081573075199</t>
  </si>
  <si>
    <t>3204346604990002</t>
  </si>
  <si>
    <t>Jl. Bidar 1 no.2, Kelapa Dua, Tangerang</t>
  </si>
  <si>
    <t>Tanjunguban</t>
  </si>
  <si>
    <t>26-04-1999</t>
  </si>
  <si>
    <t>21 tahun 3 bulan</t>
  </si>
  <si>
    <t>Belum Kuliah</t>
  </si>
  <si>
    <t>1uFC9T4QDJWR64zl5l6CC9h0ylFBi3Ziugars_1ScZJ4</t>
  </si>
  <si>
    <t>https://docs.google.com/document/d/1uFC9T4QDJWR64zl5l6CC9h0ylFBi3Ziugars_1ScZJ4/edit?usp=drivesdk</t>
  </si>
  <si>
    <t>Document successfully created; Document successfully merged; Run via form trigger as kemal.stafsus@gmail.com; Timestamp: Jul 6 2020 11:45 PM</t>
  </si>
  <si>
    <t>https://drive.google.com/open?id=1mrrp-0-zEkCtHCIuC7NDnfxjodtcjdDC</t>
  </si>
  <si>
    <t>https://drive.google.com/uc?export=view&amp;id=1mrrp-0-zEkCtHCIuC7NDnfxjodtcjdDC</t>
  </si>
  <si>
    <t>ABDUL MIFTAH, M. Pd</t>
  </si>
  <si>
    <t>085786004838</t>
  </si>
  <si>
    <t>6207072702800001</t>
  </si>
  <si>
    <t>JL. KANO 2 NO. 20, PERUM KELAPA DUA, KAB TANERANG, KODE POS 15810</t>
  </si>
  <si>
    <t>BREBES</t>
  </si>
  <si>
    <t>27/02/1980</t>
  </si>
  <si>
    <t>40 TAHUN 4 BULAN</t>
  </si>
  <si>
    <t>IKIP PGRI SEMARANG / UPGRIS</t>
  </si>
  <si>
    <t>PENDIDIKAN BAHASA INGGRIS</t>
  </si>
  <si>
    <t>UNINDRA</t>
  </si>
  <si>
    <t>MAGISTER PENDIDIKAN BAHASA INGGRIS</t>
  </si>
  <si>
    <t>GURU BAHASA INGGRIS IKHWAN SD DAN SMA DALAM 1 TAHUN, DI AL-WILDAN</t>
  </si>
  <si>
    <t>3.500.000/BLN (TANPA TUNJANGAN KONTRAKAN RUMAH)</t>
  </si>
  <si>
    <t>WAKIL KEPSEK SD 2 TAHUN</t>
  </si>
  <si>
    <t>5.000.000/BLN (TANPA TUNJANGAN KONTRAKAN RUMAH)</t>
  </si>
  <si>
    <t>WAKIL KEPSEK SMP-SMA 1 TAHUN</t>
  </si>
  <si>
    <t>7.500.000/BLN (SDH TERMASUK TUNJANGAN KONTRAKAN RUMAH 500.000/BLN)</t>
  </si>
  <si>
    <t>12.000.000 (SUDAH TERMASUK TUNJANGAN KOTRAKAN RUMAH 2.000.000/BLN)</t>
  </si>
  <si>
    <t>0846997433</t>
  </si>
  <si>
    <t>1HdHfyTVdOq8qrqIQmy729lyhHjIS-iKrzE7rd5V4ZCs</t>
  </si>
  <si>
    <t>https://docs.google.com/document/d/1HdHfyTVdOq8qrqIQmy729lyhHjIS-iKrzE7rd5V4ZCs/edit?usp=drivesdk</t>
  </si>
  <si>
    <t>Document successfully created; Document successfully merged; Run via form trigger as kemal.stafsus@gmail.com; Timestamp: Jul 7 2020 7:55 AM</t>
  </si>
  <si>
    <t>https://drive.google.com/open?id=1opAvWTR_K3QkUc_IltuL2W6IZIcG7sg9</t>
  </si>
  <si>
    <t>https://drive.google.com/uc?export=view&amp;id=1opAvWTR_K3QkUc_IltuL2W6IZIcG7sg9</t>
  </si>
  <si>
    <t>Rania munzir chalifah</t>
  </si>
  <si>
    <t>08998978627</t>
  </si>
  <si>
    <t>3276054409000006</t>
  </si>
  <si>
    <t xml:space="preserve">Cirebon </t>
  </si>
  <si>
    <t>04-09-00</t>
  </si>
  <si>
    <t>19 tahun 10 bulan</t>
  </si>
  <si>
    <t>0852455878</t>
  </si>
  <si>
    <t>1xOjNKtviyis-6wYlFWtv_87CCbxdvH4koLOCp9OMfk8</t>
  </si>
  <si>
    <t>https://docs.google.com/document/d/1xOjNKtviyis-6wYlFWtv_87CCbxdvH4koLOCp9OMfk8/edit?usp=drivesdk</t>
  </si>
  <si>
    <t>Document successfully created; Document successfully merged; Run via form trigger as kemal.stafsus@gmail.com; Timestamp: Jul 7 2020 9:41 AM</t>
  </si>
  <si>
    <t>https://drive.google.com/open?id=1dluk22mn1X6Yrr2ACQ6VF6E6HXNH4Jxk</t>
  </si>
  <si>
    <t>https://drive.google.com/uc?export=view&amp;id=1dluk22mn1X6Yrr2ACQ6VF6E6HXNH4Jxk</t>
  </si>
  <si>
    <t>Ana Zahrotun Nisa</t>
  </si>
  <si>
    <t>083168492545</t>
  </si>
  <si>
    <t>1871045905000005</t>
  </si>
  <si>
    <t>19-07-2000</t>
  </si>
  <si>
    <t>20 tahun</t>
  </si>
  <si>
    <t>Pengabdian setahun dipondok</t>
  </si>
  <si>
    <t>1.000.000.00</t>
  </si>
  <si>
    <t>0892315594</t>
  </si>
  <si>
    <t>1jtTMXQL5ffg79jJ9yRJPz863IPQknke15tJmor8hGTU</t>
  </si>
  <si>
    <t>https://docs.google.com/document/d/1jtTMXQL5ffg79jJ9yRJPz863IPQknke15tJmor8hGTU/edit?usp=drivesdk</t>
  </si>
  <si>
    <t>Document successfully created; Document successfully merged; Run via form trigger as kemal.stafsus@gmail.com; Timestamp: Jul 7 2020 10:49 AM</t>
  </si>
  <si>
    <t>https://drive.google.com/open?id=1e-Z92i40PIyzw4G9k00n2GG8bz6uUfek</t>
  </si>
  <si>
    <t>https://drive.google.com/uc?export=view&amp;id=1e-Z92i40PIyzw4G9k00n2GG8bz6uUfek</t>
  </si>
  <si>
    <t>ANGGI NOVITA SARI</t>
  </si>
  <si>
    <t>082336512932</t>
  </si>
  <si>
    <t>3518086902000003</t>
  </si>
  <si>
    <t>Jalan bidar III no 12 kelapa dua</t>
  </si>
  <si>
    <t>NGANJUK</t>
  </si>
  <si>
    <t xml:space="preserve">20 tahun 4 bulan </t>
  </si>
  <si>
    <t xml:space="preserve">Blm </t>
  </si>
  <si>
    <t>Blm</t>
  </si>
  <si>
    <t xml:space="preserve">Musrifah </t>
  </si>
  <si>
    <t>Musrifah</t>
  </si>
  <si>
    <t>0892298271</t>
  </si>
  <si>
    <t>1cy6aQgNrvLxS3HEMAro0eDLajcV46-HwF95rPCCdZCg</t>
  </si>
  <si>
    <t>https://docs.google.com/document/d/1cy6aQgNrvLxS3HEMAro0eDLajcV46-HwF95rPCCdZCg/edit?usp=drivesdk</t>
  </si>
  <si>
    <t>Document successfully created; Document successfully merged; Run via form trigger as kemal.stafsus@gmail.com; Timestamp: Jul 7 2020 11:55 AM</t>
  </si>
  <si>
    <t>https://drive.google.com/open?id=1hqy52dXwxkVLp81HACDtqpIzCuLj25TN</t>
  </si>
  <si>
    <t>https://drive.google.com/uc?export=view&amp;id=1hqy52dXwxkVLp81HACDtqpIzCuLj25TN</t>
  </si>
  <si>
    <t>Munawir Haris,Lc.S.Ag</t>
  </si>
  <si>
    <t>087765365157</t>
  </si>
  <si>
    <t>5202020607920005</t>
  </si>
  <si>
    <t>Jl.bojong nangka blok UA.4 no.11</t>
  </si>
  <si>
    <t>Lombok</t>
  </si>
  <si>
    <t>06-07-1992</t>
  </si>
  <si>
    <t>Mapel Arabic , Diniyah dan Al-Qur'an</t>
  </si>
  <si>
    <t>Stiu Dirosat Al-Islamiyah dan Lipia</t>
  </si>
  <si>
    <t>Tafsir Al-Qur'an dan Hadits dan Ekonomi Syari'ah</t>
  </si>
  <si>
    <t>Sedang mengambil S2</t>
  </si>
  <si>
    <t xml:space="preserve">Sudah mengajar di Al-wildan dsri masa ruko </t>
  </si>
  <si>
    <t xml:space="preserve">6 samapai 7 juta </t>
  </si>
  <si>
    <t>0229910782</t>
  </si>
  <si>
    <t>1M-P_gg7gBCViJH9lCjuXXAfqa0WxPmay3GfruQm2I6g</t>
  </si>
  <si>
    <t>https://docs.google.com/document/d/1M-P_gg7gBCViJH9lCjuXXAfqa0WxPmay3GfruQm2I6g/edit?usp=drivesdk</t>
  </si>
  <si>
    <t>Document successfully created; Document successfully merged; Run via form trigger as kemal.stafsus@gmail.com; Timestamp: Jul 7 2020 12:01 PM</t>
  </si>
  <si>
    <t>https://drive.google.com/open?id=1dcTxsXFZbFvE1IXiyWSRhYeO11zM0VHr</t>
  </si>
  <si>
    <t>https://drive.google.com/uc?export=view&amp;id=1dcTxsXFZbFvE1IXiyWSRhYeO11zM0VHr</t>
  </si>
  <si>
    <t>Naura Putri Hasan Al-Mabrury</t>
  </si>
  <si>
    <t>081293497500</t>
  </si>
  <si>
    <t>Jalan Bidar lll no.12</t>
  </si>
  <si>
    <t>Kediri</t>
  </si>
  <si>
    <t>30-04-2001</t>
  </si>
  <si>
    <t>19 tahun 2 bulan</t>
  </si>
  <si>
    <t>Muayrifah</t>
  </si>
  <si>
    <t>Syariah mandiri</t>
  </si>
  <si>
    <t>1K9O7Zb1adH2j6iCNi5Lu3TRmToXOwl2R_wmSF-s5id4</t>
  </si>
  <si>
    <t>https://docs.google.com/document/d/1K9O7Zb1adH2j6iCNi5Lu3TRmToXOwl2R_wmSF-s5id4/edit?usp=drivesdk</t>
  </si>
  <si>
    <t>Document successfully created; Document successfully merged; Run via form trigger as kemal.stafsus@gmail.com; Timestamp: Jul 7 2020 12:03 PM</t>
  </si>
  <si>
    <t>https://drive.google.com/open?id=1f7SK0KVB7Kxk8gPTvSEwEgjG49vTJxV9</t>
  </si>
  <si>
    <t>https://drive.google.com/uc?export=view&amp;id=1f7SK0KVB7Kxk8gPTvSEwEgjG49vTJxV9</t>
  </si>
  <si>
    <t>Intansha Rifani</t>
  </si>
  <si>
    <t>081223601170</t>
  </si>
  <si>
    <t>3204095211000004</t>
  </si>
  <si>
    <t>12-11-2000</t>
  </si>
  <si>
    <t>19 tahun 7 bulan</t>
  </si>
  <si>
    <t>Guru Tahfizh di Kepri (mengabdi)</t>
  </si>
  <si>
    <t>Tidak tentu</t>
  </si>
  <si>
    <t>Guru Tahfizh dipare</t>
  </si>
  <si>
    <t>0892335474</t>
  </si>
  <si>
    <t>1LIFDmgUB13QQMz6ajxTBuWR153ncYWmZ2I3xI7bnpuw</t>
  </si>
  <si>
    <t>https://docs.google.com/document/d/1LIFDmgUB13QQMz6ajxTBuWR153ncYWmZ2I3xI7bnpuw/edit?usp=drivesdk</t>
  </si>
  <si>
    <t>Document successfully created; Invalid image URL [https://drive.google.com/uc?export=view&amp;id=1f7SK0KVB7Kxk8gPTvSEwEgjG49vTJxV9], make sure that it is public; Document successfully merged; Run via form trigger as kemal.stafsus@gmail.com; Timestamp: Jul 7 2020 12:06 PM</t>
  </si>
  <si>
    <t>https://drive.google.com/open?id=1QN4bpCa8kD2amuE0z0pfD4A9QX2y4V0Z</t>
  </si>
  <si>
    <t>https://drive.google.com/uc?export=view&amp;id=1QN4bpCa8kD2amuE0z0pfD4A9QX2y4V0Z</t>
  </si>
  <si>
    <t>Hariyanti Lestari, S.S.</t>
  </si>
  <si>
    <t>085921410685</t>
  </si>
  <si>
    <t>Jl. Kno Raya No. 78</t>
  </si>
  <si>
    <t>Pati</t>
  </si>
  <si>
    <t>04091989</t>
  </si>
  <si>
    <t>Math, English, Science, Al Qur'an</t>
  </si>
  <si>
    <t>STBA LIA Jakarta</t>
  </si>
  <si>
    <t>Sarjana Sastra Bahasa Inggris</t>
  </si>
  <si>
    <t>Sedang S2 di UIN Syarif Hidayatullah Jakarta</t>
  </si>
  <si>
    <t>Guru kelas 2</t>
  </si>
  <si>
    <t>Guru mapel dan Wali Kelas</t>
  </si>
  <si>
    <t>0610859129</t>
  </si>
  <si>
    <t>1o1u9_ZN3R1hcZQ8CC32yLwfigfh3LA1gUVMU9wvq8RM</t>
  </si>
  <si>
    <t>https://docs.google.com/document/d/1o1u9_ZN3R1hcZQ8CC32yLwfigfh3LA1gUVMU9wvq8RM/edit?usp=drivesdk</t>
  </si>
  <si>
    <t>Document successfully created; Document successfully merged; Run via form trigger as kemal.stafsus@gmail.com; Timestamp: Jul 7 2020 12:44 PM</t>
  </si>
  <si>
    <t>https://drive.google.com/open?id=1p1cCKwh03quyKnQW3-JIsbKeOvue4MtF</t>
  </si>
  <si>
    <t>https://drive.google.com/uc?export=view&amp;id=1p1cCKwh03quyKnQW3-JIsbKeOvue4MtF</t>
  </si>
  <si>
    <t>Atika Izni Ikramina</t>
  </si>
  <si>
    <t>081293223752</t>
  </si>
  <si>
    <t>1371094610950005</t>
  </si>
  <si>
    <t>Cileduk, tanggerang</t>
  </si>
  <si>
    <t>Padang , sumatera barat</t>
  </si>
  <si>
    <t>06 oktober 2020</t>
  </si>
  <si>
    <t>English, science and math</t>
  </si>
  <si>
    <t>Bung hatta University</t>
  </si>
  <si>
    <t>English department</t>
  </si>
  <si>
    <t xml:space="preserve">Guru SD ALWILDAN </t>
  </si>
  <si>
    <t>English course</t>
  </si>
  <si>
    <t xml:space="preserve">Shadow teacher in alwildan </t>
  </si>
  <si>
    <t>0906179046</t>
  </si>
  <si>
    <t>1rT15CKQ4zM-j2wbQ1hrHa-_AhcBkTy8PsBDFNGSUYxc</t>
  </si>
  <si>
    <t>https://docs.google.com/document/d/1rT15CKQ4zM-j2wbQ1hrHa-_AhcBkTy8PsBDFNGSUYxc/edit?usp=drivesdk</t>
  </si>
  <si>
    <t>Document successfully created; Document successfully merged; Run via form trigger as kemal.stafsus@gmail.com; Timestamp: Jul 7 2020 11:13 PM</t>
  </si>
  <si>
    <t>https://drive.google.com/open?id=1oJufbEHdgFtyBlENsm4USVUqT_2Fgmcf</t>
  </si>
  <si>
    <t>https://drive.google.com/uc?export=view&amp;id=1oJufbEHdgFtyBlENsm4USVUqT_2Fgmcf</t>
  </si>
  <si>
    <t>Iis Susanti A.Md</t>
  </si>
  <si>
    <t>088224810698</t>
  </si>
  <si>
    <t>3205166803950002</t>
  </si>
  <si>
    <t>Perumahan kelapa 2 kec.kelapa dua, kab.tangerang-Banten</t>
  </si>
  <si>
    <t>GARUT</t>
  </si>
  <si>
    <t>28-Maret-1995</t>
  </si>
  <si>
    <t>25 tahun</t>
  </si>
  <si>
    <t>Arabic, Alquran, dan diniyyah</t>
  </si>
  <si>
    <t>D3 LTIQ/STIQ Assyifa (Sekolah Tinggi Ilmu Qur'an)Subang- Bandung</t>
  </si>
  <si>
    <t>AL-Quran wa dirosah islamiyyah</t>
  </si>
  <si>
    <t>...</t>
  </si>
  <si>
    <t>SMP boarding Assyifa Subang (thn 2015-2016)</t>
  </si>
  <si>
    <t xml:space="preserve">... </t>
  </si>
  <si>
    <t>SMP-SMA Alwildan 1 (2016-2017)</t>
  </si>
  <si>
    <t>SD Alwildan 1 (2017-2020)</t>
  </si>
  <si>
    <t>Bismillah 4.000.000 (karena thn ini bertambah mengajar mapel Arabic</t>
  </si>
  <si>
    <t>0497159189</t>
  </si>
  <si>
    <t>1O9Ly2uzg9PEyeJu2yx59Lo9_MRe31iRCsKBLktF5ROM</t>
  </si>
  <si>
    <t>https://docs.google.com/document/d/1O9Ly2uzg9PEyeJu2yx59Lo9_MRe31iRCsKBLktF5ROM/edit?usp=drivesdk</t>
  </si>
  <si>
    <t>Document successfully created; Document successfully merged; Run via form trigger as kemal.stafsus@gmail.com; Timestamp: Jul 9 2020 7:22 AM</t>
  </si>
  <si>
    <t>https://drive.google.com/open?id=1odWhxLHiO9r-w8ollrs6ALXph57LHU-B</t>
  </si>
  <si>
    <t>https://drive.google.com/uc?export=view&amp;id=1odWhxLHiO9r-w8ollrs6ALXph57LHU-B</t>
  </si>
  <si>
    <t>Erni Ika Andriyani, M.Pd</t>
  </si>
  <si>
    <t>08156526702</t>
  </si>
  <si>
    <t>6207076901810001</t>
  </si>
  <si>
    <t xml:space="preserve">Perum kelapa Dua Jl.Kano 2 No.20 Kelurahan Kelapa Dua .Kec.Kelapa Dua, Tangerang
</t>
  </si>
  <si>
    <t>29 Januari 1981</t>
  </si>
  <si>
    <t>39 6 bulan</t>
  </si>
  <si>
    <t>ENGLISH ,  SCIENCE , MATH , BAHASA INDONESIA</t>
  </si>
  <si>
    <t>IKIP PGRI SEMARANG(UPGRIS)</t>
  </si>
  <si>
    <t>UNINDRA JAKARTA</t>
  </si>
  <si>
    <t>3.73</t>
  </si>
  <si>
    <t>Belum.segera insya Allah</t>
  </si>
  <si>
    <t>Belum..</t>
  </si>
  <si>
    <t>SMA 2 BREBES- SMK MUH.BULAKAMBA - BREBES
Sebagai guru bhs.inggris dan Wakil.Kepala Sekolah Bidang Kurikulum</t>
  </si>
  <si>
    <t>SMK BEST AGRO 1 - kalimantan Tengah 
Guru&amp;Wakil Kepala Sekolah Bidang Kurikulum</t>
  </si>
  <si>
    <t>4.200.000 dan sertifikasi 9.300.000 per 3.bulan</t>
  </si>
  <si>
    <t>AL WILDAN ISLAMIC SCHOOL
guru</t>
  </si>
  <si>
    <t>0465069611</t>
  </si>
  <si>
    <t>1SM-Hx6at-QRQeAWu4xB8xIHr1R29mftHsOnGIDpi0fw</t>
  </si>
  <si>
    <t>https://docs.google.com/document/d/1SM-Hx6at-QRQeAWu4xB8xIHr1R29mftHsOnGIDpi0fw/edit?usp=drivesdk</t>
  </si>
  <si>
    <t>Document successfully created; Invalid image URL [https://drive.google.com/uc?export=view&amp;id=1odWhxLHiO9r-w8ollrs6ALXph57LHU-B], make sure that it is public; Document successfully merged; Run via form trigger as kemal.stafsus@gmail.com; Timestamp: Jul 9 2020 8:28 AM</t>
  </si>
  <si>
    <t>https://drive.google.com/open?id=1WGuwHIXm-l5Fdib4BZiFvIFXj-48w22y</t>
  </si>
  <si>
    <t>https://drive.google.com/uc?export=view&amp;id=1WGuwHIXm-l5Fdib4BZiFvIFXj-48w22y</t>
  </si>
  <si>
    <t>Iwan Rusliyanto, S.Pd</t>
  </si>
  <si>
    <t>081548209054</t>
  </si>
  <si>
    <t>3305102606970001</t>
  </si>
  <si>
    <t xml:space="preserve">Asrama Al Wildan Islamic School 3 Bsd City </t>
  </si>
  <si>
    <t>Kebumen</t>
  </si>
  <si>
    <t>26-06-1997</t>
  </si>
  <si>
    <t>23 Tahun 13 Hari</t>
  </si>
  <si>
    <t>Ekonomi</t>
  </si>
  <si>
    <t>Pendidikan Ekonomi (Akuntansi)</t>
  </si>
  <si>
    <t xml:space="preserve">SMA Pondok Modern Selamat Kendal </t>
  </si>
  <si>
    <t xml:space="preserve">Al Wildan Islamic School 3 Bsd City </t>
  </si>
  <si>
    <t>0841059729</t>
  </si>
  <si>
    <t>15Cq-HTaDUPEA2CyM_NCNvynkyvfm3y8_wJ3PYr6u2o4</t>
  </si>
  <si>
    <t>https://docs.google.com/document/d/15Cq-HTaDUPEA2CyM_NCNvynkyvfm3y8_wJ3PYr6u2o4/edit?usp=drivesdk</t>
  </si>
  <si>
    <t>Document successfully created; Document successfully merged; Run via form trigger as kemal.stafsus@gmail.com; Timestamp: Jul 9 2020 8:45 AM</t>
  </si>
  <si>
    <t>https://drive.google.com/open?id=1yiPpWTxNaLOevhT1Euys5HP3kl8i3vv6</t>
  </si>
  <si>
    <t>https://drive.google.com/uc?export=view&amp;id=1yiPpWTxNaLOevhT1Euys5HP3kl8i3vv6</t>
  </si>
  <si>
    <t>Muhammad Amru Balbeid, Lc.</t>
  </si>
  <si>
    <t>081339999331</t>
  </si>
  <si>
    <t>5271013001920004</t>
  </si>
  <si>
    <t>Jl. Bidar 2 No.19, Kelapa Dua, Tangerang</t>
  </si>
  <si>
    <t>Klungkung, Bali.</t>
  </si>
  <si>
    <t>30-01-1992</t>
  </si>
  <si>
    <t>28 tahun 7 bulan</t>
  </si>
  <si>
    <t>Islamic University of Madinah Al-munawwarah</t>
  </si>
  <si>
    <t>Hadits dan Dirasat Islamiyyah</t>
  </si>
  <si>
    <t>3.15</t>
  </si>
  <si>
    <t>Guru</t>
  </si>
  <si>
    <t>0856483379</t>
  </si>
  <si>
    <t>1ul4PI44CiZSnzzXOXOSsNEoarrymCq8KpU9E0OhnirA</t>
  </si>
  <si>
    <t>https://docs.google.com/document/d/1ul4PI44CiZSnzzXOXOSsNEoarrymCq8KpU9E0OhnirA/edit?usp=drivesdk</t>
  </si>
  <si>
    <t>Document successfully created; Document successfully merged; Run via form trigger as kemal.stafsus@gmail.com; Timestamp: Jul 9 2020 11:58 PM</t>
  </si>
  <si>
    <t>https://drive.google.com/open?id=1rMt2aPjqE9AH4J0USHemsjcx95ryMhdB</t>
  </si>
  <si>
    <t>https://drive.google.com/uc?export=view&amp;id=1rMt2aPjqE9AH4J0USHemsjcx95ryMhdB</t>
  </si>
  <si>
    <t>Fachreza Astnam Mubarak, S.Sos</t>
  </si>
  <si>
    <t>085780250121</t>
  </si>
  <si>
    <t>3276042106830004</t>
  </si>
  <si>
    <t>JL. Haji Missin No.24 Lebak Bulus Jakarta Selatan</t>
  </si>
  <si>
    <t>21-06-1983</t>
  </si>
  <si>
    <t>37 Tahun</t>
  </si>
  <si>
    <t>English, Math, Science, IPA, Matematika</t>
  </si>
  <si>
    <t>STIKOM Interstudi</t>
  </si>
  <si>
    <t>Ilmu Komunikasi (Desain Komunikasi Visual)</t>
  </si>
  <si>
    <t>Wali Kelas, Guru Mapel English SD SMP, Marh, Science Al-Wildan 4</t>
  </si>
  <si>
    <t>Grahpic Designer PT. Unifam</t>
  </si>
  <si>
    <t>Graphic Designer Femina Group</t>
  </si>
  <si>
    <t>1PpILB5CnMPytfQovByq-4SX1UFgG4K7f0Px9j5wzrbY</t>
  </si>
  <si>
    <t>https://docs.google.com/document/d/1PpILB5CnMPytfQovByq-4SX1UFgG4K7f0Px9j5wzrbY/edit?usp=drivesdk</t>
  </si>
  <si>
    <t>Document successfully created; Invalid image URL [https://drive.google.com/uc?export=view&amp;id=1rMt2aPjqE9AH4J0USHemsjcx95ryMhdB], make sure that it is public; Document successfully merged; Run via form trigger as kemal.stafsus@gmail.com; Timestamp: Jul 10 2020 9:22 AM</t>
  </si>
  <si>
    <t>https://drive.google.com/open?id=1NxgLtviXn2XZSuLKECeqYwpCHFWA3ynT</t>
  </si>
  <si>
    <t>https://drive.google.com/uc?export=view&amp;id=1NxgLtviXn2XZSuLKECeqYwpCHFWA3ynT</t>
  </si>
  <si>
    <t>Fahad bafadhal S.Ag.</t>
  </si>
  <si>
    <t>082341655049</t>
  </si>
  <si>
    <t>52030515150290007</t>
  </si>
  <si>
    <t xml:space="preserve">Islamic Village tangerang </t>
  </si>
  <si>
    <t>Lombok timur</t>
  </si>
  <si>
    <t>15-02-1990</t>
  </si>
  <si>
    <t xml:space="preserve">30 thun 4 bulan </t>
  </si>
  <si>
    <t xml:space="preserve">Bahasa Arab, Siroh, Fiqih </t>
  </si>
  <si>
    <t>Sekolah Tinggi Dirasat Islamiyah Imam Syafii</t>
  </si>
  <si>
    <t xml:space="preserve">Hadits </t>
  </si>
  <si>
    <t>3.50</t>
  </si>
  <si>
    <t xml:space="preserve">Guru Diniyah dan bahasa Arab </t>
  </si>
  <si>
    <t>0329503944</t>
  </si>
  <si>
    <t>11EwW1Fzs8sMs6CN8HGxJ68deV-tp-MQ2WWEcC4P8aLk</t>
  </si>
  <si>
    <t>https://docs.google.com/document/d/11EwW1Fzs8sMs6CN8HGxJ68deV-tp-MQ2WWEcC4P8aLk/edit?usp=drivesdk</t>
  </si>
  <si>
    <t>Document successfully created; Document successfully merged; Run via form trigger as kemal.stafsus@gmail.com; Timestamp: Jul 12 2020 1:55 AM</t>
  </si>
  <si>
    <t>https://drive.google.com/open?id=18lkcm9K71xaJjbPy-6EDKxUfwlTbQNnP</t>
  </si>
  <si>
    <t>https://drive.google.com/uc?export=view&amp;id=18lkcm9K71xaJjbPy-6EDKxUfwlTbQNnP</t>
  </si>
  <si>
    <t>Jack 'Khalid' Roche</t>
  </si>
  <si>
    <t>082111009930</t>
  </si>
  <si>
    <t>N4924409</t>
  </si>
  <si>
    <t>Jl. Karakal, No. 45, Kampung Karakal, Rt001/006, Desa Sukamanah, Kec. Megamendung, Kab. Bogor, 16770</t>
  </si>
  <si>
    <t>Hull, England</t>
  </si>
  <si>
    <t>31-10-1953</t>
  </si>
  <si>
    <t>66 years, 8 bulan</t>
  </si>
  <si>
    <t>Canterbury University</t>
  </si>
  <si>
    <t>Asian Studies</t>
  </si>
  <si>
    <t>3.9</t>
  </si>
  <si>
    <t>Rp. 16,000,000</t>
  </si>
  <si>
    <t>1Qrx7PuQiOkbPoP6gCgBHTaYDf-gf5lrC_rybSNbLmMA</t>
  </si>
  <si>
    <t>https://docs.google.com/document/d/1Qrx7PuQiOkbPoP6gCgBHTaYDf-gf5lrC_rybSNbLmMA/edit?usp=drivesdk</t>
  </si>
  <si>
    <t>Document successfully created; Invalid image URL [https://drive.google.com/uc?export=view&amp;id=18lkcm9K71xaJjbPy-6EDKxUfwlTbQNnP], make sure that it is public; Document successfully merged; Run via form trigger as kemal.stafsus@gmail.com; Timestamp: Jul 12 2020 4:29 AM</t>
  </si>
  <si>
    <t>https://drive.google.com/open?id=1x6oCFdJONYTOLxdNxNEU090rNiF8du-G</t>
  </si>
  <si>
    <t>https://drive.google.com/uc?export=view&amp;id=1x6oCFdJONYTOLxdNxNEU090rNiF8du-G</t>
  </si>
  <si>
    <t>marhamah.S.Pd.I</t>
  </si>
  <si>
    <t>0818542299</t>
  </si>
  <si>
    <t>5203056812770003</t>
  </si>
  <si>
    <t>Dasana indah blok ua5 no 25 bonang</t>
  </si>
  <si>
    <t>lombok timur NTB</t>
  </si>
  <si>
    <t>28-12-1977</t>
  </si>
  <si>
    <t>43 th</t>
  </si>
  <si>
    <t>AL-QUR'AN</t>
  </si>
  <si>
    <t>universitas muhammadiyah jakarta [UMJ]</t>
  </si>
  <si>
    <t>Pendidikan agama islam</t>
  </si>
  <si>
    <t xml:space="preserve">3 juta </t>
  </si>
  <si>
    <t>0425428999</t>
  </si>
  <si>
    <t>1XpolPwjj3A5DKdQVuE8wOmMm_kOLxkknmxkGvSSLAIM</t>
  </si>
  <si>
    <t>https://docs.google.com/document/d/1XpolPwjj3A5DKdQVuE8wOmMm_kOLxkknmxkGvSSLAIM/edit?usp=drivesdk</t>
  </si>
  <si>
    <t>Document successfully created; Document successfully merged; Run via form trigger as kemal.stafsus@gmail.com; Timestamp: Jul 12 2020 11:08 AM</t>
  </si>
  <si>
    <t>https://drive.google.com/open?id=1d89uQLJPib62LyOUSo76lbs6UKP1QS0e</t>
  </si>
  <si>
    <t>https://drive.google.com/uc?export=view&amp;id=1d89uQLJPib62LyOUSo76lbs6UKP1QS0e</t>
  </si>
  <si>
    <t>Ibrohim</t>
  </si>
  <si>
    <t>087824546595</t>
  </si>
  <si>
    <t>5271051008900003</t>
  </si>
  <si>
    <t>Mataram</t>
  </si>
  <si>
    <t>10-08-1990</t>
  </si>
  <si>
    <t>29 tahun 11 bulan 3 hari</t>
  </si>
  <si>
    <t>Sekretaris Markaz / Guru Aqidah</t>
  </si>
  <si>
    <t>4.11/5  atau 3.7/4</t>
  </si>
  <si>
    <t>UIN SYARIF HIDAYATULLAH</t>
  </si>
  <si>
    <t>Semester 3</t>
  </si>
  <si>
    <t>ALWILDAN 3 BSD</t>
  </si>
  <si>
    <t>0589423516</t>
  </si>
  <si>
    <t>1ugLn4iyyRIWOyBQdpS6MwSwG2OndDnc416ZAyoOqjz0</t>
  </si>
  <si>
    <t>https://docs.google.com/document/d/1ugLn4iyyRIWOyBQdpS6MwSwG2OndDnc416ZAyoOqjz0/edit?usp=drivesdk</t>
  </si>
  <si>
    <t>Document successfully created; Document successfully merged; Run via form trigger as kemal.stafsus@gmail.com; Timestamp: Jul 13 2020 9:32 AM</t>
  </si>
  <si>
    <t>https://drive.google.com/open?id=105m-AHgD5fdlbc5OzGZhbxW2vH-tF_rC</t>
  </si>
  <si>
    <t>https://drive.google.com/uc?export=view&amp;id=105m-AHgD5fdlbc5OzGZhbxW2vH-tF_rC</t>
  </si>
  <si>
    <t>Rahma Lathifahani S.Mat</t>
  </si>
  <si>
    <t>089656968955</t>
  </si>
  <si>
    <t>3674075111940001</t>
  </si>
  <si>
    <t>Jalan Unan nomor 112, Kademangan, Setu, Tangerang Selatan</t>
  </si>
  <si>
    <t>11-11-1994</t>
  </si>
  <si>
    <t>25 tahun 8 bulan</t>
  </si>
  <si>
    <t>PTN-Universitas Padjadjaran</t>
  </si>
  <si>
    <t>2.94</t>
  </si>
  <si>
    <t>Freelance Teacher Bimbel IMB</t>
  </si>
  <si>
    <t>Guru Kontrak Bimbel Bintang Pelajar</t>
  </si>
  <si>
    <t>0569091832</t>
  </si>
  <si>
    <t>1TbvSs_86eMVjOkMJgtgTNjTOCVVgVQlM30bz_Kh3pJA</t>
  </si>
  <si>
    <t>https://docs.google.com/document/d/1TbvSs_86eMVjOkMJgtgTNjTOCVVgVQlM30bz_Kh3pJA/edit?usp=drivesdk</t>
  </si>
  <si>
    <t>Document successfully created; Document successfully merged; Run via form trigger as kemal.stafsus@gmail.com; Timestamp: Jul 19 2020 1:17 AM</t>
  </si>
  <si>
    <t>https://drive.google.com/open?id=18eYOurLLeHiQXzUnUwZV0d4wwTE1QDU7</t>
  </si>
  <si>
    <t>https://drive.google.com/uc?export=view&amp;id=18eYOurLLeHiQXzUnUwZV0d4wwTE1QDU7</t>
  </si>
  <si>
    <t>Rosmaniar, S.Si</t>
  </si>
  <si>
    <t>089620000172</t>
  </si>
  <si>
    <t>3671115702890001</t>
  </si>
  <si>
    <t>Jalan H. Missin no.24 Lebak Bulus, Cilandak, Jakarta Selatan 12440</t>
  </si>
  <si>
    <t>17-02-1989</t>
  </si>
  <si>
    <t>31 tahun 5 bulan</t>
  </si>
  <si>
    <t>Biologi Grade 10 &amp; 11, Science Grade 4-5-6, IPA Grade 7</t>
  </si>
  <si>
    <t>Universitas Islam Syarif Hidayatullah Jakarta</t>
  </si>
  <si>
    <t>MIPA BIologi</t>
  </si>
  <si>
    <t>Fontliner PT Bank Danamon Indonesia Tbk.</t>
  </si>
  <si>
    <t>Frontliner PT. Bank Mandiri (Persero) Tbk.</t>
  </si>
  <si>
    <t>Quality Control PT Torabika Eka Semesta</t>
  </si>
  <si>
    <t>5.000.000 (Minimal Sesuai dengan UMR Jakarta 2019)</t>
  </si>
  <si>
    <t>Mandiri</t>
  </si>
  <si>
    <t>1G2SMtgWrALWek8k9y_X9ZQ7XX9QkGz15k14J3YAhg1U</t>
  </si>
  <si>
    <t>https://docs.google.com/document/d/1G2SMtgWrALWek8k9y_X9ZQ7XX9QkGz15k14J3YAhg1U/edit?usp=drivesdk</t>
  </si>
  <si>
    <t>Document successfully created; Document successfully merged; Run via form trigger as kemal.stafsus@gmail.com; Timestamp: Jul 20 2020 12:38 AM</t>
  </si>
  <si>
    <t>https://drive.google.com/open?id=1Teb5q7BQVDXaC5FS5vr1ooChthw20-bL</t>
  </si>
  <si>
    <t>https://drive.google.com/uc?export=view&amp;id=1Teb5q7BQVDXaC5FS5vr1ooChthw20-bL</t>
  </si>
  <si>
    <t>Nur Fatria Khrisna Sari</t>
  </si>
  <si>
    <t>085841401990</t>
  </si>
  <si>
    <t>3201047001970006</t>
  </si>
  <si>
    <t>jambudipa jln raya rt01rw06 ds.cilebut timur kc.sukaraja kb.bogor</t>
  </si>
  <si>
    <t>BOGOR</t>
  </si>
  <si>
    <t>30-01-1997</t>
  </si>
  <si>
    <t>23 tahun 6 bulan</t>
  </si>
  <si>
    <t>Guru Mata Pelajaran, Musyrifah</t>
  </si>
  <si>
    <t>lulusan Takmili LIPIA</t>
  </si>
  <si>
    <t>Takmili D3</t>
  </si>
  <si>
    <t>wali kelas , guru Al qur'an , dan musyrifah</t>
  </si>
  <si>
    <t>0527495267</t>
  </si>
  <si>
    <t>1RCmrqlx0hoeMCb2MrIoopZEJ2RCqKymZ3Hym7J82zhM</t>
  </si>
  <si>
    <t>https://docs.google.com/document/d/1RCmrqlx0hoeMCb2MrIoopZEJ2RCqKymZ3Hym7J82zhM/edit?usp=drivesdk</t>
  </si>
  <si>
    <t>Document successfully created; Document successfully merged; Run via form trigger as kemal.stafsus@gmail.com; Timestamp: Jul 20 2020 3:55 AM</t>
  </si>
  <si>
    <t>https://drive.google.com/open?id=1E6gFIVXPQVsBqberSwYkx4qWMJ1lNbNK</t>
  </si>
  <si>
    <t>https://drive.google.com/uc?export=view&amp;id=1E6gFIVXPQVsBqberSwYkx4qWMJ1lNbNK</t>
  </si>
  <si>
    <t xml:space="preserve">rizky riyadi pamungkas </t>
  </si>
  <si>
    <t>081907129093</t>
  </si>
  <si>
    <t>5271021603960001</t>
  </si>
  <si>
    <t>pasarminggu, jakarta selatan, DKI jakarta</t>
  </si>
  <si>
    <t>mataram</t>
  </si>
  <si>
    <t>16-03-1996</t>
  </si>
  <si>
    <t>diniyah</t>
  </si>
  <si>
    <t>0325839436</t>
  </si>
  <si>
    <t>1-FF_mJ1NvBErYZcRLs0CbdkYo4kWwocIeRjfTrjbYrs</t>
  </si>
  <si>
    <t>https://docs.google.com/document/d/1-FF_mJ1NvBErYZcRLs0CbdkYo4kWwocIeRjfTrjbYrs/edit?usp=drivesdk</t>
  </si>
  <si>
    <t>Document successfully created; Document successfully merged; Run via form trigger as kemal.stafsus@gmail.com; Timestamp: Jul 20 2020 3:57 AM</t>
  </si>
  <si>
    <t>https://drive.google.com/open?id=1UHJhVKgHqv9f-q73Uxz8gywldDFdnjnC</t>
  </si>
  <si>
    <t>https://drive.google.com/uc?export=view&amp;id=1UHJhVKgHqv9f-q73Uxz8gywldDFdnjnC</t>
  </si>
  <si>
    <t>Jumaldo Abdu Rozaq Tanjung</t>
  </si>
  <si>
    <t>085376879377</t>
  </si>
  <si>
    <t>1408100810990005</t>
  </si>
  <si>
    <t>Pekanbaru Riau</t>
  </si>
  <si>
    <t>Manado</t>
  </si>
  <si>
    <t>08-10-1999</t>
  </si>
  <si>
    <t>20 tahun,  bulan sepuluh masuk 21</t>
  </si>
  <si>
    <t>Musyrif</t>
  </si>
  <si>
    <t>Alquran</t>
  </si>
  <si>
    <t>معهد الأسوة للدراسات الإسلامية واللغة العربية</t>
  </si>
  <si>
    <t xml:space="preserve"> Guru Alquran diponpes alkahfi</t>
  </si>
  <si>
    <t>Musyrif ,guru alquraan di alwildan 3</t>
  </si>
  <si>
    <t>1tK-KkfuOsd9i46UW6b2cazThT30me6uxQ1VLXwLc21U</t>
  </si>
  <si>
    <t>https://docs.google.com/document/d/1tK-KkfuOsd9i46UW6b2cazThT30me6uxQ1VLXwLc21U/edit?usp=drivesdk</t>
  </si>
  <si>
    <t>Document successfully created; Document successfully merged; Run via form trigger as kemal.stafsus@gmail.com; Timestamp: Jul 21 2020 2:21 AM</t>
  </si>
  <si>
    <t>https://drive.google.com/open?id=1H0dUBiDO_QbQ1mQcLVSP48A92IBVbtZ_</t>
  </si>
  <si>
    <t>https://drive.google.com/uc?export=view&amp;id=1H0dUBiDO_QbQ1mQcLVSP48A92IBVbtZ_</t>
  </si>
  <si>
    <t>Santri Sri Fitriani, M, Pd</t>
  </si>
  <si>
    <t>081281898982</t>
  </si>
  <si>
    <t>5204246610920001</t>
  </si>
  <si>
    <t>Kelurahan Tunggul Rejo, Desa Gubug, Kecamatan Cepogo, kabupaten Boyolali</t>
  </si>
  <si>
    <t>Sumbawa</t>
  </si>
  <si>
    <t>26 - 10 - 1992</t>
  </si>
  <si>
    <t>26 tahun, 9 Bulan</t>
  </si>
  <si>
    <t>Institute Keguruan dan Ilmu Pendidikan Mataram</t>
  </si>
  <si>
    <t>3.63</t>
  </si>
  <si>
    <t>3.65</t>
  </si>
  <si>
    <t>Al-Wildan International Islamic School 1 Gading Serpong</t>
  </si>
  <si>
    <t>Yayasan Al-Furqon Yogyakarta</t>
  </si>
  <si>
    <t>Al-Wildan International Islamic School 4 Jakarta</t>
  </si>
  <si>
    <t>0425449023</t>
  </si>
  <si>
    <t>1ecPfx4YV6WFJClXaD0P7tlGhbSS_Lqc-drCuIcybfmw</t>
  </si>
  <si>
    <t>https://docs.google.com/document/d/1ecPfx4YV6WFJClXaD0P7tlGhbSS_Lqc-drCuIcybfmw/edit?usp=drivesdk</t>
  </si>
  <si>
    <t>Document successfully created; Document successfully merged; Run via form trigger as kemal.stafsus@gmail.com; Timestamp: Jul 21 2020 3:40 AM</t>
  </si>
  <si>
    <t>https://drive.google.com/open?id=1xsEeqigCoPLYrrsfy7wQlVTpMKZ9o3KJ</t>
  </si>
  <si>
    <t>https://drive.google.com/uc?export=view&amp;id=1xsEeqigCoPLYrrsfy7wQlVTpMKZ9o3KJ</t>
  </si>
  <si>
    <t>Saffanah Fasya</t>
  </si>
  <si>
    <t>087786880804</t>
  </si>
  <si>
    <t>3173016803010005</t>
  </si>
  <si>
    <t>Jl. Lapas 1 No.1, Komplek Kehakiman, Tanah Tinggi, Tangerang, Banten</t>
  </si>
  <si>
    <t>28-03-2001</t>
  </si>
  <si>
    <t>19 tahun 4 bulan</t>
  </si>
  <si>
    <t>Al-Qur'an</t>
  </si>
  <si>
    <t>Institut Tahfizh Bersanad Al Qur'an Al Wildan (ITBA)</t>
  </si>
  <si>
    <t>Al Qur'an bersanad</t>
  </si>
  <si>
    <t>Guru Al-Qur'an</t>
  </si>
  <si>
    <t>1.750.000 / standar mahasiswi ITBA</t>
  </si>
  <si>
    <t>1A6G-Sv1bmBaBol_5cAy1pKh0DDaoqOrHbS0XOpfkYko</t>
  </si>
  <si>
    <t>https://docs.google.com/document/d/1A6G-Sv1bmBaBol_5cAy1pKh0DDaoqOrHbS0XOpfkYko/edit?usp=drivesdk</t>
  </si>
  <si>
    <t>Document successfully created; Document successfully merged; Run via form trigger as kemal.stafsus@gmail.com; Timestamp: Jul 21 2020 5:36 AM</t>
  </si>
  <si>
    <t>https://drive.google.com/open?id=18XLxRTSzRjMj8KTTwU9xlLpoDgrmIA1e</t>
  </si>
  <si>
    <t>https://drive.google.com/uc?export=view&amp;id=18XLxRTSzRjMj8KTTwU9xlLpoDgrmIA1e</t>
  </si>
  <si>
    <t>Miskus samuroh</t>
  </si>
  <si>
    <t>085798819395</t>
  </si>
  <si>
    <t>3301236111990003</t>
  </si>
  <si>
    <t>Jl. benggala timur, Mertasinga, Cilacap Utara, Ciacap, Jawa Tengah</t>
  </si>
  <si>
    <t>21-11-1999</t>
  </si>
  <si>
    <t>Itba</t>
  </si>
  <si>
    <t>Belum keluar</t>
  </si>
  <si>
    <t>1 bulan mengajar mukhoyyam al qur'an</t>
  </si>
  <si>
    <t>Bni a/n yadi kikis mungkar</t>
  </si>
  <si>
    <t>1RAwzXnsjbpLcimYuQ5lhpzeTweBdBtchGAYeKcwmzQM</t>
  </si>
  <si>
    <t>https://docs.google.com/document/d/1RAwzXnsjbpLcimYuQ5lhpzeTweBdBtchGAYeKcwmzQM/edit?usp=drivesdk</t>
  </si>
  <si>
    <t>Document successfully created; Document successfully merged; Run via form trigger as kemal.stafsus@gmail.com; Timestamp: Jul 21 2020 9:29 AM</t>
  </si>
  <si>
    <t>https://drive.google.com/open?id=1rebjOTVx2xk1wX8K7qNf0JSvBqD6HTW5</t>
  </si>
  <si>
    <t>https://drive.google.com/uc?export=view&amp;id=1rebjOTVx2xk1wX8K7qNf0JSvBqD6HTW5</t>
  </si>
  <si>
    <t>Ibnu Nasrullah, Lc</t>
  </si>
  <si>
    <t>085212478377</t>
  </si>
  <si>
    <t>3202103103930004</t>
  </si>
  <si>
    <t>Jagakarsa, psr minggu, Jakarta Selatan</t>
  </si>
  <si>
    <t>31-03-1993</t>
  </si>
  <si>
    <t>Th 20-21 sekarang, Qur'an dan SKI</t>
  </si>
  <si>
    <t>S1 Lipia</t>
  </si>
  <si>
    <t>Syariah (hukum islam) fiqih</t>
  </si>
  <si>
    <t>4.41</t>
  </si>
  <si>
    <t>Wali kelas</t>
  </si>
  <si>
    <t xml:space="preserve">Guru Qur'an </t>
  </si>
  <si>
    <t>Guru Diniyah</t>
  </si>
  <si>
    <t>0854690897</t>
  </si>
  <si>
    <t>BNI SYARI'AH</t>
  </si>
  <si>
    <t>1THKtCCDIyvIdzKHIG4oODTQWOtwrtD_zmKpdCTDkmQ4</t>
  </si>
  <si>
    <t>https://docs.google.com/document/d/1THKtCCDIyvIdzKHIG4oODTQWOtwrtD_zmKpdCTDkmQ4/edit?usp=drivesdk</t>
  </si>
  <si>
    <t>Document successfully created; Document successfully merged; Run via form trigger as kemal.stafsus@gmail.com; Timestamp: Jul 22 2020 2:50 AM</t>
  </si>
  <si>
    <t>https://drive.google.com/open?id=1rXrXaIWVZfkvDURO_xCZKTE-hzRp1AT0</t>
  </si>
  <si>
    <t>https://drive.google.com/uc?export=view&amp;id=1rXrXaIWVZfkvDURO_xCZKTE-hzRp1AT0</t>
  </si>
  <si>
    <t>Mohamad Farid, S.S</t>
  </si>
  <si>
    <t>085711166025</t>
  </si>
  <si>
    <t>3174070604870007</t>
  </si>
  <si>
    <t>Jl. Benda III, no. 27, Pulo, Kebayoran Baru, Jakarta Selatan</t>
  </si>
  <si>
    <t>DKI Jakarta</t>
  </si>
  <si>
    <t>06-04-1987</t>
  </si>
  <si>
    <t>33 tahun 3 bulan</t>
  </si>
  <si>
    <t>Akidah, Fikih, SKI</t>
  </si>
  <si>
    <t>Universitas Al Azhar Indonesia</t>
  </si>
  <si>
    <t>Sastra Arab</t>
  </si>
  <si>
    <t>Guru FIWA</t>
  </si>
  <si>
    <t>Editor Pustaka Ibnu Katsir</t>
  </si>
  <si>
    <t>Guru Emiisc</t>
  </si>
  <si>
    <t>1ed3QBPji3h8d4IvX-RI_Rq87LaFdJmG25FOHzWrZGW0</t>
  </si>
  <si>
    <t>https://docs.google.com/document/d/1ed3QBPji3h8d4IvX-RI_Rq87LaFdJmG25FOHzWrZGW0/edit?usp=drivesdk</t>
  </si>
  <si>
    <t>Document successfully created; Document successfully merged; Run via form trigger as kemal.stafsus@gmail.com; Timestamp: Jul 22 2020 4:16 AM</t>
  </si>
  <si>
    <t>https://drive.google.com/open?id=1Kch2WqEBnOGDC4YNZNSbkCWH0ZMMzRt3</t>
  </si>
  <si>
    <t>https://drive.google.com/uc?export=view&amp;id=1Kch2WqEBnOGDC4YNZNSbkCWH0ZMMzRt3</t>
  </si>
  <si>
    <t>Khairul Anam, Lc</t>
  </si>
  <si>
    <t>085813738458</t>
  </si>
  <si>
    <t>3216040107920017</t>
  </si>
  <si>
    <t>Pasar Minggu</t>
  </si>
  <si>
    <t>01-07-1992</t>
  </si>
  <si>
    <t>Qur'an</t>
  </si>
  <si>
    <t>Hukum Islam</t>
  </si>
  <si>
    <t>Guru pondok dan privat</t>
  </si>
  <si>
    <t>0854692283</t>
  </si>
  <si>
    <t>1NQf-HZqhHFrBN-uVqdQa3L3AjdkmxGjCknh6fF0Pj3A</t>
  </si>
  <si>
    <t>https://docs.google.com/document/d/1NQf-HZqhHFrBN-uVqdQa3L3AjdkmxGjCknh6fF0Pj3A/edit?usp=drivesdk</t>
  </si>
  <si>
    <t>Document successfully created; Document successfully merged; Run via form trigger as kemal.stafsus@gmail.com; Timestamp: Jul 22 2020 4:18 AM</t>
  </si>
  <si>
    <t>https://drive.google.com/open?id=1_aSU5WqxLtEjO4vJoMozXLhwqqROaD-6</t>
  </si>
  <si>
    <t>https://drive.google.com/uc?export=view&amp;id=1_aSU5WqxLtEjO4vJoMozXLhwqqROaD-6</t>
  </si>
  <si>
    <t>Eko Septian Pradana</t>
  </si>
  <si>
    <t>082113302818</t>
  </si>
  <si>
    <t>3301063009940003</t>
  </si>
  <si>
    <t>jl. H. Gandun Lebak Bulus Cilandak Jakarta Selatan</t>
  </si>
  <si>
    <t>30 September 1994</t>
  </si>
  <si>
    <t>Qur'an Diniyah Arabic</t>
  </si>
  <si>
    <t>STAI Al Aqidah Hasyimiyah Jakarta</t>
  </si>
  <si>
    <t>ijazah belum keluar</t>
  </si>
  <si>
    <t>Al Wildan 4 Jakarta Tahun Ajaran 2019- 2020</t>
  </si>
  <si>
    <t>0854691937</t>
  </si>
  <si>
    <t>1t8FWQOpbGaHudD5FFtRxjj8BiOvxCPz_pdleguqpLnY</t>
  </si>
  <si>
    <t>https://docs.google.com/document/d/1t8FWQOpbGaHudD5FFtRxjj8BiOvxCPz_pdleguqpLnY/edit?usp=drivesdk</t>
  </si>
  <si>
    <t>Document successfully created; Document successfully merged; Run via form trigger as kemal.stafsus@gmail.com; Timestamp: Jul 22 2020 4:29 AM</t>
  </si>
  <si>
    <t>https://drive.google.com/open?id=1NJj8libExACQBNHSUSBUyL_5ljejBiv-</t>
  </si>
  <si>
    <t>https://drive.google.com/uc?export=view&amp;id=1NJj8libExACQBNHSUSBUyL_5ljejBiv-</t>
  </si>
  <si>
    <t>Ichwan Agung Adhiraja Zulfikar</t>
  </si>
  <si>
    <t>087888296800</t>
  </si>
  <si>
    <t>3174061707001001</t>
  </si>
  <si>
    <t>Jln. Pondok Labu 1A/14A RT 02 RW 07 Jakarta Selatan DKI Jakarta</t>
  </si>
  <si>
    <t>17-07-2000</t>
  </si>
  <si>
    <t>Al Quran (Wali Kelas Markaz)</t>
  </si>
  <si>
    <t>0.0</t>
  </si>
  <si>
    <t>Al Wildan 1</t>
  </si>
  <si>
    <t>0738620710</t>
  </si>
  <si>
    <t>1H67AoVqqiA1RSzych3Iw2BPszDaaaD7TOXm8TcIYpmU</t>
  </si>
  <si>
    <t>https://docs.google.com/document/d/1H67AoVqqiA1RSzych3Iw2BPszDaaaD7TOXm8TcIYpmU/edit?usp=drivesdk</t>
  </si>
  <si>
    <t>Document successfully created; Document successfully merged; Run via form trigger as kemal.stafsus@gmail.com; Timestamp: Jul 22 2020 4:52 AM</t>
  </si>
  <si>
    <t>https://drive.google.com/open?id=1byuVBfGDkkGxR1qAPhUt0xS-2jJysp-h</t>
  </si>
  <si>
    <t>https://drive.google.com/uc?export=view&amp;id=1byuVBfGDkkGxR1qAPhUt0xS-2jJysp-h</t>
  </si>
  <si>
    <t>Dwi Annisa Fitrahyani, S.Pd.</t>
  </si>
  <si>
    <t>085238072479</t>
  </si>
  <si>
    <t>5271016201920001</t>
  </si>
  <si>
    <t>Jl. H. Gandun No. 28C Lebak Bulus, Cilandak - Jakarta Selatan</t>
  </si>
  <si>
    <t>22-01-1992</t>
  </si>
  <si>
    <t>28 tahun 6 bulan</t>
  </si>
  <si>
    <t>English, Math, Science</t>
  </si>
  <si>
    <t>Guru Al-Wildan Islamic School</t>
  </si>
  <si>
    <t>0566583077</t>
  </si>
  <si>
    <t>1CpPrAy5Uj69HJPe7jOLB_aqJuGMKRS5TYVLr9t8EK_s</t>
  </si>
  <si>
    <t>https://docs.google.com/document/d/1CpPrAy5Uj69HJPe7jOLB_aqJuGMKRS5TYVLr9t8EK_s/edit?usp=drivesdk</t>
  </si>
  <si>
    <t>Document successfully created; Document successfully merged; Run via form trigger as kemal.stafsus@gmail.com; Timestamp: Jul 23 2020 12:55 AM</t>
  </si>
  <si>
    <t>https://drive.google.com/open?id=1LP_Ceou0srZ1ZFQYW3dUZ0KncvMTVfvU</t>
  </si>
  <si>
    <t>https://drive.google.com/uc?export=view&amp;id=1LP_Ceou0srZ1ZFQYW3dUZ0KncvMTVfvU</t>
  </si>
  <si>
    <t>Khoirotul Islamiyah,  Lc</t>
  </si>
  <si>
    <t>08986028200</t>
  </si>
  <si>
    <t>5102014912890001</t>
  </si>
  <si>
    <t>Jln bulak 4 no 35 Cempaka putih, Ciputat, Tangerang Selatan</t>
  </si>
  <si>
    <t>Tabanan</t>
  </si>
  <si>
    <t>09-12-90</t>
  </si>
  <si>
    <t>29 Tahun 6 Bulan</t>
  </si>
  <si>
    <t>Al Qur'an, Sejarah Kebudayaan Islam</t>
  </si>
  <si>
    <t>Al Azhar University Cairo Mesir</t>
  </si>
  <si>
    <t>Syariah Islamiyah</t>
  </si>
  <si>
    <t>Dosen</t>
  </si>
  <si>
    <t xml:space="preserve">Guru </t>
  </si>
  <si>
    <t>0838453119</t>
  </si>
  <si>
    <t>1Q1qTo3ZewIVAGVKXp_nuHPv2P0g7Kq1SZjrVv8a3V4g</t>
  </si>
  <si>
    <t>https://docs.google.com/document/d/1Q1qTo3ZewIVAGVKXp_nuHPv2P0g7Kq1SZjrVv8a3V4g/edit?usp=drivesdk</t>
  </si>
  <si>
    <t>Document successfully created; Document successfully merged; Run via form trigger as kemal.stafsus@gmail.com; Timestamp: Jul 23 2020 1:26 AM</t>
  </si>
  <si>
    <t>https://drive.google.com/open?id=1r15y01IeCFGr9TIreRkqimPR5Iyxp1D3</t>
  </si>
  <si>
    <t>https://drive.google.com/uc?export=view&amp;id=1r15y01IeCFGr9TIreRkqimPR5Iyxp1D3</t>
  </si>
  <si>
    <t>Adih Ramdamei</t>
  </si>
  <si>
    <t>089631501509</t>
  </si>
  <si>
    <t>Jl. Pertanian 4 depan nomor A20 rt 006 rw 004 lebak bulus, cilandak, JakSel</t>
  </si>
  <si>
    <t>34 tahun 2 bulan</t>
  </si>
  <si>
    <t>Management keuangan</t>
  </si>
  <si>
    <t>Operation Officer Bank Muamalat Indonesia 2008 - 2019</t>
  </si>
  <si>
    <t>Finance Alwildan 4 Jakarta 2019 - Sekarang</t>
  </si>
  <si>
    <t>0838487615</t>
  </si>
  <si>
    <t>1zYxyEiLPW8TWpJTXqUVIr1ebxwRXe0kjht0ekd6625g</t>
  </si>
  <si>
    <t>https://docs.google.com/document/d/1zYxyEiLPW8TWpJTXqUVIr1ebxwRXe0kjht0ekd6625g/edit?usp=drivesdk</t>
  </si>
  <si>
    <t>Document successfully created; Document successfully merged; Run via form trigger as kemal.stafsus@gmail.com; Timestamp: Jul 23 2020 1:33 AM</t>
  </si>
  <si>
    <t>https://drive.google.com/open?id=1Xq5AuTUPN9YHE5rkFKeOyPlNQ7kPGywi</t>
  </si>
  <si>
    <t>https://drive.google.com/uc?export=view&amp;id=1Xq5AuTUPN9YHE5rkFKeOyPlNQ7kPGywi</t>
  </si>
  <si>
    <t>Islah Raudhuh.S.Pd</t>
  </si>
  <si>
    <t>081295292798</t>
  </si>
  <si>
    <t>1801065004950002</t>
  </si>
  <si>
    <t>Jln. Hj. Usman Rt. 04 Rw. 06 no. 67, Rempoa, Tangsel</t>
  </si>
  <si>
    <t>Kalianda</t>
  </si>
  <si>
    <t>10-04-1995</t>
  </si>
  <si>
    <t>25 tahun 3 bulan</t>
  </si>
  <si>
    <t>Arabic, Al Quran dan diniyah</t>
  </si>
  <si>
    <t>STIBA ARRAAYAH</t>
  </si>
  <si>
    <t>Pendidikan Bahasa Arab</t>
  </si>
  <si>
    <t xml:space="preserve">Kuttab Ibnu Abbas BSD (1 tahun) </t>
  </si>
  <si>
    <t>Al Wildan 4 Jakarta</t>
  </si>
  <si>
    <t>0854692476</t>
  </si>
  <si>
    <t>1OtykXbda4Og1X9V643LCOk9Q14564n9gaYe4ObZZnDo</t>
  </si>
  <si>
    <t>https://docs.google.com/document/d/1OtykXbda4Og1X9V643LCOk9Q14564n9gaYe4ObZZnDo/edit?usp=drivesdk</t>
  </si>
  <si>
    <t>Document successfully created; Invalid image URL [https://drive.google.com/uc?export=view&amp;id=1Xq5AuTUPN9YHE5rkFKeOyPlNQ7kPGywi], make sure that it is public; Document successfully merged; Run via form trigger as kemal.stafsus@gmail.com; Timestamp: Jul 23 2020 1:40 AM</t>
  </si>
  <si>
    <t>https://drive.google.com/open?id=1HTN1Mu5-zbYZsT5gG-TPIwha0bZHZqMK</t>
  </si>
  <si>
    <t>https://drive.google.com/uc?export=view&amp;id=1HTN1Mu5-zbYZsT5gG-TPIwha0bZHZqMK</t>
  </si>
  <si>
    <t>Amirullah.M.Pd</t>
  </si>
  <si>
    <t>085338535863</t>
  </si>
  <si>
    <t>5204252203920001</t>
  </si>
  <si>
    <t>Jl. H.nudin 71-72 Lebak bulus</t>
  </si>
  <si>
    <t>UNIVERSITAS MATARAM</t>
  </si>
  <si>
    <t>3.34</t>
  </si>
  <si>
    <t>Unindra</t>
  </si>
  <si>
    <t xml:space="preserve">Pendidikan bahasa inggris </t>
  </si>
  <si>
    <t>3.60</t>
  </si>
  <si>
    <t>Guru bahasa inggris</t>
  </si>
  <si>
    <t>0489349806</t>
  </si>
  <si>
    <t>1I66JEAfGXjvv8w8Ann-COqn-NlhfArkQPrvNuMt7Jh0</t>
  </si>
  <si>
    <t>https://docs.google.com/document/d/1I66JEAfGXjvv8w8Ann-COqn-NlhfArkQPrvNuMt7Jh0/edit?usp=drivesdk</t>
  </si>
  <si>
    <t>Document successfully created; Document successfully merged; Run via form trigger as kemal.stafsus@gmail.com; Timestamp: Jul 23 2020 1:52 AM</t>
  </si>
  <si>
    <t>https://drive.google.com/open?id=1bVLS_zztS9xj3VWzh32MB7-8KhjAhtw_</t>
  </si>
  <si>
    <t>https://drive.google.com/uc?export=view&amp;id=1bVLS_zztS9xj3VWzh32MB7-8KhjAhtw_</t>
  </si>
  <si>
    <t>Abriansyah</t>
  </si>
  <si>
    <t>085219253076</t>
  </si>
  <si>
    <t>1801220510950001</t>
  </si>
  <si>
    <t>Jl. Haji ustman rt, 4 rw, 6 no 67 rempoa tanggerang selatan</t>
  </si>
  <si>
    <t>05101995</t>
  </si>
  <si>
    <t>24 tahun 9 bulan</t>
  </si>
  <si>
    <t>Al-quran, arabic dan Diniyah</t>
  </si>
  <si>
    <t>3.29</t>
  </si>
  <si>
    <t>ALBINA ISLAMIC BOARDING SCHOOL</t>
  </si>
  <si>
    <t xml:space="preserve">Al Wildan 4 </t>
  </si>
  <si>
    <t>0854692590</t>
  </si>
  <si>
    <t>1SOhdc3DjV3Bj6-TsoFOeKvSC3w1o3yNmOjzG_pBMa0E</t>
  </si>
  <si>
    <t>https://docs.google.com/document/d/1SOhdc3DjV3Bj6-TsoFOeKvSC3w1o3yNmOjzG_pBMa0E/edit?usp=drivesdk</t>
  </si>
  <si>
    <t>Document successfully created; Document successfully merged; Run via form trigger as kemal.stafsus@gmail.com; Timestamp: Jul 23 2020 1:55 AM</t>
  </si>
  <si>
    <t>https://drive.google.com/open?id=1U5lnF1_d9by4o5h4hLAtpKYwzPA10FDx</t>
  </si>
  <si>
    <t>https://drive.google.com/uc?export=view&amp;id=1U5lnF1_d9by4o5h4hLAtpKYwzPA10FDx</t>
  </si>
  <si>
    <t>Fitriani S.PdI</t>
  </si>
  <si>
    <t>085237275997</t>
  </si>
  <si>
    <t>5272056208820004</t>
  </si>
  <si>
    <t>Ntonggu-Bima</t>
  </si>
  <si>
    <t>22-08-1982</t>
  </si>
  <si>
    <t>Al-qur'an</t>
  </si>
  <si>
    <t>)</t>
  </si>
  <si>
    <t>Tarbiyah-PAI</t>
  </si>
  <si>
    <t>Guru Al-wildam Dompu</t>
  </si>
  <si>
    <t>Manager d PT. ANUGRAH TIGA PERMATA MAKASSAR</t>
  </si>
  <si>
    <t>Mengajar d kampus UI depok</t>
  </si>
  <si>
    <t>BRI</t>
  </si>
  <si>
    <t>1H4bK7cigRVG_i8tlpUyd9L7VxfApvo0mRzXeHKe4Sms</t>
  </si>
  <si>
    <t>https://docs.google.com/document/d/1H4bK7cigRVG_i8tlpUyd9L7VxfApvo0mRzXeHKe4Sms/edit?usp=drivesdk</t>
  </si>
  <si>
    <t>Document successfully created; Document successfully merged; Run via form trigger as kemal.stafsus@gmail.com; Timestamp: Jul 23 2020 2:02 AM</t>
  </si>
  <si>
    <t>https://drive.google.com/open?id=123PlSkJqXGffRxBdr4w2PlzKnhSHBa9r</t>
  </si>
  <si>
    <t>https://drive.google.com/uc?export=view&amp;id=123PlSkJqXGffRxBdr4w2PlzKnhSHBa9r</t>
  </si>
  <si>
    <t>BAIQ Rafiah A.md</t>
  </si>
  <si>
    <t>+6287865081065</t>
  </si>
  <si>
    <t>5202054806930001</t>
  </si>
  <si>
    <t>jl.karangpola VII jatipadang pasar minggu jakarta selatan</t>
  </si>
  <si>
    <t>Mekkah Saudi Arabia</t>
  </si>
  <si>
    <t>08-06-1993</t>
  </si>
  <si>
    <t>27 tahun juni 2020</t>
  </si>
  <si>
    <t>Bahasa Arab dan Fiqih</t>
  </si>
  <si>
    <t>4.89</t>
  </si>
  <si>
    <t>Guru Bahasa Arab dan Diniyah</t>
  </si>
  <si>
    <t>Guru Bahasa Arab dan Agama</t>
  </si>
  <si>
    <t>guru bahasa arab dan diniyah</t>
  </si>
  <si>
    <t>0429269705</t>
  </si>
  <si>
    <t>1arYnZt2lXioYROsFDbDyQ2zaOESQPMccOboMXenShxs</t>
  </si>
  <si>
    <t>https://docs.google.com/document/d/1arYnZt2lXioYROsFDbDyQ2zaOESQPMccOboMXenShxs/edit?usp=drivesdk</t>
  </si>
  <si>
    <t>Document successfully created; Document successfully merged; Run via form trigger as kemal.stafsus@gmail.com; Timestamp: Jul 23 2020 2:12 AM</t>
  </si>
  <si>
    <t>https://drive.google.com/open?id=1qKmUFKxUUGFkX5fxouua8sAR5nlzqRWJ</t>
  </si>
  <si>
    <t>https://drive.google.com/uc?export=view&amp;id=1qKmUFKxUUGFkX5fxouua8sAR5nlzqRWJ</t>
  </si>
  <si>
    <t>Abriansyah. S.Pd</t>
  </si>
  <si>
    <t>Jl. Haji ustman rt 4 rw 6 no 67 rempoa tanggerang selatan</t>
  </si>
  <si>
    <t>Al-qur'an, Arabic dan Diniyah</t>
  </si>
  <si>
    <t>11iGgOi2WMINhsWQrB-wVrBvVqqfOR2y3BhSLz5biN0k</t>
  </si>
  <si>
    <t>https://docs.google.com/document/d/11iGgOi2WMINhsWQrB-wVrBvVqqfOR2y3BhSLz5biN0k/edit?usp=drivesdk</t>
  </si>
  <si>
    <t>Document successfully created; Document successfully merged; Run via form trigger as kemal.stafsus@gmail.com; Timestamp: Jul 23 2020 2:13 AM</t>
  </si>
  <si>
    <t>https://drive.google.com/open?id=1-BiLXm-WHzQw5a_-VOvfu9UHnu0aN0EA</t>
  </si>
  <si>
    <t>https://drive.google.com/uc?export=view&amp;id=1-BiLXm-WHzQw5a_-VOvfu9UHnu0aN0EA</t>
  </si>
  <si>
    <t>Nur Afiffah Suhailah</t>
  </si>
  <si>
    <t>081316858152</t>
  </si>
  <si>
    <t>3173026804980004</t>
  </si>
  <si>
    <t>Jl. Sinyar Raya 9 No 27 A RT 012 RW 009 KEL. Duri Pulo KEC. Gambir Jakarta Pusat.</t>
  </si>
  <si>
    <t>28-04-1998</t>
  </si>
  <si>
    <t>22 Tahun 3 Bulan</t>
  </si>
  <si>
    <t>Arabic, Al Qur'an, dan Fiqh</t>
  </si>
  <si>
    <t>In syaa alloh</t>
  </si>
  <si>
    <t>Bimbel El THA, 
Posisi : Guru Mata Pelajaran Umum</t>
  </si>
  <si>
    <t>Al Wildan islamic School
Guru FIQH 
Guru Al-Qur'an
Guru SKI
Wali Kelas</t>
  </si>
  <si>
    <t>1BAOexeh-XbOQFMqUtDqYhBf2kVo7-c8egjz0D1KB2Q8</t>
  </si>
  <si>
    <t>https://docs.google.com/document/d/1BAOexeh-XbOQFMqUtDqYhBf2kVo7-c8egjz0D1KB2Q8/edit?usp=drivesdk</t>
  </si>
  <si>
    <t>Document successfully created; Document successfully merged; Run via form trigger as kemal.stafsus@gmail.com; Timestamp: Jul 23 2020 2:17 AM</t>
  </si>
  <si>
    <t>https://drive.google.com/open?id=1GIQd8Ojb5ujlcfIECCgVVfzpCL3Ew6_P</t>
  </si>
  <si>
    <t>https://drive.google.com/uc?export=view&amp;id=1GIQd8Ojb5ujlcfIECCgVVfzpCL3Ew6_P</t>
  </si>
  <si>
    <t xml:space="preserve">Oktaviawan Arif Sudarsono, S. Pd. </t>
  </si>
  <si>
    <t>085776168004</t>
  </si>
  <si>
    <t>3372031910890002</t>
  </si>
  <si>
    <t>Jl. Galunggung no.16 RT 09 RW 06, Komplek keuangan, Karang Tengah, Banten, Tangerang.</t>
  </si>
  <si>
    <t>Surakarta</t>
  </si>
  <si>
    <t>19-10-1990</t>
  </si>
  <si>
    <t>29 tahun 9 bulan</t>
  </si>
  <si>
    <t>Matematika &amp; IPA</t>
  </si>
  <si>
    <t>PTN - UNS</t>
  </si>
  <si>
    <t>PTS-Unindra</t>
  </si>
  <si>
    <t>MIPA</t>
  </si>
  <si>
    <t>3.59</t>
  </si>
  <si>
    <t xml:space="preserve">SMPIT TA'MIRUL ISLAM Surakarta </t>
  </si>
  <si>
    <t xml:space="preserve">MA AL-KAHFI Surakarta </t>
  </si>
  <si>
    <t>Bimbel Bintang Pelajar</t>
  </si>
  <si>
    <t>0823304470</t>
  </si>
  <si>
    <t>1dFOPVrbXKEsDElz_MDHYrUjxQ2f2aRFMwO20-D5hSK4</t>
  </si>
  <si>
    <t>https://docs.google.com/document/d/1dFOPVrbXKEsDElz_MDHYrUjxQ2f2aRFMwO20-D5hSK4/edit?usp=drivesdk</t>
  </si>
  <si>
    <t>Document successfully created; Document successfully merged; Run via form trigger as kemal.stafsus@gmail.com; Timestamp: Jul 23 2020 2:20 AM</t>
  </si>
  <si>
    <t>https://drive.google.com/open?id=1k07xD8jV7uq5qomwWn1Ih9nKGwXm5gGs</t>
  </si>
  <si>
    <t>https://drive.google.com/uc?export=view&amp;id=1k07xD8jV7uq5qomwWn1Ih9nKGwXm5gGs</t>
  </si>
  <si>
    <t>Muhammad Atiq Qoidul Islam c.L, c</t>
  </si>
  <si>
    <t>087878394622</t>
  </si>
  <si>
    <t>5271012810950002</t>
  </si>
  <si>
    <t>griya duren gede, Jati murni dalam, jati padang,  pasar minggu</t>
  </si>
  <si>
    <t>gresik</t>
  </si>
  <si>
    <t>28-10-1995</t>
  </si>
  <si>
    <t>25 Tahun</t>
  </si>
  <si>
    <t>SKI, AQIDAH, FIQIH</t>
  </si>
  <si>
    <t>4.43</t>
  </si>
  <si>
    <t>Guru Al-wildan 4</t>
  </si>
  <si>
    <t>Pengajar Les</t>
  </si>
  <si>
    <t>0843712996</t>
  </si>
  <si>
    <t>116ZkjMcpnZgNNdxzzwkLAtnd_prrmh1XHrNmGxatgZk</t>
  </si>
  <si>
    <t>https://docs.google.com/document/d/116ZkjMcpnZgNNdxzzwkLAtnd_prrmh1XHrNmGxatgZk/edit?usp=drivesdk</t>
  </si>
  <si>
    <t>Document successfully created; Document successfully merged; Run via form trigger as kemal.stafsus@gmail.com; Timestamp: Jul 23 2020 2:22 AM</t>
  </si>
  <si>
    <t>https://drive.google.com/open?id=1nML4DqNUSnzry20dm1pIHAm3xSi0Xkab</t>
  </si>
  <si>
    <t>https://drive.google.com/uc?export=view&amp;id=1nML4DqNUSnzry20dm1pIHAm3xSi0Xkab</t>
  </si>
  <si>
    <t>Agil Al Ghozali</t>
  </si>
  <si>
    <t>089666611141</t>
  </si>
  <si>
    <t>tridaya nuansa indah blok da.6 no. 2</t>
  </si>
  <si>
    <t>08081996</t>
  </si>
  <si>
    <t>23 tahun 11 bulan</t>
  </si>
  <si>
    <t>belom lulus</t>
  </si>
  <si>
    <t>guru, musyrif</t>
  </si>
  <si>
    <t>0428254564</t>
  </si>
  <si>
    <t>1j2w9sqislyEwbyKp5-7faNZJCHKu5GyHOlih4TlXY7k</t>
  </si>
  <si>
    <t>https://docs.google.com/document/d/1j2w9sqislyEwbyKp5-7faNZJCHKu5GyHOlih4TlXY7k/edit?usp=drivesdk</t>
  </si>
  <si>
    <t>Document successfully created; Document successfully merged; Run via form trigger as kemal.stafsus@gmail.com; Timestamp: Jul 23 2020 2:28 AM</t>
  </si>
  <si>
    <t>https://drive.google.com/open?id=1pF_Aw3V1_yAH0JYyEcy1SztnbUW83o8-</t>
  </si>
  <si>
    <t>https://drive.google.com/uc?export=view&amp;id=1pF_Aw3V1_yAH0JYyEcy1SztnbUW83o8-</t>
  </si>
  <si>
    <t>Eka nurhasanah</t>
  </si>
  <si>
    <t>082340097529</t>
  </si>
  <si>
    <t>5206075312920002</t>
  </si>
  <si>
    <t>Jln.haji nudin RT 5 Rw 4 no 71</t>
  </si>
  <si>
    <t>13/12/1992</t>
  </si>
  <si>
    <t>3.95</t>
  </si>
  <si>
    <t>Pondok Pesantren</t>
  </si>
  <si>
    <t>Pondok pesantren</t>
  </si>
  <si>
    <t>0847547098</t>
  </si>
  <si>
    <t>1dTYBvb_7z6fpK6cVxuCHbh9SJQIe83y5-syAKP6qhqg</t>
  </si>
  <si>
    <t>https://docs.google.com/document/d/1dTYBvb_7z6fpK6cVxuCHbh9SJQIe83y5-syAKP6qhqg/edit?usp=drivesdk</t>
  </si>
  <si>
    <t>Document successfully created; Document successfully merged; Run via form trigger as kemal.stafsus@gmail.com; Timestamp: Jul 23 2020 2:36 AM</t>
  </si>
  <si>
    <t>https://drive.google.com/open?id=1o6baLqjbpPJ0Wv9F3FeUqm24ZafhQzgF</t>
  </si>
  <si>
    <t>https://drive.google.com/uc?export=view&amp;id=1o6baLqjbpPJ0Wv9F3FeUqm24ZafhQzgF</t>
  </si>
  <si>
    <t>Haiqal Muhammad, S.Sos</t>
  </si>
  <si>
    <t>089502446396</t>
  </si>
  <si>
    <t>3175080303760002</t>
  </si>
  <si>
    <t>Jalan Elang 5 Kranggan Bekasi</t>
  </si>
  <si>
    <t>Medan</t>
  </si>
  <si>
    <t>03-03-1976</t>
  </si>
  <si>
    <t>44 tahun 4 bulan</t>
  </si>
  <si>
    <t>IISIP LA Jakarta</t>
  </si>
  <si>
    <t>Administration Business</t>
  </si>
  <si>
    <t>Nielsen Media Research</t>
  </si>
  <si>
    <t>1j1j-YySqVmkTAUhnl2j0esGaBYas0y9u6HAxD-S8BFY</t>
  </si>
  <si>
    <t>https://docs.google.com/document/d/1j1j-YySqVmkTAUhnl2j0esGaBYas0y9u6HAxD-S8BFY/edit?usp=drivesdk</t>
  </si>
  <si>
    <t>Document successfully created; Document successfully merged; Run via form trigger as kemal.stafsus@gmail.com; Timestamp: Jul 23 2020 2:51 AM</t>
  </si>
  <si>
    <t>https://drive.google.com/open?id=1297BgeW8lQpiIV5D5RPnrh34kZ5mg4yi</t>
  </si>
  <si>
    <t>https://drive.google.com/uc?export=view&amp;id=1297BgeW8lQpiIV5D5RPnrh34kZ5mg4yi</t>
  </si>
  <si>
    <t>Afifah Mutmainnah</t>
  </si>
  <si>
    <t>085238651880</t>
  </si>
  <si>
    <t>5205015707000002</t>
  </si>
  <si>
    <t>Desa Dompu Oo</t>
  </si>
  <si>
    <t>Alas Sumbawa</t>
  </si>
  <si>
    <t>Tahfidz quran</t>
  </si>
  <si>
    <t>0836404877</t>
  </si>
  <si>
    <t>1FtgPHFkCgZ8w2VhXp9WmgLvp9rmFDOdVX1FMtkyAurs</t>
  </si>
  <si>
    <t>https://docs.google.com/document/d/1FtgPHFkCgZ8w2VhXp9WmgLvp9rmFDOdVX1FMtkyAurs/edit?usp=drivesdk</t>
  </si>
  <si>
    <t>Document successfully created; Invalid image URL [https://drive.google.com/uc?export=view&amp;id=1297BgeW8lQpiIV5D5RPnrh34kZ5mg4yi], make sure that it is public; Document successfully merged; Run via form trigger as kemal.stafsus@gmail.com; Timestamp: Jul 23 2020 3:30 AM</t>
  </si>
  <si>
    <t>https://drive.google.com/open?id=18kgbbliLqQZpDcDOiK6K3TNq-HFSL1QD</t>
  </si>
  <si>
    <t>https://drive.google.com/uc?export=view&amp;id=18kgbbliLqQZpDcDOiK6K3TNq-HFSL1QD</t>
  </si>
  <si>
    <t>ukhtifillah Naraseuki</t>
  </si>
  <si>
    <t>085282796544</t>
  </si>
  <si>
    <t>1174036004980002</t>
  </si>
  <si>
    <t>jl.hj.nudin no.71,kec.cilandak.lebak bulus jaksel</t>
  </si>
  <si>
    <t>langsa</t>
  </si>
  <si>
    <t>20-04-1998</t>
  </si>
  <si>
    <t>22 Tahun</t>
  </si>
  <si>
    <t>Al-quran</t>
  </si>
  <si>
    <t>---</t>
  </si>
  <si>
    <t>1.pernah menjadi walas satu akhwat
2.pernah mengajar bahasa arab
3.pernah mengajar aqidah dan fikih akhwat sd ,sma</t>
  </si>
  <si>
    <t>bank mandiri syariah</t>
  </si>
  <si>
    <t>1Jb8WfcZ9k2auXDLHZHzHUz9bhk0TiUWtrxg1iA2PwdE</t>
  </si>
  <si>
    <t>https://docs.google.com/document/d/1Jb8WfcZ9k2auXDLHZHzHUz9bhk0TiUWtrxg1iA2PwdE/edit?usp=drivesdk</t>
  </si>
  <si>
    <t>Document successfully created; Document successfully merged; Run via form trigger as kemal.stafsus@gmail.com; Timestamp: Jul 23 2020 3:34 AM</t>
  </si>
  <si>
    <t>https://drive.google.com/open?id=1OMA1jd0RFsgGHe5MXhMVLC6MzTtDTQef</t>
  </si>
  <si>
    <t>https://drive.google.com/uc?export=view&amp;id=1OMA1jd0RFsgGHe5MXhMVLC6MzTtDTQef</t>
  </si>
  <si>
    <t>Saddam Said Muchasin,Lc</t>
  </si>
  <si>
    <t>085327059697</t>
  </si>
  <si>
    <t>3271041408910014</t>
  </si>
  <si>
    <t xml:space="preserve">Purwokerto </t>
  </si>
  <si>
    <t>14-08-1991</t>
  </si>
  <si>
    <t>28 11 bulan</t>
  </si>
  <si>
    <t>Aqidah, Fiqh, SKI</t>
  </si>
  <si>
    <t>17cIfdJWMTGruXBHrnwI3VtRFE_EQODzxSyAs2tAdRR8</t>
  </si>
  <si>
    <t>https://docs.google.com/document/d/17cIfdJWMTGruXBHrnwI3VtRFE_EQODzxSyAs2tAdRR8/edit?usp=drivesdk</t>
  </si>
  <si>
    <t>Document successfully created; Document successfully merged; Run via form trigger as kemal.stafsus@gmail.com; Timestamp: Jul 23 2020 3:49 AM</t>
  </si>
  <si>
    <t>https://drive.google.com/open?id=1hmPpCNbVq7utd-QMOKhHynb3tHsC4xlv</t>
  </si>
  <si>
    <t>https://drive.google.com/uc?export=view&amp;id=1hmPpCNbVq7utd-QMOKhHynb3tHsC4xlv</t>
  </si>
  <si>
    <t>Risqi Aguspianto, M.Pd.</t>
  </si>
  <si>
    <t>082339032020</t>
  </si>
  <si>
    <t>5204222608920001</t>
  </si>
  <si>
    <t>Jln. Mars Raya No. 35 Pisangan, Ciputat Timur, Tangerang Selatan, Banten</t>
  </si>
  <si>
    <t>Sumbawa Besar</t>
  </si>
  <si>
    <t>26-08-1992</t>
  </si>
  <si>
    <t>27 Tahun 11 Bulan</t>
  </si>
  <si>
    <t>IKIP Mataram</t>
  </si>
  <si>
    <t>3.56</t>
  </si>
  <si>
    <t>Universitas Indraprasta PGRI Jakarta</t>
  </si>
  <si>
    <t xml:space="preserve">Pendidikan Bahasa Inggris </t>
  </si>
  <si>
    <t>Direktur Pendidikan Al-Wildan 4 Jakarta</t>
  </si>
  <si>
    <t>Rp. 9.000.000</t>
  </si>
  <si>
    <t>Rp.12.500.000</t>
  </si>
  <si>
    <t>0725042551</t>
  </si>
  <si>
    <t>1rA6Sw78qqEGcGV82GYSHD0YCqpS1719Tpug0lVJxTOc</t>
  </si>
  <si>
    <t>https://docs.google.com/document/d/1rA6Sw78qqEGcGV82GYSHD0YCqpS1719Tpug0lVJxTOc/edit?usp=drivesdk</t>
  </si>
  <si>
    <t>Document successfully created; Invalid image URL [https://drive.google.com/uc?export=view&amp;id=1hmPpCNbVq7utd-QMOKhHynb3tHsC4xlv], make sure that it is public; Document successfully merged; Run via form trigger as kemal.stafsus@gmail.com; Timestamp: Jul 23 2020 3:51 AM</t>
  </si>
  <si>
    <t>https://drive.google.com/open?id=1HhNcD1fbK4lJEcNPeetZhVZE9qA0Jk8y</t>
  </si>
  <si>
    <t>https://drive.google.com/uc?export=view&amp;id=1HhNcD1fbK4lJEcNPeetZhVZE9qA0Jk8y</t>
  </si>
  <si>
    <t>Mega Putri Damayanti, S. IP.</t>
  </si>
  <si>
    <t>+6282132903637</t>
  </si>
  <si>
    <t>1871116009950006</t>
  </si>
  <si>
    <t>Jl. Haji Gandun RT.07 RW.08, Lebak Bulus, Cilandak, Jakarta Selatan.</t>
  </si>
  <si>
    <t xml:space="preserve">Magelang </t>
  </si>
  <si>
    <t>20-09-1995</t>
  </si>
  <si>
    <t>24 tahun10 bulan</t>
  </si>
  <si>
    <t>Math, Science, English</t>
  </si>
  <si>
    <t>Universitas Muhammadiyah Yogyakarta</t>
  </si>
  <si>
    <t xml:space="preserve">S1 - Ilmu Hubungan Internasional </t>
  </si>
  <si>
    <t>Guru Al Wildan 4 Jakarta</t>
  </si>
  <si>
    <t>0306698746</t>
  </si>
  <si>
    <t>1zc0Plbqti8t0HFldrsJtHJ34NAJ67SNr8KR9krouar0</t>
  </si>
  <si>
    <t>https://docs.google.com/document/d/1zc0Plbqti8t0HFldrsJtHJ34NAJ67SNr8KR9krouar0/edit?usp=drivesdk</t>
  </si>
  <si>
    <t>Document successfully created; Document successfully merged; Run via form trigger as kemal.stafsus@gmail.com; Timestamp: Jul 23 2020 4:04 AM</t>
  </si>
  <si>
    <t>https://drive.google.com/open?id=1_baPqqScUKvV7rg4VWlffowjNNkjhLln</t>
  </si>
  <si>
    <t>https://drive.google.com/uc?export=view&amp;id=1_baPqqScUKvV7rg4VWlffowjNNkjhLln</t>
  </si>
  <si>
    <t>Ahdiyah</t>
  </si>
  <si>
    <t>0895605831589</t>
  </si>
  <si>
    <t>3671075102960004</t>
  </si>
  <si>
    <t>pabuaran sibang no 173</t>
  </si>
  <si>
    <t>24 th 4 bulan</t>
  </si>
  <si>
    <t>Dinniyah</t>
  </si>
  <si>
    <t>None</t>
  </si>
  <si>
    <t>Mengajar smp kelas 1 dan Takhosus di pondok pesantren BinBaz waktu masa pengabdian</t>
  </si>
  <si>
    <t>Mengajar TK di Alwildan</t>
  </si>
  <si>
    <t>Mengajar TK Alwildan 1</t>
  </si>
  <si>
    <t>0844335685</t>
  </si>
  <si>
    <t>1mOsHtArkq-PN9noMZb4oaDNVzKVVK60xFIopJMHg8KU</t>
  </si>
  <si>
    <t>https://docs.google.com/document/d/1mOsHtArkq-PN9noMZb4oaDNVzKVVK60xFIopJMHg8KU/edit?usp=drivesdk</t>
  </si>
  <si>
    <t>Document successfully created; Document successfully merged; Run via form trigger as kemal.stafsus@gmail.com; Timestamp: Jul 23 2020 4:47 AM</t>
  </si>
  <si>
    <t>https://drive.google.com/open?id=11dA5493f28DXctg2NEwUhRi0X9wWsG2e</t>
  </si>
  <si>
    <t>https://drive.google.com/uc?export=view&amp;id=11dA5493f28DXctg2NEwUhRi0X9wWsG2e</t>
  </si>
  <si>
    <t>Yasinta Maulida Albahti</t>
  </si>
  <si>
    <t>087722583116</t>
  </si>
  <si>
    <t>5171016506000005</t>
  </si>
  <si>
    <t>Jl. Raya Pemogan Gg anggrek No 1 Denpasar Selatan- Bali</t>
  </si>
  <si>
    <t>Denpasar</t>
  </si>
  <si>
    <t>25-06-2000</t>
  </si>
  <si>
    <t>20 tahun 1/2 bulan</t>
  </si>
  <si>
    <t>ITBA (masih mahasiswi ITBA 1)</t>
  </si>
  <si>
    <t>belum mengetahuai/belum keluar</t>
  </si>
  <si>
    <t>Alhamdulillah pernah berpengalaman menjadi Guru pengganti menggantikan guru Al qur'an terutama Syaikhoh. Pernah mengejan amanah menjadi musyrifah untuk kelas 7 dan 10 serta Alhamdulillah mendapat amanah PPL di kelas SMP-SMA sebelum mengajar di SD. Dan alhamdulillah mengajar di SD di Kelas Markaz Akhwat.</t>
  </si>
  <si>
    <t>1.500.000-1.750.000</t>
  </si>
  <si>
    <t>Sesuai dengan UMR/Kebijakan</t>
  </si>
  <si>
    <t>0852433058</t>
  </si>
  <si>
    <t>12mw4S7wOrQG0Uq3miLu6FQD3Ju8hFPn9i2kWNydcxV4</t>
  </si>
  <si>
    <t>https://docs.google.com/document/d/12mw4S7wOrQG0Uq3miLu6FQD3Ju8hFPn9i2kWNydcxV4/edit?usp=drivesdk</t>
  </si>
  <si>
    <t>Document successfully created; Document successfully merged; Run via form trigger as kemal.stafsus@gmail.com; Timestamp: Jul 24 2020 9:39 AM</t>
  </si>
  <si>
    <t>https://drive.google.com/open?id=1wckcJyiCJGEFuqC2N1e-mG9UbsN-dAPU</t>
  </si>
  <si>
    <t>https://drive.google.com/uc?export=view&amp;id=1wckcJyiCJGEFuqC2N1e-mG9UbsN-dAPU</t>
  </si>
  <si>
    <t>Haifa Ali Hizam</t>
  </si>
  <si>
    <t>081805222120</t>
  </si>
  <si>
    <t>5271035701930002</t>
  </si>
  <si>
    <t>Islamic village</t>
  </si>
  <si>
    <t>Mataram Lombok</t>
  </si>
  <si>
    <t>17 Januari 1993</t>
  </si>
  <si>
    <t>27 tahun 6 bulan</t>
  </si>
  <si>
    <t>Al Quran dan diniyah</t>
  </si>
  <si>
    <t>Abu Hurairah</t>
  </si>
  <si>
    <t>Guru di Abuhurairah Lombok</t>
  </si>
  <si>
    <t xml:space="preserve">Al Wildan </t>
  </si>
  <si>
    <t>1AwneH8WuGd6R-34hgx-Ls0GgyrolUQdOuh_qBifM0tI</t>
  </si>
  <si>
    <t>https://docs.google.com/document/d/1AwneH8WuGd6R-34hgx-Ls0GgyrolUQdOuh_qBifM0tI/edit?usp=drivesdk</t>
  </si>
  <si>
    <t>Document successfully created; Document successfully merged; Run via form trigger as kemal.stafsus@gmail.com; Timestamp: Jul 26 2020 3:52 AM</t>
  </si>
  <si>
    <t>https://drive.google.com/open?id=1xBf6Za8Pa5x9qXyOuMg5JmMHgKplYMp0</t>
  </si>
  <si>
    <t>https://drive.google.com/uc?export=view&amp;id=1xBf6Za8Pa5x9qXyOuMg5JmMHgKplYMp0</t>
  </si>
  <si>
    <t>Baiq Zauzaini</t>
  </si>
  <si>
    <t>087857611845</t>
  </si>
  <si>
    <t>5203147101000006</t>
  </si>
  <si>
    <t>31 Januari 2000</t>
  </si>
  <si>
    <t>20 THN</t>
  </si>
  <si>
    <t>1AI1qMR_V574rKAfPLQ2YKi3JhZ5GBEqMonyc1A8gQSY</t>
  </si>
  <si>
    <t>https://docs.google.com/document/d/1AI1qMR_V574rKAfPLQ2YKi3JhZ5GBEqMonyc1A8gQSY/edit?usp=drivesdk</t>
  </si>
  <si>
    <t>Document successfully created; Document successfully merged; Run via form trigger as kemal.stafsus@gmail.com; Timestamp: Jul 27 2020 3:21 AM</t>
  </si>
  <si>
    <t>https://drive.google.com/open?id=1_2P96ho9prdmh5c9qTIbkYbZM0cAlHBN</t>
  </si>
  <si>
    <t>https://drive.google.com/uc?export=view&amp;id=1_2P96ho9prdmh5c9qTIbkYbZM0cAlHBN</t>
  </si>
  <si>
    <t>Mustafa, S.Kom.</t>
  </si>
  <si>
    <t>081215407254</t>
  </si>
  <si>
    <t>5205031704900001</t>
  </si>
  <si>
    <t>Pakulonan Barat, Kelapa Dua, Tangerang-Banten.</t>
  </si>
  <si>
    <t>17 April 1990</t>
  </si>
  <si>
    <t>30 tahun 3 bulan</t>
  </si>
  <si>
    <t>Tim IT</t>
  </si>
  <si>
    <t>Universitas Ahmad Dahlan</t>
  </si>
  <si>
    <t>2.85</t>
  </si>
  <si>
    <t>Programer Website dan Analisis Sistem ( Developer Website CMS Asrama Mahasiswa)</t>
  </si>
  <si>
    <t>Freelancer Developer Website (Developer E-Learning SMA N 1 Manyaran Yogyakarta)</t>
  </si>
  <si>
    <t>0584117582</t>
  </si>
  <si>
    <t>1GHW--14zKWLQBxoyzaMzxvRm-UfQ1XEvOHRm5JON9JQ</t>
  </si>
  <si>
    <t>https://docs.google.com/document/d/1GHW--14zKWLQBxoyzaMzxvRm-UfQ1XEvOHRm5JON9JQ/edit?usp=drivesdk</t>
  </si>
  <si>
    <t>Document successfully created; Document successfully merged; Run via form trigger as kemal.stafsus@gmail.com; Timestamp: Jul 27 2020 11:56 PM</t>
  </si>
  <si>
    <t>https://drive.google.com/open?id=1wgjU6uH9Hb1RAJFoM4wZjE2B6v1ZNaI8</t>
  </si>
  <si>
    <t>https://drive.google.com/uc?export=view&amp;id=1wgjU6uH9Hb1RAJFoM4wZjE2B6v1ZNaI8</t>
  </si>
  <si>
    <t>Jln Pondok Labu 1A 14A RT02 RW07</t>
  </si>
  <si>
    <t>Jakarta Selatan</t>
  </si>
  <si>
    <t>20 tahun pas</t>
  </si>
  <si>
    <t>Al Quran</t>
  </si>
  <si>
    <t>Al Wildan 1 Gading Serpong</t>
  </si>
  <si>
    <t>Cukup seperti Pasukan Orange (UMR)</t>
  </si>
  <si>
    <t>10fm-MIfG35_QzXISd0FntlcnxPM9FsgopZBEOSfdbAU</t>
  </si>
  <si>
    <t>https://docs.google.com/document/d/10fm-MIfG35_QzXISd0FntlcnxPM9FsgopZBEOSfdbAU/edit?usp=drivesdk</t>
  </si>
  <si>
    <t>Document successfully created; Document successfully merged; Run via form trigger as kemal.stafsus@gmail.com; Timestamp: Jul 28 2020 3:05 AM</t>
  </si>
  <si>
    <t>https://drive.google.com/open?id=1tMo3nfcLoAX2s6W7IUA4MyOHIxZnZ5JV</t>
  </si>
  <si>
    <t>https://drive.google.com/uc?export=view&amp;id=1tMo3nfcLoAX2s6W7IUA4MyOHIxZnZ5JV</t>
  </si>
  <si>
    <t xml:space="preserve">Nuning Suprobojati </t>
  </si>
  <si>
    <t>087882298632</t>
  </si>
  <si>
    <t>3173075901780003</t>
  </si>
  <si>
    <t>Jl. Olah Raga VIII no 6 komp P &amp; K kemanggisan jakarta barat</t>
  </si>
  <si>
    <t>19 01 1978</t>
  </si>
  <si>
    <t>42 tahun 6 bulan</t>
  </si>
  <si>
    <t>Flight attendant instructor</t>
  </si>
  <si>
    <t>Teacher assistant</t>
  </si>
  <si>
    <t>Kepala sekolah</t>
  </si>
  <si>
    <t>0389281363</t>
  </si>
  <si>
    <t>1aEk9u_fAtlp7fBM1hLfcwburkPjsoi0HJbfDTwxFaA4</t>
  </si>
  <si>
    <t>https://docs.google.com/document/d/1aEk9u_fAtlp7fBM1hLfcwburkPjsoi0HJbfDTwxFaA4/edit?usp=drivesdk</t>
  </si>
  <si>
    <t>Document successfully created; Document successfully merged; Run via form trigger as kemal.stafsus@gmail.com; Timestamp: Jul 28 2020 3:44 AM</t>
  </si>
  <si>
    <t>https://drive.google.com/open?id=1jbhwoROQ9qg4j0VK_EIEfkkWXzaPt1SI</t>
  </si>
  <si>
    <t>https://drive.google.com/uc?export=view&amp;id=1jbhwoROQ9qg4j0VK_EIEfkkWXzaPt1SI</t>
  </si>
  <si>
    <t>Sarkim, S.Si</t>
  </si>
  <si>
    <t>081385830023</t>
  </si>
  <si>
    <t>3175022102851001</t>
  </si>
  <si>
    <t>Jl. Ciater Raya no. 48, Rawa Mekar Jaya, Tangerang Selatan, Banten 15310</t>
  </si>
  <si>
    <t>21-02-1985</t>
  </si>
  <si>
    <t xml:space="preserve">  35 tahun 5 bulan 7 hari</t>
  </si>
  <si>
    <t>Matematika dan Fisika</t>
  </si>
  <si>
    <t>UNJ</t>
  </si>
  <si>
    <t>3.09</t>
  </si>
  <si>
    <t>Mengajar Fisika di SMA Islam Dian Didaktika</t>
  </si>
  <si>
    <t>Mengajar Fisika di SMA Ibnu Hajar Boarding School</t>
  </si>
  <si>
    <t>Mengajar Matematika dan Fisika di SMA AL Wildan Islamic School</t>
  </si>
  <si>
    <t>0387722027</t>
  </si>
  <si>
    <t>14nOxcbK1Ej0xKoMONGZshFWnPEyq2JSyfCf3Z2lSkJ0</t>
  </si>
  <si>
    <t>https://docs.google.com/document/d/14nOxcbK1Ej0xKoMONGZshFWnPEyq2JSyfCf3Z2lSkJ0/edit?usp=drivesdk</t>
  </si>
  <si>
    <t>Document successfully created; Document successfully merged; Run via form trigger as kemal.stafsus@gmail.com; Timestamp: Jul 28 2020 7:26 AM</t>
  </si>
  <si>
    <t>https://drive.google.com/open?id=1evRDHa9EbrDzz-hWY9LIPm3gp0X8__US</t>
  </si>
  <si>
    <t>https://drive.google.com/uc?export=view&amp;id=1evRDHa9EbrDzz-hWY9LIPm3gp0X8__US</t>
  </si>
  <si>
    <t>Habibatul Ummah</t>
  </si>
  <si>
    <t>085211464466</t>
  </si>
  <si>
    <t>3209215602970004</t>
  </si>
  <si>
    <t>Jl. Sunan Gunung Jati, Blok Kertasari Rt 001 Rw 004, Kec Gunung Jati, Cirebon Utara JABAR</t>
  </si>
  <si>
    <t>16-02-1997</t>
  </si>
  <si>
    <t>23 tahun 5 bulan</t>
  </si>
  <si>
    <t>Halaqah</t>
  </si>
  <si>
    <t>Pengabdian Imam Bukhari Solo</t>
  </si>
  <si>
    <t>Uang saku 200.000</t>
  </si>
  <si>
    <t>Nuraida Islamic Boarding School</t>
  </si>
  <si>
    <t>Biaya hidup area Alwildan lebih mahal dibanding Nuraida</t>
  </si>
  <si>
    <t>0846407967</t>
  </si>
  <si>
    <t>1pVba6axHsTdvSfTVd5VIzHOSyUTfEZ2yrce7kj2u4po</t>
  </si>
  <si>
    <t>https://docs.google.com/document/d/1pVba6axHsTdvSfTVd5VIzHOSyUTfEZ2yrce7kj2u4po/edit?usp=drivesdk</t>
  </si>
  <si>
    <t>Document successfully created; Invalid image URL [https://drive.google.com/uc?export=view&amp;id=1evRDHa9EbrDzz-hWY9LIPm3gp0X8__US], make sure that it is public; Document successfully merged; Run via form trigger as kemal.stafsus@gmail.com; Timestamp: Jul 29 2020 3:42 AM</t>
  </si>
  <si>
    <t>https://drive.google.com/open?id=1MERrLL5P92IHT_OToX_hQa60GogcqD9O</t>
  </si>
  <si>
    <t>https://drive.google.com/uc?export=view&amp;id=1MERrLL5P92IHT_OToX_hQa60GogcqD9O</t>
  </si>
  <si>
    <t>Burhan Shidqi, S.Si.</t>
  </si>
  <si>
    <t>082221280202</t>
  </si>
  <si>
    <t>1671100709900005</t>
  </si>
  <si>
    <t>Jl. Lestari Elok 4 Blok D2 B28 RT 03 RW 08 Medang, Pagedangan, Kab. Tangerang</t>
  </si>
  <si>
    <t>07-09-1990</t>
  </si>
  <si>
    <t>29 tahun 11 bulan</t>
  </si>
  <si>
    <t>UGM</t>
  </si>
  <si>
    <t>0506361860</t>
  </si>
  <si>
    <t>1fjonWvUHENQlgh_0N1f_GOBrwgZcw-LIpf7zfFQjAMA</t>
  </si>
  <si>
    <t>https://docs.google.com/document/d/1fjonWvUHENQlgh_0N1f_GOBrwgZcw-LIpf7zfFQjAMA/edit?usp=drivesdk</t>
  </si>
  <si>
    <t>Document successfully created; Document successfully merged; Run via form trigger as kemal.stafsus@gmail.com; Timestamp: Aug 5 2020 9:20 PM</t>
  </si>
  <si>
    <t>https://drive.google.com/open?id=1e8BNFqf7CU2rQ8fjZ4fQi7iiyDJGDS2d</t>
  </si>
  <si>
    <t>https://drive.google.com/uc?export=view&amp;id=1e8BNFqf7CU2rQ8fjZ4fQi7iiyDJGDS2d</t>
  </si>
  <si>
    <t>MUHAMMAD AWALUDIN LC</t>
  </si>
  <si>
    <t>081280905594</t>
  </si>
  <si>
    <t>B6400661</t>
  </si>
  <si>
    <t>Jln. Layar 4, no 8, perumahan bumi kelapa dua, tengerang</t>
  </si>
  <si>
    <t>WADUWANI</t>
  </si>
  <si>
    <t>04-08-1994</t>
  </si>
  <si>
    <t>26 thn</t>
  </si>
  <si>
    <t>Arabic</t>
  </si>
  <si>
    <t>S1- islamic university of madinah</t>
  </si>
  <si>
    <t>0720056169</t>
  </si>
  <si>
    <t xml:space="preserve">BNI SYARIAH </t>
  </si>
  <si>
    <t>1ehkP8orukJ05ldqi2I9gZ4qntns4x7K0LtrYA28Ye8g</t>
  </si>
  <si>
    <t>https://docs.google.com/document/d/1ehkP8orukJ05ldqi2I9gZ4qntns4x7K0LtrYA28Ye8g/edit?usp=drivesdk</t>
  </si>
  <si>
    <t>Document successfully created; Document successfully merged; Run via form trigger as kemal.stafsus@gmail.com; Timestamp: Aug 7 2020 6:46 AM</t>
  </si>
  <si>
    <t>https://drive.google.com/open?id=1Vnmh-45F-_RoHIYOnr2pDNOr1WDAD0Ve</t>
  </si>
  <si>
    <t>https://drive.google.com/uc?export=view&amp;id=1Vnmh-45F-_RoHIYOnr2pDNOr1WDAD0Ve</t>
  </si>
  <si>
    <t>Dini Alfian, S.Ak.</t>
  </si>
  <si>
    <t>081381936894</t>
  </si>
  <si>
    <t>3173051405910006</t>
  </si>
  <si>
    <t>Jalan Nurul Iman Raya, Cibogo Wetan, Kelapa Dua, Tangerang.</t>
  </si>
  <si>
    <t>14-05-1991</t>
  </si>
  <si>
    <t>29 tahun 3 bulan</t>
  </si>
  <si>
    <t>Ekonomi Akuntansi</t>
  </si>
  <si>
    <t>3.06</t>
  </si>
  <si>
    <t>Data Entry Project Dirjen Pajak</t>
  </si>
  <si>
    <t>Leader Data Entry Project Dirjen Pajak</t>
  </si>
  <si>
    <t xml:space="preserve">Staff Tata Usaha Al-Wildan Islamic School </t>
  </si>
  <si>
    <t>0739136089</t>
  </si>
  <si>
    <t>035901023440507</t>
  </si>
  <si>
    <t>1E-IY7GqcJImOkO75rTj4JXMed8hPMb4ICiDnHHaOb0A</t>
  </si>
  <si>
    <t>https://docs.google.com/document/d/1E-IY7GqcJImOkO75rTj4JXMed8hPMb4ICiDnHHaOb0A/edit?usp=drivesdk</t>
  </si>
  <si>
    <t>Document successfully created; Document successfully merged; Run via form trigger as kemal.stafsus@gmail.com; Timestamp: Aug 22 2020 9:26 AM</t>
  </si>
  <si>
    <t>https://drive.google.com/open?id=1R2yeB9kjNOo7-WuEHNxcqG2hB99iF6Q-</t>
  </si>
  <si>
    <t>https://drive.google.com/uc?export=view&amp;id=1R2yeB9kjNOo7-WuEHNxcqG2hB99iF6Q-</t>
  </si>
  <si>
    <t>MUHAMMAD SYARIFUDDIN, S.Sos.I</t>
  </si>
  <si>
    <t>087808413319</t>
  </si>
  <si>
    <t>3603281209850004</t>
  </si>
  <si>
    <t>Dasana indah blok TA 10 No 7, Bojongnangka, Tangerang</t>
  </si>
  <si>
    <t>12-09-1985</t>
  </si>
  <si>
    <t>31, 8</t>
  </si>
  <si>
    <t>UIN SYARIF HIDAYATULLAH JAKARTA</t>
  </si>
  <si>
    <t>KOMUNIKASI PENYIARAN ISLAM</t>
  </si>
  <si>
    <t>3.8</t>
  </si>
  <si>
    <t>TU</t>
  </si>
  <si>
    <t>GURU</t>
  </si>
  <si>
    <t>15DH4wmkU-hIfzwEv3_xqFGxVSKo5SA2edzwNBe0NNjY</t>
  </si>
  <si>
    <t>https://docs.google.com/document/d/15DH4wmkU-hIfzwEv3_xqFGxVSKo5SA2edzwNBe0NNjY/edit?usp=drivesdk</t>
  </si>
  <si>
    <t>Document successfully created; Document successfully merged; Run via form trigger as kemal.stafsus@gmail.com; Timestamp: Aug 23 2020 11:34 PM</t>
  </si>
  <si>
    <t>https://drive.google.com/open?id=1WlKC7PvJiMtoUnqUdDrf1T7fn6g7k3Ej</t>
  </si>
  <si>
    <t>https://drive.google.com/uc?export=view&amp;id=1WlKC7PvJiMtoUnqUdDrf1T7fn6g7k3Ej</t>
  </si>
  <si>
    <t>Anies shofan aridho, S.Kom</t>
  </si>
  <si>
    <t>085743195939</t>
  </si>
  <si>
    <t>3307042710830002</t>
  </si>
  <si>
    <t>Perum balaraja</t>
  </si>
  <si>
    <t>Wonosobo</t>
  </si>
  <si>
    <t>27-10-1983</t>
  </si>
  <si>
    <t>Guru Mata Pelajaran, Tim IT</t>
  </si>
  <si>
    <t>TIK</t>
  </si>
  <si>
    <t>UNSIQ</t>
  </si>
  <si>
    <t>Teknik informatika</t>
  </si>
  <si>
    <t>ASISTEN PT. MUSTIAKA KALTIM, PT. TELKOM DIVISI IV JATENG &amp; DIY</t>
  </si>
  <si>
    <t>IT SUPPORT &amp; GURU DARUL QUR'AN MULIA BOGOR</t>
  </si>
  <si>
    <t>GURU IPA &amp; IT SUPPORT PP. TAHFIDZ QUR'AN AL FALAKIYAH BOGOR</t>
  </si>
  <si>
    <t>0835674539</t>
  </si>
  <si>
    <t>1s_KaQvhkmXyQOp4pRaRvIcn7JlXnkKJL02_HS5_fg9Q</t>
  </si>
  <si>
    <t>https://docs.google.com/document/d/1s_KaQvhkmXyQOp4pRaRvIcn7JlXnkKJL02_HS5_fg9Q/edit?usp=drivesdk</t>
  </si>
  <si>
    <t>Document successfully created; Document successfully merged; Run via form trigger as kemal.stafsus@gmail.com; Timestamp: Aug 23 2020 11:44 PM</t>
  </si>
  <si>
    <t>https://drive.google.com/open?id=10s1xIDTti2m1Fn4OIDra7LYNBedee1t4</t>
  </si>
  <si>
    <t>https://drive.google.com/uc?export=view&amp;id=10s1xIDTti2m1Fn4OIDra7LYNBedee1t4</t>
  </si>
  <si>
    <t>Sunardi, S. Pd</t>
  </si>
  <si>
    <t>081578729803</t>
  </si>
  <si>
    <t>3511050212860001</t>
  </si>
  <si>
    <t>Jl. Ciater Raya. 48, Rw. Mekar Jaya, Kec Serpong, Kota Tangerang Selatan, Banten 15310</t>
  </si>
  <si>
    <t>02-12-1986</t>
  </si>
  <si>
    <t>33 tahun 8 bulan</t>
  </si>
  <si>
    <t>PTS Universitas Muhammadiyah Jember</t>
  </si>
  <si>
    <t>KIP Bahasa Inggris</t>
  </si>
  <si>
    <t>Waka kesiswaan di MA NURIS Jember</t>
  </si>
  <si>
    <t>0711030119</t>
  </si>
  <si>
    <t>1x4BB1fKqwL9SOinhDVKr0EVjk5iUd6N9sNR22YPX7lY</t>
  </si>
  <si>
    <t>https://docs.google.com/document/d/1x4BB1fKqwL9SOinhDVKr0EVjk5iUd6N9sNR22YPX7lY/edit?usp=drivesdk</t>
  </si>
  <si>
    <t>Document successfully created; Document successfully merged; Run via form trigger as kemal.stafsus@gmail.com; Timestamp: Aug 31 2020 11:41 AM</t>
  </si>
  <si>
    <t>https://drive.google.com/open?id=1PNpEkyGX43p9f9H-K9NwLw8tv8shfsCH</t>
  </si>
  <si>
    <t>https://drive.google.com/uc?export=view&amp;id=1PNpEkyGX43p9f9H-K9NwLw8tv8shfsCH</t>
  </si>
  <si>
    <t>Dinar Iman Rahmadi A.md</t>
  </si>
  <si>
    <t>+6287770002955</t>
  </si>
  <si>
    <t>3573011601930001</t>
  </si>
  <si>
    <t>Baranangsiang Indah Blok G2 No 9 Kota Bogor</t>
  </si>
  <si>
    <t>16-01-1993</t>
  </si>
  <si>
    <t>27 tahun 7 bulan</t>
  </si>
  <si>
    <t>Diploma Manajemen Informasi</t>
  </si>
  <si>
    <t>Vietjet Air, Flight Attendant  (2019)</t>
  </si>
  <si>
    <t xml:space="preserve">1.400 USD - 1.800 USD </t>
  </si>
  <si>
    <t>Air Atlanta Icelandic For Saudia - Flight Attendant (2015)</t>
  </si>
  <si>
    <t>1.200 USD - 1.400 USD</t>
  </si>
  <si>
    <t>iNews TV - Editor (2014)</t>
  </si>
  <si>
    <t>3.600.000 RP</t>
  </si>
  <si>
    <t>Mengikuti Standar PR staff Al-Wildan</t>
  </si>
  <si>
    <t>1WMDr0DD-VnRUsUuubvq9JJd2GVY1zNuwA18qLPcED_Y</t>
  </si>
  <si>
    <t>https://docs.google.com/document/d/1WMDr0DD-VnRUsUuubvq9JJd2GVY1zNuwA18qLPcED_Y/edit?usp=drivesdk</t>
  </si>
  <si>
    <t>Document successfully created; Document successfully merged; Run via form trigger as kemal.stafsus@gmail.com; Timestamp: Sep 10 2020 1:56 AM</t>
  </si>
  <si>
    <t>https://drive.google.com/open?id=1006zYTkVmMw9Jpj2s4jmXhBI1Ebxkx77</t>
  </si>
  <si>
    <t>https://drive.google.com/uc?export=view&amp;id=1006zYTkVmMw9Jpj2s4jmXhBI1Ebxkx77</t>
  </si>
  <si>
    <t>Cindy Permatasari, S. Hum</t>
  </si>
  <si>
    <t>081285323459</t>
  </si>
  <si>
    <t>3671095711950004</t>
  </si>
  <si>
    <t>17 November 1995</t>
  </si>
  <si>
    <t>24 Tahun 10 bulan</t>
  </si>
  <si>
    <t>Sastra Belanda</t>
  </si>
  <si>
    <t>Cabin Crew</t>
  </si>
  <si>
    <t>1SKVoeTBosg1gpuDzYAnfYWwaSrfcTZx9Synvg5L9fyc</t>
  </si>
  <si>
    <t>https://docs.google.com/document/d/1SKVoeTBosg1gpuDzYAnfYWwaSrfcTZx9Synvg5L9fyc/edit?usp=drivesdk</t>
  </si>
  <si>
    <t>Document successfully created; Document successfully merged; Run via form trigger as kemal.stafsus@gmail.com; Timestamp: Sep 14 2020 8:27 AM</t>
  </si>
  <si>
    <t>https://drive.google.com/open?id=1gLXmAzyBJcDqBWMrt2NmzDlkCeBUMGbx</t>
  </si>
  <si>
    <t>https://drive.google.com/uc?export=view&amp;id=1gLXmAzyBJcDqBWMrt2NmzDlkCeBUMGbx</t>
  </si>
  <si>
    <t>Ari Dwi Anggoro S.T.</t>
  </si>
  <si>
    <t>089639293635</t>
  </si>
  <si>
    <t>3201010110960006</t>
  </si>
  <si>
    <t>Ciriung -  Cibinong - Bogor</t>
  </si>
  <si>
    <t>01-10-1996</t>
  </si>
  <si>
    <t>23 Tahun 11 Bulan</t>
  </si>
  <si>
    <t>Math</t>
  </si>
  <si>
    <t>Universitas Jayabaya</t>
  </si>
  <si>
    <t>Teknik Kimia</t>
  </si>
  <si>
    <t>AAS Labolatory</t>
  </si>
  <si>
    <t>6.000.000 + Incentive</t>
  </si>
  <si>
    <t>PT.SUCOFINDO (Persero)</t>
  </si>
  <si>
    <t>9.000.000 + Insurance</t>
  </si>
  <si>
    <t>EMIISc Boarding School</t>
  </si>
  <si>
    <t>Part-time Teacher</t>
  </si>
  <si>
    <t>1HeUjHbp8iDrLBayY_LtwWcpgYfgAfhF5MetQWtqYSM8</t>
  </si>
  <si>
    <t>https://docs.google.com/document/d/1HeUjHbp8iDrLBayY_LtwWcpgYfgAfhF5MetQWtqYSM8/edit?usp=drivesdk</t>
  </si>
  <si>
    <t>Document successfully created; Document successfully merged; Run via form trigger as kemal.stafsus@gmail.com; Timestamp: Sep 19 2020 6:10 AM</t>
  </si>
  <si>
    <t>https://drive.google.com/open?id=1o7JMV43Zqt4GNc_xtY5S7HRs7BVN00RO</t>
  </si>
  <si>
    <t>https://drive.google.com/uc?export=view&amp;id=1o7JMV43Zqt4GNc_xtY5S7HRs7BVN00RO</t>
  </si>
  <si>
    <t>Ady Kurnia Ibrahim S. IKom</t>
  </si>
  <si>
    <t>082111470690</t>
  </si>
  <si>
    <t>3174102202880001</t>
  </si>
  <si>
    <t xml:space="preserve">Jl merpati 2 Blok H3 No.25 RT.009/008 bintaro pesanggrahan Jakarta selatan </t>
  </si>
  <si>
    <t>22-02-1988</t>
  </si>
  <si>
    <t xml:space="preserve">Universitas Bina Nusantara </t>
  </si>
  <si>
    <t xml:space="preserve">Marketing komunikasi </t>
  </si>
  <si>
    <t xml:space="preserve">Marketing executives </t>
  </si>
  <si>
    <t>1mhCIx3zy6UBmDjE2jm4Ue_x73qGnXcqCQ2DUWMasCu4</t>
  </si>
  <si>
    <t>https://docs.google.com/document/d/1mhCIx3zy6UBmDjE2jm4Ue_x73qGnXcqCQ2DUWMasCu4/edit?usp=drivesdk</t>
  </si>
  <si>
    <t>Document successfully created; Document successfully merged; Run via form trigger as kemal.stafsus@gmail.com; Timestamp: Oct 20 2020 2:08 AM</t>
  </si>
  <si>
    <t>https://drive.google.com/open?id=1XAEDwXDTg4XWRH7pi6LHN5xl9aandMib</t>
  </si>
  <si>
    <t>https://drive.google.com/uc?export=view&amp;id=1XAEDwXDTg4XWRH7pi6LHN5xl9aandMib</t>
  </si>
  <si>
    <t>Dicky Saputra</t>
  </si>
  <si>
    <t>083873263339</t>
  </si>
  <si>
    <t>3173062812970011</t>
  </si>
  <si>
    <t>Perum Taman Walet SN-7 No.20</t>
  </si>
  <si>
    <t>Pemalang</t>
  </si>
  <si>
    <t>28-12-1997</t>
  </si>
  <si>
    <t>22tahun 10bulan</t>
  </si>
  <si>
    <t xml:space="preserve">Musyrif </t>
  </si>
  <si>
    <t>0807446095</t>
  </si>
  <si>
    <t>1_Ca2F181ZmsQUsWJaSmL7-lgDv-AT94WPzlQXG2swQg</t>
  </si>
  <si>
    <t>https://docs.google.com/document/d/1_Ca2F181ZmsQUsWJaSmL7-lgDv-AT94WPzlQXG2swQg/edit?usp=drivesdk</t>
  </si>
  <si>
    <t>Document successfully created; Document successfully merged; Run via form trigger as kemal.stafsus@gmail.com; Timestamp: Oct 20 2020 2:14 AM</t>
  </si>
  <si>
    <t>https://drive.google.com/open?id=1BQrBCiPyJD0_eS9vsWEXfsx4nZ-FNJO9</t>
  </si>
  <si>
    <t>https://drive.google.com/uc?export=view&amp;id=1BQrBCiPyJD0_eS9vsWEXfsx4nZ-FNJO9</t>
  </si>
  <si>
    <t>Arya Indrajana ST</t>
  </si>
  <si>
    <t>Cluster Mahagoni Park Blok B1 No 9</t>
  </si>
  <si>
    <t>50 tahun 1 bulan</t>
  </si>
  <si>
    <t>Institut Teknologi Bandung</t>
  </si>
  <si>
    <t>Risk Director</t>
  </si>
  <si>
    <t>1194CdDGtRTf7ZJdVVX_V7qMlkQIWFF7S8ywSgg0DwQc</t>
  </si>
  <si>
    <t>https://docs.google.com/document/d/1194CdDGtRTf7ZJdVVX_V7qMlkQIWFF7S8ywSgg0DwQc/edit?usp=drivesdk</t>
  </si>
  <si>
    <t>Document successfully created; Invalid image URL [https://drive.google.com/uc?export=view&amp;id=1BQrBCiPyJD0_eS9vsWEXfsx4nZ-FNJO9], make sure that it is public; Document successfully merged; Run via form trigger as kemal.stafsus@gmail.com; Timestamp: Oct 20 2020 2:16 AM</t>
  </si>
  <si>
    <t>https://drive.google.com/open?id=1TzO26-LxWYNxI9vRKDqBX_HGUUQ7mmzz</t>
  </si>
  <si>
    <t>https://drive.google.com/uc?export=view&amp;id=1TzO26-LxWYNxI9vRKDqBX_HGUUQ7mmzz</t>
  </si>
  <si>
    <t>Musab Fathur Ramadlan</t>
  </si>
  <si>
    <t>088709715019</t>
  </si>
  <si>
    <t>3329160201980003</t>
  </si>
  <si>
    <t>Tangerang Selatan</t>
  </si>
  <si>
    <t>02-01-1998</t>
  </si>
  <si>
    <t>20th 9bln</t>
  </si>
  <si>
    <t>Pesantren islam Al irsyad</t>
  </si>
  <si>
    <t>1G29zEol6BwXKiEGg64rJbzpVkd12v_gwdQyld9Cs9fw</t>
  </si>
  <si>
    <t>https://docs.google.com/document/d/1G29zEol6BwXKiEGg64rJbzpVkd12v_gwdQyld9Cs9fw/edit?usp=drivesdk</t>
  </si>
  <si>
    <t>Document successfully created; Document successfully merged; Run via form trigger as kemal.stafsus@gmail.com; Timestamp: Oct 20 2020 2:21 AM</t>
  </si>
  <si>
    <t>https://drive.google.com/open?id=1jQmGhG1OfQtdkTI9YKzMv-XJiKIzDg6G</t>
  </si>
  <si>
    <t>https://drive.google.com/uc?export=view&amp;id=1jQmGhG1OfQtdkTI9YKzMv-XJiKIzDg6G</t>
  </si>
  <si>
    <t>Riski Ramadhan</t>
  </si>
  <si>
    <t>085778560779</t>
  </si>
  <si>
    <t>9674022012990001</t>
  </si>
  <si>
    <t>Tangerang selatan</t>
  </si>
  <si>
    <t>20 Desember 1999</t>
  </si>
  <si>
    <t>Tidk ada</t>
  </si>
  <si>
    <t>S1 pendidikan islam</t>
  </si>
  <si>
    <t>Blom ada</t>
  </si>
  <si>
    <t>Khidmah 1 tahun di pesantren Ibnu Taimiyah,Guru alquran di alwildan</t>
  </si>
  <si>
    <t>0984679321</t>
  </si>
  <si>
    <t>1hV0d4ijJ-8LcriKPuoWgQyYwXLas9_mZGU1esIHQX8o</t>
  </si>
  <si>
    <t>https://docs.google.com/document/d/1hV0d4ijJ-8LcriKPuoWgQyYwXLas9_mZGU1esIHQX8o/edit?usp=drivesdk</t>
  </si>
  <si>
    <t>Document successfully created; Invalid image URL [https://drive.google.com/uc?export=view&amp;id=1jQmGhG1OfQtdkTI9YKzMv-XJiKIzDg6G], make sure that it is public; Document successfully merged; Run via form trigger as kemal.stafsus@gmail.com; Timestamp: Oct 20 2020 2:36 AM</t>
  </si>
  <si>
    <t>https://drive.google.com/open?id=1MPqiRxit012q5jVKMaGRfy9Vpkoh5Sh7</t>
  </si>
  <si>
    <t>https://drive.google.com/uc?export=view&amp;id=1MPqiRxit012q5jVKMaGRfy9Vpkoh5Sh7</t>
  </si>
  <si>
    <t>Syarifudin, S.Pd</t>
  </si>
  <si>
    <t>085338100599</t>
  </si>
  <si>
    <t>5205031012870003</t>
  </si>
  <si>
    <t>Jl, Setia warga 2 Kel. Rawa Mekar Jaya, Kec. Serpong Kota Tangerang Selatan Banten 15310</t>
  </si>
  <si>
    <t>10-12-1987</t>
  </si>
  <si>
    <t>Teknologi Pendidikan</t>
  </si>
  <si>
    <t>0310128463</t>
  </si>
  <si>
    <t>1A9_I525GK_gGKCqQJl0Mp8DO3xwxvN3MZSThm1sk1cI</t>
  </si>
  <si>
    <t>https://docs.google.com/document/d/1A9_I525GK_gGKCqQJl0Mp8DO3xwxvN3MZSThm1sk1cI/edit?usp=drivesdk</t>
  </si>
  <si>
    <t>Document successfully created; Invalid image URL [https://drive.google.com/uc?export=view&amp;id=1MPqiRxit012q5jVKMaGRfy9Vpkoh5Sh7], make sure that it is public; Document successfully merged; Run via form trigger as kemal.stafsus@gmail.com; Timestamp: Oct 20 2020 2:43 AM</t>
  </si>
  <si>
    <t>https://drive.google.com/open?id=1QWc3Q5df8zZmnjaVsxh1v8otAPTDIWfh</t>
  </si>
  <si>
    <t>https://drive.google.com/uc?export=view&amp;id=1QWc3Q5df8zZmnjaVsxh1v8otAPTDIWfh</t>
  </si>
  <si>
    <t>Muhammad Humam Fillah Ramadhan</t>
  </si>
  <si>
    <t>082116984476</t>
  </si>
  <si>
    <t>Cilegon, Banten</t>
  </si>
  <si>
    <t>07-Januari-2000</t>
  </si>
  <si>
    <t>20thn</t>
  </si>
  <si>
    <t>Al-Qur'an karim</t>
  </si>
  <si>
    <t xml:space="preserve">Al-Qu'an </t>
  </si>
  <si>
    <t>0905616841</t>
  </si>
  <si>
    <t>1VCZAKtY-0UURkCxYjxR9K1M2jIKWXGCfek2Jygu8TRQ</t>
  </si>
  <si>
    <t>https://docs.google.com/document/d/1VCZAKtY-0UURkCxYjxR9K1M2jIKWXGCfek2Jygu8TRQ/edit?usp=drivesdk</t>
  </si>
  <si>
    <t>Document successfully created; Document successfully merged; Run via form trigger as kemal.stafsus@gmail.com; Timestamp: Oct 20 2020 3:13 AM</t>
  </si>
  <si>
    <t>https://drive.google.com/open?id=1dbNLUEcW7rOXcqBaQXDNPJKytQXEJchq</t>
  </si>
  <si>
    <t>https://drive.google.com/uc?export=view&amp;id=1dbNLUEcW7rOXcqBaQXDNPJKytQXEJchq</t>
  </si>
  <si>
    <t>Efu Aldria Putra, S. Pd.</t>
  </si>
  <si>
    <t>Jl. Bidar XII No. 77, Kel. Pakulon Barat, Kec. Kelapa Dua, Kab. Tangerang - Banten</t>
  </si>
  <si>
    <t>30 Tahun 5 Bulan</t>
  </si>
  <si>
    <t>Tutor/Asdos di Prodi Pendidikan Matematika STKIP Surya</t>
  </si>
  <si>
    <t>Trainer Matematika di SCLE Surya Institute</t>
  </si>
  <si>
    <t>15.000.000 - 19.000.000 /Project/Bulan</t>
  </si>
  <si>
    <t>4.500.000 s/d 5.500.000</t>
  </si>
  <si>
    <t>0973081846</t>
  </si>
  <si>
    <t>1j7urFGH-cW6mbVdXpGE5ubcNxmTlTm2HtrGs6sKcnpI</t>
  </si>
  <si>
    <t>https://docs.google.com/document/d/1j7urFGH-cW6mbVdXpGE5ubcNxmTlTm2HtrGs6sKcnpI/edit?usp=drivesdk</t>
  </si>
  <si>
    <t>Document successfully created; Invalid image URL [https://drive.google.com/uc?export=view&amp;id=1dbNLUEcW7rOXcqBaQXDNPJKytQXEJchq], make sure that it is public; Document successfully merged; Run via form trigger as kemal.stafsus@gmail.com; Timestamp: Oct 20 2020 3:16 AM</t>
  </si>
  <si>
    <t>https://drive.google.com/open?id=1TRZw43ClIaujJLdaXfbhHDCT0WGXprHS</t>
  </si>
  <si>
    <t>https://drive.google.com/uc?export=view&amp;id=1TRZw43ClIaujJLdaXfbhHDCT0WGXprHS</t>
  </si>
  <si>
    <t>Octariansyah, S.Kom</t>
  </si>
  <si>
    <t>087788090129</t>
  </si>
  <si>
    <t>3173021110840002</t>
  </si>
  <si>
    <t>Jl Pepaya 1 No 169 RT 01 RW 06, Cibodas, Tangerang Banten</t>
  </si>
  <si>
    <t>11-10-1984</t>
  </si>
  <si>
    <t>STMIK Indonesia</t>
  </si>
  <si>
    <t>Sistem Informasi</t>
  </si>
  <si>
    <t>IT Data Center Infrastructure Manager</t>
  </si>
  <si>
    <t>1oO10j177ISWnRJoOgrRqGZnafQuYLhT357KkLuK_j1w</t>
  </si>
  <si>
    <t>https://docs.google.com/document/d/1oO10j177ISWnRJoOgrRqGZnafQuYLhT357KkLuK_j1w/edit?usp=drivesdk</t>
  </si>
  <si>
    <t>Document successfully created; Invalid image URL [https://drive.google.com/uc?export=view&amp;id=1TRZw43ClIaujJLdaXfbhHDCT0WGXprHS], make sure that it is public; Document successfully merged; Run via form trigger as kemal.stafsus@gmail.com; Timestamp: Oct 20 2020 3:27 AM</t>
  </si>
  <si>
    <t>https://drive.google.com/open?id=1qIQFL-Zdqo0_QZ_bH8bJ7SJsMNoiKVtG</t>
  </si>
  <si>
    <t>https://drive.google.com/uc?export=view&amp;id=1qIQFL-Zdqo0_QZ_bH8bJ7SJsMNoiKVtG</t>
  </si>
  <si>
    <t>Fahyumi Rahman, S.Pd</t>
  </si>
  <si>
    <t>08786100043</t>
  </si>
  <si>
    <t>3604292911950001</t>
  </si>
  <si>
    <t>Jl ciater raya, no 41, rawa mekar jaya, serpong</t>
  </si>
  <si>
    <t>serang</t>
  </si>
  <si>
    <t>29-11-1995</t>
  </si>
  <si>
    <t>Geografi</t>
  </si>
  <si>
    <t>Universitas Pendidikan Ganesha, Bali</t>
  </si>
  <si>
    <t>Guru Geografi dan IPS</t>
  </si>
  <si>
    <t>Wali Kelas dan Guru Geografi</t>
  </si>
  <si>
    <t>Guru, Wali kelas, Musyrif dan Wakil Komisi Soshum</t>
  </si>
  <si>
    <t>0797814648</t>
  </si>
  <si>
    <t>1vDKUrIRnNnM-jcJnmkmmdh7sb48f34p6A7JjlVQjmu4</t>
  </si>
  <si>
    <t>https://docs.google.com/document/d/1vDKUrIRnNnM-jcJnmkmmdh7sb48f34p6A7JjlVQjmu4/edit?usp=drivesdk</t>
  </si>
  <si>
    <t>Document successfully created; Document successfully merged; Run via form trigger as kemal.stafsus@gmail.com; Timestamp: Oct 20 2020 3:39 AM</t>
  </si>
  <si>
    <t>https://drive.google.com/open?id=1QoyGkbY5fK7ZfytqGhFvCnHor0ykb0iy</t>
  </si>
  <si>
    <t>https://drive.google.com/uc?export=view&amp;id=1QoyGkbY5fK7ZfytqGhFvCnHor0ykb0iy</t>
  </si>
  <si>
    <t>Muhammad Ihsan Zakky Al Mubarak</t>
  </si>
  <si>
    <t>081219242439</t>
  </si>
  <si>
    <t>1771062107980003</t>
  </si>
  <si>
    <t>Jl. Cabe 6 No. 63 RT.005 RW. 011 Kelurahan Pondok Cabe Ilir Kecamatan Pamulang Tangerang Selatan Banten</t>
  </si>
  <si>
    <t>Bengkulu</t>
  </si>
  <si>
    <t xml:space="preserve">21-07-1998 </t>
  </si>
  <si>
    <t>22tahun3bulan</t>
  </si>
  <si>
    <t>Al quran</t>
  </si>
  <si>
    <t>0905623177</t>
  </si>
  <si>
    <t>1HlrnVSzVMB8umqqGDF9rV1NiwTyHo6T75xQnyQdegSw</t>
  </si>
  <si>
    <t>https://docs.google.com/document/d/1HlrnVSzVMB8umqqGDF9rV1NiwTyHo6T75xQnyQdegSw/edit?usp=drivesdk</t>
  </si>
  <si>
    <t>Document successfully created; Document successfully merged; Run via form trigger as kemal.stafsus@gmail.com; Timestamp: Oct 20 2020 3:41 AM</t>
  </si>
  <si>
    <t>https://drive.google.com/open?id=1fNB_zR4zDhjHFaDct3w18by-lPUx8tcg</t>
  </si>
  <si>
    <t>https://drive.google.com/uc?export=view&amp;id=1fNB_zR4zDhjHFaDct3w18by-lPUx8tcg</t>
  </si>
  <si>
    <t>Angga Purnama</t>
  </si>
  <si>
    <t>082240584396</t>
  </si>
  <si>
    <t>3171030912951002</t>
  </si>
  <si>
    <t>Tanggerang selatan</t>
  </si>
  <si>
    <t>Kuningan</t>
  </si>
  <si>
    <t>09-12-1995</t>
  </si>
  <si>
    <t>24 th 10 bln</t>
  </si>
  <si>
    <t>Musyrif di IHBS</t>
  </si>
  <si>
    <t>0431468128</t>
  </si>
  <si>
    <t>1TZf3DPPM0cCo_tlWXXlbR15D9kmmogPSgt84890gp4s</t>
  </si>
  <si>
    <t>https://docs.google.com/document/d/1TZf3DPPM0cCo_tlWXXlbR15D9kmmogPSgt84890gp4s/edit?usp=drivesdk</t>
  </si>
  <si>
    <t>Document successfully created; Document successfully merged; Run via form trigger as kemal.stafsus@gmail.com; Timestamp: Oct 20 2020 3:44 AM</t>
  </si>
  <si>
    <t>https://drive.google.com/open?id=1trgN6kh93jEHJDAXDn1BKKf2Dg6ifp3g</t>
  </si>
  <si>
    <t>https://drive.google.com/uc?export=view&amp;id=1trgN6kh93jEHJDAXDn1BKKf2Dg6ifp3g</t>
  </si>
  <si>
    <t>ABDUL BASIT AL HAFIDZ</t>
  </si>
  <si>
    <t>082115382432</t>
  </si>
  <si>
    <t>C2821232</t>
  </si>
  <si>
    <t>TANGGERANG</t>
  </si>
  <si>
    <t>SERANG BANTEN</t>
  </si>
  <si>
    <t>25-04-1997</t>
  </si>
  <si>
    <t>AL QURAN</t>
  </si>
  <si>
    <t>ALUMNUS AR RAYAH</t>
  </si>
  <si>
    <t>Mengajar</t>
  </si>
  <si>
    <t>0752088729</t>
  </si>
  <si>
    <t>1O4cmsFqYkQ0ZVe008uenWhAb35zZag2B9hNh7gM7YVA</t>
  </si>
  <si>
    <t>https://docs.google.com/document/d/1O4cmsFqYkQ0ZVe008uenWhAb35zZag2B9hNh7gM7YVA/edit?usp=drivesdk</t>
  </si>
  <si>
    <t>Document successfully created; Document successfully merged; Run via form trigger as kemal.stafsus@gmail.com; Timestamp: Oct 20 2020 4:57 AM</t>
  </si>
  <si>
    <t>https://drive.google.com/open?id=1IifmGUInDr0sO2DqoRDEt54jhfHfJEJv</t>
  </si>
  <si>
    <t>https://drive.google.com/uc?export=view&amp;id=1IifmGUInDr0sO2DqoRDEt54jhfHfJEJv</t>
  </si>
  <si>
    <t>Abdul Rahman</t>
  </si>
  <si>
    <t>082310732312</t>
  </si>
  <si>
    <t>3278092804980004</t>
  </si>
  <si>
    <t xml:space="preserve">Tangerang Selatan </t>
  </si>
  <si>
    <t>22 th + 6 bln</t>
  </si>
  <si>
    <t>Musyrif &amp; guru Qur'an</t>
  </si>
  <si>
    <t>0896377250</t>
  </si>
  <si>
    <t>1uKRJKD5T8f5aB64jJbd0qSgdfwrNeXPNaJJ5CUdqKuQ</t>
  </si>
  <si>
    <t>https://docs.google.com/document/d/1uKRJKD5T8f5aB64jJbd0qSgdfwrNeXPNaJJ5CUdqKuQ/edit?usp=drivesdk</t>
  </si>
  <si>
    <t>Document successfully created; Document successfully merged; Run via form trigger as kemal.stafsus@gmail.com; Timestamp: Oct 20 2020 5:41 AM</t>
  </si>
  <si>
    <t>https://drive.google.com/open?id=1bcYS_lWjlANqVw2ZnONpzzbdAoHlNtMh</t>
  </si>
  <si>
    <t>https://drive.google.com/uc?export=view&amp;id=1bcYS_lWjlANqVw2ZnONpzzbdAoHlNtMh</t>
  </si>
  <si>
    <t>Almio Susetyo Harjanto, M.Pd.</t>
  </si>
  <si>
    <t>081316541027</t>
  </si>
  <si>
    <t>3216193004790003</t>
  </si>
  <si>
    <t>Gg H. Amat No 66, RT/RW 05/09, Kp Maruga, Ciater, Serpong, Tangsel</t>
  </si>
  <si>
    <t>30 April 1979</t>
  </si>
  <si>
    <t>41 tahun 6 bulan</t>
  </si>
  <si>
    <t>Universitas Terbuka</t>
  </si>
  <si>
    <t>Sastra Inggris Bidang Minat Penerjemahan</t>
  </si>
  <si>
    <t>Magister Pendidikan Bahasa Inggris</t>
  </si>
  <si>
    <t>3.88</t>
  </si>
  <si>
    <t>IOM, International Organization for Migration</t>
  </si>
  <si>
    <t>0860643781</t>
  </si>
  <si>
    <t>1lN5DmWgFx3tgxSRwP3qOlWpWWL-V4i968KlMmkFTw48</t>
  </si>
  <si>
    <t>https://docs.google.com/document/d/1lN5DmWgFx3tgxSRwP3qOlWpWWL-V4i968KlMmkFTw48/edit?usp=drivesdk</t>
  </si>
  <si>
    <t>Document successfully created; Document successfully merged; Run via form trigger as kemal.stafsus@gmail.com; Timestamp: Oct 20 2020 6:07 AM</t>
  </si>
  <si>
    <t>https://drive.google.com/open?id=1RTawOCMppxVHE99sYbzz8cgliLOT7ai1</t>
  </si>
  <si>
    <t>https://drive.google.com/uc?export=view&amp;id=1RTawOCMppxVHE99sYbzz8cgliLOT7ai1</t>
  </si>
  <si>
    <t>Moh Jalil</t>
  </si>
  <si>
    <t>085933653121</t>
  </si>
  <si>
    <t>3528132209950004</t>
  </si>
  <si>
    <t>Parit H Husin2 gg sejahtera abadi, pontianak Tenggara, Kalimantan Barat</t>
  </si>
  <si>
    <t>Pamekasan</t>
  </si>
  <si>
    <t>24-11-1996</t>
  </si>
  <si>
    <t>24 thn 10 bln</t>
  </si>
  <si>
    <t>Pondok pesantren SMA</t>
  </si>
  <si>
    <t>Bhs Arab</t>
  </si>
  <si>
    <t>Bekerja menjadi guru pendidik mulai 2015 sampai sekarang2020</t>
  </si>
  <si>
    <t>0857873129</t>
  </si>
  <si>
    <t>16ON8bVthF95PPWoua_6exbBpbqIiqk_3AwiBWtXcWrU</t>
  </si>
  <si>
    <t>https://docs.google.com/document/d/16ON8bVthF95PPWoua_6exbBpbqIiqk_3AwiBWtXcWrU/edit?usp=drivesdk</t>
  </si>
  <si>
    <t>Document successfully created; Document successfully merged; Run via form trigger as kemal.stafsus@gmail.com; Timestamp: Oct 20 2020 9:20 AM</t>
  </si>
  <si>
    <t>https://drive.google.com/open?id=16XDtObeq3-B5jW2gZen4vrTMvyS33xng</t>
  </si>
  <si>
    <t>https://drive.google.com/uc?export=view&amp;id=16XDtObeq3-B5jW2gZen4vrTMvyS33xng</t>
  </si>
  <si>
    <t>ADI ILHAM MAULANA</t>
  </si>
  <si>
    <t>087731383172</t>
  </si>
  <si>
    <t>3213030304960005</t>
  </si>
  <si>
    <t>Al wildan 3 bsd</t>
  </si>
  <si>
    <t>Subang jawa barat</t>
  </si>
  <si>
    <t>3 April</t>
  </si>
  <si>
    <t>AL-QURAN</t>
  </si>
  <si>
    <t>Masih di ITBA angkatan 1</t>
  </si>
  <si>
    <t>Al-quran &amp; bahasa arab</t>
  </si>
  <si>
    <t>Blm ada</t>
  </si>
  <si>
    <t>Guru al quran kampung santri cilembu</t>
  </si>
  <si>
    <t>Guru Al-quran rumah tahfidz di malaysia</t>
  </si>
  <si>
    <t>Setelah lulus ITBA : 7-8 jt</t>
  </si>
  <si>
    <t>0857465520</t>
  </si>
  <si>
    <t>1TbO494quaiPImGVJhI2SQYaEdMXH0MA61kYbcJsIvAA</t>
  </si>
  <si>
    <t>https://docs.google.com/document/d/1TbO494quaiPImGVJhI2SQYaEdMXH0MA61kYbcJsIvAA/edit?usp=drivesdk</t>
  </si>
  <si>
    <t>Document successfully created; Document successfully merged; Run via form trigger as kemal.stafsus@gmail.com; Timestamp: Oct 20 2020 9:23 AM</t>
  </si>
  <si>
    <t>https://drive.google.com/open?id=1YZJfMV4U8iz1dHrg6TJhzItRGbCD1URi</t>
  </si>
  <si>
    <t>https://drive.google.com/uc?export=view&amp;id=1YZJfMV4U8iz1dHrg6TJhzItRGbCD1URi</t>
  </si>
  <si>
    <t>MUTTAQIIN, S.S., M.Pd</t>
  </si>
  <si>
    <t>087883661010</t>
  </si>
  <si>
    <t>3603281508870014</t>
  </si>
  <si>
    <t>Jl Layar V nomor 4B perumahan Kelapa Dua. Kecamatan dan kelurahan Kelapa Dua Kab. TANGERANG. Provinsi Banten</t>
  </si>
  <si>
    <t>15-08-1987</t>
  </si>
  <si>
    <t>32 Tahun 2 Bulan</t>
  </si>
  <si>
    <t xml:space="preserve">Arabic, Bahasa Indonesia </t>
  </si>
  <si>
    <t>UIN MALANG</t>
  </si>
  <si>
    <t>3. 48</t>
  </si>
  <si>
    <t>UNIVERSITAS NEGERI JAKARTA</t>
  </si>
  <si>
    <t>Manajemen Pendidikan</t>
  </si>
  <si>
    <t xml:space="preserve"> Guru dan Wakil Kepala Sekolah Bidang Kesiswaaan di SD Excellent Metropolitan Jakarta Timur  2012-2014.</t>
  </si>
  <si>
    <t>1pnoQTtgQYHCVgQREffibC-6cunsIruZvtNjAMK318rQ</t>
  </si>
  <si>
    <t>https://docs.google.com/document/d/1pnoQTtgQYHCVgQREffibC-6cunsIruZvtNjAMK318rQ/edit?usp=drivesdk</t>
  </si>
  <si>
    <t>Document successfully created; Document successfully merged; Run via form trigger as kemal.stafsus@gmail.com; Timestamp: Oct 20 2020 9:27 PM</t>
  </si>
  <si>
    <t>https://drive.google.com/open?id=1E_wGVMfALAG6mIEyOSTxzsr4gLv9iXCY</t>
  </si>
  <si>
    <t>https://drive.google.com/uc?export=view&amp;id=1E_wGVMfALAG6mIEyOSTxzsr4gLv9iXCY</t>
  </si>
  <si>
    <t>Dicky Rachmat Gumelar Santoso</t>
  </si>
  <si>
    <t>085772329481</t>
  </si>
  <si>
    <t>3275102712890015</t>
  </si>
  <si>
    <t>Jl. Swadaya IV No. 20 RT.03/04</t>
  </si>
  <si>
    <t>Depok</t>
  </si>
  <si>
    <t>27-12-1989</t>
  </si>
  <si>
    <t>SMK Katolik Grafika Mardi Yuana Bogor</t>
  </si>
  <si>
    <t>Teknik Produksi Grafika</t>
  </si>
  <si>
    <t>1WEofozfmU_0rk72ClF0YpyLL5Uz8yQ_7wwBWu2712iM</t>
  </si>
  <si>
    <t>https://docs.google.com/document/d/1WEofozfmU_0rk72ClF0YpyLL5Uz8yQ_7wwBWu2712iM/edit?usp=drivesdk</t>
  </si>
  <si>
    <t>Document successfully created; Document successfully merged; Run via form trigger as kemal.stafsus@gmail.com; Timestamp: Oct 20 2020 10:00 PM</t>
  </si>
  <si>
    <t>https://drive.google.com/open?id=11HIsk_9VVBgypCYoqHog7CelPPuYtU3D</t>
  </si>
  <si>
    <t>https://drive.google.com/uc?export=view&amp;id=11HIsk_9VVBgypCYoqHog7CelPPuYtU3D</t>
  </si>
  <si>
    <t xml:space="preserve">Salman abdul aziz </t>
  </si>
  <si>
    <t>3203282109990003</t>
  </si>
  <si>
    <t xml:space="preserve">Cipanas Cianjur </t>
  </si>
  <si>
    <t xml:space="preserve">Cianjur </t>
  </si>
  <si>
    <t xml:space="preserve">21 september 1999 </t>
  </si>
  <si>
    <t xml:space="preserve">Al Qur'an </t>
  </si>
  <si>
    <t xml:space="preserve">Muhafidz dan musyrif </t>
  </si>
  <si>
    <t xml:space="preserve">Muhafidz musrif </t>
  </si>
  <si>
    <t>0899797931</t>
  </si>
  <si>
    <t xml:space="preserve">Bni syariah </t>
  </si>
  <si>
    <t>14mC9Z2j_b35iv7WpxhU6GzUsnNYvesZmAEuG8OAQ-MI</t>
  </si>
  <si>
    <t>https://docs.google.com/document/d/14mC9Z2j_b35iv7WpxhU6GzUsnNYvesZmAEuG8OAQ-MI/edit?usp=drivesdk</t>
  </si>
  <si>
    <t>Document successfully created; Invalid image URL [https://drive.google.com/uc?export=view&amp;id=11HIsk_9VVBgypCYoqHog7CelPPuYtU3D], make sure that it is public; Document successfully merged; Run via form trigger as kemal.stafsus@gmail.com; Timestamp: Oct 20 2020 10:20 PM</t>
  </si>
  <si>
    <t>https://drive.google.com/open?id=1TE6vHBiRahatjMRPilaQ_rox8ep3Zavx</t>
  </si>
  <si>
    <t>https://drive.google.com/uc?export=view&amp;id=1TE6vHBiRahatjMRPilaQ_rox8ep3Zavx</t>
  </si>
  <si>
    <t>1408100810990005/C1231092</t>
  </si>
  <si>
    <t>Jakarta timur/Tangsel</t>
  </si>
  <si>
    <t>21 tahun bulan Oktober ini</t>
  </si>
  <si>
    <t>Institut Tahfiz Qur'an Bersanad Alwildan</t>
  </si>
  <si>
    <t>Tafsir Qur'an</t>
  </si>
  <si>
    <t>Guru Al-Qur'an dan Musyrif di Alwildan Islamic school 3 BSD</t>
  </si>
  <si>
    <t>Guru Al-Qur'an dn Dakwah</t>
  </si>
  <si>
    <t>2.750.000 (ana udh 1 thn gaji masih tetap 1.750.000 ) mungkin dgn diisinya ini  Bsa sesuai harapan dn diperhatikan lagi Barokallahu fiikum</t>
  </si>
  <si>
    <t>0865127003</t>
  </si>
  <si>
    <t>1dYSN7LLoblaMa8sBRBodV9p_RET8spp-IfDcyx6zSQs</t>
  </si>
  <si>
    <t>https://docs.google.com/document/d/1dYSN7LLoblaMa8sBRBodV9p_RET8spp-IfDcyx6zSQs/edit?usp=drivesdk</t>
  </si>
  <si>
    <t>Document successfully created; Document successfully merged; Run via form trigger as kemal.stafsus@gmail.com; Timestamp: Oct 20 2020 10:23 PM</t>
  </si>
  <si>
    <t>https://drive.google.com/open?id=1U5yDN4vjZCPNCqAyguooSrprch3M2Ynl</t>
  </si>
  <si>
    <t>https://drive.google.com/uc?export=view&amp;id=1U5yDN4vjZCPNCqAyguooSrprch3M2Ynl</t>
  </si>
  <si>
    <t>Joko Adi Saputro, M.Pd</t>
  </si>
  <si>
    <t>081520496478</t>
  </si>
  <si>
    <t>3507091501900003</t>
  </si>
  <si>
    <t>Jl. Setiawarga 2 no 5 Ciater Mekar Jaya, Tangsel</t>
  </si>
  <si>
    <t>15-01-1990</t>
  </si>
  <si>
    <t>Management, Wakil Kepala Sekolah, Guru Mata Pelajaran</t>
  </si>
  <si>
    <t>Universitas Kanjuruhan Malang</t>
  </si>
  <si>
    <t xml:space="preserve">Ponpes Nasruddin Dampit-Malang </t>
  </si>
  <si>
    <t>1.000.000-1.500.000</t>
  </si>
  <si>
    <t>Primagama Turen</t>
  </si>
  <si>
    <t>1.000.000-2.500.000</t>
  </si>
  <si>
    <t>Djuwita National Plus School</t>
  </si>
  <si>
    <t>6.500.000-7.500.000</t>
  </si>
  <si>
    <t>10.000.000-15.000.000</t>
  </si>
  <si>
    <t>0725886685</t>
  </si>
  <si>
    <t>1IH4qpMdGP3pTvjmCpXZvktLNynXno4y3Ve3WVT1dj3o</t>
  </si>
  <si>
    <t>https://docs.google.com/document/d/1IH4qpMdGP3pTvjmCpXZvktLNynXno4y3Ve3WVT1dj3o/edit?usp=drivesdk</t>
  </si>
  <si>
    <t>Document successfully created; Document successfully merged; Run via form trigger as kemal.stafsus@gmail.com; Timestamp: Oct 20 2020 10:26 PM</t>
  </si>
  <si>
    <t>https://drive.google.com/open?id=1yuJsTubiCdwfw30PiCxvt0nyKRuyl4JO</t>
  </si>
  <si>
    <t>https://drive.google.com/uc?export=view&amp;id=1yuJsTubiCdwfw30PiCxvt0nyKRuyl4JO</t>
  </si>
  <si>
    <t>Tri Suhartono, S.Pd</t>
  </si>
  <si>
    <t>081218938740</t>
  </si>
  <si>
    <t>1671040302930006</t>
  </si>
  <si>
    <t>Cluster Catalina.
Jalan danau ranau 2 blok ac 2 no 28. Tangerang Banten</t>
  </si>
  <si>
    <t>Bukit Kemuning, Lampung Utara</t>
  </si>
  <si>
    <t>03-02-1993</t>
  </si>
  <si>
    <t>27 tahun 8 bulan</t>
  </si>
  <si>
    <t>Surya Institut</t>
  </si>
  <si>
    <t xml:space="preserve">GSC palembang 1 tahun, </t>
  </si>
  <si>
    <t>SMA N Plus 17 Palembang 5 bulan,</t>
  </si>
  <si>
    <t>5% Saham</t>
  </si>
  <si>
    <t>0208413139</t>
  </si>
  <si>
    <t>1CnsjIVKDgVsaJEyjXYmsyEyxNMgLY_oBLM2BRXVGcVo</t>
  </si>
  <si>
    <t>https://docs.google.com/document/d/1CnsjIVKDgVsaJEyjXYmsyEyxNMgLY_oBLM2BRXVGcVo/edit?usp=drivesdk</t>
  </si>
  <si>
    <t>Document successfully created; Document successfully merged; Run via form trigger as kemal.stafsus@gmail.com; Timestamp: Oct 20 2020 10:30 PM</t>
  </si>
  <si>
    <t>https://drive.google.com/open?id=1C6l9gn-py2bKnJka9o54yyPQuD012bfk</t>
  </si>
  <si>
    <t>https://drive.google.com/uc?export=view&amp;id=1C6l9gn-py2bKnJka9o54yyPQuD012bfk</t>
  </si>
  <si>
    <t>Fikril Haq Mabrur S. Pd</t>
  </si>
  <si>
    <t>085217171587</t>
  </si>
  <si>
    <t>7310043008950002</t>
  </si>
  <si>
    <t>Jl.Ciater raya no.48</t>
  </si>
  <si>
    <t>Bantaeng</t>
  </si>
  <si>
    <t>STIBA ARRAAYAH SUKABUMI</t>
  </si>
  <si>
    <t xml:space="preserve">PENDIDIKAN BAHASA ARAB </t>
  </si>
  <si>
    <t>Markaz Hadits</t>
  </si>
  <si>
    <t>AlWildan 3 BSD</t>
  </si>
  <si>
    <t>Mandiri Syariah</t>
  </si>
  <si>
    <t>1WAHx6HMbzunRAJFvenOPzs0i1gi92Vj_m_kWmbQEz_w</t>
  </si>
  <si>
    <t>https://docs.google.com/document/d/1WAHx6HMbzunRAJFvenOPzs0i1gi92Vj_m_kWmbQEz_w/edit?usp=drivesdk</t>
  </si>
  <si>
    <t>Document successfully created; Document successfully merged; Run via form trigger as kemal.stafsus@gmail.com; Timestamp: Oct 20 2020 10:37 PM</t>
  </si>
  <si>
    <t>https://drive.google.com/open?id=1Ywxg96WZEZH_4hxqTqiDJ8ProAZ-BKSC</t>
  </si>
  <si>
    <t>https://drive.google.com/uc?export=view&amp;id=1Ywxg96WZEZH_4hxqTqiDJ8ProAZ-BKSC</t>
  </si>
  <si>
    <t>Moh Syaiful Rahmat</t>
  </si>
  <si>
    <t>085942579790</t>
  </si>
  <si>
    <t>5202042303950003</t>
  </si>
  <si>
    <t>dsn kadek desa segala anyar kecamatan pujut kabupaten lombok tengah</t>
  </si>
  <si>
    <t>segala anyar</t>
  </si>
  <si>
    <t>23-03-1995</t>
  </si>
  <si>
    <t>25 tahun 6bulan</t>
  </si>
  <si>
    <t>al-quran</t>
  </si>
  <si>
    <t>0857866768</t>
  </si>
  <si>
    <t>bni syariah</t>
  </si>
  <si>
    <t>1g6F2meQp5At89q9Mw_v-CFxsHus5sgGjglHXOi5JZP8</t>
  </si>
  <si>
    <t>https://docs.google.com/document/d/1g6F2meQp5At89q9Mw_v-CFxsHus5sgGjglHXOi5JZP8/edit?usp=drivesdk</t>
  </si>
  <si>
    <t>Document successfully created; Document successfully merged; Run via form trigger as kemal.stafsus@gmail.com; Timestamp: Oct 20 2020 11:08 PM</t>
  </si>
  <si>
    <t>https://drive.google.com/open?id=1vz8c8dOJo-jV3msvVPw9YMsYu0iooSWX</t>
  </si>
  <si>
    <t>https://drive.google.com/uc?export=view&amp;id=1vz8c8dOJo-jV3msvVPw9YMsYu0iooSWX</t>
  </si>
  <si>
    <t>Mohammad Farhan Munif</t>
  </si>
  <si>
    <t>08111120516</t>
  </si>
  <si>
    <t>3276051012980005</t>
  </si>
  <si>
    <t>Taman Manggis Permai Blok R no 9,Depok</t>
  </si>
  <si>
    <t>10-12-1998</t>
  </si>
  <si>
    <t>MA AL-Irsyad Tengaran Salatiga</t>
  </si>
  <si>
    <t>sedang kuliah S1 UMJ</t>
  </si>
  <si>
    <t>Musyrif AL WILDAN 3 BSD 2019- sekarang</t>
  </si>
  <si>
    <t>08410314</t>
  </si>
  <si>
    <t>1bETIjFWD7TymBSLZzc7HkAVa7ilOcgZroJEbjkQefZQ</t>
  </si>
  <si>
    <t>https://docs.google.com/document/d/1bETIjFWD7TymBSLZzc7HkAVa7ilOcgZroJEbjkQefZQ/edit?usp=drivesdk</t>
  </si>
  <si>
    <t>Document successfully created; Document successfully merged; Run via form trigger as kemal.stafsus@gmail.com; Timestamp: Oct 20 2020 11:29 PM</t>
  </si>
  <si>
    <t>https://drive.google.com/open?id=15KI3MSy5dRJVvAbkCsw0tM-8fp1rayMn</t>
  </si>
  <si>
    <t>https://drive.google.com/uc?export=view&amp;id=15KI3MSy5dRJVvAbkCsw0tM-8fp1rayMn</t>
  </si>
  <si>
    <t>Muhammad Umar Karaman</t>
  </si>
  <si>
    <t>082375646476</t>
  </si>
  <si>
    <t>3504011404990001</t>
  </si>
  <si>
    <t>Jl.Sukadamai V, No.31, Serua, Ciputat, Tangerang Selatan</t>
  </si>
  <si>
    <t>Tulungagung</t>
  </si>
  <si>
    <t>14-04-1999</t>
  </si>
  <si>
    <t>Guru Alquran</t>
  </si>
  <si>
    <t>IMTAQ ISY KARIMA</t>
  </si>
  <si>
    <t>Sedang Kuliah</t>
  </si>
  <si>
    <t>Pengasuh Rumah Qur'an Ibnu Mas'ud - Kota Manna,Bengkulu Selatan</t>
  </si>
  <si>
    <t>Pengasuh Rumah Hijrah Wilayah Cab.Sumatera Selatan dan sekitarnya</t>
  </si>
  <si>
    <t>Guru Mapel Qur'an AL-WILDAN ISLAMIC SCHOOL 3 BSD</t>
  </si>
  <si>
    <t>0841034589</t>
  </si>
  <si>
    <t>10SDD__pENIVzv_eadP8God7Eo6Qxr8EcxruUBr0U_q0</t>
  </si>
  <si>
    <t>https://docs.google.com/document/d/10SDD__pENIVzv_eadP8God7Eo6Qxr8EcxruUBr0U_q0/edit?usp=drivesdk</t>
  </si>
  <si>
    <t>Document successfully created; Document successfully merged; Run via form trigger as kemal.stafsus@gmail.com; Timestamp: Oct 21 2020 12:00 AM</t>
  </si>
  <si>
    <t>https://drive.google.com/open?id=1lxLGJpuIwN8ErgdbCW9In-BI95vvSd8n</t>
  </si>
  <si>
    <t>https://drive.google.com/uc?export=view&amp;id=1lxLGJpuIwN8ErgdbCW9In-BI95vvSd8n</t>
  </si>
  <si>
    <t xml:space="preserve">Abdullah, M. Pd. </t>
  </si>
  <si>
    <t>085337732464</t>
  </si>
  <si>
    <t>5206110711881003</t>
  </si>
  <si>
    <t>Jl. Setia Warga Kel Rawa Mekar Jaya Kec.  Serpong Kota Tangsel</t>
  </si>
  <si>
    <t>07-11-1988</t>
  </si>
  <si>
    <t>32 Tahun</t>
  </si>
  <si>
    <t>Universitas Muhammadiyah Mataram</t>
  </si>
  <si>
    <t>Pendidikan Bahasa, Sastra, Indonesia dan Daerah</t>
  </si>
  <si>
    <t>Pendidikan Bahasa</t>
  </si>
  <si>
    <t xml:space="preserve">Guru Bahasa Indonesia </t>
  </si>
  <si>
    <t>0841059854</t>
  </si>
  <si>
    <t>0376774158</t>
  </si>
  <si>
    <t>1B9D9bZrcPRC7x-3PBLHXhOEdUXzy5qHwWAML5eO5fBk</t>
  </si>
  <si>
    <t>https://docs.google.com/document/d/1B9D9bZrcPRC7x-3PBLHXhOEdUXzy5qHwWAML5eO5fBk/edit?usp=drivesdk</t>
  </si>
  <si>
    <t>Document successfully created; Document successfully merged; Run via form trigger as kemal.stafsus@gmail.com; Timestamp: Oct 21 2020 12:18 AM</t>
  </si>
  <si>
    <t>https://drive.google.com/open?id=1F87k4N91nJBs6lmEAtk9t0tStGa4Unrw</t>
  </si>
  <si>
    <t>https://drive.google.com/uc?export=view&amp;id=1F87k4N91nJBs6lmEAtk9t0tStGa4Unrw</t>
  </si>
  <si>
    <t>Ahmad Ikhlas</t>
  </si>
  <si>
    <t>0895381276805</t>
  </si>
  <si>
    <t>5271022005910003</t>
  </si>
  <si>
    <t>20-05-91</t>
  </si>
  <si>
    <t>29 Tahun</t>
  </si>
  <si>
    <t>Sejarah Kebudayaan Islam</t>
  </si>
  <si>
    <t>2.68</t>
  </si>
  <si>
    <t>Mengajar Arabic dan Diniyah</t>
  </si>
  <si>
    <t>0844656359</t>
  </si>
  <si>
    <t>BNJ Syari'ah</t>
  </si>
  <si>
    <t>1C_QFU54aW0Jc1xpNXpdCb4K5-h9-KlxUpzdQryl7WSw</t>
  </si>
  <si>
    <t>https://docs.google.com/document/d/1C_QFU54aW0Jc1xpNXpdCb4K5-h9-KlxUpzdQryl7WSw/edit?usp=drivesdk</t>
  </si>
  <si>
    <t>Document successfully created; Document successfully merged; Run via form trigger as kemal.stafsus@gmail.com; Timestamp: Oct 21 2020 12:46 AM</t>
  </si>
  <si>
    <t>https://drive.google.com/open?id=1rjaI2l12Jq_WZ4ZJSruWyP3YVYhutrUg</t>
  </si>
  <si>
    <t>https://drive.google.com/uc?export=view&amp;id=1rjaI2l12Jq_WZ4ZJSruWyP3YVYhutrUg</t>
  </si>
  <si>
    <t xml:space="preserve">Muhammad NursulFadlan </t>
  </si>
  <si>
    <t>085241513999</t>
  </si>
  <si>
    <t>7471080802000003</t>
  </si>
  <si>
    <t xml:space="preserve">Jln.Mt.Haryono No.9 Pasar Baru Wua Wua Kendari Sulawesi Tenggara </t>
  </si>
  <si>
    <t>08-02-2000</t>
  </si>
  <si>
    <t>Musyrif dan pengganti guru</t>
  </si>
  <si>
    <t xml:space="preserve">Universitas ITBA Al Wildan </t>
  </si>
  <si>
    <t>Mahasiswa ITBA Al Wildan BSD</t>
  </si>
  <si>
    <t>Musyrif Dan Guru Pengganti</t>
  </si>
  <si>
    <t>0868343225</t>
  </si>
  <si>
    <t>1TTRn5mkA5xJi82NqDi94QEvGwJdHQpfu8vhdnghM9pM</t>
  </si>
  <si>
    <t>https://docs.google.com/document/d/1TTRn5mkA5xJi82NqDi94QEvGwJdHQpfu8vhdnghM9pM/edit?usp=drivesdk</t>
  </si>
  <si>
    <t>Document successfully created; Document successfully merged; Run via form trigger as kemal.stafsus@gmail.com; Timestamp: Oct 21 2020 1:17 AM</t>
  </si>
  <si>
    <t>https://drive.google.com/open?id=1H0UE2cFtxR3K5G63SlawsP43Eg79MA7D</t>
  </si>
  <si>
    <t>https://drive.google.com/uc?export=view&amp;id=1H0UE2cFtxR3K5G63SlawsP43Eg79MA7D</t>
  </si>
  <si>
    <t>Syaikh ISSA DIOP LC</t>
  </si>
  <si>
    <t>081770000294</t>
  </si>
  <si>
    <t>3171072806795001 KTP</t>
  </si>
  <si>
    <t>Jl.H Kelik no 84 Srengseng kembangan Jakarta barat</t>
  </si>
  <si>
    <t>Bamako</t>
  </si>
  <si>
    <t>28-06-1979</t>
  </si>
  <si>
    <t>2.73</t>
  </si>
  <si>
    <t>Tidak ada</t>
  </si>
  <si>
    <t>0370363494</t>
  </si>
  <si>
    <t>Bank'BNI Syariah</t>
  </si>
  <si>
    <t>1A2GOZQjCFJ-JqN_EYdb37nQQunqgrQkDtkvSwCrKZKI</t>
  </si>
  <si>
    <t>https://docs.google.com/document/d/1A2GOZQjCFJ-JqN_EYdb37nQQunqgrQkDtkvSwCrKZKI/edit?usp=drivesdk</t>
  </si>
  <si>
    <t>Document successfully created; Document successfully merged; Run via form trigger as kemal.stafsus@gmail.com; Timestamp: Oct 21 2020 1:39 AM</t>
  </si>
  <si>
    <t>https://drive.google.com/open?id=13MrfMJOaY0qOS8NWS0P2uFhcaksg_102</t>
  </si>
  <si>
    <t>https://drive.google.com/uc?export=view&amp;id=13MrfMJOaY0qOS8NWS0P2uFhcaksg_102</t>
  </si>
  <si>
    <t>Muhammad Iqbal Zaki almubarak</t>
  </si>
  <si>
    <t>081386364385</t>
  </si>
  <si>
    <t>Nik: 1771061209950003  No. Paspor: B 1915015</t>
  </si>
  <si>
    <t>Alwildan 3 BSD Tangerang</t>
  </si>
  <si>
    <t xml:space="preserve">Masih kuliah di ITBA </t>
  </si>
  <si>
    <t>ITBA</t>
  </si>
  <si>
    <t>Belum lulus</t>
  </si>
  <si>
    <t>Marbot sekaligus guru smp di Kahuripan</t>
  </si>
  <si>
    <t>Musyrif dan guru mata pelajaran Quran di ALWILDAN 3 BSD Tangerang</t>
  </si>
  <si>
    <t>1SY6HANTWAEaqfJRyHGQiuJNoix-7h2pQ4ppRsKyQdnw</t>
  </si>
  <si>
    <t>https://docs.google.com/document/d/1SY6HANTWAEaqfJRyHGQiuJNoix-7h2pQ4ppRsKyQdnw/edit?usp=drivesdk</t>
  </si>
  <si>
    <t>Document successfully created; Document successfully merged; Run via form trigger as kemal.stafsus@gmail.com; Timestamp: Oct 21 2020 1:43 AM</t>
  </si>
  <si>
    <t>https://drive.google.com/open?id=10VwYUMCiNpt_LwIk8HFoH1U1Z5o5a80k</t>
  </si>
  <si>
    <t>https://drive.google.com/uc?export=view&amp;id=10VwYUMCiNpt_LwIk8HFoH1U1Z5o5a80k</t>
  </si>
  <si>
    <t xml:space="preserve">Ubay Dillah, S. Si., M. Pd. </t>
  </si>
  <si>
    <t>085749774773</t>
  </si>
  <si>
    <t>3511051401860001</t>
  </si>
  <si>
    <t>14-01-1986</t>
  </si>
  <si>
    <t>34tahun10bulan</t>
  </si>
  <si>
    <t>Management, Guru Mata Pelajaran, Tim IT, Musyrif</t>
  </si>
  <si>
    <t>Universitas Negeri Jember</t>
  </si>
  <si>
    <t>Matematika Komputasi</t>
  </si>
  <si>
    <t>2.79</t>
  </si>
  <si>
    <t>Universitas Negeri Surabaya</t>
  </si>
  <si>
    <t xml:space="preserve">Staf Pengajar Bimbingan Belajar SMP - SMA di Jember </t>
  </si>
  <si>
    <t>Peneliti Lapang Lembaga Survei Indonesia</t>
  </si>
  <si>
    <t>Guru Matematika Sekolah Citra Berkat -Ciputra Surabaya</t>
  </si>
  <si>
    <t>0841035639</t>
  </si>
  <si>
    <t>1SXIjkdrwVOaGqh_DuYpdbIyZmQKH8VOJ4lFnlKGpLaM</t>
  </si>
  <si>
    <t>https://docs.google.com/document/d/1SXIjkdrwVOaGqh_DuYpdbIyZmQKH8VOJ4lFnlKGpLaM/edit?usp=drivesdk</t>
  </si>
  <si>
    <t>Document successfully created; Document successfully merged; Run via form trigger as kemal.stafsus@gmail.com; Timestamp: Oct 21 2020 2:19 AM</t>
  </si>
  <si>
    <t>https://drive.google.com/open?id=1jYAgFFMK2FbOwBaqj8VGp5FchUbxR4Gq</t>
  </si>
  <si>
    <t>https://drive.google.com/uc?export=view&amp;id=1jYAgFFMK2FbOwBaqj8VGp5FchUbxR4Gq</t>
  </si>
  <si>
    <t xml:space="preserve">Iskandar Diantara </t>
  </si>
  <si>
    <t>085716297570</t>
  </si>
  <si>
    <t>5271020903960003</t>
  </si>
  <si>
    <t>Tangerang Selatan, BSD</t>
  </si>
  <si>
    <t>Karang Anyar</t>
  </si>
  <si>
    <t>09-03-1996</t>
  </si>
  <si>
    <t xml:space="preserve">SKI Arabic </t>
  </si>
  <si>
    <t>Ponpes Ma'had ilmi Abu dzar lombok</t>
  </si>
  <si>
    <t xml:space="preserve">ITBA </t>
  </si>
  <si>
    <t xml:space="preserve">Pernah Mengajar Arabic 1 tahun di lombok , mengajar Al-Qur'an 3 tahun di lombok dan 2,5 tahun di Ma'had FIWA bogor, pernah menjadi Musyrif 1 tahun di FIWA dan 1 tahun di lombok. dan sekarang Musyrif dan mengajar SKI  Arabic. </t>
  </si>
  <si>
    <t>1AaEZpT6RXCSt_fXaJ7VX-cuiFrY6ZklBc87d6ZXvZvE</t>
  </si>
  <si>
    <t>https://docs.google.com/document/d/1AaEZpT6RXCSt_fXaJ7VX-cuiFrY6ZklBc87d6ZXvZvE/edit?usp=drivesdk</t>
  </si>
  <si>
    <t>Document successfully created; Document successfully merged; Run via form trigger as kemal.stafsus@gmail.com; Timestamp: Oct 21 2020 2:46 AM</t>
  </si>
  <si>
    <t>https://drive.google.com/open?id=1VLWnJmzZCLQM-_1ffk-m-DcaaZ6l5m9B</t>
  </si>
  <si>
    <t>https://drive.google.com/uc?export=view&amp;id=1VLWnJmzZCLQM-_1ffk-m-DcaaZ6l5m9B</t>
  </si>
  <si>
    <t>Ilham Aditiara Rahman, S.Pd.</t>
  </si>
  <si>
    <t>085695422683</t>
  </si>
  <si>
    <t>3276050404930002</t>
  </si>
  <si>
    <t>Jln. H. Abdul Ghani No.42 Rt.01/03, Kel. Jatimulya Kec. Cilodong Depok</t>
  </si>
  <si>
    <t>04-04-1993</t>
  </si>
  <si>
    <t>UIN Syarif Hidayatullah Jakarta</t>
  </si>
  <si>
    <t>Guru Bahasa Inggris</t>
  </si>
  <si>
    <t>Rp. 700.000</t>
  </si>
  <si>
    <t>Rp. 3.000.000</t>
  </si>
  <si>
    <t>Rp. 6.5000.000</t>
  </si>
  <si>
    <t>0588562493</t>
  </si>
  <si>
    <t>1TtxGHod0QXPHlaryPSMwq8HUDHeZEw3GcHx5IaSA4MA</t>
  </si>
  <si>
    <t>https://docs.google.com/document/d/1TtxGHod0QXPHlaryPSMwq8HUDHeZEw3GcHx5IaSA4MA/edit?usp=drivesdk</t>
  </si>
  <si>
    <t>Document successfully created; Document successfully merged; Run via form trigger as kemal.stafsus@gmail.com; Timestamp: Oct 21 2020 3:07 AM</t>
  </si>
  <si>
    <t>https://drive.google.com/open?id=1vEDuuP6ba7vt2hq6y6g9zxNlGOgsBSfZ</t>
  </si>
  <si>
    <t>https://drive.google.com/uc?export=view&amp;id=1vEDuuP6ba7vt2hq6y6g9zxNlGOgsBSfZ</t>
  </si>
  <si>
    <t>EDY MULYADI</t>
  </si>
  <si>
    <t>081932948213</t>
  </si>
  <si>
    <t>5271020505910006</t>
  </si>
  <si>
    <t>Pesantren Al-wildan Islamic School internasional 3 BSD JL. Ciater Raya No.48, Mekar Jaya Kec. Serpong Kab. Tangerang Selatan Banten</t>
  </si>
  <si>
    <t>Kr. Anyar</t>
  </si>
  <si>
    <t>05-05-1991</t>
  </si>
  <si>
    <t>Management, Guru Mata Pelajaran, Musyrif</t>
  </si>
  <si>
    <t>PTIQ</t>
  </si>
  <si>
    <t>Pesantren Abu Hurairah Mataram 
Maqhad Imam Syafii Bima</t>
  </si>
  <si>
    <t xml:space="preserve">Di Bekasi Imam Masjid + Guru Ngaji 
Jakarta Timur Guru Sekolah dan Bahasa Arab </t>
  </si>
  <si>
    <t xml:space="preserve">3.000.000 - 3.500.000 </t>
  </si>
  <si>
    <t xml:space="preserve">Di Bogor Musyrif + Guru Al-quran dan hadits </t>
  </si>
  <si>
    <t>3.900.000 - 4.000.000</t>
  </si>
  <si>
    <t>17-TvMvJjF4nGUF5S6kg382aZ6CGrJ54ZR_0FqBHqAYY</t>
  </si>
  <si>
    <t>https://docs.google.com/document/d/17-TvMvJjF4nGUF5S6kg382aZ6CGrJ54ZR_0FqBHqAYY/edit?usp=drivesdk</t>
  </si>
  <si>
    <t>Document successfully created; Document successfully merged; Run via form trigger as kemal.stafsus@gmail.com; Timestamp: Oct 21 2020 3:13 AM</t>
  </si>
  <si>
    <t>https://drive.google.com/open?id=1kdVMFud82mHgPXjJ2Gc9M5wgw7k57Wig</t>
  </si>
  <si>
    <t>https://drive.google.com/uc?export=view&amp;id=1kdVMFud82mHgPXjJ2Gc9M5wgw7k57Wig</t>
  </si>
  <si>
    <t>Firmansyah Alhafidz</t>
  </si>
  <si>
    <t>0859184013640</t>
  </si>
  <si>
    <t>36031919118900005</t>
  </si>
  <si>
    <t>kp.baru Rt.002/004 desa karang serang kecamatan sukadiri kabupaten tangerang banten</t>
  </si>
  <si>
    <t>19-11-1989</t>
  </si>
  <si>
    <t>30 Tahun 11 Bulan</t>
  </si>
  <si>
    <t>Al-Quran</t>
  </si>
  <si>
    <t>Universitas Islam Negri</t>
  </si>
  <si>
    <t>Imam Masjid</t>
  </si>
  <si>
    <t>0899046633</t>
  </si>
  <si>
    <t>126ASg54F9Badd3GFy_lwoQaoqTS4hO6xUg5ytgAnVEM</t>
  </si>
  <si>
    <t>https://docs.google.com/document/d/126ASg54F9Badd3GFy_lwoQaoqTS4hO6xUg5ytgAnVEM/edit?usp=drivesdk</t>
  </si>
  <si>
    <t>Document successfully created; Document successfully merged; Run via form trigger as kemal.stafsus@gmail.com; Timestamp: Oct 21 2020 3:56 AM</t>
  </si>
  <si>
    <t>https://drive.google.com/open?id=1C0L2bRWNy0m7aoxmw0S0zLpQqa4OlZF1</t>
  </si>
  <si>
    <t>https://drive.google.com/uc?export=view&amp;id=1C0L2bRWNy0m7aoxmw0S0zLpQqa4OlZF1</t>
  </si>
  <si>
    <t>Rian Alfarizi</t>
  </si>
  <si>
    <t>085932263102</t>
  </si>
  <si>
    <t>5201140410970003</t>
  </si>
  <si>
    <t>Kayangan Lombok Barat</t>
  </si>
  <si>
    <t>28-08-1998</t>
  </si>
  <si>
    <t xml:space="preserve">Muyrif </t>
  </si>
  <si>
    <t>0857463544</t>
  </si>
  <si>
    <t>1BsjY1QJq_D_vvJUwZC39T-behD5Gj6vARa2hddtueEA</t>
  </si>
  <si>
    <t>https://docs.google.com/document/d/1BsjY1QJq_D_vvJUwZC39T-behD5Gj6vARa2hddtueEA/edit?usp=drivesdk</t>
  </si>
  <si>
    <t>Document successfully created; Document successfully merged; Run via form trigger as kemal.stafsus@gmail.com; Timestamp: Oct 21 2020 4:13 AM</t>
  </si>
  <si>
    <t>https://drive.google.com/open?id=1oMZ19ceqosHmjOFDvhrBCt57Tl99KZvF</t>
  </si>
  <si>
    <t>https://drive.google.com/uc?export=view&amp;id=1oMZ19ceqosHmjOFDvhrBCt57Tl99KZvF</t>
  </si>
  <si>
    <t>Ali Ikbar</t>
  </si>
  <si>
    <t>081999435225</t>
  </si>
  <si>
    <t>5201023112970073</t>
  </si>
  <si>
    <t>Lombok (Kediri)</t>
  </si>
  <si>
    <t>18-07-2020</t>
  </si>
  <si>
    <t>23 Tahun 3 bulan</t>
  </si>
  <si>
    <t>Pernah mengajar di SDIT Insan Mulia Kediri Lombok</t>
  </si>
  <si>
    <t>sekarang mengajar dan menjadi musyrif di Al Wildan 3 BSD</t>
  </si>
  <si>
    <t>3,500.000.00</t>
  </si>
  <si>
    <t>0857456468</t>
  </si>
  <si>
    <t>1NILv2uVZRZcsgOqd86UaIyqE0Ts5r2myLUuGmQQXUDQ</t>
  </si>
  <si>
    <t>https://docs.google.com/document/d/1NILv2uVZRZcsgOqd86UaIyqE0Ts5r2myLUuGmQQXUDQ/edit?usp=drivesdk</t>
  </si>
  <si>
    <t>Document successfully created; Document successfully merged; Run via form trigger as kemal.stafsus@gmail.com; Timestamp: Oct 21 2020 4:56 AM</t>
  </si>
  <si>
    <t>https://drive.google.com/open?id=1uYMDsjNsDSDXihhnRegp9kPJbUyTDUAf</t>
  </si>
  <si>
    <t>https://drive.google.com/uc?export=view&amp;id=1uYMDsjNsDSDXihhnRegp9kPJbUyTDUAf</t>
  </si>
  <si>
    <t>AHMAD ZAKARIA SP.d.I</t>
  </si>
  <si>
    <t>081319041159</t>
  </si>
  <si>
    <t>3275120407820008</t>
  </si>
  <si>
    <t>jalan layar 4 a nomor 8,kel kelapa dua,kec kelapa dua tangerang</t>
  </si>
  <si>
    <t>Risa Bima Ntb</t>
  </si>
  <si>
    <t>4 juli 1982</t>
  </si>
  <si>
    <t>37 tahun</t>
  </si>
  <si>
    <t>ALQURAN</t>
  </si>
  <si>
    <t>Alaqidah Jakarta dan i'dad LIPIA</t>
  </si>
  <si>
    <t>AL AQIDAH JAKARTA</t>
  </si>
  <si>
    <t>TIDAK ADA</t>
  </si>
  <si>
    <t>TIDAK ADW</t>
  </si>
  <si>
    <t>mengajar di sekolah Al imam Cileungsi selama 5 tahun</t>
  </si>
  <si>
    <t>2.5</t>
  </si>
  <si>
    <t>mengajar di Sd Al anshar selama 4 tahun</t>
  </si>
  <si>
    <t>4 juta</t>
  </si>
  <si>
    <t>mengajar di Al wildan islamic school</t>
  </si>
  <si>
    <t>1LpyMe36rZV17bQDAmly3tYMwzcg0NZN5ZoicDLsF95g</t>
  </si>
  <si>
    <t>https://docs.google.com/document/d/1LpyMe36rZV17bQDAmly3tYMwzcg0NZN5ZoicDLsF95g/edit?usp=drivesdk</t>
  </si>
  <si>
    <t>Document successfully created; Document successfully merged; Run via form trigger as kemal.stafsus@gmail.com; Timestamp: Oct 21 2020 5:37 AM</t>
  </si>
  <si>
    <t>https://drive.google.com/open?id=1PjvHULU_hdXd54KKFIjA77-0r7j68EYM</t>
  </si>
  <si>
    <t>https://drive.google.com/uc?export=view&amp;id=1PjvHULU_hdXd54KKFIjA77-0r7j68EYM</t>
  </si>
  <si>
    <t>Ahkyar,Lc</t>
  </si>
  <si>
    <t>081916069189</t>
  </si>
  <si>
    <t>6474012811900001</t>
  </si>
  <si>
    <t>Jalan Setia Warga, Kec.Serpong</t>
  </si>
  <si>
    <t>Sigli</t>
  </si>
  <si>
    <t>28-11-1990</t>
  </si>
  <si>
    <t>30 tahun 6 bulan</t>
  </si>
  <si>
    <t>Syariah Islamiyyah</t>
  </si>
  <si>
    <t>Magister Dirosat Islamiyyah UIN Syarif Hidayatullah Jakarta.</t>
  </si>
  <si>
    <t>Ketua Komisi Arabic, Walikelas dan Guru mata pelajaran di Ma'had Imam Syafi'i Aceh</t>
  </si>
  <si>
    <t>Ketua Komisi Alquran, Walikelas dan Guru mata pelajaran di Ma'had Imam Syafi'i Aceh.</t>
  </si>
  <si>
    <t>Sekretaris Komisi Arabic, Walikelas dan Guru mata pelajaran di Aischo.</t>
  </si>
  <si>
    <t>0332748186</t>
  </si>
  <si>
    <t>1crnW72E6CVwNgptYbKBMrns-O4nhc5pqIr2yBQbFyiA</t>
  </si>
  <si>
    <t>https://docs.google.com/document/d/1crnW72E6CVwNgptYbKBMrns-O4nhc5pqIr2yBQbFyiA/edit?usp=drivesdk</t>
  </si>
  <si>
    <t>Document successfully created; Document successfully merged; Run via form trigger as kemal.stafsus@gmail.com; Timestamp: Oct 21 2020 9:34 AM</t>
  </si>
  <si>
    <t>https://drive.google.com/open?id=19Q6EHz4SNT6B3qyVEVByRFVcC4YctNck</t>
  </si>
  <si>
    <t>https://drive.google.com/uc?export=view&amp;id=19Q6EHz4SNT6B3qyVEVByRFVcC4YctNck</t>
  </si>
  <si>
    <t>Muhammad Basalamah</t>
  </si>
  <si>
    <t>+6289618633441</t>
  </si>
  <si>
    <t>3271012508980011</t>
  </si>
  <si>
    <t>25-08-1998</t>
  </si>
  <si>
    <t>0610617066</t>
  </si>
  <si>
    <t>1rZfieAHeLPGUPWr4WejVPCIaMOKvO2YX2z0M6D3HRBk</t>
  </si>
  <si>
    <t>https://docs.google.com/document/d/1rZfieAHeLPGUPWr4WejVPCIaMOKvO2YX2z0M6D3HRBk/edit?usp=drivesdk</t>
  </si>
  <si>
    <t>Document successfully created; Document successfully merged; Run via form trigger as kemal.stafsus@gmail.com; Timestamp: Oct 21 2020 6:36 PM</t>
  </si>
  <si>
    <t>https://drive.google.com/open?id=1apXnCGHItL9w_WAoL2RT4IxtPco3hh42</t>
  </si>
  <si>
    <t>https://drive.google.com/uc?export=view&amp;id=1apXnCGHItL9w_WAoL2RT4IxtPco3hh42</t>
  </si>
  <si>
    <t>khoiruddin akmal</t>
  </si>
  <si>
    <t>088276251266</t>
  </si>
  <si>
    <t>1801131002980009</t>
  </si>
  <si>
    <t>lampung</t>
  </si>
  <si>
    <t>10-02-1998</t>
  </si>
  <si>
    <t>diniah</t>
  </si>
  <si>
    <t>1iKXyeAVDdPckelE7CHmPNd252kHGpJ-Ouhs0QkknjL8</t>
  </si>
  <si>
    <t>https://docs.google.com/document/d/1iKXyeAVDdPckelE7CHmPNd252kHGpJ-Ouhs0QkknjL8/edit?usp=drivesdk</t>
  </si>
  <si>
    <t>Document successfully created; Document successfully merged; Run via form trigger as kemal.stafsus@gmail.com; Timestamp: Oct 22 2020 8:09 AM</t>
  </si>
  <si>
    <t>https://drive.google.com/open?id=1kOSXIEKCcqMkd_XwoeQ4D9B8mqDt1FUJ</t>
  </si>
  <si>
    <t>https://drive.google.com/uc?export=view&amp;id=1kOSXIEKCcqMkd_XwoeQ4D9B8mqDt1FUJ</t>
  </si>
  <si>
    <t>RUSHDI MOHAMMED HASAN ABDUL AZIZ AL'ADANY</t>
  </si>
  <si>
    <t>081215580941</t>
  </si>
  <si>
    <t>08403097</t>
  </si>
  <si>
    <t>Jl. Alor 2 Blok Oc No.3A, RT.9/RW.8, Nusa loka bsd, Ciater, Kec. Serpong, Kota Tangerang Selatan, Banten 15310</t>
  </si>
  <si>
    <t>Aden- Yemen</t>
  </si>
  <si>
    <t>04- 06- 1977</t>
  </si>
  <si>
    <t>Alquran Alkarim</t>
  </si>
  <si>
    <t>university of science and technology/ Yemen</t>
  </si>
  <si>
    <t>The specialization of Qura'an sciences</t>
  </si>
  <si>
    <t>3.0 [B+: very good + with honor]</t>
  </si>
  <si>
    <t>Magister Dirasat Islamiyah/ Al-Qur'an dan Al-Sunnah</t>
  </si>
  <si>
    <t>3.81 [A: cumlaude]</t>
  </si>
  <si>
    <t>800$</t>
  </si>
  <si>
    <t>0536396424</t>
  </si>
  <si>
    <t>1cWnXHQOs8dTNBoHIK2zZb3CcSlP_g4Ajb8AiQEMecfI</t>
  </si>
  <si>
    <t>https://docs.google.com/document/d/1cWnXHQOs8dTNBoHIK2zZb3CcSlP_g4Ajb8AiQEMecfI/edit?usp=drivesdk</t>
  </si>
  <si>
    <t>Document successfully created; Document successfully merged; Run via form trigger as kemal.stafsus@gmail.com; Timestamp: Oct 22 2020 8:52 AM</t>
  </si>
  <si>
    <t>https://drive.google.com/open?id=1s-0HOZjFIzIYOptxxUddrmN4WpwN3jtb</t>
  </si>
  <si>
    <t>https://drive.google.com/uc?export=view&amp;id=1s-0HOZjFIzIYOptxxUddrmN4WpwN3jtb</t>
  </si>
  <si>
    <t xml:space="preserve">MOHAMED ABDELAZIZ RAMADAN RAGAB BASTAWEISY </t>
  </si>
  <si>
    <t>081285975151</t>
  </si>
  <si>
    <t>A19034702</t>
  </si>
  <si>
    <t>The Medina apartment, Kelapa dua, Islamic village, Tangerang.</t>
  </si>
  <si>
    <t xml:space="preserve">Alexandria </t>
  </si>
  <si>
    <t>08/11/1992</t>
  </si>
  <si>
    <t>27 TAHUN 11 BULAN</t>
  </si>
  <si>
    <t xml:space="preserve">Native Arabic speaker / Quran </t>
  </si>
  <si>
    <t xml:space="preserve">LN/ STRATA-1 ENGINEER / ALEXANDRIA UNIVERSITY </t>
  </si>
  <si>
    <t xml:space="preserve">DIARY AND FOOD SCIENCE </t>
  </si>
  <si>
    <t xml:space="preserve">Guru di sekolah GRANADA SDIT. 
2 TAHUN </t>
  </si>
  <si>
    <t xml:space="preserve">Guru di AL-WILDAN ISLAMIC SCHOOL. 
3 TAHUN </t>
  </si>
  <si>
    <t>0584437896</t>
  </si>
  <si>
    <t>1csagkUtXiaXUQVWz1u6Kn6bL8nJ12N1lm_nqmYPZJj0</t>
  </si>
  <si>
    <t>https://docs.google.com/document/d/1csagkUtXiaXUQVWz1u6Kn6bL8nJ12N1lm_nqmYPZJj0/edit?usp=drivesdk</t>
  </si>
  <si>
    <t>Document successfully created; Document successfully merged; Run via form trigger as kemal.stafsus@gmail.com; Timestamp: Oct 22 2020 8:57 AM</t>
  </si>
  <si>
    <t>https://drive.google.com/open?id=1Gc96dmhVd0PWiTVnSOPqriMuBOvYfeZ6</t>
  </si>
  <si>
    <t>https://drive.google.com/uc?export=view&amp;id=1Gc96dmhVd0PWiTVnSOPqriMuBOvYfeZ6</t>
  </si>
  <si>
    <t xml:space="preserve">Dr. Abd. Rohim </t>
  </si>
  <si>
    <t xml:space="preserve">Jl. Batu Merah RW/RT 014/001Pejaten Timur PS Minggu Jakarta Selatan DKI Jakarta </t>
  </si>
  <si>
    <t>Gresik</t>
  </si>
  <si>
    <t>10-11-1961</t>
  </si>
  <si>
    <t xml:space="preserve">58 (2020, November </t>
  </si>
  <si>
    <t xml:space="preserve">Bahasa Arab </t>
  </si>
  <si>
    <t xml:space="preserve">LIPIA JAKARTA </t>
  </si>
  <si>
    <t xml:space="preserve">UHAMKA Jakarta </t>
  </si>
  <si>
    <t xml:space="preserve">Magister Management </t>
  </si>
  <si>
    <t xml:space="preserve">UIKA BOGOR </t>
  </si>
  <si>
    <t xml:space="preserve">Pendidikan Islam </t>
  </si>
  <si>
    <t>3.76</t>
  </si>
  <si>
    <t xml:space="preserve">Ketua Komisi Bahasa Arab </t>
  </si>
  <si>
    <t>10. 000. 000</t>
  </si>
  <si>
    <t>1hJOAr-ZyOmOw5ntLyzJCM7TGb__VC9srtvlGQCvE358</t>
  </si>
  <si>
    <t>https://docs.google.com/document/d/1hJOAr-ZyOmOw5ntLyzJCM7TGb__VC9srtvlGQCvE358/edit?usp=drivesdk</t>
  </si>
  <si>
    <t>Document successfully created; Document successfully merged; Run via form trigger as kemal.stafsus@gmail.com; Timestamp: Oct 22 2020 6:50 PM</t>
  </si>
  <si>
    <t>https://drive.google.com/open?id=1NnQ8CqGGTuF1Y8Jmr1zk4KNvryT3TYdT</t>
  </si>
  <si>
    <t>https://drive.google.com/uc?export=view&amp;id=1NnQ8CqGGTuF1Y8Jmr1zk4KNvryT3TYdT</t>
  </si>
  <si>
    <t xml:space="preserve">syk. mansoor abdullah </t>
  </si>
  <si>
    <t>081284563400</t>
  </si>
  <si>
    <t>05154548</t>
  </si>
  <si>
    <t>bsd</t>
  </si>
  <si>
    <t>yaman - ibb</t>
  </si>
  <si>
    <t>23-09-1988</t>
  </si>
  <si>
    <t>Wakil Kepala Sekolah, Guru Mata Pelajaran, Guru Bimbingan Konseling</t>
  </si>
  <si>
    <t>syk - markaz tahfidz</t>
  </si>
  <si>
    <t xml:space="preserve">al- iman - yaman </t>
  </si>
  <si>
    <t>علوم اسلامية وعربية</t>
  </si>
  <si>
    <t>جيد جدا</t>
  </si>
  <si>
    <t>1upBwFPloX8jRlpLifyIHsWXxFytn4Oiscn8y6y2aO6Y</t>
  </si>
  <si>
    <t>https://docs.google.com/document/d/1upBwFPloX8jRlpLifyIHsWXxFytn4Oiscn8y6y2aO6Y/edit?usp=drivesdk</t>
  </si>
  <si>
    <t>Document successfully created; Document successfully merged; Run via form trigger as kemal.stafsus@gmail.com; Timestamp: Oct 22 2020 11:27 PM</t>
  </si>
  <si>
    <t>https://drive.google.com/open?id=124J8CEnCSCsTyMLuE-SDElCM85kdAu--</t>
  </si>
  <si>
    <t>https://drive.google.com/uc?export=view&amp;id=124J8CEnCSCsTyMLuE-SDElCM85kdAu--</t>
  </si>
  <si>
    <t>Tauwfik al awadhi</t>
  </si>
  <si>
    <t>+6281284459235</t>
  </si>
  <si>
    <t>07842264</t>
  </si>
  <si>
    <t>Jl. Sutera jingga 19 n0. 20 Tangerang</t>
  </si>
  <si>
    <t xml:space="preserve">Ibb yaman </t>
  </si>
  <si>
    <t>01-01-1992</t>
  </si>
  <si>
    <t>28 tahun</t>
  </si>
  <si>
    <t>Al Qur'an dan bahasa arab</t>
  </si>
  <si>
    <t>Jamiah wathoniyah shan'a yaman</t>
  </si>
  <si>
    <t>Guru Al Qur'an di beberapa tempat termasuk di Saudi.</t>
  </si>
  <si>
    <t>30.000.0000 atau UAD 2000</t>
  </si>
  <si>
    <t>staf khusus</t>
  </si>
  <si>
    <t>0900859786</t>
  </si>
  <si>
    <t>1KbgqU96y0bPH7dmLcCWsqCuPH7powh1zmXSna9zqiL8</t>
  </si>
  <si>
    <t>https://docs.google.com/document/d/1KbgqU96y0bPH7dmLcCWsqCuPH7powh1zmXSna9zqiL8/edit?usp=drivesdk</t>
  </si>
  <si>
    <t>Document successfully created; Document successfully merged; Run via form trigger as kemal.stafsus@gmail.com; Timestamp: Oct 23 2020 1:45 AM</t>
  </si>
  <si>
    <t>https://drive.google.com/open?id=16mAeRh0Tj7v0jZKjz3BZjYA-Wj2--VqZ</t>
  </si>
  <si>
    <t>https://drive.google.com/uc?export=view&amp;id=16mAeRh0Tj7v0jZKjz3BZjYA-Wj2--VqZ</t>
  </si>
  <si>
    <t>Asbur</t>
  </si>
  <si>
    <t>081288957505</t>
  </si>
  <si>
    <t>3275020110850015</t>
  </si>
  <si>
    <t>Kelapa dua</t>
  </si>
  <si>
    <t>01-10-1985</t>
  </si>
  <si>
    <t>Al Qur'an dan Arabic</t>
  </si>
  <si>
    <t xml:space="preserve">STIA AL AQIDAH </t>
  </si>
  <si>
    <t>Tarbiyah</t>
  </si>
  <si>
    <t>3.6</t>
  </si>
  <si>
    <t>Azzahra</t>
  </si>
  <si>
    <t>Ekonomi syariah</t>
  </si>
  <si>
    <t>3.4</t>
  </si>
  <si>
    <t>Ketua yayasan dan wapresdir 2</t>
  </si>
  <si>
    <t>0840685373</t>
  </si>
  <si>
    <t>1n4qcxPhug8OtzLioM5vYz6WE-IreOcCi8hvR3N-L6AY</t>
  </si>
  <si>
    <t>https://docs.google.com/document/d/1n4qcxPhug8OtzLioM5vYz6WE-IreOcCi8hvR3N-L6AY/edit?usp=drivesdk</t>
  </si>
  <si>
    <t>Document successfully created; Document successfully merged; Run via form trigger as kemal.stafsus@gmail.com; Timestamp: Oct 23 2020 4:27 AM</t>
  </si>
  <si>
    <t>https://drive.google.com/open?id=1Pq3MvhuL18dCjq2iDqNC_NcA1KkmyvgY</t>
  </si>
  <si>
    <t>https://drive.google.com/uc?export=view&amp;id=1Pq3MvhuL18dCjq2iDqNC_NcA1KkmyvgY</t>
  </si>
  <si>
    <t xml:space="preserve">Iswandi Sukrawardi </t>
  </si>
  <si>
    <t>7207030907960001</t>
  </si>
  <si>
    <t xml:space="preserve">Banggai Sulawesi Tengah </t>
  </si>
  <si>
    <t xml:space="preserve">Kombutokan </t>
  </si>
  <si>
    <t xml:space="preserve">09-07-1996 </t>
  </si>
  <si>
    <t>0871333482</t>
  </si>
  <si>
    <t>1i_A4ao5nPGSjDPp1lcRgzWCoUzILiO9aa8fYOqgrt8s</t>
  </si>
  <si>
    <t>https://docs.google.com/document/d/1i_A4ao5nPGSjDPp1lcRgzWCoUzILiO9aa8fYOqgrt8s/edit?usp=drivesdk</t>
  </si>
  <si>
    <t>Document successfully created; Document successfully merged; Run via form trigger as kemal.stafsus@gmail.com; Timestamp: Oct 23 2020 10:31 AM</t>
  </si>
  <si>
    <t>https://drive.google.com/open?id=1Od2sat-h3gnWD1NIjDOmzAtOWAgk3HGp</t>
  </si>
  <si>
    <t>https://drive.google.com/uc?export=view&amp;id=1Od2sat-h3gnWD1NIjDOmzAtOWAgk3HGp</t>
  </si>
  <si>
    <t>Abdul Muakhir S.Pd.</t>
  </si>
  <si>
    <t>081382548846</t>
  </si>
  <si>
    <t>3209103101860002</t>
  </si>
  <si>
    <t>jl. Cinere Raya no 103 Rt 007 Rw 001 Cinere. Depok. Jawa Barat</t>
  </si>
  <si>
    <t>31-01-1986</t>
  </si>
  <si>
    <t>PTIQ Jakarta</t>
  </si>
  <si>
    <t>Tarbiyyah</t>
  </si>
  <si>
    <t>1ZiFsbnLtl4mlgrD4g9MxJa6E6QmU2Nh3-ARr98MfJk8</t>
  </si>
  <si>
    <t>https://docs.google.com/document/d/1ZiFsbnLtl4mlgrD4g9MxJa6E6QmU2Nh3-ARr98MfJk8/edit?usp=drivesdk</t>
  </si>
  <si>
    <t>Document successfully created; Document successfully merged; Run via form trigger as kemal.stafsus@gmail.com; Timestamp: Oct 24 2020 2:33 AM</t>
  </si>
  <si>
    <t>https://drive.google.com/open?id=11-jhI6lS7PCshl5BcUt7Xe1q06dGW-bl</t>
  </si>
  <si>
    <t>https://drive.google.com/uc?export=view&amp;id=11-jhI6lS7PCshl5BcUt7Xe1q06dGW-bl</t>
  </si>
  <si>
    <t>Mohamed El Shaddiq Asbir</t>
  </si>
  <si>
    <t>083807251214</t>
  </si>
  <si>
    <t>Jl Garuda 2 No 372, Perum Jatimulya, Tambun Selatan, Bekasi Timur</t>
  </si>
  <si>
    <t>23-09-1994</t>
  </si>
  <si>
    <t>IPA, Biologi</t>
  </si>
  <si>
    <t>S1 - Silliman University</t>
  </si>
  <si>
    <t>BS Biology</t>
  </si>
  <si>
    <t>2.56</t>
  </si>
  <si>
    <t>1N1Dkg6ZPjYCdwBslplNVZE6IU93uUzeiJvj5ZyZ3PUw</t>
  </si>
  <si>
    <t>https://docs.google.com/document/d/1N1Dkg6ZPjYCdwBslplNVZE6IU93uUzeiJvj5ZyZ3PUw/edit?usp=drivesdk</t>
  </si>
  <si>
    <t>Document successfully created; Document successfully merged; Run via form trigger as kemal.stafsus@gmail.com; Timestamp: Oct 24 2020 3:02 AM</t>
  </si>
  <si>
    <t>https://drive.google.com/open?id=1q1_sGdQ7BOVHD6pID6xGT6pZb277ZnCk</t>
  </si>
  <si>
    <t>https://drive.google.com/uc?export=view&amp;id=1q1_sGdQ7BOVHD6pID6xGT6pZb277ZnCk</t>
  </si>
  <si>
    <t>Marzuuq Sa'iid, Lc. (Emha hasan Amrulloh Asy'ari)</t>
  </si>
  <si>
    <t>087852828646</t>
  </si>
  <si>
    <t>3510161911900005</t>
  </si>
  <si>
    <t>Al-Wildan Islamic School 3 BSD Jl. Ciater Raya No.48, Mekar Jaya, Kec. Serpong, Kota Tangerang Selatan, Banten, 15310</t>
  </si>
  <si>
    <t>19/11/1990</t>
  </si>
  <si>
    <t>29/11</t>
  </si>
  <si>
    <t>Aqiidah</t>
  </si>
  <si>
    <t>Universitas Islam Madiinah</t>
  </si>
  <si>
    <t>Dakwah dan Aqiidah</t>
  </si>
  <si>
    <t>1IHkwguqJ5RT4oyBw5vX02D60jzi7Iw7UklATgc266I8</t>
  </si>
  <si>
    <t>https://docs.google.com/document/d/1IHkwguqJ5RT4oyBw5vX02D60jzi7Iw7UklATgc266I8/edit?usp=drivesdk</t>
  </si>
  <si>
    <t>Document successfully created; Document successfully merged; Run via form trigger as kemal.stafsus@gmail.com; Timestamp: Oct 24 2020 7:07 PM</t>
  </si>
  <si>
    <t>https://drive.google.com/open?id=1gAIYa_PrUGDrOQ2gHqMNkTuQ8u2IdenZ</t>
  </si>
  <si>
    <t>https://drive.google.com/uc?export=view&amp;id=1gAIYa_PrUGDrOQ2gHqMNkTuQ8u2IdenZ</t>
  </si>
  <si>
    <t>Annisa 'Ainurrahmatin Najiyah</t>
  </si>
  <si>
    <t>085709145683</t>
  </si>
  <si>
    <t>1872016302000005</t>
  </si>
  <si>
    <t>Metro</t>
  </si>
  <si>
    <t>23-02-2000</t>
  </si>
  <si>
    <t>0899281941</t>
  </si>
  <si>
    <t>1peXwBoLFZY-XZEOPyjCw9ag04hRGbOkXk9xqM1FSH-g</t>
  </si>
  <si>
    <t>https://docs.google.com/document/d/1peXwBoLFZY-XZEOPyjCw9ag04hRGbOkXk9xqM1FSH-g/edit?usp=drivesdk</t>
  </si>
  <si>
    <t>Document successfully created; Document successfully merged; Run via form trigger as kemal.stafsus@gmail.com; Timestamp: Nov 2 2020 4:11 AM</t>
  </si>
  <si>
    <t>https://drive.google.com/open?id=1mMSW9zY0C7PJ9t5MofvviTQie9X3cMYG</t>
  </si>
  <si>
    <t>https://drive.google.com/uc?export=view&amp;id=1mMSW9zY0C7PJ9t5MofvviTQie9X3cMYG</t>
  </si>
  <si>
    <t>TAJUN ARIFIN, Lc</t>
  </si>
  <si>
    <t>081326995087</t>
  </si>
  <si>
    <t>1312032107910001</t>
  </si>
  <si>
    <t>DASANA INDAH BLOK SK4 NO.2A BOJONG NANGKA, KELAPA DUA, TANGERANG</t>
  </si>
  <si>
    <t>PAYAKUMBUH</t>
  </si>
  <si>
    <t>21-07-1991</t>
  </si>
  <si>
    <t>29 TAHUN 3 BULAN</t>
  </si>
  <si>
    <t>ARABIC DAN DINIYYAH</t>
  </si>
  <si>
    <t>3.62</t>
  </si>
  <si>
    <t>guru kelas 3 DAAR ELDZIKR</t>
  </si>
  <si>
    <t xml:space="preserve">GURU KELAS </t>
  </si>
  <si>
    <t>1YqziLuSkCHVWm0Z5-SR58nVxQc7BolmhmX_Zjkl-pwo</t>
  </si>
  <si>
    <t>https://docs.google.com/document/d/1YqziLuSkCHVWm0Z5-SR58nVxQc7BolmhmX_Zjkl-pwo/edit?usp=drivesdk</t>
  </si>
  <si>
    <t>Document successfully created; Document successfully merged; Run via form trigger as kemal.stafsus@gmail.com; Timestamp: Nov 2 2020 4:22 AM</t>
  </si>
  <si>
    <t>https://drive.google.com/open?id=1s-j0CVtsguKSosT_aCuixCA_92NJm36y</t>
  </si>
  <si>
    <t>https://drive.google.com/uc?export=view&amp;id=1s-j0CVtsguKSosT_aCuixCA_92NJm36y</t>
  </si>
  <si>
    <t>Habibullah L.c</t>
  </si>
  <si>
    <t>08787853418</t>
  </si>
  <si>
    <t>5271020507880003</t>
  </si>
  <si>
    <t>Jln dayung kelapa dua Tangerang Selatan</t>
  </si>
  <si>
    <t>07-03-1990</t>
  </si>
  <si>
    <t>30 tahun 7 bulan</t>
  </si>
  <si>
    <t>Aqidah / tauhid</t>
  </si>
  <si>
    <t>Islamic university of Madinah</t>
  </si>
  <si>
    <t xml:space="preserve">S1 </t>
  </si>
  <si>
    <t>4.8 / 5.0</t>
  </si>
  <si>
    <t>Great diblom</t>
  </si>
  <si>
    <t>4.5 / 5.0</t>
  </si>
  <si>
    <t>Mengajar di PP bin baz yogyakarta</t>
  </si>
  <si>
    <t>0764667351</t>
  </si>
  <si>
    <t>1jG7XSZjDveoY7Ncy3PT4M-1j0YnDhG7MWVSeq7KlYMg</t>
  </si>
  <si>
    <t>https://docs.google.com/document/d/1jG7XSZjDveoY7Ncy3PT4M-1j0YnDhG7MWVSeq7KlYMg/edit?usp=drivesdk</t>
  </si>
  <si>
    <t>Document successfully created; Document successfully merged; Run via form trigger as kemal.stafsus@gmail.com; Timestamp: Nov 2 2020 4:23 AM</t>
  </si>
  <si>
    <t>https://drive.google.com/open?id=16iwLorfJMHd7HMpyxVTxXPDkMLpUSUxp</t>
  </si>
  <si>
    <t>https://drive.google.com/uc?export=view&amp;id=16iwLorfJMHd7HMpyxVTxXPDkMLpUSUxp</t>
  </si>
  <si>
    <t>Laila Mabrurah Joenoes, S. Pd</t>
  </si>
  <si>
    <t>081316545604</t>
  </si>
  <si>
    <t>3603226904690001</t>
  </si>
  <si>
    <t>Cluster Catalina, Tangerang</t>
  </si>
  <si>
    <t>Aceh</t>
  </si>
  <si>
    <t>29-04-1969</t>
  </si>
  <si>
    <t>51 thn dan 5 bulan</t>
  </si>
  <si>
    <t>Univ. Syah Kuala Banda Aceh S1</t>
  </si>
  <si>
    <t>Fakultas Keguruan Jurusan B. Inggris</t>
  </si>
  <si>
    <t>Mengajar di LBPPLIA 2003-2012</t>
  </si>
  <si>
    <t>Mengajar sebagai guru di lembaga kursus</t>
  </si>
  <si>
    <t>Al Wildan Islamic School 2014-2020</t>
  </si>
  <si>
    <t>5,750,000</t>
  </si>
  <si>
    <t>7,500,000</t>
  </si>
  <si>
    <t>0361261881</t>
  </si>
  <si>
    <t>1RvrVLx5cSFqC7DGD-nLOOY1QMC_xPemSiZ6Jt83M3KM</t>
  </si>
  <si>
    <t>https://docs.google.com/document/d/1RvrVLx5cSFqC7DGD-nLOOY1QMC_xPemSiZ6Jt83M3KM/edit?usp=drivesdk</t>
  </si>
  <si>
    <t>Document successfully created; Document successfully merged; Run via form trigger as kemal.stafsus@gmail.com; Timestamp: Nov 2 2020 5:07 AM</t>
  </si>
  <si>
    <t>https://drive.google.com/open?id=192D4nXUUxsclaQGYxgFJ5-OuPagUrga3</t>
  </si>
  <si>
    <t>https://drive.google.com/uc?export=view&amp;id=192D4nXUUxsclaQGYxgFJ5-OuPagUrga3</t>
  </si>
  <si>
    <t>St. Nur Uswatun Hasanah</t>
  </si>
  <si>
    <t>082251923977</t>
  </si>
  <si>
    <t>7316055508000001</t>
  </si>
  <si>
    <t>Makassar Sulawesi Selatan</t>
  </si>
  <si>
    <t>Pare-pare</t>
  </si>
  <si>
    <t>15-08-2000</t>
  </si>
  <si>
    <t>20 tahun 2 bulan</t>
  </si>
  <si>
    <t>Al Qur'an Markaz</t>
  </si>
  <si>
    <t xml:space="preserve">Alwildan </t>
  </si>
  <si>
    <t>0845110706</t>
  </si>
  <si>
    <t>1pYwyEvtj8RBZ2NNZJgEuY3zbE1ueyIAdCIoYprk19_Q</t>
  </si>
  <si>
    <t>https://docs.google.com/document/d/1pYwyEvtj8RBZ2NNZJgEuY3zbE1ueyIAdCIoYprk19_Q/edit?usp=drivesdk</t>
  </si>
  <si>
    <t>Document successfully created; Document successfully merged; Run via form trigger as kemal.stafsus@gmail.com; Timestamp: Nov 2 2020 5:38 AM</t>
  </si>
  <si>
    <t>https://drive.google.com/open?id=14m5rO9BRzYgYH4N9zuOb3bE4Zqr83AJ7</t>
  </si>
  <si>
    <t>https://drive.google.com/uc?export=view&amp;id=14m5rO9BRzYgYH4N9zuOb3bE4Zqr83AJ7</t>
  </si>
  <si>
    <t>SHEILLA RAHMADHANI</t>
  </si>
  <si>
    <t>082268683781</t>
  </si>
  <si>
    <t>1802224409980002</t>
  </si>
  <si>
    <t>Sendang Agung, Kec. Sendang Agung Kab. Lampung Tengah Prov. Lampung</t>
  </si>
  <si>
    <t>Pujokerto Kec. Trimurjo Lampung Tengah</t>
  </si>
  <si>
    <t>04-10-1998</t>
  </si>
  <si>
    <t xml:space="preserve">22 Tahun </t>
  </si>
  <si>
    <t>Tahfidz Ibnu Umar Kalirejo Lampung Tengah</t>
  </si>
  <si>
    <t xml:space="preserve">AL WILDAN ISLAMIC SCHOOL 1 GADING SERPONG (Musyrifah Boarding Akhwat) </t>
  </si>
  <si>
    <t xml:space="preserve">AL WILDAN ISLAMIC SCHOOL 1 GADING SERPONG (MENGAJAR SD) </t>
  </si>
  <si>
    <t>Sesuai Dengan Kebijakan Managemen</t>
  </si>
  <si>
    <t>0842882483</t>
  </si>
  <si>
    <t>1wJBTjr4O2Juw5Xz0ErKExlHimJHgqWT8r1Y5GmNZi1w</t>
  </si>
  <si>
    <t>https://docs.google.com/document/d/1wJBTjr4O2Juw5Xz0ErKExlHimJHgqWT8r1Y5GmNZi1w/edit?usp=drivesdk</t>
  </si>
  <si>
    <t>Document successfully created; Document successfully merged; Run via form trigger as kemal.stafsus@gmail.com; Timestamp: Nov 2 2020 5:39 AM</t>
  </si>
  <si>
    <t>https://drive.google.com/open?id=1ZvgU8nhPg25_SEc6KJoIo8OoYC3HEEr8</t>
  </si>
  <si>
    <t>https://drive.google.com/uc?export=view&amp;id=1ZvgU8nhPg25_SEc6KJoIo8OoYC3HEEr8</t>
  </si>
  <si>
    <t>Adi Syakti BBA</t>
  </si>
  <si>
    <t>08211494968</t>
  </si>
  <si>
    <t>3275082904740013</t>
  </si>
  <si>
    <t>Apartenent Medina Blok B174C</t>
  </si>
  <si>
    <t>28-04-1974</t>
  </si>
  <si>
    <t>46 tahun 6 bulan</t>
  </si>
  <si>
    <t>English &amp; Science</t>
  </si>
  <si>
    <t>S1 - Schiller International University</t>
  </si>
  <si>
    <t>International Tourism Management</t>
  </si>
  <si>
    <t>3.2</t>
  </si>
  <si>
    <t>0838275699</t>
  </si>
  <si>
    <t>1gMw8eJYkU2468ZmnPFTfnRyd1CaGUkiW6M3iq1OSjZw</t>
  </si>
  <si>
    <t>https://docs.google.com/document/d/1gMw8eJYkU2468ZmnPFTfnRyd1CaGUkiW6M3iq1OSjZw/edit?usp=drivesdk</t>
  </si>
  <si>
    <t>Document successfully created; Document successfully merged; Run via form trigger as kemal.stafsus@gmail.com; Timestamp: Nov 2 2020 6:04 AM</t>
  </si>
  <si>
    <t>https://drive.google.com/open?id=1hGsln1bypVSjdYDc6dZz6JPOhCZ6lK2A</t>
  </si>
  <si>
    <t>https://drive.google.com/uc?export=view&amp;id=1hGsln1bypVSjdYDc6dZz6JPOhCZ6lK2A</t>
  </si>
  <si>
    <t>Sarah Al Fira</t>
  </si>
  <si>
    <t>08976891209</t>
  </si>
  <si>
    <t>1509084911980001</t>
  </si>
  <si>
    <t>Magelang</t>
  </si>
  <si>
    <t>09-11-1998</t>
  </si>
  <si>
    <t>Al-Qur'an Markaz</t>
  </si>
  <si>
    <t>Guru Al-Qur'an Markaz</t>
  </si>
  <si>
    <t>0845090936</t>
  </si>
  <si>
    <t>19ICcOYu_RV3c2AQNidr4Cq9d-aXuLP56vLrgrqf3Oy4</t>
  </si>
  <si>
    <t>https://docs.google.com/document/d/19ICcOYu_RV3c2AQNidr4Cq9d-aXuLP56vLrgrqf3Oy4/edit?usp=drivesdk</t>
  </si>
  <si>
    <t>Document successfully created; Document successfully merged; Run via form trigger as kemal.stafsus@gmail.com; Timestamp: Nov 2 2020 6:39 AM</t>
  </si>
  <si>
    <t>https://drive.google.com/open?id=1X9whf4TTKlyHQgR-Xg3ITeEbNFAJ78uG</t>
  </si>
  <si>
    <t>https://drive.google.com/uc?export=view&amp;id=1X9whf4TTKlyHQgR-Xg3ITeEbNFAJ78uG</t>
  </si>
  <si>
    <t>Rizky Hikmahda, S.H</t>
  </si>
  <si>
    <t>089602746357</t>
  </si>
  <si>
    <t>3603144210950001</t>
  </si>
  <si>
    <t>Jl. Angsana Indah Perumahan Legok Permai Blok A1 C1 No. 3</t>
  </si>
  <si>
    <t>02-10-1995</t>
  </si>
  <si>
    <t>25 Tahun 1 Bulan</t>
  </si>
  <si>
    <t>Math , English , Science</t>
  </si>
  <si>
    <t>Universitas Islam Syekh-Yusuf Tangerang</t>
  </si>
  <si>
    <t>Ilmu Hukum</t>
  </si>
  <si>
    <t>Mts Dzunnur'aini ( Guru Bahasa Inggris &amp; Arab )</t>
  </si>
  <si>
    <t>Rp. 2.500.000,-</t>
  </si>
  <si>
    <t>PT. Tirta Wahana Abadi ( Staff Administrasi Keuangan )</t>
  </si>
  <si>
    <t>Rp. 3.800.000,-</t>
  </si>
  <si>
    <t>Rumah Sakit Umum Kalideres ( Staff Administrasi Keuangan Pajak &amp; Gaji Karyawan)</t>
  </si>
  <si>
    <t>Rp. 6.800.000,-</t>
  </si>
  <si>
    <t>Rp. 7.000.000,-</t>
  </si>
  <si>
    <t>0835826186</t>
  </si>
  <si>
    <t>11tVOJ1sxnZeQHmRqu5e87haqHWy5I5uJN-XqS-Y0rqw</t>
  </si>
  <si>
    <t>https://docs.google.com/document/d/11tVOJ1sxnZeQHmRqu5e87haqHWy5I5uJN-XqS-Y0rqw/edit?usp=drivesdk</t>
  </si>
  <si>
    <t>Document successfully created; Document successfully merged; Run via form trigger as kemal.stafsus@gmail.com; Timestamp: Nov 2 2020 8:05 AM</t>
  </si>
  <si>
    <t>https://drive.google.com/open?id=17TkV2-9A3n6EVPlSqKCbWDrbJIAi5rHy</t>
  </si>
  <si>
    <t>https://drive.google.com/uc?export=view&amp;id=17TkV2-9A3n6EVPlSqKCbWDrbJIAi5rHy</t>
  </si>
  <si>
    <t>Candra S.Pd.I, M.Pd.</t>
  </si>
  <si>
    <t>081310582454</t>
  </si>
  <si>
    <t>3603280902880006</t>
  </si>
  <si>
    <t>Jln layar. No. 20. Kelapa dua gading Serpong. RT/RW 07/13 Tangerang Selatan. Banten.</t>
  </si>
  <si>
    <t>Bima, NTB.</t>
  </si>
  <si>
    <t>9-2-1988</t>
  </si>
  <si>
    <t>Aqidah, ski, fiqih.</t>
  </si>
  <si>
    <t>STAI Ali Bin Abi Thalib</t>
  </si>
  <si>
    <t>Ilmu Tafsir</t>
  </si>
  <si>
    <t>Di ponpes imam Syafi'i Bima</t>
  </si>
  <si>
    <t>106qe-_brQQew3I9AsgxY4tp1BuB9oq7pWfPIH5-SRMY</t>
  </si>
  <si>
    <t>https://docs.google.com/document/d/106qe-_brQQew3I9AsgxY4tp1BuB9oq7pWfPIH5-SRMY/edit?usp=drivesdk</t>
  </si>
  <si>
    <t>Document successfully created; Document successfully merged; Run via form trigger as kemal.stafsus@gmail.com; Timestamp: Nov 2 2020 9:32 AM</t>
  </si>
  <si>
    <t>https://drive.google.com/open?id=1BqoMO6Gx-wQCtZpOfcSDPFbTENJh849B</t>
  </si>
  <si>
    <t>https://drive.google.com/uc?export=view&amp;id=1BqoMO6Gx-wQCtZpOfcSDPFbTENJh849B</t>
  </si>
  <si>
    <t>Puput Nova</t>
  </si>
  <si>
    <t>081315182084</t>
  </si>
  <si>
    <t>1109045406000003</t>
  </si>
  <si>
    <t>14 Juni 2000</t>
  </si>
  <si>
    <t>20 tahun 4 bulan</t>
  </si>
  <si>
    <t>Pelajaran Al Qur'an</t>
  </si>
  <si>
    <t>Institut tahfidzul bersanad alwildan</t>
  </si>
  <si>
    <t>0844026949</t>
  </si>
  <si>
    <t>1g70St2TCS_CrIIhwFSuzCn7U60kMQGGU1GDojutJiCU</t>
  </si>
  <si>
    <t>https://docs.google.com/document/d/1g70St2TCS_CrIIhwFSuzCn7U60kMQGGU1GDojutJiCU/edit?usp=drivesdk</t>
  </si>
  <si>
    <t>Document successfully created; Document successfully merged; Run via form trigger as kemal.stafsus@gmail.com; Timestamp: Nov 2 2020 10:32 AM</t>
  </si>
  <si>
    <t>https://drive.google.com/open?id=1OqNBuJ30YxcNoDLjlBjIV06saThYQjjb</t>
  </si>
  <si>
    <t>https://drive.google.com/uc?export=view&amp;id=1OqNBuJ30YxcNoDLjlBjIV06saThYQjjb</t>
  </si>
  <si>
    <t>Nafisah Fadlilah</t>
  </si>
  <si>
    <t>085624891398</t>
  </si>
  <si>
    <t>3274056105990006</t>
  </si>
  <si>
    <t>Jl.Kalitanjung No.52B Komplek As Sunnah Cirebon</t>
  </si>
  <si>
    <t>11-05-1999</t>
  </si>
  <si>
    <t>21 tahun 5 Bulan</t>
  </si>
  <si>
    <t>Wali Kelas , Alquran ,Akidah Akhlak ,SKI</t>
  </si>
  <si>
    <t>Ma'had Tahfidz - Bina Qurani</t>
  </si>
  <si>
    <t>Belum ada</t>
  </si>
  <si>
    <t>Guru Alquran Ma'had Bina Qur'ani Kuningan</t>
  </si>
  <si>
    <t>Guru Alquran Imam Syafi'i Brebes</t>
  </si>
  <si>
    <t>Guru Alquran &amp; Diniyyah Al Wildan Islamic School</t>
  </si>
  <si>
    <t>0791806575</t>
  </si>
  <si>
    <t>1zGutJv1eXKuV_6DmxG6syTaeaSxptda2xs-PgXvgqzE</t>
  </si>
  <si>
    <t>https://docs.google.com/document/d/1zGutJv1eXKuV_6DmxG6syTaeaSxptda2xs-PgXvgqzE/edit?usp=drivesdk</t>
  </si>
  <si>
    <t>Document successfully created; Document successfully merged; Run via form trigger as kemal.stafsus@gmail.com; Timestamp: Nov 4 2020 5:51 AM</t>
  </si>
  <si>
    <t>https://drive.google.com/open?id=1BQI_ZvKFcw0YcMPCI_fdFfhUCP4wqkb9</t>
  </si>
  <si>
    <t>https://drive.google.com/uc?export=view&amp;id=1BQI_ZvKFcw0YcMPCI_fdFfhUCP4wqkb9</t>
  </si>
  <si>
    <t>Muhammad Ikhwanul Pr. S (proses</t>
  </si>
  <si>
    <t>082339796574</t>
  </si>
  <si>
    <t>5206182208940001</t>
  </si>
  <si>
    <t>Dore 22 Agustus 1994</t>
  </si>
  <si>
    <t>Quran ski fikih</t>
  </si>
  <si>
    <t>Proses</t>
  </si>
  <si>
    <t>Doaka semoga s2</t>
  </si>
  <si>
    <t>Doa kan semoga bisa s3</t>
  </si>
  <si>
    <t>Kosong</t>
  </si>
  <si>
    <t>0604543747</t>
  </si>
  <si>
    <t>1ookoF37qFlLJhnKvnCoBnnY4srfpCP8EQN0GPmlHTx0</t>
  </si>
  <si>
    <t>https://docs.google.com/document/d/1ookoF37qFlLJhnKvnCoBnnY4srfpCP8EQN0GPmlHTx0/edit?usp=drivesdk</t>
  </si>
  <si>
    <t>Document successfully created; Document successfully merged; Run via form trigger as kemal.stafsus@gmail.com; Timestamp: Nov 4 2020 5:58 AM</t>
  </si>
  <si>
    <t>https://drive.google.com/open?id=1UU4oLmqTSA_Se4msx9lnThjnD_oyC8R-</t>
  </si>
  <si>
    <t>https://drive.google.com/uc?export=view&amp;id=1UU4oLmqTSA_Se4msx9lnThjnD_oyC8R-</t>
  </si>
  <si>
    <t>Risma Hasmita</t>
  </si>
  <si>
    <t>085213828297</t>
  </si>
  <si>
    <t>3275054911010011</t>
  </si>
  <si>
    <t>Jl. Bidar 1 NO. 18</t>
  </si>
  <si>
    <t>Soki, Bima</t>
  </si>
  <si>
    <t>09 Januari 2000</t>
  </si>
  <si>
    <t>AL-QUR'AN DAN TAFSIR</t>
  </si>
  <si>
    <t>Alhamdulillah baik</t>
  </si>
  <si>
    <t>0902162683</t>
  </si>
  <si>
    <t>15ka_4Hx2JpY41nAvbZUPZ1ykzE0mZNwx4EhIkW25z58</t>
  </si>
  <si>
    <t>https://docs.google.com/document/d/15ka_4Hx2JpY41nAvbZUPZ1ykzE0mZNwx4EhIkW25z58/edit?usp=drivesdk</t>
  </si>
  <si>
    <t>Document successfully created; Document successfully merged; Run via form trigger as kemal.stafsus@gmail.com; Timestamp: Nov 4 2020 6:06 AM</t>
  </si>
  <si>
    <t>https://drive.google.com/open?id=1wLEzNHYWtcE7WGETASBbQkjZfAitVpJl</t>
  </si>
  <si>
    <t>https://drive.google.com/uc?export=view&amp;id=1wLEzNHYWtcE7WGETASBbQkjZfAitVpJl</t>
  </si>
  <si>
    <t>Sofiatul Inayah, S.Mat</t>
  </si>
  <si>
    <t>089657920391</t>
  </si>
  <si>
    <t>3603026508940001</t>
  </si>
  <si>
    <t>Jl Jabal Mina 4 blok O-4 no 3 RT 10 RW 14(Rumah padi)
 komp Islamic village kelapa dua</t>
  </si>
  <si>
    <t>25-09-1994</t>
  </si>
  <si>
    <t>26 tahun 2 bulan</t>
  </si>
  <si>
    <t>Mipa Matematika</t>
  </si>
  <si>
    <t>SD Al Wildan Islamic School</t>
  </si>
  <si>
    <t>0850768100</t>
  </si>
  <si>
    <t>1hqBmAiohJLvSjl8xdQWKhonazUAHrCcT2N5S1Ts1RiE</t>
  </si>
  <si>
    <t>https://docs.google.com/document/d/1hqBmAiohJLvSjl8xdQWKhonazUAHrCcT2N5S1Ts1RiE/edit?usp=drivesdk</t>
  </si>
  <si>
    <t>Document successfully created; Document successfully merged; Run via form trigger as kemal.stafsus@gmail.com; Timestamp: Nov 4 2020 6:48 AM</t>
  </si>
  <si>
    <t>https://drive.google.com/open?id=1w4merVAFBu5Ism6MSq2Bs1kRs5bvfxIM</t>
  </si>
  <si>
    <t>https://drive.google.com/uc?export=view&amp;id=1w4merVAFBu5Ism6MSq2Bs1kRs5bvfxIM</t>
  </si>
  <si>
    <t>Khadimul Haramain</t>
  </si>
  <si>
    <t>081329351809</t>
  </si>
  <si>
    <t>3302270103970001</t>
  </si>
  <si>
    <t>01-03-1997</t>
  </si>
  <si>
    <t>23 tahun 8 bulan</t>
  </si>
  <si>
    <t>Alquran, Arabic, SKI, Aqidah, Fikih</t>
  </si>
  <si>
    <t xml:space="preserve">InsyaAllah </t>
  </si>
  <si>
    <t>InsyaAllah</t>
  </si>
  <si>
    <t>Guru, Musyrif</t>
  </si>
  <si>
    <t>Terserah InsyaAllah berapapun yang penting Halal</t>
  </si>
  <si>
    <t>0610619620</t>
  </si>
  <si>
    <t>1Khypz7_2PHtV4w68cPgF8bnZWCRT4YDVTja7OBiwNRU</t>
  </si>
  <si>
    <t>https://docs.google.com/document/d/1Khypz7_2PHtV4w68cPgF8bnZWCRT4YDVTja7OBiwNRU/edit?usp=drivesdk</t>
  </si>
  <si>
    <t>Document successfully created; Document successfully merged; Run via form trigger as kemal.stafsus@gmail.com; Timestamp: Nov 4 2020 7:04 AM</t>
  </si>
  <si>
    <t>https://drive.google.com/open?id=18098qudPvDnFbBJJShnBXvDdhmFcNuJO</t>
  </si>
  <si>
    <t>https://drive.google.com/uc?export=view&amp;id=18098qudPvDnFbBJJShnBXvDdhmFcNuJO</t>
  </si>
  <si>
    <t>Moch. Reza Fachlevy, A.Md.</t>
  </si>
  <si>
    <t>083812997400</t>
  </si>
  <si>
    <t>3604131010930002</t>
  </si>
  <si>
    <t>Jl. Sinai 8 No.34 Kelapa dua Kab. Tangerang</t>
  </si>
  <si>
    <t>10-10-1993</t>
  </si>
  <si>
    <t>27 tahun 1 bulan</t>
  </si>
  <si>
    <t>Alqur'an dan Diniyah</t>
  </si>
  <si>
    <t>Ma'had Aly Ar-Raayah Sukabumi-Indonesia</t>
  </si>
  <si>
    <t>I'dad lughowi</t>
  </si>
  <si>
    <t>Beluk ada</t>
  </si>
  <si>
    <t xml:space="preserve">Guru Alqur'an 2 tahun di Pondok Tahfidz Wadil Qur'an </t>
  </si>
  <si>
    <t>Guru Alqur'an di Qur'an Center Indonesia Cipondoh-Tangerang</t>
  </si>
  <si>
    <t>Madrasah Alfatih Sentul Bogor</t>
  </si>
  <si>
    <t>0738599902</t>
  </si>
  <si>
    <t>1Q983xRMoYW6c89GrpC7KFXdWHThbMmKg-MhZXOvrBPk</t>
  </si>
  <si>
    <t>https://docs.google.com/document/d/1Q983xRMoYW6c89GrpC7KFXdWHThbMmKg-MhZXOvrBPk/edit?usp=drivesdk</t>
  </si>
  <si>
    <t>Document successfully created; Document successfully merged; Run via form trigger as kemal.stafsus@gmail.com; Timestamp: Nov 4 2020 7:16 AM</t>
  </si>
  <si>
    <t>https://drive.google.com/open?id=1FtuxLj-jBdQMUVnwm-Hm5bVIh6Uajg1D</t>
  </si>
  <si>
    <t>https://drive.google.com/uc?export=view&amp;id=1FtuxLj-jBdQMUVnwm-Hm5bVIh6Uajg1D</t>
  </si>
  <si>
    <t>Nur Dahlia, A.Md.</t>
  </si>
  <si>
    <t>085886947329</t>
  </si>
  <si>
    <t>3374075102980001</t>
  </si>
  <si>
    <t>Jalan Sinai 8 no 34</t>
  </si>
  <si>
    <t>22 thn</t>
  </si>
  <si>
    <t>Al quran, Akidah, Fikih, Arabic</t>
  </si>
  <si>
    <t xml:space="preserve">STIBA AR RAAYAH </t>
  </si>
  <si>
    <t>Idad Lughowi (D2)</t>
  </si>
  <si>
    <t>Guru Tahfidz Di Ulul Albab Malaysia</t>
  </si>
  <si>
    <t>Guru Tahfidz dan Guru MapeL</t>
  </si>
  <si>
    <t>6.000.000 (karna mempunyai 2 Anak)</t>
  </si>
  <si>
    <t>0734609166</t>
  </si>
  <si>
    <t>Bni Syareah</t>
  </si>
  <si>
    <t>1wZ9vTrv84oADcQK5diQue8oBIDxyivXIJEK7Baj2_Qk</t>
  </si>
  <si>
    <t>https://docs.google.com/document/d/1wZ9vTrv84oADcQK5diQue8oBIDxyivXIJEK7Baj2_Qk/edit?usp=drivesdk</t>
  </si>
  <si>
    <t>Document successfully created; Document successfully merged; Run via form trigger as kemal.stafsus@gmail.com; Timestamp: Nov 4 2020 7:20 AM</t>
  </si>
  <si>
    <t>https://drive.google.com/open?id=1X8hBPK1Ydybr0o7cxrob5SW6O91aVbSO</t>
  </si>
  <si>
    <t>https://drive.google.com/uc?export=view&amp;id=1X8hBPK1Ydybr0o7cxrob5SW6O91aVbSO</t>
  </si>
  <si>
    <t>SRI HASTUTI, M. PD</t>
  </si>
  <si>
    <t>081310591500</t>
  </si>
  <si>
    <t>3603284312730005</t>
  </si>
  <si>
    <t>JL. KANO XV NO. 47 PERUMNAS KELAPA DUA TANGERANG</t>
  </si>
  <si>
    <t>TANGERANG</t>
  </si>
  <si>
    <t>03 DESEMBER 1973</t>
  </si>
  <si>
    <t>46 TAHUN 11 BULAN</t>
  </si>
  <si>
    <t>MATH, SCIENCE, ENGLISH</t>
  </si>
  <si>
    <t>UNIVERSITAS TERBUKA</t>
  </si>
  <si>
    <t>2.40</t>
  </si>
  <si>
    <t>UNIVERSITAS MUHAMMADIYAH PROF. DR. HAMKA</t>
  </si>
  <si>
    <t>GURU SD NURUL ISLAM - 4 TAHUN</t>
  </si>
  <si>
    <t>RP 2.000.000</t>
  </si>
  <si>
    <t>GURU SD ISLAMIC VILLAGE - 10 TAHUN
WAKASEK KURIKULUM SD ISLAMIC VILLAGE - 1TAHUN
WAKASEK KURIKULUM SD PLUS ISLAMIC VILLAGE - 1
WAKASEK KURIKULUM SD CITRA RAYA - 1 TAHUN
GURU SMP PLUS - 1 TAHUN
GURU SMP PLUS - 1 TAHUN
KASI KURIKULUM INTERNASIONAL DIKDASMEN ISLAMIC VILLAGE - 3 TAHUN</t>
  </si>
  <si>
    <t>RP 6.500.000</t>
  </si>
  <si>
    <t>GURU SD AL-WILDAN 1 - 1 TAHUN 5 BULAN</t>
  </si>
  <si>
    <t>RP 4.500.000</t>
  </si>
  <si>
    <t>0844491453</t>
  </si>
  <si>
    <t>1QbsG7ZmA41-v7x6bCY6zRFNyJF1gaVz3puA19_-9Ynk</t>
  </si>
  <si>
    <t>https://docs.google.com/document/d/1QbsG7ZmA41-v7x6bCY6zRFNyJF1gaVz3puA19_-9Ynk/edit?usp=drivesdk</t>
  </si>
  <si>
    <t>Document successfully created; Document successfully merged; Run via form trigger as kemal.stafsus@gmail.com; Timestamp: Nov 4 2020 8:52 AM</t>
  </si>
  <si>
    <t>https://drive.google.com/open?id=1sJ5WAA3ZIPX-78_von5NY76EK2mm0zZb</t>
  </si>
  <si>
    <t>https://drive.google.com/uc?export=view&amp;id=1sJ5WAA3ZIPX-78_von5NY76EK2mm0zZb</t>
  </si>
  <si>
    <t>SRI NADIATI</t>
  </si>
  <si>
    <t>081298263167</t>
  </si>
  <si>
    <t>5206116305901004</t>
  </si>
  <si>
    <t>Jl. Layar 4a No 23 Rt 003 Rw 007 Kelapa Dua Tangerang</t>
  </si>
  <si>
    <t>23-05-1990</t>
  </si>
  <si>
    <t>Diniah</t>
  </si>
  <si>
    <t>Institute Agama Islam Nurul Iman Bogor</t>
  </si>
  <si>
    <t>3.33</t>
  </si>
  <si>
    <t>Institute PTIQ Jakarta</t>
  </si>
  <si>
    <t>Manajemen Pendidikan Islam</t>
  </si>
  <si>
    <t>6 tahun</t>
  </si>
  <si>
    <t>045426254</t>
  </si>
  <si>
    <t>1t4cTi0ZJuP9O4hQZBeQcnjClG4U0dJcqZfMjDt1WYCY</t>
  </si>
  <si>
    <t>https://docs.google.com/document/d/1t4cTi0ZJuP9O4hQZBeQcnjClG4U0dJcqZfMjDt1WYCY/edit?usp=drivesdk</t>
  </si>
  <si>
    <t>Document successfully created; Document successfully merged; Run via form trigger as kemal.stafsus@gmail.com; Timestamp: Nov 4 2020 7:46 PM</t>
  </si>
  <si>
    <t>https://drive.google.com/open?id=1lzBgAz-gd8aJDArN--_gKW1N2JDR0lLP</t>
  </si>
  <si>
    <t>https://drive.google.com/uc?export=view&amp;id=1lzBgAz-gd8aJDArN--_gKW1N2JDR0lLP</t>
  </si>
  <si>
    <t>Fathmah Mar'atus Sholihah</t>
  </si>
  <si>
    <t>081285899390</t>
  </si>
  <si>
    <t>3327074905910061</t>
  </si>
  <si>
    <t>jl. Bidar III no 12 kelapa dua Tangerang Banten</t>
  </si>
  <si>
    <t>09 05 1999</t>
  </si>
  <si>
    <t>21 tahun</t>
  </si>
  <si>
    <t>AL QUR'AN</t>
  </si>
  <si>
    <t>IMAM SYAFI'I BREBES</t>
  </si>
  <si>
    <t xml:space="preserve">ALWILDAN </t>
  </si>
  <si>
    <t>0843199175</t>
  </si>
  <si>
    <t>1RN39bkNiSvnDq5Uh7l73hVA2wAnv2F4NyVF1BG_6Oyg</t>
  </si>
  <si>
    <t>https://docs.google.com/document/d/1RN39bkNiSvnDq5Uh7l73hVA2wAnv2F4NyVF1BG_6Oyg/edit?usp=drivesdk</t>
  </si>
  <si>
    <t>Document successfully created; Document successfully merged; Run via form trigger as kemal.stafsus@gmail.com; Timestamp: Nov 4 2020 10:00 PM</t>
  </si>
  <si>
    <t>https://drive.google.com/open?id=1sv8o3MwdBSvUcrxc7EqmpwuW0BuHWUUP</t>
  </si>
  <si>
    <t>https://drive.google.com/uc?export=view&amp;id=1sv8o3MwdBSvUcrxc7EqmpwuW0BuHWUUP</t>
  </si>
  <si>
    <t>Aghniya Siti Fatimah Al-Hafidzhoh</t>
  </si>
  <si>
    <t>081387768250</t>
  </si>
  <si>
    <t>3171085306970002</t>
  </si>
  <si>
    <t>Pangkalan Asem, Cempaka Putih Barat, Jakarta Pusat</t>
  </si>
  <si>
    <t>Cengkareng, Jakarta Barat</t>
  </si>
  <si>
    <t>13 Juni 1997</t>
  </si>
  <si>
    <t xml:space="preserve"> Guru Tahfidz</t>
  </si>
  <si>
    <t>0726579876</t>
  </si>
  <si>
    <t>1rAotGYIBekmwi-UAjwF1lO8lBAmiyTnUrI-Sy3aoBq8</t>
  </si>
  <si>
    <t>https://docs.google.com/document/d/1rAotGYIBekmwi-UAjwF1lO8lBAmiyTnUrI-Sy3aoBq8/edit?usp=drivesdk</t>
  </si>
  <si>
    <t>Document successfully created; Document successfully merged; Run via form trigger as kemal.stafsus@gmail.com; Timestamp: Nov 4 2020 11:02 PM</t>
  </si>
  <si>
    <t>https://drive.google.com/open?id=1e_aXiH_etoS0353RQc8taYAeoWfqaaOQ</t>
  </si>
  <si>
    <t>https://drive.google.com/uc?export=view&amp;id=1e_aXiH_etoS0353RQc8taYAeoWfqaaOQ</t>
  </si>
  <si>
    <t>Siva Tuni Kartina</t>
  </si>
  <si>
    <t>082114792192</t>
  </si>
  <si>
    <t>3206395901970002</t>
  </si>
  <si>
    <t>19-01-1997</t>
  </si>
  <si>
    <t xml:space="preserve">Al-Quran (Markaz) </t>
  </si>
  <si>
    <t>Menjadi Guru Tahfidz di Ma'had Bina Madani Putri Bogor</t>
  </si>
  <si>
    <t>&lt;2.000.000</t>
  </si>
  <si>
    <t xml:space="preserve">Menjadi guru Markaz &amp; Musyrifah di Al-Wildan 1 </t>
  </si>
  <si>
    <t xml:space="preserve">Guru markaz di Al-Wildan 1 </t>
  </si>
  <si>
    <t>0830342892</t>
  </si>
  <si>
    <t>1Gk-kBBnFyLE8hBG8PAyAcqHVRKJqFhDNLg_Y5vadZMo</t>
  </si>
  <si>
    <t>https://docs.google.com/document/d/1Gk-kBBnFyLE8hBG8PAyAcqHVRKJqFhDNLg_Y5vadZMo/edit?usp=drivesdk</t>
  </si>
  <si>
    <t>Document successfully created; Document successfully merged; Run via form trigger as kemal.stafsus@gmail.com; Timestamp: Nov 4 2020 11:20 PM</t>
  </si>
  <si>
    <t>https://drive.google.com/open?id=1Ti7TE4i8JdYglw6jM1DjGCytLlFTbw-1</t>
  </si>
  <si>
    <t>https://drive.google.com/uc?export=view&amp;id=1Ti7TE4i8JdYglw6jM1DjGCytLlFTbw-1</t>
  </si>
  <si>
    <t>Nur eva putriani, S.Pd</t>
  </si>
  <si>
    <t>085253051762</t>
  </si>
  <si>
    <t>5206136507861004</t>
  </si>
  <si>
    <t>Jln.layar 4a no 20 perum kelapa dua gading serpong</t>
  </si>
  <si>
    <t>25-07-1986</t>
  </si>
  <si>
    <t>Hamzanwadi Selong</t>
  </si>
  <si>
    <t>5 tahun</t>
  </si>
  <si>
    <t>5.000.000 (lima juta rupiah)</t>
  </si>
  <si>
    <t>0443655793</t>
  </si>
  <si>
    <t>1_Vq9t2i7oZCFGrcMF8tp6Ln-SDFSwTnpUGbHfYGPsAQ</t>
  </si>
  <si>
    <t>https://docs.google.com/document/d/1_Vq9t2i7oZCFGrcMF8tp6Ln-SDFSwTnpUGbHfYGPsAQ/edit?usp=drivesdk</t>
  </si>
  <si>
    <t>Document successfully created; Document successfully merged; Run via form trigger as kemal.stafsus@gmail.com; Timestamp: Nov 5 2020 12:09 AM</t>
  </si>
  <si>
    <t>https://drive.google.com/open?id=1UxDwKa0rsT3gnQbwOONvg7y3b8DLR5eG</t>
  </si>
  <si>
    <t>https://drive.google.com/uc?export=view&amp;id=1UxDwKa0rsT3gnQbwOONvg7y3b8DLR5eG</t>
  </si>
  <si>
    <t>Efhila Gabriela Melisa,Lc</t>
  </si>
  <si>
    <t>082312448785</t>
  </si>
  <si>
    <t>3671096508870005</t>
  </si>
  <si>
    <t>komplek villa ilhami. jalan Alam 8 blok D no 18. Islamic village. Rt 004/013 Kel.kelapa dua.kecamatan kelapa dua. Kabupaten tangerang Banten</t>
  </si>
  <si>
    <t>Padang</t>
  </si>
  <si>
    <t>25-08-1987</t>
  </si>
  <si>
    <t>Guru Diniyyah</t>
  </si>
  <si>
    <t>Universitas Al azhar.Cairo. Mesir</t>
  </si>
  <si>
    <t>Ushuluddin -Tafsir</t>
  </si>
  <si>
    <t>Jayyid</t>
  </si>
  <si>
    <t>Guru diniyyah di kindegarten  Al Wildan islamic School</t>
  </si>
  <si>
    <t>0838359150</t>
  </si>
  <si>
    <t>Bank BNI Syariah cabang Gading serpong</t>
  </si>
  <si>
    <t>1F1-Phf4pQcmmr3UgyEtwhS7rxUYRqq2DlHUyUuSv67o</t>
  </si>
  <si>
    <t>https://docs.google.com/document/d/1F1-Phf4pQcmmr3UgyEtwhS7rxUYRqq2DlHUyUuSv67o/edit?usp=drivesdk</t>
  </si>
  <si>
    <t>Document successfully created; Document successfully merged; Run via form trigger as kemal.stafsus@gmail.com; Timestamp: Nov 5 2020 1:02 AM</t>
  </si>
  <si>
    <t>https://drive.google.com/open?id=1683HQLpE7PsLW_6FsE1AmgOSgpWUOtbn</t>
  </si>
  <si>
    <t>https://drive.google.com/uc?export=view&amp;id=1683HQLpE7PsLW_6FsE1AmgOSgpWUOtbn</t>
  </si>
  <si>
    <t>Vionita Amalia</t>
  </si>
  <si>
    <t>Cimanggu RT/RW 002/004, Plara Sukabumi</t>
  </si>
  <si>
    <t>Akuntan</t>
  </si>
  <si>
    <t>Dibawah 5</t>
  </si>
  <si>
    <t>Administrasi</t>
  </si>
  <si>
    <t>Diatas 2,5</t>
  </si>
  <si>
    <t>Dibawah 4</t>
  </si>
  <si>
    <t xml:space="preserve">Min 2,5 sebetulnya saya cenderung fleksibel, saya paham bahwa setiap lembaga sudah mempunyai standar gaji masing-masing. </t>
  </si>
  <si>
    <t>1TNU4YDtZV6AOXtwna-4jCoCXNW0UKdgEKZ1YLceoERU</t>
  </si>
  <si>
    <t>https://docs.google.com/document/d/1TNU4YDtZV6AOXtwna-4jCoCXNW0UKdgEKZ1YLceoERU/edit?usp=drivesdk</t>
  </si>
  <si>
    <t>Document successfully created; Invalid image URL [https://drive.google.com/uc?export=view&amp;id=1683HQLpE7PsLW_6FsE1AmgOSgpWUOtbn], make sure that it is public; Document successfully merged; Run via form trigger as kemal.stafsus@gmail.com; Timestamp: Nov 5 2020 1:32 AM</t>
  </si>
  <si>
    <t>https://drive.google.com/open?id=1D2PfSo8e3kOhg_tcOPbg7KdUpujDlXRm</t>
  </si>
  <si>
    <t>https://drive.google.com/uc?export=view&amp;id=1D2PfSo8e3kOhg_tcOPbg7KdUpujDlXRm</t>
  </si>
  <si>
    <t>Amelia Dian Utari S.Pd</t>
  </si>
  <si>
    <t>087854613770</t>
  </si>
  <si>
    <t>3603284510880004</t>
  </si>
  <si>
    <t>Jl sempor 7 no 5 RT 008 RW 011 kel bencongan kec kelapa dua Tangerang</t>
  </si>
  <si>
    <t>05-10-1988</t>
  </si>
  <si>
    <t>Universitas muhammadiyah prof. Dr. HAMKA</t>
  </si>
  <si>
    <t>Pendidikan Bahasa inggris</t>
  </si>
  <si>
    <t>Guru kursus bahasa inggris NEC</t>
  </si>
  <si>
    <t>Guru SD mulim cendekia</t>
  </si>
  <si>
    <t>Gurum bimbel Maestro</t>
  </si>
  <si>
    <t>0736392933</t>
  </si>
  <si>
    <t>1ES1D8Z0Wv3qiTag2oWWNyRIwAId5ct5qZeRi-IQuzZg</t>
  </si>
  <si>
    <t>https://docs.google.com/document/d/1ES1D8Z0Wv3qiTag2oWWNyRIwAId5ct5qZeRi-IQuzZg/edit?usp=drivesdk</t>
  </si>
  <si>
    <t>Document successfully created; Document successfully merged; Run via form trigger as kemal.stafsus@gmail.com; Timestamp: Nov 5 2020 2:42 AM</t>
  </si>
  <si>
    <t>https://drive.google.com/open?id=1jmBqkkGxv_FgsK7Pj_o_usijWVc_ND7H</t>
  </si>
  <si>
    <t>https://drive.google.com/uc?export=view&amp;id=1jmBqkkGxv_FgsK7Pj_o_usijWVc_ND7H</t>
  </si>
  <si>
    <t>Aulia Zarah</t>
  </si>
  <si>
    <t>+6282319692759</t>
  </si>
  <si>
    <t>1401065611990001</t>
  </si>
  <si>
    <t>Perumahan Gading Marpoyan, Jalan Akbar III Blok D1 No.19 RT 003/RW 002, Kelurahan Pandau Jaya, Kecamatan Siak Hulu, Kabupaten Kampar-Riau</t>
  </si>
  <si>
    <t>Pekanbaru</t>
  </si>
  <si>
    <t>16-11-1999</t>
  </si>
  <si>
    <t>20 tahun 11 bulan</t>
  </si>
  <si>
    <t>Tahfidz - Arabic - Nuronniyah - Hadits - Do'a</t>
  </si>
  <si>
    <t>Madrasah Ibtidaiyah Tahfizh Makkah</t>
  </si>
  <si>
    <t>SDIT An-najiyyah</t>
  </si>
  <si>
    <t>0844330074</t>
  </si>
  <si>
    <t>1U2pDWO0WkcSlJfh9C2qEN1hhHApcKvW5H9vqCAhTlXc</t>
  </si>
  <si>
    <t>https://docs.google.com/document/d/1U2pDWO0WkcSlJfh9C2qEN1hhHApcKvW5H9vqCAhTlXc/edit?usp=drivesdk</t>
  </si>
  <si>
    <t>Document successfully created; Invalid image URL [https://drive.google.com/uc?export=view&amp;id=1jmBqkkGxv_FgsK7Pj_o_usijWVc_ND7H], make sure that it is public; Document successfully merged; Run via form trigger as kemal.stafsus@gmail.com; Timestamp: Nov 5 2020 4:39 AM</t>
  </si>
  <si>
    <t>https://drive.google.com/open?id=1q881veQyY0eQTtkW9XOVYgRPmCvqU7fp</t>
  </si>
  <si>
    <t>https://drive.google.com/uc?export=view&amp;id=1q881veQyY0eQTtkW9XOVYgRPmCvqU7fp</t>
  </si>
  <si>
    <t>Nove Kurnia S.Pd.I</t>
  </si>
  <si>
    <t>085750377407</t>
  </si>
  <si>
    <t>1371047011890002</t>
  </si>
  <si>
    <t>Jl.Bidar III No.4 Kelurahan Kelapa Dua, Kecamatan Kelapa Dua Tangerang, Banten</t>
  </si>
  <si>
    <t>30-11-89</t>
  </si>
  <si>
    <t>30 tahun 11 bulan</t>
  </si>
  <si>
    <t>Institute Agama Islam Negeri Imam Bonjol Padang</t>
  </si>
  <si>
    <t>Guru mata pelajaran TK Al Wildan Kindergarten</t>
  </si>
  <si>
    <t>0834896155</t>
  </si>
  <si>
    <t>1Au20NFj8iwhMGMaBcg-wDg1655h4V6g5ufp66mitUDg</t>
  </si>
  <si>
    <t>https://docs.google.com/document/d/1Au20NFj8iwhMGMaBcg-wDg1655h4V6g5ufp66mitUDg/edit?usp=drivesdk</t>
  </si>
  <si>
    <t>Document successfully created; Document successfully merged; Run via form trigger as kemal.stafsus@gmail.com; Timestamp: Nov 5 2020 5:08 AM</t>
  </si>
  <si>
    <t>https://drive.google.com/open?id=1r-v_pPFQtOjPSpG-ndfIrxbAljh0WoMv</t>
  </si>
  <si>
    <t>https://drive.google.com/uc?export=view&amp;id=1r-v_pPFQtOjPSpG-ndfIrxbAljh0WoMv</t>
  </si>
  <si>
    <t>Yati Rahmayati, A.md</t>
  </si>
  <si>
    <t>081318322617</t>
  </si>
  <si>
    <t>3603285711850006</t>
  </si>
  <si>
    <t>Jalan dayung 1A No.1 kelapa dua tangerang</t>
  </si>
  <si>
    <t>17/11/1985</t>
  </si>
  <si>
    <t>35 Tahun</t>
  </si>
  <si>
    <t>Guru Tk</t>
  </si>
  <si>
    <t xml:space="preserve">PGTKI Gema Pertiwi </t>
  </si>
  <si>
    <t xml:space="preserve">Diploma </t>
  </si>
  <si>
    <t>Guru Tk kids 19 Bekasi tahun 2005 - 2010
Kepala sekolah Tk kids 19 tahun 2010-2011</t>
  </si>
  <si>
    <t>Guru Tk Nurul islam tahun 2012 - 2016</t>
  </si>
  <si>
    <t>Guru Tk Al wildan tahun 2017 - sekarang</t>
  </si>
  <si>
    <t>0464904587</t>
  </si>
  <si>
    <t>19QRHkj0KpuUGaTTkddHnuSSZ6PKeE7w3otES0j08rGs</t>
  </si>
  <si>
    <t>https://docs.google.com/document/d/19QRHkj0KpuUGaTTkddHnuSSZ6PKeE7w3otES0j08rGs/edit?usp=drivesdk</t>
  </si>
  <si>
    <t>Document successfully created; Document successfully merged; Run via form trigger as kemal.stafsus@gmail.com; Timestamp: Nov 5 2020 5:15 AM</t>
  </si>
  <si>
    <t>https://drive.google.com/open?id=1l5llYKoo_3mUc8IizBBASJwHdg8-jTlI</t>
  </si>
  <si>
    <t>https://drive.google.com/uc?export=view&amp;id=1l5llYKoo_3mUc8IizBBASJwHdg8-jTlI</t>
  </si>
  <si>
    <t>Fathiyah Bahram Mukhtar</t>
  </si>
  <si>
    <t>08111178872</t>
  </si>
  <si>
    <t>3175064812691003</t>
  </si>
  <si>
    <t>Modernland, Jl. PLN. Premier Park 2, Blok V .no. 1 , Tangerang 15117</t>
  </si>
  <si>
    <t xml:space="preserve">Makkah, Saudi Arabia  </t>
  </si>
  <si>
    <t>08/12/1969</t>
  </si>
  <si>
    <t>Native Arabic</t>
  </si>
  <si>
    <t>King Saud University in Riyadh, Saudi Arabia</t>
  </si>
  <si>
    <t>Special Education " Learning disabilities "</t>
  </si>
  <si>
    <t>2.92</t>
  </si>
  <si>
    <t xml:space="preserve">Native Arabic Teacher </t>
  </si>
  <si>
    <t xml:space="preserve">3000 SAR - 11.489.017 IDR. </t>
  </si>
  <si>
    <t>3400 SAR - 13.021.370 IDR.</t>
  </si>
  <si>
    <t xml:space="preserve">3600 SAR - 13.787.845 IDR. </t>
  </si>
  <si>
    <t>3600 SAR - 13.787.845 IDR.</t>
  </si>
  <si>
    <t>3800 SAR - 14.553.434  IDR.</t>
  </si>
  <si>
    <t xml:space="preserve">5.000.000 Rp. </t>
  </si>
  <si>
    <t>1y5K0WCjPym9FQB6qBlUiumvAXyikuoyeSnns0n2-1G8</t>
  </si>
  <si>
    <t>https://docs.google.com/document/d/1y5K0WCjPym9FQB6qBlUiumvAXyikuoyeSnns0n2-1G8/edit?usp=drivesdk</t>
  </si>
  <si>
    <t>Document successfully created; Invalid image URL [https://drive.google.com/uc?export=view&amp;id=1l5llYKoo_3mUc8IizBBASJwHdg8-jTlI], make sure that it is public; Document successfully merged; Run via form trigger as kemal.stafsus@gmail.com; Timestamp: Nov 5 2020 5:44 AM</t>
  </si>
  <si>
    <t>https://drive.google.com/open?id=1LItv8z47CRsARlz-WzFTkeYvxlAo21MW</t>
  </si>
  <si>
    <t>https://drive.google.com/uc?export=view&amp;id=1LItv8z47CRsARlz-WzFTkeYvxlAo21MW</t>
  </si>
  <si>
    <t>Irma Suciningsih A.Md</t>
  </si>
  <si>
    <t>082226582612</t>
  </si>
  <si>
    <t>3329015103970001</t>
  </si>
  <si>
    <t>11-06-1996</t>
  </si>
  <si>
    <t>24 tahun 5 bulan</t>
  </si>
  <si>
    <t>PTS</t>
  </si>
  <si>
    <t>0632444585</t>
  </si>
  <si>
    <t>1L0ZhwbBVdsDm4wZ_ZpHqReynT9tj38HXZ-NaOzuNUYI</t>
  </si>
  <si>
    <t>https://docs.google.com/document/d/1L0ZhwbBVdsDm4wZ_ZpHqReynT9tj38HXZ-NaOzuNUYI/edit?usp=drivesdk</t>
  </si>
  <si>
    <t>Document successfully created; Document successfully merged; Run via form trigger as kemal.stafsus@gmail.com; Timestamp: Nov 5 2020 6:06 AM</t>
  </si>
  <si>
    <t>https://drive.google.com/open?id=1KeVkwN2G0dG0qOWdK385un7PrX_5xI5Z</t>
  </si>
  <si>
    <t>https://drive.google.com/uc?export=view&amp;id=1KeVkwN2G0dG0qOWdK385un7PrX_5xI5Z</t>
  </si>
  <si>
    <t>Anisyatus Sholehah</t>
  </si>
  <si>
    <t>088291544679</t>
  </si>
  <si>
    <t>1812014805000006</t>
  </si>
  <si>
    <t>Jl. Bidar III no.4, kelapa dua, tangerang</t>
  </si>
  <si>
    <t>08-05-2000</t>
  </si>
  <si>
    <t xml:space="preserve">20 tahun 5 bulan </t>
  </si>
  <si>
    <t>Musyrifah di STIQ</t>
  </si>
  <si>
    <t xml:space="preserve">Di TK Alwildan </t>
  </si>
  <si>
    <t>0847615241</t>
  </si>
  <si>
    <t>1PgydvdUUzddExzVQ8pE49FiAtviFCsd_S4rnL6HnltA</t>
  </si>
  <si>
    <t>https://docs.google.com/document/d/1PgydvdUUzddExzVQ8pE49FiAtviFCsd_S4rnL6HnltA/edit?usp=drivesdk</t>
  </si>
  <si>
    <t>Document successfully created; Document successfully merged; Run via form trigger as kemal.stafsus@gmail.com; Timestamp: Nov 5 2020 7:05 AM</t>
  </si>
  <si>
    <t>https://drive.google.com/open?id=1x9SWP6So6vVOiQvNd7niumjRVHX0oO4U</t>
  </si>
  <si>
    <t>https://drive.google.com/uc?export=view&amp;id=1x9SWP6So6vVOiQvNd7niumjRVHX0oO4U</t>
  </si>
  <si>
    <t>Ruhyati, S.Pd</t>
  </si>
  <si>
    <t>085217448068</t>
  </si>
  <si>
    <t>Jln Kano 18 no. 19 Perumnas Kelapa dua Tangerang</t>
  </si>
  <si>
    <t>26 Januari 1965</t>
  </si>
  <si>
    <t>55 tahun  9 bulan</t>
  </si>
  <si>
    <t>IKIP Bandung</t>
  </si>
  <si>
    <t xml:space="preserve">Tata Busana </t>
  </si>
  <si>
    <t>2, 35</t>
  </si>
  <si>
    <t>1xb0mYtx_iJ1FBt4wi_ZEf5Y14nc9CFOPzxTbreD9ACQ</t>
  </si>
  <si>
    <t>https://docs.google.com/document/d/1xb0mYtx_iJ1FBt4wi_ZEf5Y14nc9CFOPzxTbreD9ACQ/edit?usp=drivesdk</t>
  </si>
  <si>
    <t>Document successfully created; Document successfully merged; Run via form trigger as kemal.stafsus@gmail.com; Timestamp: Nov 5 2020 7:18 AM</t>
  </si>
  <si>
    <t>https://drive.google.com/open?id=1WC-cK5C8M_SLq1VUyqupXdPswloXJPhK</t>
  </si>
  <si>
    <t>https://drive.google.com/uc?export=view&amp;id=1WC-cK5C8M_SLq1VUyqupXdPswloXJPhK</t>
  </si>
  <si>
    <t>Damarwanti, A.Md.</t>
  </si>
  <si>
    <t>081617778301</t>
  </si>
  <si>
    <t>3603176702660001</t>
  </si>
  <si>
    <t>Binong Permai E2/30 Rt 011/012 Binong, Curug, Kab. Tangerang</t>
  </si>
  <si>
    <t>54 tahun 10 bulan</t>
  </si>
  <si>
    <t>English, Phonics, Math</t>
  </si>
  <si>
    <t xml:space="preserve">IKIP Jakarta (UNJ) </t>
  </si>
  <si>
    <t>Tata Rias</t>
  </si>
  <si>
    <t>English teacher Al Wildan Kindergarten</t>
  </si>
  <si>
    <t>0464903276</t>
  </si>
  <si>
    <t>1JuM5QAwO0HzeoK-ReLWWJMgn9S9hKndqDsUIpcctCcA</t>
  </si>
  <si>
    <t>https://docs.google.com/document/d/1JuM5QAwO0HzeoK-ReLWWJMgn9S9hKndqDsUIpcctCcA/edit?usp=drivesdk</t>
  </si>
  <si>
    <t>Document successfully created; Document successfully merged; Run via form trigger as kemal.stafsus@gmail.com; Timestamp: Nov 5 2020 7:58 AM</t>
  </si>
  <si>
    <t>https://drive.google.com/open?id=1u3JSum_D2MiSlXMmbPlhiq9hNx_xAIBG</t>
  </si>
  <si>
    <t>https://drive.google.com/uc?export=view&amp;id=1u3JSum_D2MiSlXMmbPlhiq9hNx_xAIBG</t>
  </si>
  <si>
    <t>Baik Indiani</t>
  </si>
  <si>
    <t>081907509004</t>
  </si>
  <si>
    <t>5201095205760001</t>
  </si>
  <si>
    <t>Dusun Dasan Bara, Desa Taman Sari, Kecamatan Gunungsari, LOBAR</t>
  </si>
  <si>
    <t>12-05-1976</t>
  </si>
  <si>
    <t>44 tahun</t>
  </si>
  <si>
    <t>Pondok Pesantren Al Furqon - Gresik, JATIM</t>
  </si>
  <si>
    <t>Mengajar di ponpes Abu Hurairah - Mataram</t>
  </si>
  <si>
    <t>Dibawah 2.000.000</t>
  </si>
  <si>
    <t>Sekolah Internasional EMIISc - Jakarta</t>
  </si>
  <si>
    <t>Rumah Qur'an BALANCIA - Jakarta</t>
  </si>
  <si>
    <t>0856028386</t>
  </si>
  <si>
    <t>1dhi0MWoqes1NFTOoVkZiqPvU8I6-Ocld7tU3lHLrb9s</t>
  </si>
  <si>
    <t>https://docs.google.com/document/d/1dhi0MWoqes1NFTOoVkZiqPvU8I6-Ocld7tU3lHLrb9s/edit?usp=drivesdk</t>
  </si>
  <si>
    <t>Document successfully created; Document successfully merged; Run via form trigger as kemal.stafsus@gmail.com; Timestamp: Nov 5 2020 9:12 AM</t>
  </si>
  <si>
    <t>https://drive.google.com/open?id=1IrQ3uVnDala1BuVBvxlslDHEj-CUBZJy</t>
  </si>
  <si>
    <t>https://drive.google.com/uc?export=view&amp;id=1IrQ3uVnDala1BuVBvxlslDHEj-CUBZJy</t>
  </si>
  <si>
    <t>Siti Hajrul Janilah, S.Pd</t>
  </si>
  <si>
    <t>3603224406920006</t>
  </si>
  <si>
    <t>4 Juni 1992</t>
  </si>
  <si>
    <t>28 tahun 5 bulan</t>
  </si>
  <si>
    <t>Guru Bahasa Indonesia SMP-SMA</t>
  </si>
  <si>
    <t>1dE3Hz66DeZxT7iVxV5-ap_SbQF-RBzfpEKlspnkg0CU</t>
  </si>
  <si>
    <t>https://docs.google.com/document/d/1dE3Hz66DeZxT7iVxV5-ap_SbQF-RBzfpEKlspnkg0CU/edit?usp=drivesdk</t>
  </si>
  <si>
    <t>Document successfully created; Document successfully merged; Run via form trigger as kemal.stafsus@gmail.com; Timestamp: Nov 6 2020 1:49 AM</t>
  </si>
  <si>
    <t>https://drive.google.com/open?id=1MHoo77va-lueV4CfsI6RMlvahFk7GpNt</t>
  </si>
  <si>
    <t>https://drive.google.com/uc?export=view&amp;id=1MHoo77va-lueV4CfsI6RMlvahFk7GpNt</t>
  </si>
  <si>
    <t>Sayyidatu Rifdah Berelvi Khairani</t>
  </si>
  <si>
    <t>089635851996</t>
  </si>
  <si>
    <t>3173076707011002</t>
  </si>
  <si>
    <t>Jalan Palem Merah Raya No.1 RT 004/019, Kec. Kelapa Dua, Kab. Tangerang</t>
  </si>
  <si>
    <t>27 - 07 - 2001</t>
  </si>
  <si>
    <t>19 Tahun 3 Bulan</t>
  </si>
  <si>
    <t>Al Qur'an dan Fikih Ibadah</t>
  </si>
  <si>
    <t>Guru Al Qur'an SD Al Wildan Islamic School</t>
  </si>
  <si>
    <t>0849999277</t>
  </si>
  <si>
    <t>1gxGvqPj9EAVDJTvtUlYQHDGAeCR-GrC4snKNrWVaxJQ</t>
  </si>
  <si>
    <t>https://docs.google.com/document/d/1gxGvqPj9EAVDJTvtUlYQHDGAeCR-GrC4snKNrWVaxJQ/edit?usp=drivesdk</t>
  </si>
  <si>
    <t>Document successfully created; Document successfully merged; Run via form trigger as kemal.stafsus@gmail.com; Timestamp: Nov 6 2020 2:07 AM</t>
  </si>
  <si>
    <t>https://drive.google.com/open?id=1tLdlBDEHf3lPOvaE0p3irS9lvGfGk3sQ</t>
  </si>
  <si>
    <t>https://drive.google.com/uc?export=view&amp;id=1tLdlBDEHf3lPOvaE0p3irS9lvGfGk3sQ</t>
  </si>
  <si>
    <t>Cluster Studentia blok c23 no9 serpong garden cisauk tangerang banten</t>
  </si>
  <si>
    <t>22-03-1982</t>
  </si>
  <si>
    <t>38tahun 8bulan</t>
  </si>
  <si>
    <t>Mathematics English Science</t>
  </si>
  <si>
    <t>QEHS ENGINEER</t>
  </si>
  <si>
    <t>1ZyFGbmCAG2jqNgHzHm3WKDD4Rw7DAsFme99s196bxPY</t>
  </si>
  <si>
    <t>https://docs.google.com/document/d/1ZyFGbmCAG2jqNgHzHm3WKDD4Rw7DAsFme99s196bxPY/edit?usp=drivesdk</t>
  </si>
  <si>
    <t>Document successfully created; Document successfully merged; Run via form trigger as kemal.stafsus@gmail.com; Timestamp: Nov 6 2020 3:45 AM</t>
  </si>
  <si>
    <t>https://drive.google.com/open?id=1rWOWDzIWk3KplimW7zqYTKHT2UeQXbjP</t>
  </si>
  <si>
    <t>https://drive.google.com/uc?export=view&amp;id=1rWOWDzIWk3KplimW7zqYTKHT2UeQXbjP</t>
  </si>
  <si>
    <t>Cluster Villa Rizki Ilhami Plus Blok A 15 Kelurahan Bojong Nangka, Kecamatan Kelapa Dua, Kabupaten Tangerang</t>
  </si>
  <si>
    <t>31 tahun 6 bulan</t>
  </si>
  <si>
    <t>Science</t>
  </si>
  <si>
    <t>Peneliti</t>
  </si>
  <si>
    <t>0836119336</t>
  </si>
  <si>
    <t>1kM-F0gdPnW74Q6C71pQ6ItLjz9ZeDqTnjfqsjlU2PeM</t>
  </si>
  <si>
    <t>https://docs.google.com/document/d/1kM-F0gdPnW74Q6C71pQ6ItLjz9ZeDqTnjfqsjlU2PeM/edit?usp=drivesdk</t>
  </si>
  <si>
    <t>Document successfully created; Document successfully merged; Run via form trigger as kemal.stafsus@gmail.com; Timestamp: Nov 6 2020 3:53 AM</t>
  </si>
  <si>
    <t>https://drive.google.com/open?id=1i0k0XkjbhEaKNUiiPmgVhdZJS9iKH-Tm</t>
  </si>
  <si>
    <t>https://drive.google.com/uc?export=view&amp;id=1i0k0XkjbhEaKNUiiPmgVhdZJS9iKH-Tm</t>
  </si>
  <si>
    <t>Afifah Muthmainnah</t>
  </si>
  <si>
    <t>Dompu O'o</t>
  </si>
  <si>
    <t>20 tahun 5 bulan</t>
  </si>
  <si>
    <t>Tahfidz Qur'an</t>
  </si>
  <si>
    <t>1,500.000</t>
  </si>
  <si>
    <t>1rJvuNhpkHGzriKdzdhoav1PiJ0LsOUjk4qpOFa5H3NA</t>
  </si>
  <si>
    <t>https://docs.google.com/document/d/1rJvuNhpkHGzriKdzdhoav1PiJ0LsOUjk4qpOFa5H3NA/edit?usp=drivesdk</t>
  </si>
  <si>
    <t>Document successfully created; Document successfully merged; Run via form trigger as kemal.stafsus@gmail.com; Timestamp: Nov 6 2020 4:43 AM</t>
  </si>
  <si>
    <t>https://drive.google.com/open?id=1smVJVxpiMifvN5i0QSMJxAo4vGidnXAF</t>
  </si>
  <si>
    <t>https://drive.google.com/uc?export=view&amp;id=1smVJVxpiMifvN5i0QSMJxAo4vGidnXAF</t>
  </si>
  <si>
    <t>Nurul Azizah, Lc. MH</t>
  </si>
  <si>
    <t>Jl. Semanan Jaya I No. 10 Rt 011/Rw 008
Semanan-Kalideres-Jakarta Barat 11850</t>
  </si>
  <si>
    <t>arabic</t>
  </si>
  <si>
    <t>Universitas Al-Azhar Cairo Mesir</t>
  </si>
  <si>
    <t>Dirasat Islamiyah wal arabiyah</t>
  </si>
  <si>
    <t>Institut Ilmu Al-Quran Jakarta</t>
  </si>
  <si>
    <t xml:space="preserve">mengajar di lafazh center </t>
  </si>
  <si>
    <t>Dosen di Institut PTIQ Jakarta</t>
  </si>
  <si>
    <t>230.000 per pertemuan</t>
  </si>
  <si>
    <t>Bisa Learning Center</t>
  </si>
  <si>
    <t>1k6yC_-zuLeF844V-rMYTnQlfrtxJjpZkYNC5j2kntI8</t>
  </si>
  <si>
    <t>https://docs.google.com/document/d/1k6yC_-zuLeF844V-rMYTnQlfrtxJjpZkYNC5j2kntI8/edit?usp=drivesdk</t>
  </si>
  <si>
    <t>Document successfully created; Document successfully merged; Run via form trigger as kemal.stafsus@gmail.com; Timestamp: Nov 6 2020 4:47 AM</t>
  </si>
  <si>
    <t>https://drive.google.com/open?id=1UQ-1gu2RBqWdDogDVl1zIcAVASJpNtxv</t>
  </si>
  <si>
    <t>https://drive.google.com/uc?export=view&amp;id=1UQ-1gu2RBqWdDogDVl1zIcAVASJpNtxv</t>
  </si>
  <si>
    <t>Salsabila Octaviana</t>
  </si>
  <si>
    <t>081808185064</t>
  </si>
  <si>
    <t>3209206010000009</t>
  </si>
  <si>
    <t>20 Oktober 2000</t>
  </si>
  <si>
    <t>Al Qur'an , Fikih</t>
  </si>
  <si>
    <t>Alwildan islamic school</t>
  </si>
  <si>
    <t>0849992942</t>
  </si>
  <si>
    <t>1WzflRtAwY9vaGD7DCHR4QSxiZbjJSAGmz3a8Kxcsbr8</t>
  </si>
  <si>
    <t>https://docs.google.com/document/d/1WzflRtAwY9vaGD7DCHR4QSxiZbjJSAGmz3a8Kxcsbr8/edit?usp=drivesdk</t>
  </si>
  <si>
    <t>Document successfully created; Document successfully merged; Run via form trigger as kemal.stafsus@gmail.com; Timestamp: Nov 9 2020 12:24 AM</t>
  </si>
  <si>
    <t>https://drive.google.com/open?id=1MZviSHKriAP1ivA0Q4TQ0y8OI2PTa_75</t>
  </si>
  <si>
    <t>https://drive.google.com/uc?export=view&amp;id=1MZviSHKriAP1ivA0Q4TQ0y8OI2PTa_75</t>
  </si>
  <si>
    <t>YUSEP SUPRIATNA</t>
  </si>
  <si>
    <t>085774407090</t>
  </si>
  <si>
    <t>3201210909890002</t>
  </si>
  <si>
    <t>Jalan Nusa Indah 2 Perumahan Binong Permai Blok H6 No.8, Sukabakti, Curug, Tangerang 15810</t>
  </si>
  <si>
    <t>09-09-1989</t>
  </si>
  <si>
    <t>SCIENCE, ENGLISH, MATH</t>
  </si>
  <si>
    <t>S1 STEI TAZKIA</t>
  </si>
  <si>
    <t>Islamic Business and Management</t>
  </si>
  <si>
    <t>Musyrif + Muhafidz - Pesantren YATAMA Azzikra - Depok</t>
  </si>
  <si>
    <t>Mold Cleaning Supervisor - Goodyear - Bogor</t>
  </si>
  <si>
    <t>Kepala Sekolah SMK Multimedia Madani Al-Qudwah</t>
  </si>
  <si>
    <t>0506332931</t>
  </si>
  <si>
    <t>1j_n1wSswrJa3TZsvcxE1BWjMR_SCDA9QQptLjaH8gL8</t>
  </si>
  <si>
    <t>https://docs.google.com/document/d/1j_n1wSswrJa3TZsvcxE1BWjMR_SCDA9QQptLjaH8gL8/edit?usp=drivesdk</t>
  </si>
  <si>
    <t>Document successfully created; Document successfully merged; Run via form trigger as kemal.stafsus@gmail.com; Timestamp: Nov 9 2020 1:34 AM</t>
  </si>
  <si>
    <t>https://drive.google.com/open?id=1RTunEbVLnIsku-oM-vmh_6qOFqUV7Q7F</t>
  </si>
  <si>
    <t>https://drive.google.com/uc?export=view&amp;id=1RTunEbVLnIsku-oM-vmh_6qOFqUV7Q7F</t>
  </si>
  <si>
    <t>Nur hasanah, S.Pd</t>
  </si>
  <si>
    <t>1871075804910007</t>
  </si>
  <si>
    <t>Jalan bidar 2</t>
  </si>
  <si>
    <t>Bandar lampung</t>
  </si>
  <si>
    <t>Quran, bahasa arab, ski, akidah, fikih</t>
  </si>
  <si>
    <t>Stai indo jakarta timur</t>
  </si>
  <si>
    <t>Pendidikan islam</t>
  </si>
  <si>
    <t>3, 17</t>
  </si>
  <si>
    <t>Ptiq</t>
  </si>
  <si>
    <t>Manajemen pendidikan</t>
  </si>
  <si>
    <t>Bendahara yayasan</t>
  </si>
  <si>
    <t>2. 000.000</t>
  </si>
  <si>
    <t>Guru mapel</t>
  </si>
  <si>
    <t>3. 000.000</t>
  </si>
  <si>
    <t>0607522713</t>
  </si>
  <si>
    <t>1ApqVA0Uj9Go7sBREZtphOskLspJL1i4G7t-NbmTSYhU</t>
  </si>
  <si>
    <t>https://docs.google.com/document/d/1ApqVA0Uj9Go7sBREZtphOskLspJL1i4G7t-NbmTSYhU/edit?usp=drivesdk</t>
  </si>
  <si>
    <t>Document successfully created; Document successfully merged; Run via form trigger as kemal.stafsus@gmail.com; Timestamp: Nov 9 2020 2:06 AM</t>
  </si>
  <si>
    <t>https://drive.google.com/open?id=1PHzeobfpDGbA-oxQQxswGWfFKzE96jqh</t>
  </si>
  <si>
    <t>https://drive.google.com/uc?export=view&amp;id=1PHzeobfpDGbA-oxQQxswGWfFKzE96jqh</t>
  </si>
  <si>
    <t>0647804166</t>
  </si>
  <si>
    <t>1zT1YAlNrKAYur-WvYywot4HcUyDYIWQDEg9Ouu3rMnI</t>
  </si>
  <si>
    <t>https://docs.google.com/document/d/1zT1YAlNrKAYur-WvYywot4HcUyDYIWQDEg9Ouu3rMnI/edit?usp=drivesdk</t>
  </si>
  <si>
    <t>Document successfully created; Document successfully merged; Run via form trigger as kemal.stafsus@gmail.com; Timestamp: Nov 13 2020 3:01 AM</t>
  </si>
  <si>
    <t>https://drive.google.com/open?id=1kxmwe4VzVONL0qswgajfUCtiBh7yZr50</t>
  </si>
  <si>
    <t>https://drive.google.com/uc?export=view&amp;id=1kxmwe4VzVONL0qswgajfUCtiBh7yZr50</t>
  </si>
  <si>
    <t>Erica Livingston Syakti BBA</t>
  </si>
  <si>
    <t>081284010840</t>
  </si>
  <si>
    <t>3603285210770012</t>
  </si>
  <si>
    <t>Apartement The Medina B174C RT07/RW14 Kelapa Dua, Tangerang</t>
  </si>
  <si>
    <t>North Carolina</t>
  </si>
  <si>
    <t>12-10-1977</t>
  </si>
  <si>
    <t>43 tahun 1 bulan</t>
  </si>
  <si>
    <t>Native English</t>
  </si>
  <si>
    <t>Schiller International University</t>
  </si>
  <si>
    <t>International Business</t>
  </si>
  <si>
    <t>0844017436</t>
  </si>
  <si>
    <t>1tnuUb9BqNx6xR7-k_cObkv5FP4YSMyAsrnt5s4kG_Os</t>
  </si>
  <si>
    <t>https://docs.google.com/document/d/1tnuUb9BqNx6xR7-k_cObkv5FP4YSMyAsrnt5s4kG_Os/edit?usp=drivesdk</t>
  </si>
  <si>
    <t>Document successfully created; Document successfully merged; Run via form trigger as kemal.stafsus@gmail.com; Timestamp: Nov 15 2020 2:02 AM</t>
  </si>
  <si>
    <t>https://drive.google.com/open?id=1cX2FwaU1ZRnwB8DM3H1CA7FRsKcO-FpG</t>
  </si>
  <si>
    <t>https://drive.google.com/uc?export=view&amp;id=1cX2FwaU1ZRnwB8DM3H1CA7FRsKcO-FpG</t>
  </si>
  <si>
    <t>dadang suherman, Lc</t>
  </si>
  <si>
    <t>Kp. Areman Desa Tugu Cimanggis Depok</t>
  </si>
  <si>
    <t>31-05-1983</t>
  </si>
  <si>
    <t>37tahun7bulan</t>
  </si>
  <si>
    <t>Bahasa Arab/Al-Quran/Fiqih</t>
  </si>
  <si>
    <t>3.08</t>
  </si>
  <si>
    <t xml:space="preserve">1. Guru SMAIT Raflesia Depok 2014-2016
2. Imam Rowatib
3. Guru SMA Al-Wafi Parung Bogor 2018-2019
4. Guru Ponpes Multazam Bogor 2016-2018
</t>
  </si>
  <si>
    <t>1Txa-bu2Vw2NyFsB18wqijG3gQJSGcm-b6U8rHPYiGqs</t>
  </si>
  <si>
    <t>https://docs.google.com/document/d/1Txa-bu2Vw2NyFsB18wqijG3gQJSGcm-b6U8rHPYiGqs/edit?usp=drivesdk</t>
  </si>
  <si>
    <t>Document successfully created; Document successfully merged; Run via form trigger as kemal.stafsus@gmail.com; Timestamp: Nov 16 2020 10:11 PM</t>
  </si>
  <si>
    <t>https://drive.google.com/open?id=1D_2sJDZmO8wK0nbxXORZ5sU_5FzmhQix</t>
  </si>
  <si>
    <t>https://drive.google.com/uc?export=view&amp;id=1D_2sJDZmO8wK0nbxXORZ5sU_5FzmhQix</t>
  </si>
  <si>
    <t>PUTRI DEWI</t>
  </si>
  <si>
    <t>085216001819</t>
  </si>
  <si>
    <t>1103205006990002</t>
  </si>
  <si>
    <t>Desa Simpang jernih, kec Simpang jernih, kab Aceh timur.</t>
  </si>
  <si>
    <t>Rantau Naru</t>
  </si>
  <si>
    <t>10 - 06 - 1999</t>
  </si>
  <si>
    <t>Markadz tahfidz Dar Maryam binti Ibrahim ,Aceh besar</t>
  </si>
  <si>
    <t xml:space="preserve">Al Wildan 1 </t>
  </si>
  <si>
    <t>065701020692509</t>
  </si>
  <si>
    <t>1za_7yOqTib1NPMSh4IbFSA-dtAiSNJgyO-MfswdGlpc</t>
  </si>
  <si>
    <t>https://docs.google.com/document/d/1za_7yOqTib1NPMSh4IbFSA-dtAiSNJgyO-MfswdGlpc/edit?usp=drivesdk</t>
  </si>
  <si>
    <t>Document successfully created; Document successfully merged; Run via form trigger as kemal.stafsus@gmail.com; Timestamp: Nov 20 2020 10:08 AM</t>
  </si>
  <si>
    <t>https://drive.google.com/open?id=1ml6szt5KaMVdhL7wupmVdkElpX61mTZ1</t>
  </si>
  <si>
    <t>https://drive.google.com/uc?export=view&amp;id=1ml6szt5KaMVdhL7wupmVdkElpX61mTZ1</t>
  </si>
  <si>
    <t>BAIQ ZAUZAINI</t>
  </si>
  <si>
    <t>0859171255838</t>
  </si>
  <si>
    <t>JL. RAGIGENEP GG DAHLIA IV LING. SINTUNG</t>
  </si>
  <si>
    <t xml:space="preserve">DASAN REBAN </t>
  </si>
  <si>
    <t>31-01-2000</t>
  </si>
  <si>
    <t>20 TAHUN 11BULAN</t>
  </si>
  <si>
    <t xml:space="preserve">AL-QURAN </t>
  </si>
  <si>
    <t>1jKqBMnZmMLHBr6QFSN2FBS7WvqOvhKmaqlUBXN8Phjo</t>
  </si>
  <si>
    <t>https://docs.google.com/document/d/1jKqBMnZmMLHBr6QFSN2FBS7WvqOvhKmaqlUBXN8Phjo/edit?usp=drivesdk</t>
  </si>
  <si>
    <t>Document successfully created; Document successfully merged; Run via form trigger as kemal.stafsus@gmail.com; Timestamp: Nov 28 2020 8:41 AM</t>
  </si>
  <si>
    <t>https://drive.google.com/open?id=1k3ENeSbO0nnW7L1rM5ZFilr5WlRkjbe9</t>
  </si>
  <si>
    <t>https://drive.google.com/uc?export=view&amp;id=1k3ENeSbO0nnW7L1rM5ZFilr5WlRkjbe9</t>
  </si>
  <si>
    <t>M. Rasyid Ridha Hamzah, M.Irkh</t>
  </si>
  <si>
    <t>081617024008</t>
  </si>
  <si>
    <t>1275041202870001</t>
  </si>
  <si>
    <t>Blok D6, no 20, taman Ganesha, desa Tegal, kec Kemang, Bogor.</t>
  </si>
  <si>
    <t>Binjai</t>
  </si>
  <si>
    <t>12-02-1987</t>
  </si>
  <si>
    <t>33 tahun 10 bulan</t>
  </si>
  <si>
    <t>Internasional Islamic University of Malaysia</t>
  </si>
  <si>
    <t>3.28</t>
  </si>
  <si>
    <t>Guru Diniyah, Ma'had Tahfiz Quran Gombak, Malaysia.</t>
  </si>
  <si>
    <t>Guru Diniyah, FIWA, Bogor.</t>
  </si>
  <si>
    <t>1aByeZzGGLYDt9qTmhauoFgyrLrHaKkPkTZD8yzHw59Y</t>
  </si>
  <si>
    <t>https://docs.google.com/document/d/1aByeZzGGLYDt9qTmhauoFgyrLrHaKkPkTZD8yzHw59Y/edit?usp=drivesdk</t>
  </si>
  <si>
    <t>Document successfully created; Document successfully merged; Run via form trigger as kemal.stafsus@gmail.com; Timestamp: Dec 8 2020 3:02 AM</t>
  </si>
  <si>
    <t>https://drive.google.com/open?id=1JUi6zTyY6iBh_PtZ3jD8vl0Btz4veL4I</t>
  </si>
  <si>
    <t>https://drive.google.com/uc?export=view&amp;id=1JUi6zTyY6iBh_PtZ3jD8vl0Btz4veL4I</t>
  </si>
  <si>
    <t>R Dewi Sinta Susilowati S.E</t>
  </si>
  <si>
    <t>081276438063</t>
  </si>
  <si>
    <t>3216096108930002</t>
  </si>
  <si>
    <t>Jl Swakarya No 6E Meruya Selatan</t>
  </si>
  <si>
    <t>Samboja</t>
  </si>
  <si>
    <t>21-08-1993</t>
  </si>
  <si>
    <t>27 Tahun 4 Bulan</t>
  </si>
  <si>
    <t>Universitas MercuBuana</t>
  </si>
  <si>
    <t>S1 Manajemen</t>
  </si>
  <si>
    <t>3.26</t>
  </si>
  <si>
    <t xml:space="preserve">PT Kartikawira AdiSukses </t>
  </si>
  <si>
    <t>PT. Televisi Anak Spacetoon</t>
  </si>
  <si>
    <t>PT Bank Mandiri Persero Tbk</t>
  </si>
  <si>
    <t>Bank Mandiri</t>
  </si>
  <si>
    <t>1NyYc0OvM0dteHkZ5ikhTTB1P2ortxVjSS5aB7F16PGY</t>
  </si>
  <si>
    <t>https://docs.google.com/document/d/1NyYc0OvM0dteHkZ5ikhTTB1P2ortxVjSS5aB7F16PGY/edit?usp=drivesdk</t>
  </si>
  <si>
    <t>Document successfully created; Document successfully merged; Run via form trigger as kemal.stafsus@gmail.com; Timestamp: Dec 21 2020 5:11 AM</t>
  </si>
  <si>
    <t>https://drive.google.com/open?id=1tg7vxhlvNsuVzUp_LLFMIbtjGuXKvTaM</t>
  </si>
  <si>
    <t>https://drive.google.com/uc?export=view&amp;id=1tg7vxhlvNsuVzUp_LLFMIbtjGuXKvTaM</t>
  </si>
  <si>
    <t>ANNISA INDYANTI AZZAHRA</t>
  </si>
  <si>
    <t>085314179144</t>
  </si>
  <si>
    <t>3279015004000003</t>
  </si>
  <si>
    <t>Kota banjar</t>
  </si>
  <si>
    <t>Ciamis</t>
  </si>
  <si>
    <t>20tahun10bulan</t>
  </si>
  <si>
    <t xml:space="preserve">AlQuran </t>
  </si>
  <si>
    <t>Alwildan</t>
  </si>
  <si>
    <t>1PFzpZmQB-mKWkBWO5YVv_Mop0XsnG4HLYfSXwZ8ZrsU</t>
  </si>
  <si>
    <t>https://docs.google.com/document/d/1PFzpZmQB-mKWkBWO5YVv_Mop0XsnG4HLYfSXwZ8ZrsU/edit?usp=drivesdk</t>
  </si>
  <si>
    <t>Document successfully created; Document successfully merged; Run via form trigger as kemal.stafsus@gmail.com; Timestamp: Feb 10 2021 6:22 PM</t>
  </si>
  <si>
    <t>https://drive.google.com/open?id=1tAhh3dh2rv6rrGQc4zw-EvmOkYAr57iD</t>
  </si>
  <si>
    <t>https://drive.google.com/uc?export=view&amp;id=1tAhh3dh2rv6rrGQc4zw-EvmOkYAr57iD</t>
  </si>
  <si>
    <t>Putri Anita Rahman.S.Pd.M.Pd</t>
  </si>
  <si>
    <t>082285277247</t>
  </si>
  <si>
    <t>1312034907910002</t>
  </si>
  <si>
    <t>Kota padang</t>
  </si>
  <si>
    <t>Padang tujuh</t>
  </si>
  <si>
    <t>09-07-1991</t>
  </si>
  <si>
    <t>29 tahun lebih 4 bulan</t>
  </si>
  <si>
    <t>STKIP PGRI Sumatera Barat</t>
  </si>
  <si>
    <t>Pendidikan sosiologi</t>
  </si>
  <si>
    <t>Universitas Negeri Padang</t>
  </si>
  <si>
    <t>Pendidikan Ilmu Pengetahuan Sosial konsentrasi pendidikan sosiologi/antropologi</t>
  </si>
  <si>
    <t>3.53</t>
  </si>
  <si>
    <t>(1).SMP &amp; SMA Al-Azhar Syifa Budi Pekanbaru II</t>
  </si>
  <si>
    <t>(2). Les private DAPA Education Centre (bimbingan belajar)</t>
  </si>
  <si>
    <t>1DfaoRxeDORcZcE3qe12AMnUDr-EEJro6FMxZM5j1UTw</t>
  </si>
  <si>
    <t>https://docs.google.com/document/d/1DfaoRxeDORcZcE3qe12AMnUDr-EEJro6FMxZM5j1UTw/edit?usp=drivesdk</t>
  </si>
  <si>
    <t>Document successfully created; Document successfully merged; Run via form trigger as kemal.stafsus@gmail.com; Timestamp: Mar 7 2021 7:15 AM</t>
  </si>
  <si>
    <t>https://drive.google.com/open?id=1PoJMKtOX61bzp7SiXUKQ9fD4Dx8b6I4w</t>
  </si>
  <si>
    <t>https://drive.google.com/uc?export=view&amp;id=1PoJMKtOX61bzp7SiXUKQ9fD4Dx8b6I4w</t>
  </si>
  <si>
    <t>Dea Setiyawati, S.Pd</t>
  </si>
  <si>
    <t>082125744149</t>
  </si>
  <si>
    <t>3173065009961001</t>
  </si>
  <si>
    <t xml:space="preserve">Kp. Rawa Lele RT. 004/07 No. 22 Pegadungan, Kalideres, Jakarta Barat, DKI Jakarta </t>
  </si>
  <si>
    <t>10-09-1996</t>
  </si>
  <si>
    <t xml:space="preserve">24 tahun 6 bulan </t>
  </si>
  <si>
    <t xml:space="preserve">Sosiologi </t>
  </si>
  <si>
    <t>PTN - Universitas Negeri Jakarta</t>
  </si>
  <si>
    <t xml:space="preserve">Pendidikan Sosiologi </t>
  </si>
  <si>
    <t>Staf Administrasi dan Marketing</t>
  </si>
  <si>
    <t>0336526226</t>
  </si>
  <si>
    <t>1lPnbiW6OaBjj5hh-4i9johlMy28taTUxrmtd77bx2QM</t>
  </si>
  <si>
    <t>https://docs.google.com/document/d/1lPnbiW6OaBjj5hh-4i9johlMy28taTUxrmtd77bx2QM/edit?usp=drivesdk</t>
  </si>
  <si>
    <t>Document successfully created; Document successfully merged; Run via form trigger as kemal.stafsus@gmail.com; Timestamp: Mar 12 2021 5:35 AM</t>
  </si>
  <si>
    <t>https://drive.google.com/open?id=1efpWHBbsk9CeUPBalKJjqOqGeFUHuiJM</t>
  </si>
  <si>
    <t>https://drive.google.com/uc?export=view&amp;id=1efpWHBbsk9CeUPBalKJjqOqGeFUHuiJM</t>
  </si>
  <si>
    <t>Filman Zulfikar</t>
  </si>
  <si>
    <t>089601859553</t>
  </si>
  <si>
    <t>3174031502980002</t>
  </si>
  <si>
    <t>Jl. Kemang Utara G, RT 001/01, Bangka, Mampang Prapatan, Jakarta Selatan. 12730.</t>
  </si>
  <si>
    <t>15-021998</t>
  </si>
  <si>
    <t>23 Tahun 1 Bulan</t>
  </si>
  <si>
    <t>Staff Social Research Universitas Negeri Jakarta</t>
  </si>
  <si>
    <t>Pengajar Sosiologi IBS Instutute</t>
  </si>
  <si>
    <t>Magang Guru Sosiologi SMAN 55 JAKARTA</t>
  </si>
  <si>
    <t>BANK BCA</t>
  </si>
  <si>
    <t>16GKLsKjsHRmWfObfN6vOe_ViDxA3Yx3mD5bMD5-u2_8</t>
  </si>
  <si>
    <t>https://docs.google.com/document/d/16GKLsKjsHRmWfObfN6vOe_ViDxA3Yx3mD5bMD5-u2_8/edit?usp=drivesdk</t>
  </si>
  <si>
    <t>Document successfully created; Document successfully merged; Run via form trigger as kemal.stafsus@gmail.com; Timestamp: Mar 16 2021 1:19 AM</t>
  </si>
  <si>
    <t>https://drive.google.com/open?id=1jxgeKNUe_PHVZwhSzBO5tUhbLbSCy581</t>
  </si>
  <si>
    <t>https://drive.google.com/uc?export=view&amp;id=1jxgeKNUe_PHVZwhSzBO5tUhbLbSCy581</t>
  </si>
  <si>
    <t>Siti Nuratiah Hafsah KA S.Si</t>
  </si>
  <si>
    <t>089675635516</t>
  </si>
  <si>
    <t>3276064705970001</t>
  </si>
  <si>
    <t>Jalan Beringin Rt 04 Rw 18 Kecamatan Beji Depok Jawa Barat</t>
  </si>
  <si>
    <t xml:space="preserve">Majalengka </t>
  </si>
  <si>
    <t>07-05-1997</t>
  </si>
  <si>
    <t>22 Tahun 10 Bulan</t>
  </si>
  <si>
    <t>Ilmu Keluarga dan Konsumen</t>
  </si>
  <si>
    <t xml:space="preserve">Staff Marketing </t>
  </si>
  <si>
    <t>0732788011</t>
  </si>
  <si>
    <t>1fLRLd_RCrXR2Kd_11IxIiTHTxFb9mwSi9UtqzoqAeh8</t>
  </si>
  <si>
    <t>https://docs.google.com/document/d/1fLRLd_RCrXR2Kd_11IxIiTHTxFb9mwSi9UtqzoqAeh8/edit?usp=drivesdk</t>
  </si>
  <si>
    <t>Document successfully created; Document successfully merged; Run via form trigger as kemal.stafsus@gmail.com; Timestamp: Mar 16 2021 1:40 AM</t>
  </si>
  <si>
    <t>https://drive.google.com/open?id=111AgOgnsUxOIwASyoCeEH9YTd0MwHfzU</t>
  </si>
  <si>
    <t>https://drive.google.com/uc?export=view&amp;id=111AgOgnsUxOIwASyoCeEH9YTd0MwHfzU</t>
  </si>
  <si>
    <t>Aprilia Heriati, S. Sos</t>
  </si>
  <si>
    <t>081383929110</t>
  </si>
  <si>
    <t>3276065404970001</t>
  </si>
  <si>
    <t>KH Muhasan 1 street, RT 04/RW 02, Kel. Meruyung, Kec. Limo. Depok, Java.</t>
  </si>
  <si>
    <t>14-04-1997</t>
  </si>
  <si>
    <t>Sociology</t>
  </si>
  <si>
    <t>Budi Luhur University</t>
  </si>
  <si>
    <t>Kriminologi</t>
  </si>
  <si>
    <t xml:space="preserve">Internship at KPAI (Komisi Perlindungan Anak Indonesia) </t>
  </si>
  <si>
    <t>1odlMozNNBGfdL2K4gnB7plyKr7fFRXJg1p1E0hSauhs</t>
  </si>
  <si>
    <t>https://docs.google.com/document/d/1odlMozNNBGfdL2K4gnB7plyKr7fFRXJg1p1E0hSauhs/edit?usp=drivesdk</t>
  </si>
  <si>
    <t>Document successfully created; Document successfully merged; Run via form trigger as kemal.stafsus@gmail.com; Timestamp: Mar 16 2021 2:39 AM</t>
  </si>
  <si>
    <t>https://drive.google.com/open?id=1WjEfd70kPIuX4pFWdQEOQ1S1asPzTaTs</t>
  </si>
  <si>
    <t>https://drive.google.com/uc?export=view&amp;id=1WjEfd70kPIuX4pFWdQEOQ1S1asPzTaTs</t>
  </si>
  <si>
    <t>Muhammad Ali Akbar Aidid</t>
  </si>
  <si>
    <t>+6282155503223</t>
  </si>
  <si>
    <t>7371100711790007</t>
  </si>
  <si>
    <t>Jl. Mannuruki 2 No. 86 Makassar</t>
  </si>
  <si>
    <t>Makassar</t>
  </si>
  <si>
    <t>7 November 1979</t>
  </si>
  <si>
    <t>41 tahun 4 bulan</t>
  </si>
  <si>
    <t>Sosiology</t>
  </si>
  <si>
    <t>Universitas Hasanuddin</t>
  </si>
  <si>
    <t>Arsitektur</t>
  </si>
  <si>
    <t>Arizona State University</t>
  </si>
  <si>
    <t xml:space="preserve">Geography </t>
  </si>
  <si>
    <t>Dosen UIN Alauddin Makassar</t>
  </si>
  <si>
    <t>Rp. 8.000.000</t>
  </si>
  <si>
    <t>0538475225</t>
  </si>
  <si>
    <t>1Ij7-8Y1-7ad5y9LgSilbpQ5JvSgheidIyezE-zlsNO8</t>
  </si>
  <si>
    <t>https://docs.google.com/document/d/1Ij7-8Y1-7ad5y9LgSilbpQ5JvSgheidIyezE-zlsNO8/edit?usp=drivesdk</t>
  </si>
  <si>
    <t>Document successfully created; Document successfully merged; Run via form trigger as kemal.stafsus@gmail.com; Timestamp: Mar 16 2021 2:45 AM</t>
  </si>
  <si>
    <t>https://drive.google.com/open?id=11EGhOIoOKFReX2Pc9d68tXLj0Ig85GxQ</t>
  </si>
  <si>
    <t>https://drive.google.com/uc?export=view&amp;id=11EGhOIoOKFReX2Pc9d68tXLj0Ig85GxQ</t>
  </si>
  <si>
    <t>Yusliha Syifani</t>
  </si>
  <si>
    <t>08986727432</t>
  </si>
  <si>
    <t>3671044904950003</t>
  </si>
  <si>
    <t>09-04-1995</t>
  </si>
  <si>
    <t>Guru TPQ</t>
  </si>
  <si>
    <t>PRIVATE TAHSIN AL-QURAN</t>
  </si>
  <si>
    <t>KOORDINATOR MUSYRIFAH</t>
  </si>
  <si>
    <t>SESUAI KEPUTUSAN MA'HAD AL-WILDAN</t>
  </si>
  <si>
    <t>0736430471</t>
  </si>
  <si>
    <t>1fw1p2KTTYdhKsoekmLIKq5IpDL5d9djKPcaPapXA4_Y</t>
  </si>
  <si>
    <t>https://docs.google.com/document/d/1fw1p2KTTYdhKsoekmLIKq5IpDL5d9djKPcaPapXA4_Y/edit?usp=drivesdk</t>
  </si>
  <si>
    <t>Document successfully created; Document successfully merged; Run via form trigger as kemal.stafsus@gmail.com; Timestamp: Mar 30 2021 11:17 PM</t>
  </si>
  <si>
    <t>https://drive.google.com/open?id=1TOU6T6-7jzlRxjdBM0WA9oQ4Br-I957M</t>
  </si>
  <si>
    <t>https://drive.google.com/uc?export=view&amp;id=1TOU6T6-7jzlRxjdBM0WA9oQ4Br-I957M</t>
  </si>
  <si>
    <t>RAHMAT MAULANA</t>
  </si>
  <si>
    <t>085339237112</t>
  </si>
  <si>
    <t>5206162712970002</t>
  </si>
  <si>
    <t>Jl. Nn no 45 RT 002 RW 003 Cibogo wetan, kelapa dua, Gading Serpong, Tangerang Banten</t>
  </si>
  <si>
    <t>KUTA (BIMA)</t>
  </si>
  <si>
    <t>27 Desember 1997</t>
  </si>
  <si>
    <t>23 Tahun 3 Bulan</t>
  </si>
  <si>
    <t>D-3 Manajemen Administrasi (AMA YO)</t>
  </si>
  <si>
    <t>Manajemen Administrasi</t>
  </si>
  <si>
    <t>Sales Marketing (Bank Mega)</t>
  </si>
  <si>
    <t>Staff Keuangan Al-Wildan Internasional Islamic School</t>
  </si>
  <si>
    <t>Rp. 4.000.000</t>
  </si>
  <si>
    <t>Rp. 5.000.000</t>
  </si>
  <si>
    <t>0845607730</t>
  </si>
  <si>
    <t>1UQjVybVC4b0RtDJRWA-wMQuGWqOVXuuw488E9tp0aYk</t>
  </si>
  <si>
    <t>https://docs.google.com/document/d/1UQjVybVC4b0RtDJRWA-wMQuGWqOVXuuw488E9tp0aYk/edit?usp=drivesdk</t>
  </si>
  <si>
    <t>Document successfully created; Invalid image URL [https://drive.google.com/uc?export=view&amp;id=1TOU6T6-7jzlRxjdBM0WA9oQ4Br-I957M], make sure that it is public; Document successfully merged; Run via form trigger as kemal.stafsus@gmail.com; Timestamp: Mar 31 2021 12:58 AM</t>
  </si>
  <si>
    <t>https://drive.google.com/open?id=1t6kTZSx-hAX_juZfdQnHdf5mELg7AjRu</t>
  </si>
  <si>
    <t>https://drive.google.com/uc?export=view&amp;id=1t6kTZSx-hAX_juZfdQnHdf5mELg7AjRu</t>
  </si>
  <si>
    <t>PARDIMIN, S.Pd</t>
  </si>
  <si>
    <t>085333740588</t>
  </si>
  <si>
    <t>5206160905910001</t>
  </si>
  <si>
    <t>Jl. Nn no 45 Rt.002 Rw.003 Kampung Cibogo Wetan Kelapa Dua. Serpong, Tangerang Selatan, Banten</t>
  </si>
  <si>
    <t>Parado Rato (Bima)</t>
  </si>
  <si>
    <t>09 Mei 1991</t>
  </si>
  <si>
    <t>Universitas Muhammadyah Mataram</t>
  </si>
  <si>
    <t>Staff Keuangan Al-wildan</t>
  </si>
  <si>
    <t>0698356655</t>
  </si>
  <si>
    <t>1Aa4H1kM0Vvch4jaU9PbtbQ2q1875aZ8w3eXqoVok1kY</t>
  </si>
  <si>
    <t>https://docs.google.com/document/d/1Aa4H1kM0Vvch4jaU9PbtbQ2q1875aZ8w3eXqoVok1kY/edit?usp=drivesdk</t>
  </si>
  <si>
    <t>Document successfully created; Invalid image URL [https://drive.google.com/uc?export=view&amp;id=1t6kTZSx-hAX_juZfdQnHdf5mELg7AjRu], make sure that it is public; Document successfully merged; Run via form trigger as kemal.stafsus@gmail.com; Timestamp: Apr 5 2021 10:39 PM</t>
  </si>
  <si>
    <t>https://drive.google.com/open?id=1b0VyRbtFZN7Voi00sdLsJNAmcbUSUhFl</t>
  </si>
  <si>
    <t>https://drive.google.com/uc?export=view&amp;id=1b0VyRbtFZN7Voi00sdLsJNAmcbUSUhFl</t>
  </si>
  <si>
    <t>Misbahul Jannah S.Farm</t>
  </si>
  <si>
    <t>081283525210</t>
  </si>
  <si>
    <t>5206166510930002</t>
  </si>
  <si>
    <t>Jln Bidar 1 D NO 02</t>
  </si>
  <si>
    <t>Desa Kuta kecamatan Parado kabupaten Bima</t>
  </si>
  <si>
    <t>25-10-1993</t>
  </si>
  <si>
    <t>27 tahun</t>
  </si>
  <si>
    <t>Universitas Indonesia Timur</t>
  </si>
  <si>
    <t xml:space="preserve">Rumah sakit kota </t>
  </si>
  <si>
    <t>Puskesmas</t>
  </si>
  <si>
    <t>Sekolah Al-Wildan islamic school</t>
  </si>
  <si>
    <t>0765116119</t>
  </si>
  <si>
    <t>1DInvM1ZnERpnVU7X3GBLSVrv6djswXUhOd9vUOMlHE8</t>
  </si>
  <si>
    <t>https://docs.google.com/document/d/1DInvM1ZnERpnVU7X3GBLSVrv6djswXUhOd9vUOMlHE8/edit?usp=drivesdk</t>
  </si>
  <si>
    <t>Document successfully created; Document successfully merged; Run via form trigger as kemal.stafsus@gmail.com; Timestamp: Apr 7 2021 3:37 AM</t>
  </si>
  <si>
    <t>https://drive.google.com/open?id=1qZs-XTkjxmc5hnmPbYF3kktJlkgnVTL-</t>
  </si>
  <si>
    <t>https://drive.google.com/uc?export=view&amp;id=1qZs-XTkjxmc5hnmPbYF3kktJlkgnVTL-</t>
  </si>
  <si>
    <t>Abdul Hanan</t>
  </si>
  <si>
    <t>085218512445</t>
  </si>
  <si>
    <t>3175032708970013</t>
  </si>
  <si>
    <t>Kp. Ciririp 4/1 Desa Mukapayung, Kec. Cililin, Kab. Bandung Barat</t>
  </si>
  <si>
    <t>27-09-1997</t>
  </si>
  <si>
    <t>23 Tahun 7 Bulan</t>
  </si>
  <si>
    <t>STAI SABILI BANDUNG</t>
  </si>
  <si>
    <t>Mahasiswa Akhir</t>
  </si>
  <si>
    <t>Operator Sekolah &amp; Tata Usaha</t>
  </si>
  <si>
    <t>1.500.000 - 1.700.000</t>
  </si>
  <si>
    <t>0437512140</t>
  </si>
  <si>
    <t>1Sr9RjkL8RyDtNGgDoNnCVauSfIOSo9yQGGkTk7Gp0Ks</t>
  </si>
  <si>
    <t>https://docs.google.com/document/d/1Sr9RjkL8RyDtNGgDoNnCVauSfIOSo9yQGGkTk7Gp0Ks/edit?usp=drivesdk</t>
  </si>
  <si>
    <t>Document successfully created; Invalid image URL [https://drive.google.com/uc?export=view&amp;id=1qZs-XTkjxmc5hnmPbYF3kktJlkgnVTL-], make sure that it is public; Document successfully merged; Run via form trigger as kemal.stafsus@gmail.com; Timestamp: Apr 26 2021 4:15 AM</t>
  </si>
  <si>
    <t>https://drive.google.com/open?id=1ShoXAXGwkYsVZAnUOVQsLD_GVa46uDyh</t>
  </si>
  <si>
    <t>https://drive.google.com/uc?export=view&amp;id=1ShoXAXGwkYsVZAnUOVQsLD_GVa46uDyh</t>
  </si>
  <si>
    <t>Ahmad Jahruddin, SP</t>
  </si>
  <si>
    <t>081281016563</t>
  </si>
  <si>
    <t>3674072906790002</t>
  </si>
  <si>
    <t>Griya Serpong Asri DH 17/7 Rt. 01/06 Desa Suradita Kec. Cisauk kab. Tangerang Banten</t>
  </si>
  <si>
    <t>29-06-1979</t>
  </si>
  <si>
    <t>Universitas Djuanda Bogor</t>
  </si>
  <si>
    <t>Sosial Ekonomi Pertanian</t>
  </si>
  <si>
    <t>BSM/BSI</t>
  </si>
  <si>
    <t>1QkddpbUPuAiCdGzmwjA_U5hExbIxGEdQKBWWXeXQix4</t>
  </si>
  <si>
    <t>https://docs.google.com/document/d/1QkddpbUPuAiCdGzmwjA_U5hExbIxGEdQKBWWXeXQix4/edit?usp=drivesdk</t>
  </si>
  <si>
    <t>Document successfully created; Invalid image URL [https://drive.google.com/uc?export=view&amp;id=1ShoXAXGwkYsVZAnUOVQsLD_GVa46uDyh], make sure that it is public; Document successfully merged; Run via form trigger as kemal.stafsus@gmail.com; Timestamp: Apr 26 2021 4:20 AM</t>
  </si>
  <si>
    <t>https://drive.google.com/open?id=1C519l98vACugDN6jSZsjW-1MyquP-d3A</t>
  </si>
  <si>
    <t>https://drive.google.com/uc?export=view&amp;id=1C519l98vACugDN6jSZsjW-1MyquP-d3A</t>
  </si>
  <si>
    <t>Muhamad Dwiyan Yulio Arifin S.Ds</t>
  </si>
  <si>
    <t>081210878715</t>
  </si>
  <si>
    <t>3674051007940003</t>
  </si>
  <si>
    <t>Jl. Gelatik II No.12 Rengas, Ciputat Timur, Tangerang Selatan</t>
  </si>
  <si>
    <t>10-07-1994</t>
  </si>
  <si>
    <t>Universitas Pembangunan Jaya</t>
  </si>
  <si>
    <t>S1 Desain Komunikasi Visual</t>
  </si>
  <si>
    <t>2.86</t>
  </si>
  <si>
    <t>PT Rsos Digital Indonesia (2017)</t>
  </si>
  <si>
    <t>PT Kedaung Sentra Distribusi (2019)</t>
  </si>
  <si>
    <t>Le Sucre Du Pattiserie</t>
  </si>
  <si>
    <t>Bank BCA</t>
  </si>
  <si>
    <t>1yprtjI9fpMGvp6yP4Ezor3pptZaWxNgJqVNrPTS9dok</t>
  </si>
  <si>
    <t>https://docs.google.com/document/d/1yprtjI9fpMGvp6yP4Ezor3pptZaWxNgJqVNrPTS9dok/edit?usp=drivesdk</t>
  </si>
  <si>
    <t>Document successfully created; Document successfully merged; Run via form trigger as kemal.stafsus@gmail.com; Timestamp: May 17 2021 10:36 PM</t>
  </si>
  <si>
    <t>https://drive.google.com/open?id=1ozAf8sEdGecucVsEWdowJxefDSUAoPgL</t>
  </si>
  <si>
    <t>https://drive.google.com/uc?export=view&amp;id=1ozAf8sEdGecucVsEWdowJxefDSUAoPgL</t>
  </si>
  <si>
    <t>Syaifuddin.Lc</t>
  </si>
  <si>
    <t>081574392417</t>
  </si>
  <si>
    <t>Jl raya pembangunan-puspitek kelurahan pabuaran. Kec. Gunung sindur. Bogor jawa barat</t>
  </si>
  <si>
    <t>Jepara</t>
  </si>
  <si>
    <t>04-febuari-1993</t>
  </si>
  <si>
    <t>28 tahun 4bulan</t>
  </si>
  <si>
    <t>Ulum syar'i / diniyah</t>
  </si>
  <si>
    <t>Guru kelas</t>
  </si>
  <si>
    <t>Guru kelas dan musyrif Al-Qur'an</t>
  </si>
  <si>
    <t>3.500.000-4.000.000 plus rumah dinas dan makan sehari 3X</t>
  </si>
  <si>
    <t>5.000.000-6.000.000</t>
  </si>
  <si>
    <t>0429257508</t>
  </si>
  <si>
    <t>CIMB niaga</t>
  </si>
  <si>
    <t>16eNUbD8K39rOf81icESx1-WUy8RbWzI-ImUIceZCn7g</t>
  </si>
  <si>
    <t>https://docs.google.com/document/d/16eNUbD8K39rOf81icESx1-WUy8RbWzI-ImUIceZCn7g/edit?usp=drivesdk</t>
  </si>
  <si>
    <t>Document successfully created; Document successfully merged; Run via form trigger as kemal.stafsus@gmail.com; Timestamp: May 24 2021 11:47 PM</t>
  </si>
  <si>
    <t>https://drive.google.com/open?id=1Zigwanl8_vUuf6FMD31-TioO8RlMpOaa</t>
  </si>
  <si>
    <t>https://drive.google.com/uc?export=view&amp;id=1Zigwanl8_vUuf6FMD31-TioO8RlMpOaa</t>
  </si>
  <si>
    <t>Sandi Ginanjar</t>
  </si>
  <si>
    <t>081314618478</t>
  </si>
  <si>
    <t>3173082603780008</t>
  </si>
  <si>
    <t>Cluster Fortune Spring Blok i No.6, Graha Raya, Tangerang</t>
  </si>
  <si>
    <t>Subang</t>
  </si>
  <si>
    <t>43 tahun 2 bulan</t>
  </si>
  <si>
    <t>Antropologi Sosial</t>
  </si>
  <si>
    <t>2.9</t>
  </si>
  <si>
    <t>Associate Produser Trans7</t>
  </si>
  <si>
    <t>0703715913900</t>
  </si>
  <si>
    <t>CIMB Niaga</t>
  </si>
  <si>
    <t>1gBnPWJ7fmuvDGeZG0BJ_g5gj5BdWvan8HLkc7fQWG_w</t>
  </si>
  <si>
    <t>https://docs.google.com/document/d/1gBnPWJ7fmuvDGeZG0BJ_g5gj5BdWvan8HLkc7fQWG_w/edit?usp=drivesdk</t>
  </si>
  <si>
    <t>Document successfully created; Document successfully merged; Run via form trigger as kemal.stafsus@gmail.com; Timestamp: May 31 2021 11:19 PM</t>
  </si>
  <si>
    <t>https://drive.google.com/open?id=1id69zMwFrJL6TOoFlDlRsRFfVJPKqGMv</t>
  </si>
  <si>
    <t>https://drive.google.com/uc?export=view&amp;id=1id69zMwFrJL6TOoFlDlRsRFfVJPKqGMv</t>
  </si>
  <si>
    <t>Dwi Puji Rizkiandini, M.Pd</t>
  </si>
  <si>
    <t>083821981050</t>
  </si>
  <si>
    <t>3275054901910009</t>
  </si>
  <si>
    <t>Citra Raya Bizhome Cluster Beryl Blok R27 No.30, Cikupa, Kab. Tangerang, Banten 15710</t>
  </si>
  <si>
    <t>09 - 01 - 1991</t>
  </si>
  <si>
    <t>3, 77</t>
  </si>
  <si>
    <t>3, 63</t>
  </si>
  <si>
    <t>Part Time Teacher at Sinergia Worldwide Education</t>
  </si>
  <si>
    <t>Substitute teacher at SMAIT Thariq Bin Ziyad Bekasi</t>
  </si>
  <si>
    <t>0438966396</t>
  </si>
  <si>
    <t>1_BtTE32Ws8o5NbETRNtGgX_S3jgomQ0sZzGZGbwh-ZY</t>
  </si>
  <si>
    <t>https://docs.google.com/document/d/1_BtTE32Ws8o5NbETRNtGgX_S3jgomQ0sZzGZGbwh-ZY/edit?usp=drivesdk</t>
  </si>
  <si>
    <t>Document successfully created; Document successfully merged; Run via form trigger as kemal.stafsus@gmail.com; Timestamp: Jun 4 2021 12:09 AM</t>
  </si>
  <si>
    <t>https://drive.google.com/open?id=1ofjsX-hS15IBYUTgDEbgdORJzCsAKaMJ</t>
  </si>
  <si>
    <t>https://drive.google.com/uc?export=view&amp;id=1ofjsX-hS15IBYUTgDEbgdORJzCsAKaMJ</t>
  </si>
  <si>
    <t>Edy Sudrajat, S.Si.</t>
  </si>
  <si>
    <t>085868394339</t>
  </si>
  <si>
    <t>3305161004940002</t>
  </si>
  <si>
    <t>10-04-1994</t>
  </si>
  <si>
    <t>S1-Universitas Gadjah Mada</t>
  </si>
  <si>
    <t>Guru Kimia dan Biologi</t>
  </si>
  <si>
    <t>BNI syariah atas nama Nur Fitra Sari (Istri) untuk sementara karena belum memiliki akun bank</t>
  </si>
  <si>
    <t>1M12K_RZEdy3V-H0t7g34n4RkwfBKmyOkhldUctq9EZI</t>
  </si>
  <si>
    <t>https://docs.google.com/document/d/1M12K_RZEdy3V-H0t7g34n4RkwfBKmyOkhldUctq9EZI/edit?usp=drivesdk</t>
  </si>
  <si>
    <t>Document successfully created; Document successfully merged; Run via form trigger as kemal.stafsus@gmail.com; Timestamp: Jun 4 2021 2:51 AM</t>
  </si>
  <si>
    <t>https://drive.google.com/open?id=1BwhPmE2-ao3PFGYWJmQ7LVtUDKmGCuWa</t>
  </si>
  <si>
    <t>https://drive.google.com/uc?export=view&amp;id=1BwhPmE2-ao3PFGYWJmQ7LVtUDKmGCuWa</t>
  </si>
  <si>
    <t>Melati Puspadewi, S.Si.</t>
  </si>
  <si>
    <t>081395330198</t>
  </si>
  <si>
    <t>3674055202980008</t>
  </si>
  <si>
    <t>Jalan Legoso Raya Perum. Griya Satwika Blok C3 No.9, Pisangan Ciputat Timur, Tangerang Selatan</t>
  </si>
  <si>
    <t>12-02-1998</t>
  </si>
  <si>
    <t>23 tahun 4 bulan</t>
  </si>
  <si>
    <t>Mikrobiologi</t>
  </si>
  <si>
    <t>Asisten Penelitian bidang Biologi Molekuler</t>
  </si>
  <si>
    <t>Guru mata pelajaran</t>
  </si>
  <si>
    <t>0827928075</t>
  </si>
  <si>
    <t>1QOpwynkhm74O_FT2P7Pzhxi3PwDAGvGKwGgKUI3sD5Y</t>
  </si>
  <si>
    <t>https://docs.google.com/document/d/1QOpwynkhm74O_FT2P7Pzhxi3PwDAGvGKwGgKUI3sD5Y/edit?usp=drivesdk</t>
  </si>
  <si>
    <t>Document successfully created; Document successfully merged; Run via form trigger as kemal.stafsus@gmail.com; Timestamp: Jun 4 2021 9:17 PM</t>
  </si>
  <si>
    <t>https://drive.google.com/open?id=1N5EM_cmmH96dRKaYNZScGP-ErY882oEO</t>
  </si>
  <si>
    <t>https://drive.google.com/uc?export=view&amp;id=1N5EM_cmmH96dRKaYNZScGP-ErY882oEO</t>
  </si>
  <si>
    <t>Jundi jundullah LC</t>
  </si>
  <si>
    <t>085777708411</t>
  </si>
  <si>
    <t>3201282407930002</t>
  </si>
  <si>
    <t>Kp.pasir tengah rt/rw 004/003 des.sukaharja, kec.cijeruk, kab.bogor, jabar</t>
  </si>
  <si>
    <t>24-07-1993</t>
  </si>
  <si>
    <t>S1 UNIVERSITAS ISLAM MADINAH</t>
  </si>
  <si>
    <t>Hadits</t>
  </si>
  <si>
    <t>4.93</t>
  </si>
  <si>
    <t>0456461350</t>
  </si>
  <si>
    <t>1cq-UpJZ7EN_fjLos7EFv4y2cIu78Zxs_clKM-ew7WvI</t>
  </si>
  <si>
    <t>https://docs.google.com/document/d/1cq-UpJZ7EN_fjLos7EFv4y2cIu78Zxs_clKM-ew7WvI/edit?usp=drivesdk</t>
  </si>
  <si>
    <t>Document successfully created; Invalid image URL [https://drive.google.com/uc?export=view&amp;id=1N5EM_cmmH96dRKaYNZScGP-ErY882oEO], make sure that it is public; Document successfully merged; Run via form trigger as kemal.stafsus@gmail.com; Timestamp: Jun 23 2021 10:12 AM</t>
  </si>
  <si>
    <t>https://drive.google.com/open?id=1GDHnUYAorDPFhdCUsLG9iKN92UDOTj82</t>
  </si>
  <si>
    <t>https://drive.google.com/uc?export=view&amp;id=1GDHnUYAorDPFhdCUsLG9iKN92UDOTj82</t>
  </si>
  <si>
    <t>Anas Daud Rasyid,Lc.</t>
  </si>
  <si>
    <t>082111120135</t>
  </si>
  <si>
    <t>3175042810970002</t>
  </si>
  <si>
    <t>Bahasas arab ( Nahwu, dll)</t>
  </si>
  <si>
    <t>LUGHAH</t>
  </si>
  <si>
    <t>4.82</t>
  </si>
  <si>
    <t>MENGAJAR + MUSYRIF DI PIA ALIRSYAD</t>
  </si>
  <si>
    <t>PENGAJAR + PEMBIMBING HALAQOH DI MASJID KOMUNITAS INDONESIA DI AMERIKA</t>
  </si>
  <si>
    <t>( TIDAK MENENTU )</t>
  </si>
  <si>
    <t>3.000.000-4.000.000</t>
  </si>
  <si>
    <t>12ZdZ4CMF39zlQUs0xRxUulBP_H6EZxVcLrjgOen1gh8</t>
  </si>
  <si>
    <t>https://docs.google.com/document/d/12ZdZ4CMF39zlQUs0xRxUulBP_H6EZxVcLrjgOen1gh8/edit?usp=drivesdk</t>
  </si>
  <si>
    <t>Document successfully created; Document successfully merged; Run via form trigger as kemal.stafsus@gmail.com; Timestamp: Jul 4 2021 1:15 AM</t>
  </si>
  <si>
    <t>https://drive.google.com/open?id=1SCFTiT5THUzzh_HZ76CqXioS7DRXtraQ</t>
  </si>
  <si>
    <t>https://drive.google.com/uc?export=view&amp;id=1SCFTiT5THUzzh_HZ76CqXioS7DRXtraQ</t>
  </si>
  <si>
    <t>Diniek Wahyuni, S.Pd.</t>
  </si>
  <si>
    <t>085890296105</t>
  </si>
  <si>
    <t>3674044808930003</t>
  </si>
  <si>
    <t>Villa Bintaro Indah, Jombang, Ciputat, Tangerang Selatan</t>
  </si>
  <si>
    <t>BKB Nurul Fikri</t>
  </si>
  <si>
    <t>4.000.000--7.000.000</t>
  </si>
  <si>
    <t>&gt;4.500.000</t>
  </si>
  <si>
    <t>1noHjAItxnoQOoezULaVObZl6-TQBe3dW1lbHfFLo134</t>
  </si>
  <si>
    <t>https://docs.google.com/document/d/1noHjAItxnoQOoezULaVObZl6-TQBe3dW1lbHfFLo134/edit?usp=drivesdk</t>
  </si>
  <si>
    <t>Document successfully created; Document successfully merged; Run via form trigger as kemal.stafsus@gmail.com; Timestamp: Jul 4 2021 11:04 AM</t>
  </si>
  <si>
    <t>https://drive.google.com/open?id=18IVysbJRhc7znSO4hr9m3f1jMTCaGmKI</t>
  </si>
  <si>
    <t>https://drive.google.com/uc?export=view&amp;id=18IVysbJRhc7znSO4hr9m3f1jMTCaGmKI</t>
  </si>
  <si>
    <t>Ade Irma Rahmawati, S.Si</t>
  </si>
  <si>
    <t>089652229192</t>
  </si>
  <si>
    <t>3674014808950002</t>
  </si>
  <si>
    <t>Jalan Masjid Al Ikhsan no.16 RT003/001 Rawa Mekar Jaya, Serpong, Tangerang Selatan</t>
  </si>
  <si>
    <t>Sleman, Yogyakarta</t>
  </si>
  <si>
    <t>08-08-1995</t>
  </si>
  <si>
    <t>25 tahun 11 bulan</t>
  </si>
  <si>
    <t>Chemistry- Science</t>
  </si>
  <si>
    <t>PTN (Strata 1) - Universitas Islam Negeri Syarif Hidayatullah Jakarta</t>
  </si>
  <si>
    <t>S1-MIPA Kimia</t>
  </si>
  <si>
    <t>Science Teacher in Primary School and Homeroom, ICM BSD</t>
  </si>
  <si>
    <t>Private Science Teacher Secondary dan High School</t>
  </si>
  <si>
    <t>0695038476</t>
  </si>
  <si>
    <t>1bWYaTVxM2TKYs90ngt4tBsZRb8_u5FL6S_9pY-v7vh0</t>
  </si>
  <si>
    <t>https://docs.google.com/document/d/1bWYaTVxM2TKYs90ngt4tBsZRb8_u5FL6S_9pY-v7vh0/edit?usp=drivesdk</t>
  </si>
  <si>
    <t>Document successfully created; Document successfully merged; Run via form trigger as kemal.stafsus@gmail.com; Timestamp: Jul 4 2021 2:05 PM</t>
  </si>
  <si>
    <t>https://drive.google.com/open?id=1ZzckcUlHAeH8JoeamL87n-Z5UuUwyljq</t>
  </si>
  <si>
    <t>https://drive.google.com/uc?export=view&amp;id=1ZzckcUlHAeH8JoeamL87n-Z5UuUwyljq</t>
  </si>
  <si>
    <t>Tiya Noviyasari, S. Hum.</t>
  </si>
  <si>
    <t>085727274176</t>
  </si>
  <si>
    <t>3326085310930001</t>
  </si>
  <si>
    <t>Jalan Cirendeu Indah II, Ciputat Timur, Tangerang Selatan, Banten</t>
  </si>
  <si>
    <t>Pekalongan</t>
  </si>
  <si>
    <t>13-10-1993</t>
  </si>
  <si>
    <t>Sastra Indonesia</t>
  </si>
  <si>
    <t>Guru Honorer SMA Hellomotion</t>
  </si>
  <si>
    <t>Guru Tetap SMK Link and Match</t>
  </si>
  <si>
    <t>Tutor Bimbel Nurul Fikri</t>
  </si>
  <si>
    <t>Bank Syariah Indonesia</t>
  </si>
  <si>
    <t>1iJ6vaKqqIolSRfAsGCxtGKJVMEfRLr5ptKIKWjaYXE4</t>
  </si>
  <si>
    <t>https://docs.google.com/document/d/1iJ6vaKqqIolSRfAsGCxtGKJVMEfRLr5ptKIKWjaYXE4/edit?usp=drivesdk</t>
  </si>
  <si>
    <t>Document successfully created; Document successfully merged; Run via form trigger as kemal.stafsus@gmail.com; Timestamp: Jul 4 2021 9:37 PM</t>
  </si>
  <si>
    <t>https://drive.google.com/open?id=1uGYbE49_vyXFZUHCpCvkLSy7wL1_6O2i</t>
  </si>
  <si>
    <t>https://drive.google.com/uc?export=view&amp;id=1uGYbE49_vyXFZUHCpCvkLSy7wL1_6O2i</t>
  </si>
  <si>
    <t>Mohamed Hamdy Elsayed</t>
  </si>
  <si>
    <t>+6281286328601</t>
  </si>
  <si>
    <t>A18887050</t>
  </si>
  <si>
    <t>Jalan Veteran Pos 2, Curug, Tangerang</t>
  </si>
  <si>
    <t>Alexandria</t>
  </si>
  <si>
    <t>03\03\1989</t>
  </si>
  <si>
    <t xml:space="preserve">Alexandria University </t>
  </si>
  <si>
    <t>Sociology\English</t>
  </si>
  <si>
    <t>English Native Speaker at Syafana School</t>
  </si>
  <si>
    <t>19.000.000/month</t>
  </si>
  <si>
    <t>English Native Speaker at SDIT Dauroh</t>
  </si>
  <si>
    <t>18.000.000/month</t>
  </si>
  <si>
    <t>English Native Speaker at SMPIT Aulady</t>
  </si>
  <si>
    <t>1.250.000/ 2 hours</t>
  </si>
  <si>
    <t>It depends on working hours\schools\location</t>
  </si>
  <si>
    <t>1p-n8bm8GwgC1MAzuzZy83wq7_u0zruF6Dqkxgl5mn30</t>
  </si>
  <si>
    <t>https://docs.google.com/document/d/1p-n8bm8GwgC1MAzuzZy83wq7_u0zruF6Dqkxgl5mn30/edit?usp=drivesdk</t>
  </si>
  <si>
    <t>Document successfully created; Document successfully merged; Run via form trigger as kemal.stafsus@gmail.com; Timestamp: Jul 5 2021 10:04 PM</t>
  </si>
  <si>
    <t>https://drive.google.com/open?id=1-QxJJXRJRH3R3-jvD0-NGdgWP7BEFwTs</t>
  </si>
  <si>
    <t>https://drive.google.com/uc?export=view&amp;id=1-QxJJXRJRH3R3-jvD0-NGdgWP7BEFwTs</t>
  </si>
  <si>
    <t>Willy Utomo, M.Si</t>
  </si>
  <si>
    <t>08568600915</t>
  </si>
  <si>
    <t>3173012408850016</t>
  </si>
  <si>
    <t>Jl. Bakung IV Blok B6 No 5 Perumahan Ciater Permai Ciater Serpong Tangerang Selatan</t>
  </si>
  <si>
    <t>24-08-1985</t>
  </si>
  <si>
    <t>35 tahun 11 bulan</t>
  </si>
  <si>
    <t>English (Cambridge AS Level)</t>
  </si>
  <si>
    <t>2.98</t>
  </si>
  <si>
    <t>Universitas Indonesia (UI)</t>
  </si>
  <si>
    <t xml:space="preserve">Kajian Wilayah Amerika (Sastra Amerika) </t>
  </si>
  <si>
    <t>3.58</t>
  </si>
  <si>
    <t>SMA Labschool YP-UNJ</t>
  </si>
  <si>
    <t>Insan Cendekia Madani High School (ICM)</t>
  </si>
  <si>
    <t>0961333141</t>
  </si>
  <si>
    <t>1xCbwAhkk5mKeEk8oCv5lp71arHZgKtK2SsTxd6kNgSA</t>
  </si>
  <si>
    <t>https://docs.google.com/document/d/1xCbwAhkk5mKeEk8oCv5lp71arHZgKtK2SsTxd6kNgSA/edit?usp=drivesdk</t>
  </si>
  <si>
    <t>Document successfully created; Document successfully merged; Run via form trigger as kemal.stafsus@gmail.com; Timestamp: Jul 5 2021 10:55 PM</t>
  </si>
  <si>
    <t>https://drive.google.com/open?id=1X1kWSRVriFIIiIqakiEAqm2lVLRyKfBG</t>
  </si>
  <si>
    <t>https://drive.google.com/uc?export=view&amp;id=1X1kWSRVriFIIiIqakiEAqm2lVLRyKfBG</t>
  </si>
  <si>
    <t>Lukman Bhakti Hudaya, S.Pd</t>
  </si>
  <si>
    <t>085888271301</t>
  </si>
  <si>
    <t>3671031202960001</t>
  </si>
  <si>
    <t xml:space="preserve">Jl. KH Musthofa, Rt 004/003, Kel. Poris Gaga Baru, Kec. Baruceper Kota Tangerang </t>
  </si>
  <si>
    <t>Kota Tangerang</t>
  </si>
  <si>
    <t>12-02-1996</t>
  </si>
  <si>
    <t>25 Tahun 5 bulan</t>
  </si>
  <si>
    <t>S1-UIN Syarif Hidayatullah Jakarta</t>
  </si>
  <si>
    <t>English education</t>
  </si>
  <si>
    <t>Primadini Caraka Training Center, Cibinong Bogor</t>
  </si>
  <si>
    <t>Auliya Cambridge Islamic School Tangerang Selatan</t>
  </si>
  <si>
    <t>Khalifa IMS Cambridge School Bintaro</t>
  </si>
  <si>
    <t>0984074176</t>
  </si>
  <si>
    <t>1xMcy-fHIjg_kdhtgfa-Mie4oRmvgUqE_v82S65hgkuc</t>
  </si>
  <si>
    <t>https://docs.google.com/document/d/1xMcy-fHIjg_kdhtgfa-Mie4oRmvgUqE_v82S65hgkuc/edit?usp=drivesdk</t>
  </si>
  <si>
    <t>Document successfully created; Document successfully merged; Run via form trigger as kemal.stafsus@gmail.com; Timestamp: Jul 6 2021 12:07 AM</t>
  </si>
  <si>
    <t>https://drive.google.com/open?id=1RS1Ab8fZclIpHvw8o_l_Hic3H4ASFe0t</t>
  </si>
  <si>
    <t>https://drive.google.com/uc?export=view&amp;id=1RS1Ab8fZclIpHvw8o_l_Hic3H4ASFe0t</t>
  </si>
  <si>
    <t>Muhamad Taufan SE</t>
  </si>
  <si>
    <t>081315446295</t>
  </si>
  <si>
    <t>3173061504820006</t>
  </si>
  <si>
    <t>Perumahan Cikupa Asri Blok D4/1 Cikupa Tangerang</t>
  </si>
  <si>
    <t>15-04-1982</t>
  </si>
  <si>
    <t>39 tahun 3 bulan</t>
  </si>
  <si>
    <t>Bahasa Inggris, Bahasa Arab, Matematika, Ekonomi</t>
  </si>
  <si>
    <t>STIE La Tansa Mashiro</t>
  </si>
  <si>
    <t>Ekonomi Manajemen Keuangan</t>
  </si>
  <si>
    <t>Executive Senior FCY</t>
  </si>
  <si>
    <t>Bank Central Asia</t>
  </si>
  <si>
    <t>1h-Gow7vHSEea2WJLeFXqVQAU12EVPG_LijpwGDbj8L0</t>
  </si>
  <si>
    <t>https://docs.google.com/document/d/1h-Gow7vHSEea2WJLeFXqVQAU12EVPG_LijpwGDbj8L0/edit?usp=drivesdk</t>
  </si>
  <si>
    <t>Document successfully created; Invalid image URL [https://drive.google.com/uc?export=view&amp;id=1RS1Ab8fZclIpHvw8o_l_Hic3H4ASFe0t], make sure that it is public; Document successfully merged; Run via form trigger as kemal.stafsus@gmail.com; Timestamp: Jul 8 2021 11:37 PM</t>
  </si>
  <si>
    <t>https://drive.google.com/open?id=1L43sLWZDQFoDRPst33uOVHGUtB9kRcxX</t>
  </si>
  <si>
    <t>https://drive.google.com/uc?export=view&amp;id=1L43sLWZDQFoDRPst33uOVHGUtB9kRcxX</t>
  </si>
  <si>
    <t>Wendri Susanti, S.Pd.</t>
  </si>
  <si>
    <t>081339117356</t>
  </si>
  <si>
    <t>5271064506930007</t>
  </si>
  <si>
    <t>Jl. TGH Faisal, Lingkungan Gerung Apitaik, Sweta, Mataram, NTB</t>
  </si>
  <si>
    <t>05-06-1993</t>
  </si>
  <si>
    <t>Staf Biro Administrasi Pimpinan Setda Pemprov NTB</t>
  </si>
  <si>
    <t>susanti.wendri@gmail.com</t>
  </si>
  <si>
    <t>11qr_FUe2wKhmfhPvA6-Wlx50nKsFgFUCjsMp-12EAJE</t>
  </si>
  <si>
    <t>https://docs.google.com/document/d/11qr_FUe2wKhmfhPvA6-Wlx50nKsFgFUCjsMp-12EAJE/edit?usp=drivesdk</t>
  </si>
  <si>
    <t>Document successfully created; Document successfully merged; Run via form trigger as kemal.stafsus@gmail.com; Timestamp: Jul 11 2021 8:40 PM</t>
  </si>
  <si>
    <t>https://drive.google.com/open?id=1w3jIk_FV2MUkgGHEvyLAuD4ZIQO7J2by</t>
  </si>
  <si>
    <t>https://drive.google.com/uc?export=view&amp;id=1w3jIk_FV2MUkgGHEvyLAuD4ZIQO7J2by</t>
  </si>
  <si>
    <t>Nurul Hidayah</t>
  </si>
  <si>
    <t>082123520296</t>
  </si>
  <si>
    <t>5205075602000003</t>
  </si>
  <si>
    <t>Dompu NTB</t>
  </si>
  <si>
    <t>MATARAM</t>
  </si>
  <si>
    <t>16-02-1999</t>
  </si>
  <si>
    <t>23 TAHUN 5 BULAN</t>
  </si>
  <si>
    <t>ITBA - GURU</t>
  </si>
  <si>
    <t>ITBA (belum lulus)</t>
  </si>
  <si>
    <t xml:space="preserve">Alqur'an </t>
  </si>
  <si>
    <t>SD IT Ibnu Abbas Dompu</t>
  </si>
  <si>
    <t xml:space="preserve">privat ummahat </t>
  </si>
  <si>
    <t>0896658027</t>
  </si>
  <si>
    <t>Uyunnh0@gmail.com</t>
  </si>
  <si>
    <t>1zcNerjTe2_PYeyIqk0m2YiKLWIpd8WmoSihiSlWmjQo</t>
  </si>
  <si>
    <t>https://docs.google.com/document/d/1zcNerjTe2_PYeyIqk0m2YiKLWIpd8WmoSihiSlWmjQo/edit?usp=drivesdk</t>
  </si>
  <si>
    <t>Document successfully created; Document successfully merged; Run via form trigger as kemal.stafsus@gmail.com; Timestamp: Jul 11 2021 9:01 PM</t>
  </si>
  <si>
    <t>https://drive.google.com/open?id=1K9g5uqPFHlx7dB9kQgnSrpDiLJVeThbn</t>
  </si>
  <si>
    <t>https://drive.google.com/uc?export=view&amp;id=1K9g5uqPFHlx7dB9kQgnSrpDiLJVeThbn</t>
  </si>
  <si>
    <t>Magfirati azizah</t>
  </si>
  <si>
    <t>082342360926</t>
  </si>
  <si>
    <t>5206105902020001</t>
  </si>
  <si>
    <t>Gading serpong kelapa dua</t>
  </si>
  <si>
    <t>19-02-2002</t>
  </si>
  <si>
    <t xml:space="preserve">19th </t>
  </si>
  <si>
    <t>magfiratiazizaaah@gmail.com</t>
  </si>
  <si>
    <t>1SUNZ2MxtMQu-tbqs7r1BWIiqxFrySL5Txsnisb1vUuc</t>
  </si>
  <si>
    <t>https://docs.google.com/document/d/1SUNZ2MxtMQu-tbqs7r1BWIiqxFrySL5Txsnisb1vUuc/edit?usp=drivesdk</t>
  </si>
  <si>
    <t>Document successfully created; Document successfully merged; Run via form trigger as kemal.stafsus@gmail.com; Timestamp: Jul 11 2021 9:38 PM</t>
  </si>
  <si>
    <t>https://drive.google.com/open?id=1kwH-GzfqOKcLCq0iF-a-sRPHaA1nkbil</t>
  </si>
  <si>
    <t>https://drive.google.com/uc?export=view&amp;id=1kwH-GzfqOKcLCq0iF-a-sRPHaA1nkbil</t>
  </si>
  <si>
    <t>Hamidah Ulfah</t>
  </si>
  <si>
    <t>081283956531</t>
  </si>
  <si>
    <t>2171116212009002</t>
  </si>
  <si>
    <t>Griya Sakinah Jl. H Hasan Harahap Pasar Sibuhuan Barumun</t>
  </si>
  <si>
    <t>22-12-2000</t>
  </si>
  <si>
    <t>20 tahun 6 bulan</t>
  </si>
  <si>
    <t xml:space="preserve">Guru Al-Qur'an dan musyrifah Ma'had Tahfidz Quran Lil Banat Ar Raudhah jatirangga </t>
  </si>
  <si>
    <t>Guru Al-Qur'an private</t>
  </si>
  <si>
    <t>Guru Al-Qur'an dan Diniyyah TK ALWILDAN 1</t>
  </si>
  <si>
    <t>0858599461</t>
  </si>
  <si>
    <t>miidahulfaa@gmail.com</t>
  </si>
  <si>
    <t>1g8JMeV5Py0IAc1YKZ2xKput6KPmAKAzMybLM7dATQuc</t>
  </si>
  <si>
    <t>https://docs.google.com/document/d/1g8JMeV5Py0IAc1YKZ2xKput6KPmAKAzMybLM7dATQuc/edit?usp=drivesdk</t>
  </si>
  <si>
    <t>Document successfully created; Invalid image URL [https://drive.google.com/uc?export=view&amp;id=1kwH-GzfqOKcLCq0iF-a-sRPHaA1nkbil], make sure that it is public; Document successfully merged; Run via form trigger as kemal.stafsus@gmail.com; Timestamp: Jul 11 2021 10:45 PM</t>
  </si>
  <si>
    <t>https://drive.google.com/open?id=1XUFRKP_a0wpfaGjh9veo0f9nNiUg7lb_</t>
  </si>
  <si>
    <t>https://drive.google.com/uc?export=view&amp;id=1XUFRKP_a0wpfaGjh9veo0f9nNiUg7lb_</t>
  </si>
  <si>
    <t>NURBAITILLAH</t>
  </si>
  <si>
    <t>085205033249</t>
  </si>
  <si>
    <t>5206185902030001</t>
  </si>
  <si>
    <t>Gading Serpong, Kelapa Dua Tangerang Banten</t>
  </si>
  <si>
    <t>BIMA</t>
  </si>
  <si>
    <t>19-FEBRUARI-2003</t>
  </si>
  <si>
    <t>18 Tahun, 5 bulan berjalan.</t>
  </si>
  <si>
    <t>nurbaitillah190203@gmail.com</t>
  </si>
  <si>
    <t>1wxfuOrbvVlApISxhA3jDmMSUfUg2zJE4aNVFgeC8tSc</t>
  </si>
  <si>
    <t>https://docs.google.com/document/d/1wxfuOrbvVlApISxhA3jDmMSUfUg2zJE4aNVFgeC8tSc/edit?usp=drivesdk</t>
  </si>
  <si>
    <t>Document successfully created; Invalid image URL [https://drive.google.com/uc?export=view&amp;id=1XUFRKP_a0wpfaGjh9veo0f9nNiUg7lb_], make sure that it is public; Document successfully merged; Run via form trigger as kemal.stafsus@gmail.com; Timestamp: Jul 11 2021 11:13 PM</t>
  </si>
  <si>
    <t>https://drive.google.com/open?id=1_GJeLkEZ4tuJ6fT9EjzSAJFOZ6CCeHan</t>
  </si>
  <si>
    <t>https://drive.google.com/uc?export=view&amp;id=1_GJeLkEZ4tuJ6fT9EjzSAJFOZ6CCeHan</t>
  </si>
  <si>
    <t>Yulinda Rahayu</t>
  </si>
  <si>
    <t>085524593329</t>
  </si>
  <si>
    <t>3217046007010007</t>
  </si>
  <si>
    <t>Bandung barat</t>
  </si>
  <si>
    <t>20-07-2001</t>
  </si>
  <si>
    <t>ITBA - MUSYRIF/AH</t>
  </si>
  <si>
    <t>ILMU AL-QURAN DAN TAFSIR</t>
  </si>
  <si>
    <t>088901063232531</t>
  </si>
  <si>
    <t xml:space="preserve">BRI </t>
  </si>
  <si>
    <t>rahayuyulinda07@gmail.com</t>
  </si>
  <si>
    <t>1hWFT5XeSE9pnPQHuXCrVhSmnKF4fWeQbAF5p7qh_Rsw</t>
  </si>
  <si>
    <t>https://docs.google.com/document/d/1hWFT5XeSE9pnPQHuXCrVhSmnKF4fWeQbAF5p7qh_Rsw/edit?usp=drivesdk</t>
  </si>
  <si>
    <t>Document successfully created; Document successfully merged; Run via form trigger as kemal.stafsus@gmail.com; Timestamp: Jul 12 2021 12:17 AM</t>
  </si>
  <si>
    <t>https://drive.google.com/open?id=1FsUEX8w5CAld7sP81Cv-PBN03yDnYfH7</t>
  </si>
  <si>
    <t>https://drive.google.com/uc?export=view&amp;id=1FsUEX8w5CAld7sP81Cv-PBN03yDnYfH7</t>
  </si>
  <si>
    <t>Meha Mardina</t>
  </si>
  <si>
    <t>085249785943</t>
  </si>
  <si>
    <t>6402115910030001</t>
  </si>
  <si>
    <t>Dusun Sumber Agung</t>
  </si>
  <si>
    <t>Muara Kaman Ilir</t>
  </si>
  <si>
    <t>19 Oktober 2002</t>
  </si>
  <si>
    <t>18 Thn</t>
  </si>
  <si>
    <t>Al-Qur'an dan Tafsir</t>
  </si>
  <si>
    <t>Musyarifah</t>
  </si>
  <si>
    <t>mehamardina662@gmail.com</t>
  </si>
  <si>
    <t>1vx_tMDafIkJy4pwQjLei6oekRZGdpbOXUfrfGNEaVIo</t>
  </si>
  <si>
    <t>https://docs.google.com/document/d/1vx_tMDafIkJy4pwQjLei6oekRZGdpbOXUfrfGNEaVIo/edit?usp=drivesdk</t>
  </si>
  <si>
    <t>Document successfully created; Invalid image URL [https://drive.google.com/uc?export=view&amp;id=1FsUEX8w5CAld7sP81Cv-PBN03yDnYfH7], make sure that it is public; Document successfully merged; Run via form trigger as kemal.stafsus@gmail.com; Timestamp: Jul 12 2021 12:25 AM</t>
  </si>
  <si>
    <t>https://drive.google.com/open?id=1j155sVCsmvnIzwmOMCL_82WB_kFTjk1J</t>
  </si>
  <si>
    <t>https://drive.google.com/uc?export=view&amp;id=1j155sVCsmvnIzwmOMCL_82WB_kFTjk1J</t>
  </si>
  <si>
    <t>Teti Sunarwati</t>
  </si>
  <si>
    <t>089662051601</t>
  </si>
  <si>
    <t>3278104804000002</t>
  </si>
  <si>
    <t>Kp. Pasirjaya, Rt 02 Rw 05, Kel. Sukajaya, Kec. Purbaratu, Kota Tasikmalaya, Jawa Barat</t>
  </si>
  <si>
    <t>08-04-2000</t>
  </si>
  <si>
    <t>Institut Tahfidzul Qur'an Bersanad Al Wildan (ITBA)</t>
  </si>
  <si>
    <t>Al Qur'an dan Tafsir</t>
  </si>
  <si>
    <t>Musyrifah Al Wildan 1 Gading Serpong</t>
  </si>
  <si>
    <t>sunarwatiteti@gmail.com</t>
  </si>
  <si>
    <t>1VCC3l8kUrtesd-tstRZ0-L-pcrQwdV5o_YaIO_x7rg0</t>
  </si>
  <si>
    <t>https://docs.google.com/document/d/1VCC3l8kUrtesd-tstRZ0-L-pcrQwdV5o_YaIO_x7rg0/edit?usp=drivesdk</t>
  </si>
  <si>
    <t>Document successfully created; Invalid image URL [https://drive.google.com/uc?export=view&amp;id=1j155sVCsmvnIzwmOMCL_82WB_kFTjk1J], make sure that it is public; Document successfully merged; Run via form trigger as kemal.stafsus@gmail.com; Timestamp: Jul 12 2021 12:30 AM</t>
  </si>
  <si>
    <t>https://drive.google.com/open?id=1sBel_mgGb7z3q16_q30HHJLndopCVqVJ</t>
  </si>
  <si>
    <t>https://drive.google.com/uc?export=view&amp;id=1sBel_mgGb7z3q16_q30HHJLndopCVqVJ</t>
  </si>
  <si>
    <t>Imam Nur Rahman</t>
  </si>
  <si>
    <t>081314966446</t>
  </si>
  <si>
    <t>3603281105990008</t>
  </si>
  <si>
    <t>22 Tahun 2 Bulan</t>
  </si>
  <si>
    <t>Mengajar Al-Qur'an di Pondok Tahfidz Wadil Qur'an Tangerang</t>
  </si>
  <si>
    <t>Mengajar Al-Qur'an + Marbot Masjid As-Sajadah BSD Tangerang</t>
  </si>
  <si>
    <t>BSM / BSI</t>
  </si>
  <si>
    <t>imamnurrahman99@gmail.com</t>
  </si>
  <si>
    <t>1cJCYtRv9hrHnwgbgCezlgteBuHLAbnavwmAPrtDqMyc</t>
  </si>
  <si>
    <t>https://docs.google.com/document/d/1cJCYtRv9hrHnwgbgCezlgteBuHLAbnavwmAPrtDqMyc/edit?usp=drivesdk</t>
  </si>
  <si>
    <t>Document successfully created; Invalid image URL [https://drive.google.com/uc?export=view&amp;id=1sBel_mgGb7z3q16_q30HHJLndopCVqVJ], make sure that it is public; Document successfully merged; Run via form trigger as kemal.stafsus@gmail.com; Timestamp: Jul 12 2021 1:02 AM</t>
  </si>
  <si>
    <t>https://drive.google.com/open?id=1NY270DhOtpxyGyhFNajy5XUidwpDJnxw</t>
  </si>
  <si>
    <t>https://drive.google.com/uc?export=view&amp;id=1NY270DhOtpxyGyhFNajy5XUidwpDJnxw</t>
  </si>
  <si>
    <t>Nuraida</t>
  </si>
  <si>
    <t>08889214392</t>
  </si>
  <si>
    <t>3603225112020001</t>
  </si>
  <si>
    <t>Jl. Aria Wangsakara RT 01/01 Kp. Lengkong Kulon Kec. Pagedangan Kab. Tangerang Prov. Banten</t>
  </si>
  <si>
    <t>11-12-2002</t>
  </si>
  <si>
    <t>18tahun 7bulan</t>
  </si>
  <si>
    <t>050901000083539</t>
  </si>
  <si>
    <t>nuraidahalim376@gmail.com</t>
  </si>
  <si>
    <t>1vo5y-PeEpf9vl7aKTdAUfo-FbYnd21b3XJq0K7iwyZ4</t>
  </si>
  <si>
    <t>https://docs.google.com/document/d/1vo5y-PeEpf9vl7aKTdAUfo-FbYnd21b3XJq0K7iwyZ4/edit?usp=drivesdk</t>
  </si>
  <si>
    <t>Document successfully created; Document successfully merged; Run via form trigger as kemal.stafsus@gmail.com; Timestamp: Jul 12 2021 1:46 AM</t>
  </si>
  <si>
    <t>https://drive.google.com/open?id=1ma4Uv22MVOFMEiYL9jnymUuvbJ1keMYc</t>
  </si>
  <si>
    <t>https://drive.google.com/uc?export=view&amp;id=1ma4Uv22MVOFMEiYL9jnymUuvbJ1keMYc</t>
  </si>
  <si>
    <t>Aditya Anfaris</t>
  </si>
  <si>
    <t>087860396561</t>
  </si>
  <si>
    <t>5203082901020002</t>
  </si>
  <si>
    <t>Asrama ITBA, BSD Tangsel</t>
  </si>
  <si>
    <t>29-01-2002</t>
  </si>
  <si>
    <t>19 THN 7 bulan</t>
  </si>
  <si>
    <t>Tahfid Al Qur'an</t>
  </si>
  <si>
    <t>3.000.000.</t>
  </si>
  <si>
    <t>0717653627</t>
  </si>
  <si>
    <t>Ibu Sulistiayani,BNI</t>
  </si>
  <si>
    <t>adityaalfaris29@gmail.com</t>
  </si>
  <si>
    <t>1Yz6ZnZH80rL74qUXxj4CB5HuY5_IxVcHsty7SkJ2G5k</t>
  </si>
  <si>
    <t>https://docs.google.com/document/d/1Yz6ZnZH80rL74qUXxj4CB5HuY5_IxVcHsty7SkJ2G5k/edit?usp=drivesdk</t>
  </si>
  <si>
    <t>Document successfully created; Document successfully merged; Run via form trigger as kemal.stafsus@gmail.com; Timestamp: Jul 12 2021 2:27 AM</t>
  </si>
  <si>
    <t>https://drive.google.com/open?id=1yKYIpdpTk2Hkd4hrajLgf7OWkJ-Z5pRL</t>
  </si>
  <si>
    <t>https://drive.google.com/uc?export=view&amp;id=1yKYIpdpTk2Hkd4hrajLgf7OWkJ-Z5pRL</t>
  </si>
  <si>
    <t>yasinta maulida</t>
  </si>
  <si>
    <t xml:space="preserve">jalan raya pemogan gg anggrek no.1 denpasar selatan-bali </t>
  </si>
  <si>
    <t xml:space="preserve">denpasar </t>
  </si>
  <si>
    <t>=</t>
  </si>
  <si>
    <t>ilmu alquran dan tafsir</t>
  </si>
  <si>
    <t xml:space="preserve">memiliki pengalaman menjadi guru pengganti tahfidz di smp-sma menggantikan syaikhoh, kemudian pernah menggantikan guru tk dan juga guru sd, smp serta sma saat 2018. menjadi musyrifah dan juga guru smp-sma pada tahun 2019 di alwildan 1, kemudian bulan oktober pindah unit ke sd al wildan 1 mengajarkan kelas markaz akhwat kelas 3 dan 4 sampai dengan sekarang. </t>
  </si>
  <si>
    <t xml:space="preserve">Bismillah sesuai dengan umr daerah dan juga kebijakan management Al wildan </t>
  </si>
  <si>
    <t xml:space="preserve"> BNI syariah</t>
  </si>
  <si>
    <t>maulidayasinta36@gmail.com</t>
  </si>
  <si>
    <t>1m_CoDgCNcacKTVgWqUVF0d3Q3UCW-N-3RTapGuAgUs4</t>
  </si>
  <si>
    <t>https://docs.google.com/document/d/1m_CoDgCNcacKTVgWqUVF0d3Q3UCW-N-3RTapGuAgUs4/edit?usp=drivesdk</t>
  </si>
  <si>
    <t>Document successfully created; Invalid image URL [https://drive.google.com/uc?export=view&amp;id=1yKYIpdpTk2Hkd4hrajLgf7OWkJ-Z5pRL], make sure that it is public; Document successfully merged; Run via form trigger as kemal.stafsus@gmail.com; Timestamp: Jul 12 2021 6:47 AM</t>
  </si>
  <si>
    <t>https://drive.google.com/open?id=1tYwi-LFxR1QetzHhahLvZX_BlGm1WCXW</t>
  </si>
  <si>
    <t>https://drive.google.com/uc?export=view&amp;id=1tYwi-LFxR1QetzHhahLvZX_BlGm1WCXW</t>
  </si>
  <si>
    <t>Ummu Amirah Husnah</t>
  </si>
  <si>
    <t>0895380859300</t>
  </si>
  <si>
    <t>7604034403020001</t>
  </si>
  <si>
    <t>Arjosari,Kec Wonomulyo,Kab Polewali Mandar,Prov Sulawesi Barat</t>
  </si>
  <si>
    <t>04-05-2002</t>
  </si>
  <si>
    <t>19 tahun 1 bulan</t>
  </si>
  <si>
    <t>BSI</t>
  </si>
  <si>
    <t>amirahusna277@gmail.com</t>
  </si>
  <si>
    <t>1eMVmxgQKozZA3JJ2eGI6iO_3XPudOXaXhJnMsO-Cv4w</t>
  </si>
  <si>
    <t>https://docs.google.com/document/d/1eMVmxgQKozZA3JJ2eGI6iO_3XPudOXaXhJnMsO-Cv4w/edit?usp=drivesdk</t>
  </si>
  <si>
    <t>Document successfully created; Document successfully merged; Run via form trigger as kemal.stafsus@gmail.com; Timestamp: Jul 12 2021 11:14 PM</t>
  </si>
  <si>
    <t>https://drive.google.com/open?id=1237aE-c6fWQBTdUcXwSQi0bhWEI7EX0d</t>
  </si>
  <si>
    <t>https://drive.google.com/uc?export=view&amp;id=1237aE-c6fWQBTdUcXwSQi0bhWEI7EX0d</t>
  </si>
  <si>
    <t>Fathya Mumtaz, S.H.</t>
  </si>
  <si>
    <t>081917991573</t>
  </si>
  <si>
    <t>3372035008980001</t>
  </si>
  <si>
    <t>Jalan Bidar 3, no.12, Kelapa Dua, Gading Serpong, Tangerang</t>
  </si>
  <si>
    <t>10-08-1998</t>
  </si>
  <si>
    <t>Bahasa Arab, Pendidikan Agama Islam, Al-Qur'an</t>
  </si>
  <si>
    <t>STDI Imam Syafi'i Jember</t>
  </si>
  <si>
    <t>Ahwal Syakhshiyyah</t>
  </si>
  <si>
    <t>Nilai ada yang belum keluar</t>
  </si>
  <si>
    <t>Guru di JIC Surakarta</t>
  </si>
  <si>
    <t>SEO Sekolah Online Manarul Qur'an</t>
  </si>
  <si>
    <t>BSI (Bank Syariah Indonesia)</t>
  </si>
  <si>
    <t>fasyafathya@gmail.com</t>
  </si>
  <si>
    <t>1cfiBEGapQrBrK8QVl1GcV9ea3a-0kVFWQTjRiyO7de4</t>
  </si>
  <si>
    <t>https://docs.google.com/document/d/1cfiBEGapQrBrK8QVl1GcV9ea3a-0kVFWQTjRiyO7de4/edit?usp=drivesdk</t>
  </si>
  <si>
    <t>Document successfully created; Document successfully merged; Run via form trigger as kemal.stafsus@gmail.com; Timestamp: Jul 13 2021 12:49 AM</t>
  </si>
  <si>
    <t>https://drive.google.com/open?id=13xR_8t_eVZ6AHv9r64nlsyVEm3KIt2k_</t>
  </si>
  <si>
    <t>https://drive.google.com/uc?export=view&amp;id=13xR_8t_eVZ6AHv9r64nlsyVEm3KIt2k_</t>
  </si>
  <si>
    <t>Nurhidayah, M.Pd</t>
  </si>
  <si>
    <t>081280203168</t>
  </si>
  <si>
    <t>5206165812921002</t>
  </si>
  <si>
    <t>Legok, Tangerang</t>
  </si>
  <si>
    <t>Kuta</t>
  </si>
  <si>
    <t>18-12-1992</t>
  </si>
  <si>
    <t>28 Tahun 7 Bulan</t>
  </si>
  <si>
    <t>Universitas Islam Negeri Makassar</t>
  </si>
  <si>
    <t>Univesitas Sanata Dharma Yogyakarta</t>
  </si>
  <si>
    <t>Guru Matematika SD</t>
  </si>
  <si>
    <t>0698977253</t>
  </si>
  <si>
    <t>nurhidayah18.mf@gmail.com</t>
  </si>
  <si>
    <t>1hADVLQI_d6bAUGctxKZGtWsRgvWBe1nU5EA6QNt57g4</t>
  </si>
  <si>
    <t>https://docs.google.com/document/d/1hADVLQI_d6bAUGctxKZGtWsRgvWBe1nU5EA6QNt57g4/edit?usp=drivesdk</t>
  </si>
  <si>
    <t>Document successfully created; Document successfully merged; Run via form trigger as kemal.stafsus@gmail.com; Timestamp: Jul 13 2021 1:06 AM</t>
  </si>
  <si>
    <t>https://drive.google.com/open?id=1PX7XDOdURkMonD-F79FLTRyH327wqIEN</t>
  </si>
  <si>
    <t>https://drive.google.com/uc?export=view&amp;id=1PX7XDOdURkMonD-F79FLTRyH327wqIEN</t>
  </si>
  <si>
    <t>Putri Anggra Sari</t>
  </si>
  <si>
    <t>085238409701</t>
  </si>
  <si>
    <t>5272024405000005</t>
  </si>
  <si>
    <t>Kelapa dua tangerang</t>
  </si>
  <si>
    <t>Kota Bima</t>
  </si>
  <si>
    <t>04 Mei 2000</t>
  </si>
  <si>
    <t>21 tahun 2 bulan</t>
  </si>
  <si>
    <t>0896895921</t>
  </si>
  <si>
    <t>putriianggrasarii@gmail.com</t>
  </si>
  <si>
    <t>1mTVxgQxGUNgceFHmygO74u7D1M1xKO7YnSMCc3MQfMM</t>
  </si>
  <si>
    <t>https://docs.google.com/document/d/1mTVxgQxGUNgceFHmygO74u7D1M1xKO7YnSMCc3MQfMM/edit?usp=drivesdk</t>
  </si>
  <si>
    <t>Document successfully created; Document successfully merged; Run via form trigger as kemal.stafsus@gmail.com; Timestamp: Jul 13 2021 2:23 AM</t>
  </si>
  <si>
    <t>https://drive.google.com/open?id=15iI-MMLHACBz2XX9xnfDa7pS-S6tbQeE</t>
  </si>
  <si>
    <t>https://drive.google.com/uc?export=view&amp;id=15iI-MMLHACBz2XX9xnfDa7pS-S6tbQeE</t>
  </si>
  <si>
    <t>Rosyidah</t>
  </si>
  <si>
    <t>085210587993</t>
  </si>
  <si>
    <t>3603124312990009</t>
  </si>
  <si>
    <t>Bumi indah tahap 5 jalan ekaliptus 3 BLOK LG 01 RT/RW 07/07 Kel. Sukamantri kec. Pasar Kemis kab. Tangerang</t>
  </si>
  <si>
    <t>03-12-1999</t>
  </si>
  <si>
    <t>21 tahun 7 bulan</t>
  </si>
  <si>
    <t>0845088101</t>
  </si>
  <si>
    <t>rosyiidah3@gmail.com</t>
  </si>
  <si>
    <t>1yA2H68qyTNIc7alKd6Sti3oIHLI3ou2yBTO9dyNPbtw</t>
  </si>
  <si>
    <t>https://docs.google.com/document/d/1yA2H68qyTNIc7alKd6Sti3oIHLI3ou2yBTO9dyNPbtw/edit?usp=drivesdk</t>
  </si>
  <si>
    <t>Document successfully created; Document successfully merged; Run via form trigger as kemal.stafsus@gmail.com; Timestamp: Jul 13 2021 5:28 AM</t>
  </si>
  <si>
    <t>https://drive.google.com/open?id=1FkjQQuonlAopkYMRHVuMKGNJxpfmrLZG</t>
  </si>
  <si>
    <t>https://drive.google.com/uc?export=view&amp;id=1FkjQQuonlAopkYMRHVuMKGNJxpfmrLZG</t>
  </si>
  <si>
    <t>ERNA SAHFITRI</t>
  </si>
  <si>
    <t>082274500298</t>
  </si>
  <si>
    <t>B 1925951</t>
  </si>
  <si>
    <t>Desa Lae mate kecamatan RUNDENG kota Subulussalam provinsi Aceh</t>
  </si>
  <si>
    <t>Desa Lae mate kota subulussalam</t>
  </si>
  <si>
    <t>1 Mei 2000</t>
  </si>
  <si>
    <t>Menjadi musyrifah dipondok pesantren 'ulumul Qur'an mardhatillah</t>
  </si>
  <si>
    <t>Mandiri syariah</t>
  </si>
  <si>
    <t>ernasyahfitri2000@gmail.com</t>
  </si>
  <si>
    <t>1kjLaLUL3_UzdTyEwo324d2fMQm_HgTQjsPWC_Oavs10</t>
  </si>
  <si>
    <t>https://docs.google.com/document/d/1kjLaLUL3_UzdTyEwo324d2fMQm_HgTQjsPWC_Oavs10/edit?usp=drivesdk</t>
  </si>
  <si>
    <t>Document successfully created; Document successfully merged; Run via form trigger as kemal.stafsus@gmail.com; Timestamp: Jul 13 2021 9:14 AM</t>
  </si>
  <si>
    <t>https://drive.google.com/open?id=146xNpeYa5EEouo12IxBi7hjgW1YSRA4E</t>
  </si>
  <si>
    <t>https://drive.google.com/uc?export=view&amp;id=146xNpeYa5EEouo12IxBi7hjgW1YSRA4E</t>
  </si>
  <si>
    <t>Abdulbasith</t>
  </si>
  <si>
    <t>085776815187</t>
  </si>
  <si>
    <t>3216070706010013</t>
  </si>
  <si>
    <t>Bekasi Cibitung regensi 2 blok ee 8 no 26</t>
  </si>
  <si>
    <t>7 Juni 2001</t>
  </si>
  <si>
    <t>20 thn</t>
  </si>
  <si>
    <t>abdullbasith44@gmail.com</t>
  </si>
  <si>
    <t>1XI0kWoaelsoAwZ04uyywtuquOloFJgF7beFRgRn7p_E</t>
  </si>
  <si>
    <t>https://docs.google.com/document/d/1XI0kWoaelsoAwZ04uyywtuquOloFJgF7beFRgRn7p_E/edit?usp=drivesdk</t>
  </si>
  <si>
    <t>Document successfully created; Document successfully merged; Run via form trigger as kemal.stafsus@gmail.com; Timestamp: Jul 14 2021 8:18 AM</t>
  </si>
  <si>
    <t>https://drive.google.com/open?id=1F3nsieqpRBJyUsE5KkrT422Y-q1aGHAP</t>
  </si>
  <si>
    <t>https://drive.google.com/uc?export=view&amp;id=1F3nsieqpRBJyUsE5KkrT422Y-q1aGHAP</t>
  </si>
  <si>
    <t>Surya Herawan, A.Md., M.I.</t>
  </si>
  <si>
    <t>085318593556</t>
  </si>
  <si>
    <t>3171060602960001</t>
  </si>
  <si>
    <t>06-02-1996</t>
  </si>
  <si>
    <t>25 tahun 5 bulan</t>
  </si>
  <si>
    <t>Al-Wildan 2 Bekasi</t>
  </si>
  <si>
    <t>Admin Operation</t>
  </si>
  <si>
    <t>3,500,000</t>
  </si>
  <si>
    <t>Graphics Design Staff</t>
  </si>
  <si>
    <t>4,000,000</t>
  </si>
  <si>
    <t>IT Support</t>
  </si>
  <si>
    <t>2,500,000</t>
  </si>
  <si>
    <t>2,000,000</t>
  </si>
  <si>
    <t>suryaherawannn@gmail.com</t>
  </si>
  <si>
    <t>1am7l1rpCBu7_8GrKHY-tXOe1T9QdAnX6qkqK1gm90mw</t>
  </si>
  <si>
    <t>https://docs.google.com/document/d/1am7l1rpCBu7_8GrKHY-tXOe1T9QdAnX6qkqK1gm90mw/edit?usp=drivesdk</t>
  </si>
  <si>
    <t>Document successfully created; Document successfully merged; Run via form trigger as kemal.stafsus@gmail.com; Timestamp: Jul 16 2021 4:32 AM</t>
  </si>
  <si>
    <t>https://drive.google.com/open?id=1jzrqm7g_JXs0WKLhOkH6vsn9StuNG9hg</t>
  </si>
  <si>
    <t>https://drive.google.com/uc?export=view&amp;id=1jzrqm7g_JXs0WKLhOkH6vsn9StuNG9hg</t>
  </si>
  <si>
    <t xml:space="preserve">Kamaluddin BA </t>
  </si>
  <si>
    <t>082113475616</t>
  </si>
  <si>
    <t xml:space="preserve">Kecamatan Tamansari Kab Bogor </t>
  </si>
  <si>
    <t>Majalengka</t>
  </si>
  <si>
    <t>05-12-1988</t>
  </si>
  <si>
    <t xml:space="preserve">32 tahun 7 bulan </t>
  </si>
  <si>
    <t xml:space="preserve">Arabic </t>
  </si>
  <si>
    <t xml:space="preserve">Pesantren Islam Al-Irsyad 2 Majalengka </t>
  </si>
  <si>
    <t>Pesantren Minhaj Shahabah</t>
  </si>
  <si>
    <t>0446988242</t>
  </si>
  <si>
    <t>kamaluddinhilmy@gmail.com</t>
  </si>
  <si>
    <t>1pDM4ipt7en7JHJYgT767CzXFLI4rLkqv_F18LfzSnx8</t>
  </si>
  <si>
    <t>https://docs.google.com/document/d/1pDM4ipt7en7JHJYgT767CzXFLI4rLkqv_F18LfzSnx8/edit?usp=drivesdk</t>
  </si>
  <si>
    <t>Document successfully created; Document successfully merged; Run via form trigger as kemal.stafsus@gmail.com; Timestamp: Jul 18 2021 10:39 PM</t>
  </si>
  <si>
    <t>https://drive.google.com/open?id=16bZDhFSemC_cjSaeRWsVAgH2PX09WxcG</t>
  </si>
  <si>
    <t>https://drive.google.com/uc?export=view&amp;id=16bZDhFSemC_cjSaeRWsVAgH2PX09WxcG</t>
  </si>
  <si>
    <t>Adhi Kusumadjati S.Pd, M.Si</t>
  </si>
  <si>
    <t>082111466303</t>
  </si>
  <si>
    <t>3603281711920005</t>
  </si>
  <si>
    <t>Griya Aviva Townhouse B 8 jalan menjangan Ciputat Tangerang Selatan Banten 15413</t>
  </si>
  <si>
    <t>Jakarta Barat</t>
  </si>
  <si>
    <t>17-11-1992</t>
  </si>
  <si>
    <t>28 tahun 8 tahun</t>
  </si>
  <si>
    <t>Fisika/IPA</t>
  </si>
  <si>
    <t>PT Testindo - Data Scientist</t>
  </si>
  <si>
    <t>Openturf Technologies - QA Software</t>
  </si>
  <si>
    <t>kindee.tech (Aplikasi Belajar Digital) - Product Requirement</t>
  </si>
  <si>
    <t>6.000.000 - 8.000.000</t>
  </si>
  <si>
    <t>0496830560</t>
  </si>
  <si>
    <t>BNI Syariah a.n. Adhi Kusumajati</t>
  </si>
  <si>
    <t>adhikusumadjati@gmail.com</t>
  </si>
  <si>
    <t>17SGAY1CO3JOr4hl7U0QonCOZx5iWi59ZTErwoz7aHZg</t>
  </si>
  <si>
    <t>https://docs.google.com/document/d/17SGAY1CO3JOr4hl7U0QonCOZx5iWi59ZTErwoz7aHZg/edit?usp=drivesdk</t>
  </si>
  <si>
    <t>Document successfully created; Document successfully merged; Run via form trigger as kemal.stafsus@gmail.com; Timestamp: Jul 18 2021 10:51 PM</t>
  </si>
  <si>
    <t>https://drive.google.com/open?id=1lh7fqn8Ww6XWYl9QTpYWvm0YJupCr3s_</t>
  </si>
  <si>
    <t>https://drive.google.com/uc?export=view&amp;id=1lh7fqn8Ww6XWYl9QTpYWvm0YJupCr3s_</t>
  </si>
  <si>
    <t xml:space="preserve">Muhammad Ihsan, Lc. </t>
  </si>
  <si>
    <t>088212154547</t>
  </si>
  <si>
    <t>3201372509980001</t>
  </si>
  <si>
    <t>Komplek Inkopad Blok G17/11 Kelurahan Sasak Panjang Kecamatan Tajurhalang Kabupaten Bogor 16320</t>
  </si>
  <si>
    <t>25-09-1998</t>
  </si>
  <si>
    <t>23 tahun bulan september</t>
  </si>
  <si>
    <t>Mu'tah University Of Jordan</t>
  </si>
  <si>
    <t>65.47</t>
  </si>
  <si>
    <t>mandiri</t>
  </si>
  <si>
    <t>muhammadihsan080@gmail.com</t>
  </si>
  <si>
    <t>1F72u5EYV2UGvmjtuA6UkEFpzc6ntG28uNaa12AS5ZIk</t>
  </si>
  <si>
    <t>https://docs.google.com/document/d/1F72u5EYV2UGvmjtuA6UkEFpzc6ntG28uNaa12AS5ZIk/edit?usp=drivesdk</t>
  </si>
  <si>
    <t>Document successfully created; Document successfully merged; Run via form trigger as kemal.stafsus@gmail.com; Timestamp: Jul 18 2021 11:16 PM</t>
  </si>
  <si>
    <t>https://drive.google.com/open?id=1JymvqlEM4YYTSzV9TPiNGirZlFObCX0p</t>
  </si>
  <si>
    <t>https://drive.google.com/uc?export=view&amp;id=1JymvqlEM4YYTSzV9TPiNGirZlFObCX0p</t>
  </si>
  <si>
    <t>DENGARA PARULIAN PARLINDUNGAN, S.Si</t>
  </si>
  <si>
    <t>+6281905026416</t>
  </si>
  <si>
    <t>3172031307840003</t>
  </si>
  <si>
    <t>KOMPLEK TAMAN HARMONI NO D-4, PONDOK CABE, TANGERANG SELATAN</t>
  </si>
  <si>
    <t>MEDAN</t>
  </si>
  <si>
    <t>13-07-1984</t>
  </si>
  <si>
    <t>37 TAHUN 0 BULAN</t>
  </si>
  <si>
    <t>MATEMATIKA</t>
  </si>
  <si>
    <t>INSTITUT TEKNOLOGI BANDUNG</t>
  </si>
  <si>
    <t>PRIVATE TUTOR</t>
  </si>
  <si>
    <t>BANK PERMATA</t>
  </si>
  <si>
    <t>BANK CIMB NIAGA</t>
  </si>
  <si>
    <t>000007181965</t>
  </si>
  <si>
    <t>dengmath1307@gmail.com</t>
  </si>
  <si>
    <t>1GcFQ0_YPNM1Z1FeHGjnl8yBTPMw8g-wcDZ-bJ-CZmbA</t>
  </si>
  <si>
    <t>https://docs.google.com/document/d/1GcFQ0_YPNM1Z1FeHGjnl8yBTPMw8g-wcDZ-bJ-CZmbA/edit?usp=drivesdk</t>
  </si>
  <si>
    <t>Document successfully created; Document successfully merged; Run via form trigger as kemal.stafsus@gmail.com; Timestamp: Jul 18 2021 11:27 PM</t>
  </si>
  <si>
    <t>https://drive.google.com/open?id=16ua7Vzy0REsuva4glhvoaVX4yHHaDavM</t>
  </si>
  <si>
    <t>https://drive.google.com/uc?export=view&amp;id=16ua7Vzy0REsuva4glhvoaVX4yHHaDavM</t>
  </si>
  <si>
    <t>Diana Wulan Primasari S.Pd Si</t>
  </si>
  <si>
    <t>085647606594</t>
  </si>
  <si>
    <t>3402127006880001</t>
  </si>
  <si>
    <t xml:space="preserve">Perumahan samudera Residence blok C22 Tirtajaya Sukmajaya depok jawa barat </t>
  </si>
  <si>
    <t>30-06-1988</t>
  </si>
  <si>
    <t>33 tahun 19 hari</t>
  </si>
  <si>
    <t xml:space="preserve">Matematika </t>
  </si>
  <si>
    <t xml:space="preserve">Pendidikan Matematika </t>
  </si>
  <si>
    <t>d.wulan.p@gmail.com</t>
  </si>
  <si>
    <t>1rqjk-gsjbHePiRP3NJPKyfTaOrzxeliLuT3CYfOLHxY</t>
  </si>
  <si>
    <t>https://docs.google.com/document/d/1rqjk-gsjbHePiRP3NJPKyfTaOrzxeliLuT3CYfOLHxY/edit?usp=drivesdk</t>
  </si>
  <si>
    <t>Document successfully created; Document successfully merged; Run via form trigger as kemal.stafsus@gmail.com; Timestamp: Jul 19 2021 1:00 AM</t>
  </si>
  <si>
    <t>https://drive.google.com/open?id=1-ytzALDm_p54VruIiDGaaw3_plleM-iO</t>
  </si>
  <si>
    <t>https://drive.google.com/uc?export=view&amp;id=1-ytzALDm_p54VruIiDGaaw3_plleM-iO</t>
  </si>
  <si>
    <t>Amrina rosyada</t>
  </si>
  <si>
    <t>089625391877</t>
  </si>
  <si>
    <t>1471094409960021</t>
  </si>
  <si>
    <t>Jalan season zaini komplek griya skojo mas blok B</t>
  </si>
  <si>
    <t>03091996</t>
  </si>
  <si>
    <t xml:space="preserve">Guru sd </t>
  </si>
  <si>
    <t>0896653584</t>
  </si>
  <si>
    <t>amrinarosyada223@gmail.com</t>
  </si>
  <si>
    <t>16aejRMIPdqsKO_7SHnZNhavVORh2vgHP3JyoLHBakuc</t>
  </si>
  <si>
    <t>https://docs.google.com/document/d/16aejRMIPdqsKO_7SHnZNhavVORh2vgHP3JyoLHBakuc/edit?usp=drivesdk</t>
  </si>
  <si>
    <t>Document successfully created; Document successfully merged; Run via form trigger as kemal.stafsus@gmail.com; Timestamp: Jul 19 2021 11:06 AM</t>
  </si>
  <si>
    <t>https://drive.google.com/open?id=1da1CcTlGD_fGiEBrzft0XuE0G0mQ5JaG</t>
  </si>
  <si>
    <t>https://drive.google.com/uc?export=view&amp;id=1da1CcTlGD_fGiEBrzft0XuE0G0mQ5JaG</t>
  </si>
  <si>
    <t>Wahidatus Salamah</t>
  </si>
  <si>
    <t>082249391376</t>
  </si>
  <si>
    <t>1706106507980003</t>
  </si>
  <si>
    <t>Mukomuko Bengkulu</t>
  </si>
  <si>
    <t>Mukomuko</t>
  </si>
  <si>
    <t>25-07-1998</t>
  </si>
  <si>
    <t>22 tahun 11 bulan</t>
  </si>
  <si>
    <t>AlQuran</t>
  </si>
  <si>
    <t>Guru SD alwildan 1</t>
  </si>
  <si>
    <t>Musyrifah Alwildan 1</t>
  </si>
  <si>
    <t>0845102309</t>
  </si>
  <si>
    <t>wahidatussalamah752@gmail.com</t>
  </si>
  <si>
    <t>13RYl16PpJQONAhX9CsU-F0imSUWIy3ZCpu9FZcooCPA</t>
  </si>
  <si>
    <t>https://docs.google.com/document/d/13RYl16PpJQONAhX9CsU-F0imSUWIy3ZCpu9FZcooCPA/edit?usp=drivesdk</t>
  </si>
  <si>
    <t>Document successfully created; Document successfully merged; Run via form trigger as kemal.stafsus@gmail.com; Timestamp: Jul 19 2021 12:41 PM</t>
  </si>
  <si>
    <t>https://drive.google.com/open?id=1ig35A39qXB4EOTHh23u1aV0Ifes0QRQi</t>
  </si>
  <si>
    <t>https://drive.google.com/uc?export=view&amp;id=1ig35A39qXB4EOTHh23u1aV0Ifes0QRQi</t>
  </si>
  <si>
    <t xml:space="preserve">Asma' Al Khontsa </t>
  </si>
  <si>
    <t>3521121207990001</t>
  </si>
  <si>
    <t xml:space="preserve">Kedunggudel, Widodaren, Ngawi, Jawa Timur </t>
  </si>
  <si>
    <t>Ngawi</t>
  </si>
  <si>
    <t>12 - 07 - 1999</t>
  </si>
  <si>
    <t>22 th</t>
  </si>
  <si>
    <t xml:space="preserve">Tahfidz Al Qur'an </t>
  </si>
  <si>
    <t>khonsa.asma@gmail.com</t>
  </si>
  <si>
    <t>1H_F1WuHZj8WC89pDRjgsUln8WfuRjVVzKSG4St5gtrU</t>
  </si>
  <si>
    <t>https://docs.google.com/document/d/1H_F1WuHZj8WC89pDRjgsUln8WfuRjVVzKSG4St5gtrU/edit?usp=drivesdk</t>
  </si>
  <si>
    <t>Document successfully created; Document successfully merged; Run via form trigger as kemal.stafsus@gmail.com; Timestamp: Jul 19 2021 12:58 PM</t>
  </si>
  <si>
    <t>https://drive.google.com/open?id=1qWjOKfrB9DboxVgjm5h027CHPvxSIZN1</t>
  </si>
  <si>
    <t>https://drive.google.com/uc?export=view&amp;id=1qWjOKfrB9DboxVgjm5h027CHPvxSIZN1</t>
  </si>
  <si>
    <t>Nur Azizah</t>
  </si>
  <si>
    <t>083119099572</t>
  </si>
  <si>
    <t>5203174409980004</t>
  </si>
  <si>
    <t>04-09-1998</t>
  </si>
  <si>
    <t>0852438987</t>
  </si>
  <si>
    <t>nura03874@gmail.com</t>
  </si>
  <si>
    <t>1FRTLkCvvMj7mrMXT-4ykV27BllTW39GTTlWH5Vm1Wt4</t>
  </si>
  <si>
    <t>https://docs.google.com/document/d/1FRTLkCvvMj7mrMXT-4ykV27BllTW39GTTlWH5Vm1Wt4/edit?usp=drivesdk</t>
  </si>
  <si>
    <t>Document successfully created; Document successfully merged; Run via form trigger as kemal.stafsus@gmail.com; Timestamp: Jul 20 2021 7:37 AM</t>
  </si>
  <si>
    <t>https://drive.google.com/open?id=1pl2AsySpPQI1W_6pNGVZVDyj-VB8WVlH</t>
  </si>
  <si>
    <t>https://drive.google.com/uc?export=view&amp;id=1pl2AsySpPQI1W_6pNGVZVDyj-VB8WVlH</t>
  </si>
  <si>
    <t xml:space="preserve">Fatimah Thalib </t>
  </si>
  <si>
    <t>081991071280</t>
  </si>
  <si>
    <t>52701025407020001</t>
  </si>
  <si>
    <t>Pagutan, Mataram, Nusa Tenggara Barat</t>
  </si>
  <si>
    <t>14-07-2002</t>
  </si>
  <si>
    <t xml:space="preserve">Mengajar TPQ </t>
  </si>
  <si>
    <t>ibnatuthalib1472@gmail.com</t>
  </si>
  <si>
    <t>1Ve3gbAvSDEqfjchSpba--bT_D8LzXxAC_DktuMEMGto</t>
  </si>
  <si>
    <t>https://docs.google.com/document/d/1Ve3gbAvSDEqfjchSpba--bT_D8LzXxAC_DktuMEMGto/edit?usp=drivesdk</t>
  </si>
  <si>
    <t>Document successfully created; Document successfully merged; Run via form trigger as kemal.stafsus@gmail.com; Timestamp: Jul 20 2021 6:54 PM</t>
  </si>
  <si>
    <t>https://drive.google.com/open?id=1lZ5HXCiqbDoNKeSpuWlqY_OKLRbOrB28</t>
  </si>
  <si>
    <t>https://drive.google.com/uc?export=view&amp;id=1lZ5HXCiqbDoNKeSpuWlqY_OKLRbOrB28</t>
  </si>
  <si>
    <t>Millati Aulia Hasanah, S.H.</t>
  </si>
  <si>
    <t>081249268871</t>
  </si>
  <si>
    <t>1702186204970001</t>
  </si>
  <si>
    <t>Rejang Lebong, Bengkulu</t>
  </si>
  <si>
    <t>Kepahiang</t>
  </si>
  <si>
    <t>22-04-1997</t>
  </si>
  <si>
    <t>Arabic &amp; Diniyyah</t>
  </si>
  <si>
    <t>Ahwal Syakhsiyah</t>
  </si>
  <si>
    <t>3, 93</t>
  </si>
  <si>
    <t>0594283648</t>
  </si>
  <si>
    <t>millatihasanah.official@gmail.com</t>
  </si>
  <si>
    <t>1n1NWNP9otDMqrb4n9ZuU_Hln5x9xOIm4HnQVPLcbvsQ</t>
  </si>
  <si>
    <t>https://docs.google.com/document/d/1n1NWNP9otDMqrb4n9ZuU_Hln5x9xOIm4HnQVPLcbvsQ/edit?usp=drivesdk</t>
  </si>
  <si>
    <t>Document successfully created; Document successfully merged; Run via form trigger as kemal.stafsus@gmail.com; Timestamp: Jul 22 2021 9:26 PM</t>
  </si>
  <si>
    <t>https://drive.google.com/open?id=19RVt1sUiQvaayBVc8mC5eccwmD0NX6tp</t>
  </si>
  <si>
    <t>https://drive.google.com/uc?export=view&amp;id=19RVt1sUiQvaayBVc8mC5eccwmD0NX6tp</t>
  </si>
  <si>
    <t>Budi Utami, M.Si.</t>
  </si>
  <si>
    <t>081906229595</t>
  </si>
  <si>
    <t>3276026709880001</t>
  </si>
  <si>
    <t>Jl. Cempaka, Jatijajar II RT 03 RW 07 No.15, Kec. Tapos, Kota Depok</t>
  </si>
  <si>
    <t>27-09-19888</t>
  </si>
  <si>
    <t>32 tahun 10 bulan</t>
  </si>
  <si>
    <t>4.00</t>
  </si>
  <si>
    <t>Staff Pengajar di Prodi Pendidikan Matematika STKIP Surya Tangerang</t>
  </si>
  <si>
    <t>Tutor Matematika</t>
  </si>
  <si>
    <t>budiutami.27@gmail.com</t>
  </si>
  <si>
    <t>1Bf75Utx9NSkyZdvcqSdSBYKpP2D_L2XLwEAUiPPFLH4</t>
  </si>
  <si>
    <t>https://docs.google.com/document/d/1Bf75Utx9NSkyZdvcqSdSBYKpP2D_L2XLwEAUiPPFLH4/edit?usp=drivesdk</t>
  </si>
  <si>
    <t>Document successfully created; Document successfully merged; Run via form trigger as kemal.stafsus@gmail.com; Timestamp: Jul 23 2021 1:57 AM</t>
  </si>
  <si>
    <t>https://drive.google.com/open?id=1Qyj9aXKR4xrSlzwLuWRH7abvJRyYgK3-</t>
  </si>
  <si>
    <t>https://drive.google.com/uc?export=view&amp;id=1Qyj9aXKR4xrSlzwLuWRH7abvJRyYgK3-</t>
  </si>
  <si>
    <t>Lisnawati Tri Hastuti, S.Si., M.Si</t>
  </si>
  <si>
    <t>087775878458</t>
  </si>
  <si>
    <t>3201375201920001</t>
  </si>
  <si>
    <t>Kp. Kaliputih RT 2 RW 3 Ds. Citayam Kec. Tajurhalang Kab. Bogor</t>
  </si>
  <si>
    <t>12-01-1992</t>
  </si>
  <si>
    <t>29 tahun 6 bulan</t>
  </si>
  <si>
    <t>Universitas Diponegoro</t>
  </si>
  <si>
    <t>3.72</t>
  </si>
  <si>
    <t>lisnawati.th@gmail.com</t>
  </si>
  <si>
    <t>1-BXGDascwv4fwfmL_ZJVEj19mY7__520DNc8YLvVrwA</t>
  </si>
  <si>
    <t>https://docs.google.com/document/d/1-BXGDascwv4fwfmL_ZJVEj19mY7__520DNc8YLvVrwA/edit?usp=drivesdk</t>
  </si>
  <si>
    <t>Document successfully created; Document successfully merged; Run via form trigger as kemal.stafsus@gmail.com; Timestamp: Jul 24 2021 10:43 AM</t>
  </si>
  <si>
    <t>https://drive.google.com/open?id=14noI6PNQN7OOir8kkU5GGOiNUS3CBZ7w</t>
  </si>
  <si>
    <t>https://drive.google.com/uc?export=view&amp;id=14noI6PNQN7OOir8kkU5GGOiNUS3CBZ7w</t>
  </si>
  <si>
    <t>Hening Windria, M.Sc.</t>
  </si>
  <si>
    <t>085866426626</t>
  </si>
  <si>
    <t>3327094201880011</t>
  </si>
  <si>
    <t>pemalang, jawa tengah</t>
  </si>
  <si>
    <t>Wonogiri</t>
  </si>
  <si>
    <t>02-01-1988</t>
  </si>
  <si>
    <t>33 tahun 7 bulan</t>
  </si>
  <si>
    <t>mathematics and science for primary school</t>
  </si>
  <si>
    <t>universitas negeri semarang</t>
  </si>
  <si>
    <t>pendidikan matematika</t>
  </si>
  <si>
    <t>universitas sriwijaya + Utrecht University</t>
  </si>
  <si>
    <t>international master program on mathematics education (pendidikan matematika)</t>
  </si>
  <si>
    <t>dosen STKIP Surya</t>
  </si>
  <si>
    <t>Bank Syariah Mandiri</t>
  </si>
  <si>
    <t>hsenja@gmail.com</t>
  </si>
  <si>
    <t>1Q9MkW2vqImLVmNLwCeD1Dyc5FkTP6LnYZdJ1D3SmrEg</t>
  </si>
  <si>
    <t>https://docs.google.com/document/d/1Q9MkW2vqImLVmNLwCeD1Dyc5FkTP6LnYZdJ1D3SmrEg/edit?usp=drivesdk</t>
  </si>
  <si>
    <t>Document successfully created; Document successfully merged; Run via form trigger as kemal.stafsus@gmail.com; Timestamp: Jul 24 2021 2:36 PM</t>
  </si>
  <si>
    <t>https://drive.google.com/open?id=1mpq62MYf0-lqoA3xOGSdxW8WKZMyv8mL</t>
  </si>
  <si>
    <t>https://drive.google.com/uc?export=view&amp;id=1mpq62MYf0-lqoA3xOGSdxW8WKZMyv8mL</t>
  </si>
  <si>
    <t>Silma Ikrimah, S. Pd</t>
  </si>
  <si>
    <t>081329185223</t>
  </si>
  <si>
    <t>3327094210980004</t>
  </si>
  <si>
    <t>Baso Sapi Karanganyar RT. 43/RW. 09, Asemdoyong, Taman, Pemalang, Jawa Tengah, 52361</t>
  </si>
  <si>
    <t>02-10-1998</t>
  </si>
  <si>
    <t>22 tahun 8 bulan</t>
  </si>
  <si>
    <t>English, Science, Math</t>
  </si>
  <si>
    <t>S1- Universitas Negeri Semarang</t>
  </si>
  <si>
    <t xml:space="preserve">English Tutor </t>
  </si>
  <si>
    <t>0068401610014867</t>
  </si>
  <si>
    <t>BTN</t>
  </si>
  <si>
    <t>ikrimah.english@gmail.com</t>
  </si>
  <si>
    <t>199P77xpMnOB4ldR9BL5ITmmGLjASncCBrJjUGaJ1ioI</t>
  </si>
  <si>
    <t>https://docs.google.com/document/d/199P77xpMnOB4ldR9BL5ITmmGLjASncCBrJjUGaJ1ioI/edit?usp=drivesdk</t>
  </si>
  <si>
    <t>Document successfully created; Document successfully merged; Run via form trigger as kemal.stafsus@gmail.com; Timestamp: Jul 24 2021 6:44 PM</t>
  </si>
  <si>
    <t>https://drive.google.com/open?id=13JNeWrhWZAD8d1pKBO77E2TIO52hrzWi</t>
  </si>
  <si>
    <t>https://drive.google.com/uc?export=view&amp;id=13JNeWrhWZAD8d1pKBO77E2TIO52hrzWi</t>
  </si>
  <si>
    <t>Ika Yudi Setianingrum, S.Pd.</t>
  </si>
  <si>
    <t>082314007435</t>
  </si>
  <si>
    <t>3326084607970021</t>
  </si>
  <si>
    <t>Jl. Ibnu mujar no. 8 RT 3 RW 8, Kel. Cinere, Kec. Cinere, Depok</t>
  </si>
  <si>
    <t>06-07-1997</t>
  </si>
  <si>
    <t>24 tahun 0 bulan</t>
  </si>
  <si>
    <t>Tutor/Guru Privat di Genius School Semarang</t>
  </si>
  <si>
    <t>Bank BRI</t>
  </si>
  <si>
    <t>ikaysetianingrum.97@gmail.com</t>
  </si>
  <si>
    <t>1XVvaU9uRknPwBDNyOS70-bQNjYgeZ23X5yz0rr8uZ70</t>
  </si>
  <si>
    <t>https://docs.google.com/document/d/1XVvaU9uRknPwBDNyOS70-bQNjYgeZ23X5yz0rr8uZ70/edit?usp=drivesdk</t>
  </si>
  <si>
    <t>Document successfully created; Document successfully merged; Run via form trigger as kemal.stafsus@gmail.com; Timestamp: Jul 24 2021 9:58 PM</t>
  </si>
  <si>
    <t>https://drive.google.com/open?id=1qCrlvxT-98ojv5BdWNTNNM4wsVxkU0z3</t>
  </si>
  <si>
    <t>https://drive.google.com/uc?export=view&amp;id=1qCrlvxT-98ojv5BdWNTNNM4wsVxkU0z3</t>
  </si>
  <si>
    <t>Muhammad Hafidz, S.Pd, M.T</t>
  </si>
  <si>
    <t>081311870186</t>
  </si>
  <si>
    <t>3172030101940004</t>
  </si>
  <si>
    <t>Jalan Melati Tugu 6 No. 2A RT/RW 010/009 Kel. Tugu Utara Kec. Koja Jakarta Utara, DKI JAKARTA</t>
  </si>
  <si>
    <t>Jakarta Utara</t>
  </si>
  <si>
    <t>01-01-1994</t>
  </si>
  <si>
    <t>Guru Fisika</t>
  </si>
  <si>
    <t>Teknik Panas Bumi</t>
  </si>
  <si>
    <t>PT Teknologi Tujuh Asia</t>
  </si>
  <si>
    <t>OpenTurf Technology Pvt. Ltd.</t>
  </si>
  <si>
    <t>7.000.000 - 10.000.000</t>
  </si>
  <si>
    <t>0401351657</t>
  </si>
  <si>
    <t>hafidzcambridge94@gmail.com</t>
  </si>
  <si>
    <t>1l4bgbfjIw3ukjwmYXc3O0naV7rv7Kf4JBDHnvKvhxjg</t>
  </si>
  <si>
    <t>https://docs.google.com/document/d/1l4bgbfjIw3ukjwmYXc3O0naV7rv7Kf4JBDHnvKvhxjg/edit?usp=drivesdk</t>
  </si>
  <si>
    <t>Document successfully created; Document successfully merged; Run via form trigger as kemal.stafsus@gmail.com; Timestamp: Jul 27 2021 1:06 AM</t>
  </si>
  <si>
    <t>https://drive.google.com/open?id=1sFAP_x_-RYt0PFNeyWZK3kzb4cPTEeWy</t>
  </si>
  <si>
    <t>https://drive.google.com/uc?export=view&amp;id=1sFAP_x_-RYt0PFNeyWZK3kzb4cPTEeWy</t>
  </si>
  <si>
    <t>Tazkiyatul Awaliyah, S.Pd</t>
  </si>
  <si>
    <t>083147363407</t>
  </si>
  <si>
    <t>3604195406930007</t>
  </si>
  <si>
    <t>14-06-1993</t>
  </si>
  <si>
    <t>UIN SMH Banten</t>
  </si>
  <si>
    <t>SMK SMP KARYA FAJAR</t>
  </si>
  <si>
    <t>RUMAH BELAJAR SAHABAT</t>
  </si>
  <si>
    <t>AL WILDAN ISLAMIC SCHOOL</t>
  </si>
  <si>
    <t>tazkiyatulawaliyah@gmail.com</t>
  </si>
  <si>
    <t>1Gzs-Fed0z1v_CSC38zG-_pAc_rQhQnmiDVqPjRIeXOU</t>
  </si>
  <si>
    <t>https://docs.google.com/document/d/1Gzs-Fed0z1v_CSC38zG-_pAc_rQhQnmiDVqPjRIeXOU/edit?usp=drivesdk</t>
  </si>
  <si>
    <t>Document successfully created; Document successfully merged; Run via form trigger as kemal.stafsus@gmail.com; Timestamp: Jul 28 2021 2:40 AM</t>
  </si>
  <si>
    <t>https://drive.google.com/open?id=1aK4y_Ld8Efn9JJbV_W6Pe6SOoBrqSBRZ</t>
  </si>
  <si>
    <t>https://drive.google.com/uc?export=view&amp;id=1aK4y_Ld8Efn9JJbV_W6Pe6SOoBrqSBRZ</t>
  </si>
  <si>
    <t>Naila azkiya</t>
  </si>
  <si>
    <t>082299010422</t>
  </si>
  <si>
    <t>3171074907010005</t>
  </si>
  <si>
    <t>Jl. Kebon kacang V, Tanah Abang, Jakarta Pusat</t>
  </si>
  <si>
    <t>09-07-2001</t>
  </si>
  <si>
    <t>Science English Math (LOWER GRADE)</t>
  </si>
  <si>
    <t>nayla.zky@gmail.com</t>
  </si>
  <si>
    <t>11rDd_ybeqYLeQIDnr3SsqyQtNQ-GFTMSpVPXMpvU8Qg</t>
  </si>
  <si>
    <t>https://docs.google.com/document/d/11rDd_ybeqYLeQIDnr3SsqyQtNQ-GFTMSpVPXMpvU8Qg/edit?usp=drivesdk</t>
  </si>
  <si>
    <t>Document successfully created; Document successfully merged; Run via form trigger as kemal.stafsus@gmail.com; Timestamp: Jul 28 2021 9:16 AM</t>
  </si>
  <si>
    <t>https://drive.google.com/open?id=11AvNsF8qUaskO8vC-8cQKzyn-5POO1uN</t>
  </si>
  <si>
    <t>https://drive.google.com/uc?export=view&amp;id=11AvNsF8qUaskO8vC-8cQKzyn-5POO1uN</t>
  </si>
  <si>
    <t>Tiffa Yuki Dewanti, S.Pd., M.Si.</t>
  </si>
  <si>
    <t>08128737394</t>
  </si>
  <si>
    <t>3276055105940005</t>
  </si>
  <si>
    <t>Taman Depok Permai blok D No. 10</t>
  </si>
  <si>
    <t>11-05-1994</t>
  </si>
  <si>
    <t>Ilmu Geografi</t>
  </si>
  <si>
    <t>3.83</t>
  </si>
  <si>
    <t>Guru Geografi - Salemba Group</t>
  </si>
  <si>
    <t>Customer Relation Officer - DPMPTSP DKI Jakarta</t>
  </si>
  <si>
    <t>Guru Geografi - Sony Sugema College</t>
  </si>
  <si>
    <t>tiffayuki94@gmail.com</t>
  </si>
  <si>
    <t>1zyqsNsWOFNsrlbPCZJVCAFZuF1wQHNwc9RoxZs9fyPg</t>
  </si>
  <si>
    <t>https://docs.google.com/document/d/1zyqsNsWOFNsrlbPCZJVCAFZuF1wQHNwc9RoxZs9fyPg/edit?usp=drivesdk</t>
  </si>
  <si>
    <t>Document successfully created; Document successfully merged; Run via form trigger as kemal.stafsus@gmail.com; Timestamp: Jul 31 2021 8:54 AM</t>
  </si>
  <si>
    <t>https://drive.google.com/open?id=1M83ZHz6EJehvJZNR9mf2Sdfa5CmuljTV</t>
  </si>
  <si>
    <t>https://drive.google.com/uc?export=view&amp;id=1M83ZHz6EJehvJZNR9mf2Sdfa5CmuljTV</t>
  </si>
  <si>
    <t>Hasby Ramli</t>
  </si>
  <si>
    <t>082340449199</t>
  </si>
  <si>
    <t>5204080107000035</t>
  </si>
  <si>
    <t>BTN Bukit Permai Seketeng Sumbawa Besar NTB</t>
  </si>
  <si>
    <t>01-07-2000</t>
  </si>
  <si>
    <t>21Tahun</t>
  </si>
  <si>
    <t>Guru Mengaji di Ponpes Abu Bakar Al-Islamy</t>
  </si>
  <si>
    <t>Guru privat mengaji</t>
  </si>
  <si>
    <t>0727684597</t>
  </si>
  <si>
    <t>hasbyramli@gmail.com</t>
  </si>
  <si>
    <t>1UYSRI4bDZl6KJhFj-7gdltXTvGTM5aawVpfJ_Z2cwVQ</t>
  </si>
  <si>
    <t>https://docs.google.com/document/d/1UYSRI4bDZl6KJhFj-7gdltXTvGTM5aawVpfJ_Z2cwVQ/edit?usp=drivesdk</t>
  </si>
  <si>
    <t>Document successfully created; Document successfully merged; Run via form trigger as kemal.stafsus@gmail.com; Timestamp: Jul 31 2021 9:17 AM</t>
  </si>
  <si>
    <t>https://drive.google.com/open?id=1OAqSYbxn9Gyf1Q4TfFX62iAvAWkpdzT_</t>
  </si>
  <si>
    <t>https://drive.google.com/uc?export=view&amp;id=1OAqSYbxn9Gyf1Q4TfFX62iAvAWkpdzT_</t>
  </si>
  <si>
    <t>Akhmad Johar Paridi, S.Pd</t>
  </si>
  <si>
    <t>081381410480</t>
  </si>
  <si>
    <t>5208013112950066</t>
  </si>
  <si>
    <t>Jl haji Ilyas No.38 Rempoa, Ciputat Timur, Tangerang Selatan</t>
  </si>
  <si>
    <t>Dasan Tatar</t>
  </si>
  <si>
    <t>31-12-1995</t>
  </si>
  <si>
    <t xml:space="preserve">25 tahun 7 bulan </t>
  </si>
  <si>
    <t>STIBA Ar-Raayah</t>
  </si>
  <si>
    <t>Pendidikan Bahasa Arab (PBA)</t>
  </si>
  <si>
    <t>Paska S2 UIN Syarief Hidayatullah Jakarta (semester)</t>
  </si>
  <si>
    <t>sebagai Guru Arabic, Muhafidz dan Muaddib</t>
  </si>
  <si>
    <t>SMA 1 Cikembar</t>
  </si>
  <si>
    <t>SMA PGRI 1 Cibadak</t>
  </si>
  <si>
    <t>Bank Syariah Indonesia (BSI)</t>
  </si>
  <si>
    <t>paridiahmad579@gmail.com</t>
  </si>
  <si>
    <t>10ZCVii8xpQGPVmF4VZH4rFSOdideapzhTGt5WZwQoGk</t>
  </si>
  <si>
    <t>https://docs.google.com/document/d/10ZCVii8xpQGPVmF4VZH4rFSOdideapzhTGt5WZwQoGk/edit?usp=drivesdk</t>
  </si>
  <si>
    <t>Document successfully created; Document successfully merged; Run via form trigger as kemal.stafsus@gmail.com; Timestamp: Jul 31 2021 10:59 AM</t>
  </si>
  <si>
    <t>https://drive.google.com/open?id=1HAKmEIJXuYmnpiNYKTnd9ojeG5qXlMKn</t>
  </si>
  <si>
    <t>https://drive.google.com/uc?export=view&amp;id=1HAKmEIJXuYmnpiNYKTnd9ojeG5qXlMKn</t>
  </si>
  <si>
    <t>Wahyudi Husain, S.E.</t>
  </si>
  <si>
    <t>085256308301</t>
  </si>
  <si>
    <t>7301011205920001</t>
  </si>
  <si>
    <t>Jl. Usman Hasbi, RT 04 RW 05, Kel. Jatimulya, Kec. Cilodong, Depok, Jawa Barat. 16413</t>
  </si>
  <si>
    <t>12-05-1992</t>
  </si>
  <si>
    <t>29 tahun 2 bulan</t>
  </si>
  <si>
    <t>Ekonomi dan Sosiologi</t>
  </si>
  <si>
    <t>Ilmu Ekonomi dan Studi Pembangunan</t>
  </si>
  <si>
    <t>Pesantren At-Taqwa Depok; mengerjakan apa saja pada saat bersamaan mulai musyrif/pendamping asrama, tata usaha, desain grafis, video editing, sosial media, sekaligus guru.</t>
  </si>
  <si>
    <t>025701037399506</t>
  </si>
  <si>
    <t>bloghusainwang@gmail.com</t>
  </si>
  <si>
    <t>1l-djuS8FZ_hJ1SOFgY-MjwYkPzOKoe4Nn5HQkGVz1oE</t>
  </si>
  <si>
    <t>https://docs.google.com/document/d/1l-djuS8FZ_hJ1SOFgY-MjwYkPzOKoe4Nn5HQkGVz1oE/edit?usp=drivesdk</t>
  </si>
  <si>
    <t>Document successfully created; Document successfully merged; Run via form trigger as kemal.stafsus@gmail.com; Timestamp: Jul 31 2021 11:43 AM</t>
  </si>
  <si>
    <t>https://drive.google.com/open?id=1K4ZRXGvshwbNj-UNrkdWMfwW23WGHNFd</t>
  </si>
  <si>
    <t>https://drive.google.com/uc?export=view&amp;id=1K4ZRXGvshwbNj-UNrkdWMfwW23WGHNFd</t>
  </si>
  <si>
    <t>Yulvia Zarnis, S.Pd</t>
  </si>
  <si>
    <t>087889544689</t>
  </si>
  <si>
    <t>3173045002981001</t>
  </si>
  <si>
    <t>Jl. Kalianyar Rt/Rw 009/008, kel. Kalianyar, Kec. Tambora Kota Jakarta Barat</t>
  </si>
  <si>
    <t>10 February 1998</t>
  </si>
  <si>
    <t>Universitas Islam Negeri Sultan Maulana Hasanuddin Banten</t>
  </si>
  <si>
    <t>3.54</t>
  </si>
  <si>
    <t>SMK IT Nurul Qolbi Bekasi Utara-Guru Bahasa Inggris</t>
  </si>
  <si>
    <t>1.300.000.00</t>
  </si>
  <si>
    <t>National English Center Jakarta Timur- Freelance Online English Teacher</t>
  </si>
  <si>
    <t>700.000.00</t>
  </si>
  <si>
    <t>ENTER ENGLISH CENTER- Freelance Tutor Bahasa Inggris</t>
  </si>
  <si>
    <t>600.000.00</t>
  </si>
  <si>
    <t>2.500.000.00 Gaji minimal Rata2 guru honorer sekolah di Jakarta</t>
  </si>
  <si>
    <t>yulviazarnis10@gmail.com</t>
  </si>
  <si>
    <t>1cSgR4GkLFuN4O0KBEcRWKtRp-3qvA5snvPaGzuuPhXQ</t>
  </si>
  <si>
    <t>https://docs.google.com/document/d/1cSgR4GkLFuN4O0KBEcRWKtRp-3qvA5snvPaGzuuPhXQ/edit?usp=drivesdk</t>
  </si>
  <si>
    <t>Document successfully created; Document successfully merged; Run via form trigger as kemal.stafsus@gmail.com; Timestamp: Aug 3 2021 10:27 AM</t>
  </si>
  <si>
    <t>https://drive.google.com/open?id=1uHyuph73DsOkeBTM3GfyJ5zJficcm1Ze</t>
  </si>
  <si>
    <t>https://drive.google.com/uc?export=view&amp;id=1uHyuph73DsOkeBTM3GfyJ5zJficcm1Ze</t>
  </si>
  <si>
    <t>Stella Zavera Monica, M.Hum</t>
  </si>
  <si>
    <t>089620510762</t>
  </si>
  <si>
    <t>1371045203890002</t>
  </si>
  <si>
    <t>Pamulang Permai I Jl. Matoa 2 Blok C20 No. 2 RT/RW 05/11, Pamulang Barat, Tangerang Selatan, Banten</t>
  </si>
  <si>
    <t>Solok</t>
  </si>
  <si>
    <t>12-03-1989</t>
  </si>
  <si>
    <t>32 tahun 4 bulan</t>
  </si>
  <si>
    <t>Universitas Andalas</t>
  </si>
  <si>
    <t>Sastra Inggris</t>
  </si>
  <si>
    <t>3.07</t>
  </si>
  <si>
    <t>Ilmu Susastra</t>
  </si>
  <si>
    <t>Dosen di Universitas Al Azhar Indonesia</t>
  </si>
  <si>
    <t>Dosen di Universitas Trisakti</t>
  </si>
  <si>
    <t>Tenaga Pengajar Freelance di BKB Nurul Fikri</t>
  </si>
  <si>
    <t>stellazavera@gmail.com</t>
  </si>
  <si>
    <t>18_J5OXm4cZ65BGnCFFGK-bK1W5uPLJuarWT6kcDIIr0</t>
  </si>
  <si>
    <t>https://docs.google.com/document/d/18_J5OXm4cZ65BGnCFFGK-bK1W5uPLJuarWT6kcDIIr0/edit?usp=drivesdk</t>
  </si>
  <si>
    <t>Document successfully created; Document successfully merged; Run via form trigger as kemal.stafsus@gmail.com; Timestamp: Aug 3 2021 11:27 AM</t>
  </si>
  <si>
    <t>https://drive.google.com/open?id=1i7Z7hH3ARop3gehl4UezwZjEfbZcndlx</t>
  </si>
  <si>
    <t>https://drive.google.com/uc?export=view&amp;id=1i7Z7hH3ARop3gehl4UezwZjEfbZcndlx</t>
  </si>
  <si>
    <t>Edy Yuwono, S.Pd., S.H.</t>
  </si>
  <si>
    <t>081295303515</t>
  </si>
  <si>
    <t>3214040206930002</t>
  </si>
  <si>
    <t>kp.pangkalan
Ds. Palinggihan 005/003
Kec. Plered-Purwakarta</t>
  </si>
  <si>
    <t>Pacitan</t>
  </si>
  <si>
    <t>02-06-1993</t>
  </si>
  <si>
    <t>28 tahun 2 bulan</t>
  </si>
  <si>
    <t>Guru Diniyyah (Aqidah, hadist, Siroh, Fiqih)</t>
  </si>
  <si>
    <t>STDI Imam Syafi'i Jember dan IAIN Jember</t>
  </si>
  <si>
    <t>Hukum keluarga dan pendidikan Agama Islam</t>
  </si>
  <si>
    <t>IPK IAIN Jember (3.68) dan IPK STDI Imam Syafi'i Jember (3,42)</t>
  </si>
  <si>
    <t>proses</t>
  </si>
  <si>
    <t>Guru Agama dan walikelas</t>
  </si>
  <si>
    <t>Travel Umroh saudaraku tour and travel Malang</t>
  </si>
  <si>
    <t>Pengisi Acara di RRI Jember</t>
  </si>
  <si>
    <t>Honorer, karena ketika ditawari teken kontrak belum siap terikat waktu</t>
  </si>
  <si>
    <t>dr.edy.yuwono19@gmail.com</t>
  </si>
  <si>
    <t>1vCL1_2Wib3uB7CSUY0z1lJEvMDHwJjrzxueGJkATUxw</t>
  </si>
  <si>
    <t>https://docs.google.com/document/d/1vCL1_2Wib3uB7CSUY0z1lJEvMDHwJjrzxueGJkATUxw/edit?usp=drivesdk</t>
  </si>
  <si>
    <t>Document successfully created; Document successfully merged; Run via form trigger as kemal.stafsus@gmail.com; Timestamp: Aug 7 2021 9:53 PM</t>
  </si>
  <si>
    <t>https://drive.google.com/open?id=1Xbo1VVkKD8x2L-l3UVsxqBONDa0vifqq</t>
  </si>
  <si>
    <t>https://drive.google.com/uc?export=view&amp;id=1Xbo1VVkKD8x2L-l3UVsxqBONDa0vifqq</t>
  </si>
  <si>
    <t>YONI PUTRA LC.</t>
  </si>
  <si>
    <t>087878549254</t>
  </si>
  <si>
    <t>5203143112920089</t>
  </si>
  <si>
    <t>Jln.sunan Kalijaga timur no IV, RT.001/RT.010, larangan selatan, Tanggerang 15154</t>
  </si>
  <si>
    <t>Omba mamben daya</t>
  </si>
  <si>
    <t>31 Desember 1992</t>
  </si>
  <si>
    <t>PAI (Wali kelas dikelas 2B boy inter )</t>
  </si>
  <si>
    <t xml:space="preserve">Pengajar di Rumah Qur'an Ahsan Bekasi </t>
  </si>
  <si>
    <t>Penanggung jawab ABBA (aku bisa bahasa Arab )Puribeta Tanggerang</t>
  </si>
  <si>
    <t>5,000,000</t>
  </si>
  <si>
    <t>Pengajar di ITAF (institut tafaqquh) Tanggerang</t>
  </si>
  <si>
    <t>6,000,000</t>
  </si>
  <si>
    <t>0257686290</t>
  </si>
  <si>
    <t>yoniputra3121@gmail.com</t>
  </si>
  <si>
    <t>1Y8vEs_su2Q9OjAESeYZLz6Fxpydyz9klRgkeXzMLHn8</t>
  </si>
  <si>
    <t>https://docs.google.com/document/d/1Y8vEs_su2Q9OjAESeYZLz6Fxpydyz9klRgkeXzMLHn8/edit?usp=drivesdk</t>
  </si>
  <si>
    <t>Document successfully created; Document successfully merged; Run via form trigger as kemal.stafsus@gmail.com; Timestamp: Aug 10 2021 12:47 PM</t>
  </si>
  <si>
    <t>https://drive.google.com/open?id=142wWEoDVAc8Er945lvg-Fi2g4UFKhWXA</t>
  </si>
  <si>
    <t>https://drive.google.com/uc?export=view&amp;id=142wWEoDVAc8Er945lvg-Fi2g4UFKhWXA</t>
  </si>
  <si>
    <t>Ahmad Mukhsin</t>
  </si>
  <si>
    <t>085722826258</t>
  </si>
  <si>
    <t>3272042911940041</t>
  </si>
  <si>
    <t>Jl. Sukakarya KM 01 Kel. Sukakarya Kec. Warudoyong Kota Sukabumi</t>
  </si>
  <si>
    <t>29-11-1994</t>
  </si>
  <si>
    <t>26 Tahun 9 Bulan</t>
  </si>
  <si>
    <t>Musyrif (Non-ITBA)</t>
  </si>
  <si>
    <t>Admin Toko Kitab Dar Alamiyyah</t>
  </si>
  <si>
    <t>5.000.000 - 7.000.0000</t>
  </si>
  <si>
    <t>Admin SMPQ Al-Ihsan</t>
  </si>
  <si>
    <t>3.500.000 - 4.500.0000</t>
  </si>
  <si>
    <t>ahmadmukhsin19@gmail.com</t>
  </si>
  <si>
    <t>1vfLpcW1yL2LjmPffAR8KL9OsmRF35YEeBm28D3eEr_k</t>
  </si>
  <si>
    <t>https://docs.google.com/document/d/1vfLpcW1yL2LjmPffAR8KL9OsmRF35YEeBm28D3eEr_k/edit?usp=drivesdk</t>
  </si>
  <si>
    <t>Document successfully created; Document successfully merged; Run via form trigger as kemal.stafsus@gmail.com; Timestamp: Sep 3 2021 3:17 AM</t>
  </si>
  <si>
    <t>https://drive.google.com/open?id=1yyTZais64zyKujnMkHGBBGKVicL8HN_6</t>
  </si>
  <si>
    <t>https://drive.google.com/uc?export=view&amp;id=1yyTZais64zyKujnMkHGBBGKVicL8HN_6</t>
  </si>
  <si>
    <t>Ahmad Fauzi Hardiansyah</t>
  </si>
  <si>
    <t>089630904587</t>
  </si>
  <si>
    <t>3604031311990249</t>
  </si>
  <si>
    <t>13-11-1999</t>
  </si>
  <si>
    <t>BSI ex BSM</t>
  </si>
  <si>
    <t>fauzihardiansyah8486@gmail.com</t>
  </si>
  <si>
    <t>148mmXSR3hh70halMEAVYx2glfg3JMkOPEdbaEvmQFNA</t>
  </si>
  <si>
    <t>https://docs.google.com/document/d/148mmXSR3hh70halMEAVYx2glfg3JMkOPEdbaEvmQFNA/edit?usp=drivesdk</t>
  </si>
  <si>
    <t>Document successfully created; Document successfully merged; Run via form trigger as kemal.stafsus@gmail.com; Timestamp: Sep 3 2021 4:32 AM</t>
  </si>
  <si>
    <t/>
  </si>
  <si>
    <t>Vika Zakiyatun Nisa, S.Pd</t>
  </si>
  <si>
    <t>085711468424</t>
  </si>
  <si>
    <t>31720454089400040</t>
  </si>
  <si>
    <t>Medang Lestari, Pagedangan, Tangerang</t>
  </si>
  <si>
    <t>14-08-1994</t>
  </si>
  <si>
    <t xml:space="preserve">Biology Teacher Madina Islamic School </t>
  </si>
  <si>
    <t>Biology Cambridge Teacher Bakti Mulya 400</t>
  </si>
  <si>
    <t>vikazak14@gmail.com</t>
  </si>
  <si>
    <t>1z2sF5dRFA5w_0B377d3PnsVKb65osgGBU_Bo8mA_sOA</t>
  </si>
  <si>
    <t>https://docs.google.com/document/d/1z2sF5dRFA5w_0B377d3PnsVKb65osgGBU_Bo8mA_sOA/edit?usp=drivesdk</t>
  </si>
  <si>
    <t>Document successfully created; Invalid image URL [], make sure that it is public; Document successfully merged; Run via form trigger as kemal.stafsus@gmail.com; Timestamp: Sep 3 2021 11:36 PM</t>
  </si>
  <si>
    <t>https://drive.google.com/open?id=1IvovL3wJQHgdgYJJVeC3B0g1aoUiv4xO</t>
  </si>
  <si>
    <t>https://drive.google.com/uc?export=view&amp;id=1IvovL3wJQHgdgYJJVeC3B0g1aoUiv4xO</t>
  </si>
  <si>
    <t>Zaenudin ramdhani Amd.kep</t>
  </si>
  <si>
    <t>085883443912</t>
  </si>
  <si>
    <t>3671021401960003</t>
  </si>
  <si>
    <t>Jl. Swadaya no. 20 rt02/04 kel.Kelapa dua Kec. Kelapa dua kab. Tangerang</t>
  </si>
  <si>
    <t>14-01-1996</t>
  </si>
  <si>
    <t>Perawat</t>
  </si>
  <si>
    <t>Tenaga Kesehatan</t>
  </si>
  <si>
    <t>Al-Wildan 3 BSD City</t>
  </si>
  <si>
    <t>Akademi Keperawatan Islamic Village Tangerang</t>
  </si>
  <si>
    <t>D3</t>
  </si>
  <si>
    <t xml:space="preserve">Perawat pelaksana </t>
  </si>
  <si>
    <t>0102185307100</t>
  </si>
  <si>
    <t>BJB</t>
  </si>
  <si>
    <t>zaenudinramdhani14@gmail.com</t>
  </si>
  <si>
    <t>1xK9nAQhob92kYfLJiVRyF4DjTW8hlzUAfwpJFpytSCU</t>
  </si>
  <si>
    <t>https://docs.google.com/document/d/1xK9nAQhob92kYfLJiVRyF4DjTW8hlzUAfwpJFpytSCU/edit?usp=drivesdk</t>
  </si>
  <si>
    <t>Document successfully created; Invalid image URL [https://drive.google.com/uc?export=view&amp;id=1IvovL3wJQHgdgYJJVeC3B0g1aoUiv4xO], make sure that it is public; Document successfully merged; Run via form trigger as kemal.stafsus@gmail.com; Timestamp: Sep 8 2021 10:41 PM</t>
  </si>
  <si>
    <t>https://drive.google.com/open?id=1u-PFEe2MzaIkyHfmIcJDjQgpCf8O1tvm</t>
  </si>
  <si>
    <t>https://drive.google.com/uc?export=view&amp;id=1u-PFEe2MzaIkyHfmIcJDjQgpCf8O1tvm</t>
  </si>
  <si>
    <t>Abdul mujieb S,kep.ners</t>
  </si>
  <si>
    <t>085237384599</t>
  </si>
  <si>
    <t>5206162907921002</t>
  </si>
  <si>
    <t>jln Nn kp cicayur kec.kelapa dua kab tangerang</t>
  </si>
  <si>
    <t>Lere kabupaten bima</t>
  </si>
  <si>
    <t>29-07-1992</t>
  </si>
  <si>
    <t>STIKPER GUNUNG SARI MAKASSAR</t>
  </si>
  <si>
    <t>Keperawatan</t>
  </si>
  <si>
    <t>Staff</t>
  </si>
  <si>
    <t>0722989876</t>
  </si>
  <si>
    <t>mujieb290792@gmail.com</t>
  </si>
  <si>
    <t>1wRvtdMLz7YhJcrvRDdJFEkGsnZBJVqiNbmTMT-Rz6Uw</t>
  </si>
  <si>
    <t>https://docs.google.com/document/d/1wRvtdMLz7YhJcrvRDdJFEkGsnZBJVqiNbmTMT-Rz6Uw/edit?usp=drivesdk</t>
  </si>
  <si>
    <t>Document successfully created; Document successfully merged; Run via form trigger as kemal.stafsus@gmail.com; Timestamp: Sep 13 2021 9:58 PM</t>
  </si>
  <si>
    <t>https://drive.google.com/open?id=1jFKM1luI3u9o2wySMuIMLFOagfcXKWLg</t>
  </si>
  <si>
    <t>https://drive.google.com/uc?export=view&amp;id=1jFKM1luI3u9o2wySMuIMLFOagfcXKWLg</t>
  </si>
  <si>
    <t>Titi Dwi Rabbani</t>
  </si>
  <si>
    <t>085782935554</t>
  </si>
  <si>
    <t>3674024910950001</t>
  </si>
  <si>
    <t>Jl Patal 9 No 2 Rt 7 Rw 3, Pondok Serut, Kel. Paku Jaya, Kec. Serpong Utara, Tangerang Selatan</t>
  </si>
  <si>
    <t>09-10-1995</t>
  </si>
  <si>
    <t>Shopee Indonesia: Analis Produk</t>
  </si>
  <si>
    <t>Aksi Cepat Tanggap: Influencer Management and Content Writer</t>
  </si>
  <si>
    <t>SMP dan SMA Abu Dzar: Guru Bahasa Inggris</t>
  </si>
  <si>
    <t>Gaji pokok 1.000.000, gaji sesuai hari masuk: 80.000 perhari</t>
  </si>
  <si>
    <t>titi.dwirabbani95@gmail.com</t>
  </si>
  <si>
    <t>1VcHnJEvOPSc4hfVSCNR7H9c6aSUYs0Nzm_PiLCwTyZU</t>
  </si>
  <si>
    <t>https://docs.google.com/document/d/1VcHnJEvOPSc4hfVSCNR7H9c6aSUYs0Nzm_PiLCwTyZU/edit?usp=drivesdk</t>
  </si>
  <si>
    <t>Document successfully created; Document successfully merged; Run via form trigger as kemal.stafsus@gmail.com; Timestamp: Sep 22 2021 8:24 AM</t>
  </si>
  <si>
    <t>https://drive.google.com/open?id=1Eq0n9ocKpUh7bX-lZUGSb4t0zLMWQk5M</t>
  </si>
  <si>
    <t>https://drive.google.com/uc?export=view&amp;id=1Eq0n9ocKpUh7bX-lZUGSb4t0zLMWQk5M</t>
  </si>
  <si>
    <t>Hafiz Faisal Jamil, S.Pd</t>
  </si>
  <si>
    <t>085780963610</t>
  </si>
  <si>
    <t>3175021009920001</t>
  </si>
  <si>
    <t>Jl. Sepakat IX No. 42, Cilangkap</t>
  </si>
  <si>
    <t>10-09-1992</t>
  </si>
  <si>
    <t>29 Tahun 13 Hari</t>
  </si>
  <si>
    <t>Tata Usaha (Pendidikan), Tata Usaha (Boarding/Asrama)</t>
  </si>
  <si>
    <t>Staf (Honorer) Sekretariat Tata Persuratan dan Arsip Jaksa Agung Muda Bidang Tindak Pidana Umum Kejaksaan Agung Republik Indonesia</t>
  </si>
  <si>
    <t>0060009737564</t>
  </si>
  <si>
    <t>10992afizal@gmail.com</t>
  </si>
  <si>
    <t>1L2dDT88EZmprM6Q0Gj7052hh3xwZ30p82m-W6MMOA7w</t>
  </si>
  <si>
    <t>https://docs.google.com/document/d/1L2dDT88EZmprM6Q0Gj7052hh3xwZ30p82m-W6MMOA7w/edit?usp=drivesdk</t>
  </si>
  <si>
    <t>Document successfully created; Document successfully merged; Run via form trigger as kemal.stafsus@gmail.com; Timestamp: Sep 22 2021 10:33 PM</t>
  </si>
  <si>
    <t>https://drive.google.com/open?id=1qyVm0OMjwcPMLEogLb73V4VY8F-bC-DW</t>
  </si>
  <si>
    <t>https://drive.google.com/uc?export=view&amp;id=1qyVm0OMjwcPMLEogLb73V4VY8F-bC-DW</t>
  </si>
  <si>
    <t xml:space="preserve">Salza Aisyah Manora </t>
  </si>
  <si>
    <t>089686152575</t>
  </si>
  <si>
    <t>3204086204970009</t>
  </si>
  <si>
    <t>Griya Bandung Asri 3 Blok A1 no 5</t>
  </si>
  <si>
    <t>diniyyah</t>
  </si>
  <si>
    <t>syari'ah</t>
  </si>
  <si>
    <t>Pengajar private al-qur'an</t>
  </si>
  <si>
    <t xml:space="preserve">250.000 per jam </t>
  </si>
  <si>
    <t xml:space="preserve">Pengajar private nahwu </t>
  </si>
  <si>
    <t>salzaisyahm@gmail.com</t>
  </si>
  <si>
    <t>1DHfpT1JB4PzbFUozE0JnZra3BkUk7r8CUzTp6OhVLaA</t>
  </si>
  <si>
    <t>https://docs.google.com/document/d/1DHfpT1JB4PzbFUozE0JnZra3BkUk7r8CUzTp6OhVLaA/edit?usp=drivesdk</t>
  </si>
  <si>
    <t>Document successfully created; Document successfully merged; Run via form trigger as kemal.stafsus@gmail.com; Timestamp: Sep 23 2021 3:20 AM</t>
  </si>
  <si>
    <t>https://drive.google.com/open?id=1CR14y8Zadt1JLs9ViKs8IEKyUhMUP__9</t>
  </si>
  <si>
    <t>https://drive.google.com/uc?export=view&amp;id=1CR14y8Zadt1JLs9ViKs8IEKyUhMUP__9</t>
  </si>
  <si>
    <t>Fajar Rahadi Nugroho</t>
  </si>
  <si>
    <t>085647476265</t>
  </si>
  <si>
    <t>3372022412910002</t>
  </si>
  <si>
    <t>JL. H. Kojar Rt 001 Rw 004 Jurangmangu Barat, Pondok Aren, Tangerang Selatan</t>
  </si>
  <si>
    <t>24-12-1991</t>
  </si>
  <si>
    <t>Tata Usaha (Boarding/Asrama)</t>
  </si>
  <si>
    <t>Sekolah Tinggi Ilmu Ekonomi Dr. Moechtar Talib</t>
  </si>
  <si>
    <t>S1 Akuntansi</t>
  </si>
  <si>
    <t>Staf Administrasi &amp; Keuangan - PT Hasna Kreasi Interindo (Desember 2018 - saat ini)</t>
  </si>
  <si>
    <t>Staf Administrasi Perkantoran - PT Asy Syirkah Indonesia (Februari 2017 - November 2018)</t>
  </si>
  <si>
    <t>Staf Administrasi - PT Citra Van Titipan Kilat (Januari 2016 - Januari 2017)</t>
  </si>
  <si>
    <t>Bank Central Asia - a/n Fajar Rahadi Nugroho</t>
  </si>
  <si>
    <t>fajarrahadinugroho@gmail.com</t>
  </si>
  <si>
    <t>17rRfG4WlhJlmlC8uQcIjX30lJy6WiBhBH-8_Z0xrOXs</t>
  </si>
  <si>
    <t>https://docs.google.com/document/d/17rRfG4WlhJlmlC8uQcIjX30lJy6WiBhBH-8_Z0xrOXs/edit?usp=drivesdk</t>
  </si>
  <si>
    <t>Document successfully created; Document successfully merged; Run via form trigger as kemal.stafsus@gmail.com; Timestamp: Sep 23 2021 4:58 AM</t>
  </si>
  <si>
    <t>https://drive.google.com/open?id=1gdh0dl9hesWuTnk6LjktrDYS7X8A1F-e</t>
  </si>
  <si>
    <t>https://drive.google.com/uc?export=view&amp;id=1gdh0dl9hesWuTnk6LjktrDYS7X8A1F-e</t>
  </si>
  <si>
    <t>Nurul Hudaya, S.Si</t>
  </si>
  <si>
    <t>081585322429</t>
  </si>
  <si>
    <t>3216161112860001</t>
  </si>
  <si>
    <t>Kp. Batujaya, No.09, Rt.02/Rw.01, Desa. Lenggahjaya, Kec. Cabangbungin, Kab. Bekasi</t>
  </si>
  <si>
    <t>Kulon Progo</t>
  </si>
  <si>
    <t>11-12-1986</t>
  </si>
  <si>
    <t>34 tahun 9 bulan</t>
  </si>
  <si>
    <t>2.93</t>
  </si>
  <si>
    <t>Pesantren Terpadu Daarul Fikri Cikarang Barat
1. Kepala Tenaga Administrasi Sekolah 2018-2019
2. Guru dan Wali Kelas 2016-2018
3. Guru Kelas 2015-2016</t>
  </si>
  <si>
    <t>Madrasah Ibtidaiyah An-Nur Teluk Bintuni
1. Kepala Sekolah 2014-2015
2. Guru Mata Pelajaran Umum 2013-2014</t>
  </si>
  <si>
    <t>Bank Syariah Mandiri (BSM)</t>
  </si>
  <si>
    <t>nhudaya.86@gmail.com</t>
  </si>
  <si>
    <t>142l56Bq5kJ6FGaqJ_atNU6d9HZRClV6JN8ZhQNZrCcQ</t>
  </si>
  <si>
    <t>https://docs.google.com/document/d/142l56Bq5kJ6FGaqJ_atNU6d9HZRClV6JN8ZhQNZrCcQ/edit?usp=drivesdk</t>
  </si>
  <si>
    <t>Document successfully created; Document successfully merged; Run via form trigger as kemal.stafsus@gmail.com; Timestamp: Sep 30 2021 10:24 AM</t>
  </si>
  <si>
    <t>https://drive.google.com/open?id=12esORQH_pnD6EiaOw4B2MVhC1UrbuKxj</t>
  </si>
  <si>
    <t>https://drive.google.com/uc?export=view&amp;id=12esORQH_pnD6EiaOw4B2MVhC1UrbuKxj</t>
  </si>
  <si>
    <t xml:space="preserve">Nadia Noerfaradilla, Amd. Keb, SKM. </t>
  </si>
  <si>
    <t>+6287781958018</t>
  </si>
  <si>
    <t>3275086102960009</t>
  </si>
  <si>
    <t xml:space="preserve">Jl. Swadaya 3, no. 37 RT 004/002, Jatiwaringin, Pondok gede, Bekasi (17411) </t>
  </si>
  <si>
    <t>21/02/1996</t>
  </si>
  <si>
    <t>Esa Unggul</t>
  </si>
  <si>
    <t xml:space="preserve">Kesehatan Masyarakat </t>
  </si>
  <si>
    <t xml:space="preserve">Tenaga medis </t>
  </si>
  <si>
    <t>Guru les bimbel dan mengaji</t>
  </si>
  <si>
    <t>099501048583538</t>
  </si>
  <si>
    <t>dillafirdaus21@gmail.com</t>
  </si>
  <si>
    <t>1FXRSYxJTEdFNBaQGGX5aaOPSa-EfpIu13qFSIyDqVYs</t>
  </si>
  <si>
    <t>https://docs.google.com/document/d/1FXRSYxJTEdFNBaQGGX5aaOPSa-EfpIu13qFSIyDqVYs/edit?usp=drivesdk</t>
  </si>
  <si>
    <t>Document successfully created; Document successfully merged; Run via form trigger as kemal.stafsus@gmail.com; Timestamp: Oct 3 2021 3:43 AM</t>
  </si>
  <si>
    <t>https://drive.google.com/open?id=1LWHF_RYX3dDckktjddjDKAZJSTat6nY3</t>
  </si>
  <si>
    <t>https://drive.google.com/uc?export=view&amp;id=1LWHF_RYX3dDckktjddjDKAZJSTat6nY3</t>
  </si>
  <si>
    <t>Yunanto Widyatomo S.Psi,.</t>
  </si>
  <si>
    <t>081283488662</t>
  </si>
  <si>
    <t>Kalisuren Green Garden A1-5, Tajurhalang - Bogor</t>
  </si>
  <si>
    <t>06-06-1973</t>
  </si>
  <si>
    <t>48 tahun 4 bulan - Masehi</t>
  </si>
  <si>
    <t>Management, Guru Bimbingan Konseling</t>
  </si>
  <si>
    <t>Universitas Mercu Buana Jakarta</t>
  </si>
  <si>
    <t>Al Sudais Indonesia Foundation - Al Wafi IBS</t>
  </si>
  <si>
    <t>10,500,000</t>
  </si>
  <si>
    <t xml:space="preserve">Al Wildan Intl' School </t>
  </si>
  <si>
    <t>11,500,000</t>
  </si>
  <si>
    <t>tomee7366@gmail.com</t>
  </si>
  <si>
    <t>1rTuzohmMSDtNTTR_QGFPATIjBxzv18zP34l235HErTg</t>
  </si>
  <si>
    <t>https://docs.google.com/document/d/1rTuzohmMSDtNTTR_QGFPATIjBxzv18zP34l235HErTg/edit?usp=drivesdk</t>
  </si>
  <si>
    <t>Document successfully created; Invalid image URL [https://drive.google.com/uc?export=view&amp;id=1LWHF_RYX3dDckktjddjDKAZJSTat6nY3], make sure that it is public; Document successfully merged; Run via form trigger as kemal.stafsus@gmail.com; Timestamp: Oct 5 2021 11:45 PM</t>
  </si>
  <si>
    <t>https://drive.google.com/open?id=1vZf76-W6NUFb32m3QTL2qtStDm7ELE-k</t>
  </si>
  <si>
    <t>https://drive.google.com/uc?export=view&amp;id=1vZf76-W6NUFb32m3QTL2qtStDm7ELE-k</t>
  </si>
  <si>
    <t>Zamzam Ibnu Sina, M.Sc</t>
  </si>
  <si>
    <t>089655807154</t>
  </si>
  <si>
    <t>3277031211900011</t>
  </si>
  <si>
    <t>Griya Ganesha F8 no.35, Perum Telaga Kahuripan, Kec. Kemang, Kab. Bogor</t>
  </si>
  <si>
    <t>12-11-1990</t>
  </si>
  <si>
    <t>Matematika Cambridge</t>
  </si>
  <si>
    <t>King Fahd University of Petroleum and Minerals</t>
  </si>
  <si>
    <t>Physics</t>
  </si>
  <si>
    <t>Koordinator di pelatihan-osn.com (lembaga swasta)</t>
  </si>
  <si>
    <t>Pengajar Matematika Cambridge</t>
  </si>
  <si>
    <t>zamzam.abuahmad@gmail.com</t>
  </si>
  <si>
    <t>1NDNyw6-gBE6SwcxGGcBtygz-QNl4L6tIHkbb36RigvE</t>
  </si>
  <si>
    <t>https://docs.google.com/document/d/1NDNyw6-gBE6SwcxGGcBtygz-QNl4L6tIHkbb36RigvE/edit?usp=drivesdk</t>
  </si>
  <si>
    <t>Document successfully created; Invalid image URL [https://drive.google.com/uc?export=view&amp;id=1vZf76-W6NUFb32m3QTL2qtStDm7ELE-k], make sure that it is public; Document successfully merged; Run via form trigger as kemal.stafsus@gmail.com; Timestamp: Oct 10 2021 9:41 PM</t>
  </si>
  <si>
    <t>https://drive.google.com/open?id=1UVyzXtkmCYGTW5BQQEb7FgS5oA5QvMC7</t>
  </si>
  <si>
    <t>https://drive.google.com/uc?export=view&amp;id=1UVyzXtkmCYGTW5BQQEb7FgS5oA5QvMC7</t>
  </si>
  <si>
    <t>Deli Yusuf Saputra, S.Si.</t>
  </si>
  <si>
    <t>082138058583</t>
  </si>
  <si>
    <t>3603282205920001</t>
  </si>
  <si>
    <t xml:space="preserve">Azalea Garden, Cluster Bunga Blok A3/17, Kel. Daru, Kec. Jambe, Kab. Tangerang 15720 </t>
  </si>
  <si>
    <t>22-05-1992</t>
  </si>
  <si>
    <t>29 tahun 4 bulan</t>
  </si>
  <si>
    <t>Mathematics (Cambridge)</t>
  </si>
  <si>
    <t>2.63</t>
  </si>
  <si>
    <t>Universitas Negeri Jakarta (Progress)</t>
  </si>
  <si>
    <t>Pendidikan Fisika (Progress)</t>
  </si>
  <si>
    <t>3.67 (Sementara)</t>
  </si>
  <si>
    <t>Mathematics and Physics Science for Cambridge Lower Secondary Level - Sekolah Tunas Indonesia (2017 - 2019)</t>
  </si>
  <si>
    <t>Mathematics and Physics Science for Cambridge Lower Secondary Level - Sekolah Tunas Indonesia (2019 - sekarang)</t>
  </si>
  <si>
    <t>Bank CIMB Niaga Syariah</t>
  </si>
  <si>
    <t>deliyusufsaputra@gmail.com</t>
  </si>
  <si>
    <t>1X-P6pmPTTuM4B52gkW3v1cn1juVqjnbfB_Xz3UUJvfQ</t>
  </si>
  <si>
    <t>https://docs.google.com/document/d/1X-P6pmPTTuM4B52gkW3v1cn1juVqjnbfB_Xz3UUJvfQ/edit?usp=drivesdk</t>
  </si>
  <si>
    <t>Document successfully created; Document successfully merged; Run via form trigger as kemal.stafsus@gmail.com; Timestamp: Oct 10 2021 11:04 PM</t>
  </si>
  <si>
    <t>https://drive.google.com/open?id=11N5Krzz1EgQ8ve42wIaty8vqk8ZAiHHc</t>
  </si>
  <si>
    <t>https://drive.google.com/uc?export=view&amp;id=11N5Krzz1EgQ8ve42wIaty8vqk8ZAiHHc</t>
  </si>
  <si>
    <t xml:space="preserve">Zaenal Umar Nur Islami, S. Pd. </t>
  </si>
  <si>
    <t>085714388100</t>
  </si>
  <si>
    <t>3201111501820001</t>
  </si>
  <si>
    <t>Jl. Atma Asnawi Kampung Gulusur, RT 01/07 No. 37 Kecamatan Gunung Sindur, Bogor</t>
  </si>
  <si>
    <t>15-01-1992</t>
  </si>
  <si>
    <t>UIN JAKARTA</t>
  </si>
  <si>
    <t>SD Al-Zahra Indonesia</t>
  </si>
  <si>
    <t>PT Kangaroo Ausindo</t>
  </si>
  <si>
    <t>umarzaenal1992@gmail.com</t>
  </si>
  <si>
    <t>1UBvS8RdDb2rmki0IUQuSt1pO8zZ0zlCcayfUmnhbnjg</t>
  </si>
  <si>
    <t>https://docs.google.com/document/d/1UBvS8RdDb2rmki0IUQuSt1pO8zZ0zlCcayfUmnhbnjg/edit?usp=drivesdk</t>
  </si>
  <si>
    <t>Document successfully created; Document successfully merged; Run via form trigger as kemal.stafsus@gmail.com; Timestamp: Oct 11 2021 3:05 AM</t>
  </si>
  <si>
    <t>https://drive.google.com/open?id=1nEne_vYAWS9AmvIVZ6BDc-b87XFpn-lt</t>
  </si>
  <si>
    <t>https://drive.google.com/uc?export=view&amp;id=1nEne_vYAWS9AmvIVZ6BDc-b87XFpn-lt</t>
  </si>
  <si>
    <t>Shabrina Aulia, S.IA</t>
  </si>
  <si>
    <t>081286743564</t>
  </si>
  <si>
    <t>3175045809930002</t>
  </si>
  <si>
    <t>Jl. Melati 2 No. 3 RT/RW 1/9, Kelurahan Jatiwarna, Kecamatan Pondok Melati, Kota Bekasi</t>
  </si>
  <si>
    <t>18-09-1993</t>
  </si>
  <si>
    <t>sosiologi</t>
  </si>
  <si>
    <t>Ilmu Administrasi Negara</t>
  </si>
  <si>
    <t>Guru Sosiologi-Ekonomi SMA-Pondok Pesantren Ulul Ilmi</t>
  </si>
  <si>
    <t xml:space="preserve">Staff Pengembangan Program dan Produk-Aksi Cepat Tanggap </t>
  </si>
  <si>
    <t>0628351571</t>
  </si>
  <si>
    <t>shabrinabsmeri@gmail.com</t>
  </si>
  <si>
    <t>1bRZ5COWltTKYK_UOEQ1enWkAO2YLjJt5L5a1EjN51iY</t>
  </si>
  <si>
    <t>https://docs.google.com/document/d/1bRZ5COWltTKYK_UOEQ1enWkAO2YLjJt5L5a1EjN51iY/edit?usp=drivesdk</t>
  </si>
  <si>
    <t>Document successfully created; Document successfully merged; Run via form trigger as kemal.stafsus@gmail.com; Timestamp: Oct 14 2021 10:52 PM</t>
  </si>
  <si>
    <t>https://drive.google.com/open?id=1m_vvL3OiiQ5twA6NwC2TH1vnixDvfPwt</t>
  </si>
  <si>
    <t>https://drive.google.com/uc?export=view&amp;id=1m_vvL3OiiQ5twA6NwC2TH1vnixDvfPwt</t>
  </si>
  <si>
    <t xml:space="preserve">Muhammad Zaelani, S.T </t>
  </si>
  <si>
    <t>1771012208820001</t>
  </si>
  <si>
    <t xml:space="preserve">Perumahan Citra indah city cluster magnolia Kecamatan Jonggol Kabupaten Bogor </t>
  </si>
  <si>
    <t xml:space="preserve">Curup Bengkulu </t>
  </si>
  <si>
    <t xml:space="preserve">Teknik Kimia </t>
  </si>
  <si>
    <t xml:space="preserve">Direktur Pendidikan IDN Boarding School </t>
  </si>
  <si>
    <t xml:space="preserve">Dewan Direksi dan Sekretaris Yayasan Nuraida Islamic Boarding School </t>
  </si>
  <si>
    <t xml:space="preserve">Kepala Sekolah Bintang Pelajar Islamic Boarding School </t>
  </si>
  <si>
    <t>muhammadzaelani82@gmail.com</t>
  </si>
  <si>
    <t>1L9gl6qfSdzd54mnley6uUFzkTBQwbs-zsLAZ35wniS0</t>
  </si>
  <si>
    <t>https://docs.google.com/document/d/1L9gl6qfSdzd54mnley6uUFzkTBQwbs-zsLAZ35wniS0/edit?usp=drivesdk</t>
  </si>
  <si>
    <t>Document successfully created; Document successfully merged; Run via form trigger as kemal.stafsus@gmail.com; Timestamp: Oct 15 2021 12:51 AM</t>
  </si>
  <si>
    <t>https://drive.google.com/open?id=1VA2nWCNLQZb15KnRI6x6jxzE2-Oap3Tj</t>
  </si>
  <si>
    <t>https://drive.google.com/uc?export=view&amp;id=1VA2nWCNLQZb15KnRI6x6jxzE2-Oap3Tj</t>
  </si>
  <si>
    <t>Jihan Muhammad Salik, S.Si</t>
  </si>
  <si>
    <t>08975244264</t>
  </si>
  <si>
    <t>3278082910960008</t>
  </si>
  <si>
    <t>29-10-1996</t>
  </si>
  <si>
    <t>PAI English</t>
  </si>
  <si>
    <t>QC Supervisor</t>
  </si>
  <si>
    <t>muhammadsalikj@gmail.com</t>
  </si>
  <si>
    <t>1i6rgKcmtLoNq5a730gcZM_7Q0iNs_L5QVPUY-3S5D-w</t>
  </si>
  <si>
    <t>https://docs.google.com/document/d/1i6rgKcmtLoNq5a730gcZM_7Q0iNs_L5QVPUY-3S5D-w/edit?usp=drivesdk</t>
  </si>
  <si>
    <t>Document successfully created; Document successfully merged; Run via form trigger as kemal.stafsus@gmail.com; Timestamp: Oct 16 2021 10:31 AM</t>
  </si>
  <si>
    <t>https://drive.google.com/open?id=1pc7tMC6pmtvm1dRK8lNHFdlFOlJq0fM6</t>
  </si>
  <si>
    <t>https://drive.google.com/uc?export=view&amp;id=1pc7tMC6pmtvm1dRK8lNHFdlFOlJq0fM6</t>
  </si>
  <si>
    <t>Yuto Wahyuto, S.E</t>
  </si>
  <si>
    <t>085647534847</t>
  </si>
  <si>
    <t>3275032708850033</t>
  </si>
  <si>
    <t>Perum Griya Cimuning Asri II Blok C No. 8 Rt/Rw 01/05 Kel: Cimuning Kec: Mustika Jaya
Kota:Bekasi Jawa Barat</t>
  </si>
  <si>
    <t>27-08-1985</t>
  </si>
  <si>
    <t>36 tahun 2 Bulan</t>
  </si>
  <si>
    <t>UIN Syarif Hidayatulllah Jakarta</t>
  </si>
  <si>
    <t>Ekonomi manajemen</t>
  </si>
  <si>
    <t>UNS (on going)</t>
  </si>
  <si>
    <t>Guru ekonomi dan bahasa inggris untuk SMAP dan SMA di SSC mutiara gading dan Beberapa sekolah/ ma'ad rekanan</t>
  </si>
  <si>
    <t>7-8 juta</t>
  </si>
  <si>
    <t>7-8 Juta/ bulan</t>
  </si>
  <si>
    <t>yuto.w@student.uns.ac.id</t>
  </si>
  <si>
    <t>1mvzookh4xk1f3Y_esp6j9a1h3z7lx73mr5th6sebz1c</t>
  </si>
  <si>
    <t>https://docs.google.com/document/d/1mvzookh4xk1f3Y_esp6j9a1h3z7lx73mr5th6sebz1c/edit?usp=drivesdk</t>
  </si>
  <si>
    <t>Document successfully created; Invalid image URL [https://drive.google.com/uc?export=view&amp;id=1pc7tMC6pmtvm1dRK8lNHFdlFOlJq0fM6], make sure that it is public; Document successfully merged; Run via form trigger as kemal.stafsus@gmail.com; Timestamp: Oct 21 2021 4:21 AM</t>
  </si>
  <si>
    <t>https://drive.google.com/open?id=1c5Tric8kcVBQbDMMTD5JaHHPfdR9r4Nk</t>
  </si>
  <si>
    <t>https://drive.google.com/uc?export=view&amp;id=1c5Tric8kcVBQbDMMTD5JaHHPfdR9r4Nk</t>
  </si>
  <si>
    <t>Muhammad Anshor Waliyullah</t>
  </si>
  <si>
    <t>082191711026</t>
  </si>
  <si>
    <t>7371142604980001</t>
  </si>
  <si>
    <t>Jl tamalanrea Raya poros BTP M/26 . Makassar, Sul-Sel</t>
  </si>
  <si>
    <t>26-04-1998</t>
  </si>
  <si>
    <t>23 Tahun 6 bulan</t>
  </si>
  <si>
    <t>Musyrif dan muhafiz</t>
  </si>
  <si>
    <t>anshor2602@gmail.com</t>
  </si>
  <si>
    <t>1CISRrYKMgG8cHiH2hXMKzNukTH03fudt1vapz69LXrs</t>
  </si>
  <si>
    <t>https://docs.google.com/document/d/1CISRrYKMgG8cHiH2hXMKzNukTH03fudt1vapz69LXrs/edit?usp=drivesdk</t>
  </si>
  <si>
    <t>Document successfully created; Document successfully merged; Run via form trigger as kemal.stafsus@gmail.com; Timestamp: Oct 25 2021 2:09 PM</t>
  </si>
  <si>
    <t>https://drive.google.com/open?id=1zg8NI2ftPvw_WvqvT31q1WfXOEE0wTLR</t>
  </si>
  <si>
    <t>https://drive.google.com/uc?export=view&amp;id=1zg8NI2ftPvw_WvqvT31q1WfXOEE0wTLR</t>
  </si>
  <si>
    <t xml:space="preserve">Muhammad Abdullah </t>
  </si>
  <si>
    <t>085780788429</t>
  </si>
  <si>
    <t>3172030908010004</t>
  </si>
  <si>
    <t>Kp. Pasir Tengah Ds. Sukaharja rt/rw 004/003 No. 04  Kec. Cijeruk Kab.Bogor</t>
  </si>
  <si>
    <t>09-08-2001</t>
  </si>
  <si>
    <t>1 tahun</t>
  </si>
  <si>
    <t>hmadbajre@gmail.com</t>
  </si>
  <si>
    <t>15Qd31Gtlj9RMaLLlIVgY8kVaKJwzLzpFL1911u_xqDo</t>
  </si>
  <si>
    <t>https://docs.google.com/document/d/15Qd31Gtlj9RMaLLlIVgY8kVaKJwzLzpFL1911u_xqDo/edit?usp=drivesdk</t>
  </si>
  <si>
    <t>Document successfully created; Document successfully merged; Run via form trigger as kemal.stafsus@gmail.com; Timestamp: Oct 28 2021 1:32 AM</t>
  </si>
  <si>
    <t>https://drive.google.com/open?id=13WjDlojsagLWD9GWcJHZPVQLnWDKsQAi</t>
  </si>
  <si>
    <t>https://drive.google.com/uc?export=view&amp;id=13WjDlojsagLWD9GWcJHZPVQLnWDKsQAi</t>
  </si>
  <si>
    <t>Ardhian Nrawang Cahyo, S.Pd.</t>
  </si>
  <si>
    <t>081311263496</t>
  </si>
  <si>
    <t>3674032808960007</t>
  </si>
  <si>
    <t>Jalan Pandan Kebon Kopi No. 54 RT 08 / 04
Kelurahan Pondok Betung
Kecamatan Pondok Aren
Kota Tangerang Selatan, Banten, 15221</t>
  </si>
  <si>
    <t>28-08-1996</t>
  </si>
  <si>
    <t>2.91</t>
  </si>
  <si>
    <t>052101019773507</t>
  </si>
  <si>
    <t>BRI (Bank Rakyat Indonesia)</t>
  </si>
  <si>
    <t>ardhiannrc@gmail.com</t>
  </si>
  <si>
    <t>1PYXjscKbpYWwYzlc8XfnQ3JineAvFsCGnUcPbUUFLNE</t>
  </si>
  <si>
    <t>https://docs.google.com/document/d/1PYXjscKbpYWwYzlc8XfnQ3JineAvFsCGnUcPbUUFLNE/edit?usp=drivesdk</t>
  </si>
  <si>
    <t>Document successfully created; Invalid image URL [https://drive.google.com/uc?export=view&amp;id=13WjDlojsagLWD9GWcJHZPVQLnWDKsQAi], make sure that it is public; Document successfully merged; Run via form trigger as kemal.stafsus@gmail.com; Timestamp: Oct 30 2021 9:30 AM</t>
  </si>
  <si>
    <t>https://drive.google.com/open?id=1hB9_Afkj7VcMt_4uDYa_C1-UAiIokvfu</t>
  </si>
  <si>
    <t>https://drive.google.com/uc?export=view&amp;id=1hB9_Afkj7VcMt_4uDYa_C1-UAiIokvfu</t>
  </si>
  <si>
    <t>Kamhar Ngado, M.Pd.</t>
  </si>
  <si>
    <t>082223679464</t>
  </si>
  <si>
    <t>7404201411940002</t>
  </si>
  <si>
    <t>Kota Ambon, Maluku</t>
  </si>
  <si>
    <t>Kota Ambon</t>
  </si>
  <si>
    <t>14-11-1994</t>
  </si>
  <si>
    <t xml:space="preserve">Mathematics </t>
  </si>
  <si>
    <t>Universitas Dayanu Ikhsanuddin</t>
  </si>
  <si>
    <t>Mathematics Education</t>
  </si>
  <si>
    <t>Universitas Negeri Yogyakarta</t>
  </si>
  <si>
    <t>Guru dan Programmer MAN 1 Maluku Tengah</t>
  </si>
  <si>
    <t>freelance Programmer works from home</t>
  </si>
  <si>
    <t>0827601854</t>
  </si>
  <si>
    <t>kamharngado.2018@student.uny.ac.id</t>
  </si>
  <si>
    <t>1dvQn1rbjgWxo4cRPiA_lOTgmuI0XS6xFsHyO5XDeC5s</t>
  </si>
  <si>
    <t>https://docs.google.com/document/d/1dvQn1rbjgWxo4cRPiA_lOTgmuI0XS6xFsHyO5XDeC5s/edit?usp=drivesdk</t>
  </si>
  <si>
    <t>Document successfully created; Document successfully merged; Run via form trigger as kemal.stafsus@gmail.com; Timestamp: Oct 30 2021 11:20 AM</t>
  </si>
  <si>
    <t>https://drive.google.com/open?id=1ilEj1CXNhIMduNMWsGsQL8M_llTqBY88</t>
  </si>
  <si>
    <t>https://drive.google.com/uc?export=view&amp;id=1ilEj1CXNhIMduNMWsGsQL8M_llTqBY88</t>
  </si>
  <si>
    <t>M ZUL FIKRI</t>
  </si>
  <si>
    <t>08111347597</t>
  </si>
  <si>
    <t>3671010409960004</t>
  </si>
  <si>
    <t>Jl. Warnasari 1, No.38 Rt.03/002, Sukasari, Tangerang, Banten</t>
  </si>
  <si>
    <t>04-09-1996</t>
  </si>
  <si>
    <t>Non Staff</t>
  </si>
  <si>
    <t>Non-Staff</t>
  </si>
  <si>
    <t>Universitas Muhammadiah Sumatera Utara</t>
  </si>
  <si>
    <t>S1 Teknik Elektro</t>
  </si>
  <si>
    <t>Tata Usaha Sd Al-Wildan Islamic School 1 Gading Serpong</t>
  </si>
  <si>
    <t>zulfikri335@gmail.com</t>
  </si>
  <si>
    <t>1mfhjLL3zm3kFGcCnaCH2qeB3fknKW5VaXL8kzp352jQ</t>
  </si>
  <si>
    <t>https://docs.google.com/document/d/1mfhjLL3zm3kFGcCnaCH2qeB3fknKW5VaXL8kzp352jQ/edit?usp=drivesdk</t>
  </si>
  <si>
    <t>Document successfully created; Document successfully merged; Run via form trigger as kemal.stafsus@gmail.com; Timestamp: Oct 31 2021 10:30 PM</t>
  </si>
  <si>
    <t>https://drive.google.com/open?id=1V3N9nVMHvxc3Wlrmb9Ts3QY0M4AQ3JhX</t>
  </si>
  <si>
    <t>https://drive.google.com/uc?export=view&amp;id=1V3N9nVMHvxc3Wlrmb9Ts3QY0M4AQ3JhX</t>
  </si>
  <si>
    <t>Eko Fernandes S.Kom</t>
  </si>
  <si>
    <t>081385993639</t>
  </si>
  <si>
    <t>3175042209810006</t>
  </si>
  <si>
    <t>Jl. Danau Batur 2 No.23 Kel.Abadijaya Kec.Sukmajaya, Depok 2 Timur</t>
  </si>
  <si>
    <t>22-09-1981</t>
  </si>
  <si>
    <t>40 Tahun 1 Bulan</t>
  </si>
  <si>
    <t>Tim Marketing</t>
  </si>
  <si>
    <t>Al-Wildan Holding</t>
  </si>
  <si>
    <t>Universitas Gunadarma</t>
  </si>
  <si>
    <t>PT. BANK DKI</t>
  </si>
  <si>
    <t>ekofernandes78@gmail.com</t>
  </si>
  <si>
    <t>1I1CjddSg8FXjMA5m2mUjLCqK3fAraBWA6QxpaD1IdjI</t>
  </si>
  <si>
    <t>https://docs.google.com/document/d/1I1CjddSg8FXjMA5m2mUjLCqK3fAraBWA6QxpaD1IdjI/edit?usp=drivesdk</t>
  </si>
  <si>
    <t>Document successfully created; Document successfully merged; Run via form trigger as kemal.stafsus@gmail.com; Timestamp: Nov 8 2021 8:55 PM</t>
  </si>
  <si>
    <t>https://drive.google.com/open?id=1dkluuLWD2HEy9PKeQUNMXx0ukCcafoiE</t>
  </si>
  <si>
    <t>https://drive.google.com/uc?export=view&amp;id=1dkluuLWD2HEy9PKeQUNMXx0ukCcafoiE</t>
  </si>
  <si>
    <t>TRI WIDIYANTO</t>
  </si>
  <si>
    <t>08567744574</t>
  </si>
  <si>
    <t>3674062801930013</t>
  </si>
  <si>
    <t xml:space="preserve">JL. ARIA PUTRA, GANG PINAN RT 02/10 NO. 80, CIPUTAT, TANGERANG SELATAN. </t>
  </si>
  <si>
    <t>JAKARTA</t>
  </si>
  <si>
    <t>28/01/1993</t>
  </si>
  <si>
    <t>28 TAHUN 9 BULAN</t>
  </si>
  <si>
    <t>Tata Usaha (Pendidikan)</t>
  </si>
  <si>
    <t>PT. concentrix services indonesia 
Agent inbound 2w driver care (gojek)
23 September 2019 - 31 Agustus 2020
- Melayani pertanyaan driver seputar kendala dilapangan
- Memberikan informasi perihal aplikasi gojek driver
- Menangani kendala aplikasi dan order yang di alami driver gojek
- Memberikan informasi seputar program driver yang sedang berlaku</t>
  </si>
  <si>
    <t>PT. asia outsourcing services
agent inbound 2w driver care (GOJEK)
28 Maret 2017 - 21 September 2019
- Melayani pertanyaan driver seputar kendala dilapangan
- Memberikan informasi perihal aplikasi gojek driver
- Menangani kendala aplikasi dan order yang di alami driver gojek
- Memberikan informasi seputar program driver yang sedang berlaku</t>
  </si>
  <si>
    <t>PT. karya putra surya gemilang
agent call center
27 Juli 2011 - 30 September 2014
- Menerima pesanan yang sesuai dengan keinginan customer
- Memberikan informasi jelas kepada customer
- Mendengarkan komplain dari customer dengan baik dan memberikan      
   solusi yang di butuhkan</t>
  </si>
  <si>
    <t>triwidiyanto480@gmail.com</t>
  </si>
  <si>
    <t>1tY2ZitC-pmOSZLHlA5K0hugTKlelGxqHU3eF56Ap41Q</t>
  </si>
  <si>
    <t>https://docs.google.com/document/d/1tY2ZitC-pmOSZLHlA5K0hugTKlelGxqHU3eF56Ap41Q/edit?usp=drivesdk</t>
  </si>
  <si>
    <t>Document successfully created; Document successfully merged; Run via form trigger as kemal.stafsus@gmail.com; Timestamp: Nov 10 2021 11:20 PM</t>
  </si>
  <si>
    <t>https://drive.google.com/open?id=18Kcid8TkeLHMeOX-UmQArnW3ZtRn8c9G</t>
  </si>
  <si>
    <t>https://drive.google.com/uc?export=view&amp;id=18Kcid8TkeLHMeOX-UmQArnW3ZtRn8c9G</t>
  </si>
  <si>
    <t>Pardilah</t>
  </si>
  <si>
    <t>08971456167</t>
  </si>
  <si>
    <t>3271022809930008</t>
  </si>
  <si>
    <t>Katulampa, Bogor</t>
  </si>
  <si>
    <t>28 - 09 - 1993</t>
  </si>
  <si>
    <t>Duda (Single Parent)</t>
  </si>
  <si>
    <t>Ekonomi Syariah</t>
  </si>
  <si>
    <t>Kepala Tata usaha SMA BP IBS</t>
  </si>
  <si>
    <t>pardilahf@gmail.com</t>
  </si>
  <si>
    <t>1ukhVFAWw3dXD2WQCejuuS6eLpucxJ_rVS5N3x9uuJEc</t>
  </si>
  <si>
    <t>https://docs.google.com/document/d/1ukhVFAWw3dXD2WQCejuuS6eLpucxJ_rVS5N3x9uuJEc/edit?usp=drivesdk</t>
  </si>
  <si>
    <t>Document successfully created; Invalid image URL [https://drive.google.com/uc?export=view&amp;id=18Kcid8TkeLHMeOX-UmQArnW3ZtRn8c9G], make sure that it is public; Document successfully merged; Run via form trigger as kemal.stafsus@gmail.com; Timestamp: Nov 14 2021 10:46 PM</t>
  </si>
  <si>
    <t>https://drive.google.com/open?id=1MYefTFNdOYD2navuHMuDfSh0vuHgfg4y</t>
  </si>
  <si>
    <t>https://drive.google.com/uc?export=view&amp;id=1MYefTFNdOYD2navuHMuDfSh0vuHgfg4y</t>
  </si>
  <si>
    <t xml:space="preserve">Muamar qofiqi attamimi, Lc. </t>
  </si>
  <si>
    <t>085714339829</t>
  </si>
  <si>
    <t>3579012104860007</t>
  </si>
  <si>
    <t>Jl wedana no 34 rt/rw 006/01 kelurahan balismester kecamatan jatinegara, jaktim</t>
  </si>
  <si>
    <t>21-04-1986</t>
  </si>
  <si>
    <t>35 tahun 6 bulan</t>
  </si>
  <si>
    <t>Agama</t>
  </si>
  <si>
    <t>Al-Wildan 10 Cipinang, Jakarta Timur</t>
  </si>
  <si>
    <t>3.31</t>
  </si>
  <si>
    <t>0257842263</t>
  </si>
  <si>
    <t>muammar.attamimi21@gmail.com</t>
  </si>
  <si>
    <t>1rVI3ozERIvdozBNoD9swOpB2s2QzrTj_KBsK4SFT2z4</t>
  </si>
  <si>
    <t>https://docs.google.com/document/d/1rVI3ozERIvdozBNoD9swOpB2s2QzrTj_KBsK4SFT2z4/edit?usp=drivesdk</t>
  </si>
  <si>
    <t>Document successfully created; Document successfully merged; Run via form trigger as kemal.stafsus@gmail.com; Timestamp: Nov 15 2021 10:39 AM</t>
  </si>
  <si>
    <t>https://drive.google.com/open?id=1lRhmYDECcjuOhfbdqm1sGSvcpjOJ9enm</t>
  </si>
  <si>
    <t>https://drive.google.com/uc?export=view&amp;id=1lRhmYDECcjuOhfbdqm1sGSvcpjOJ9enm</t>
  </si>
  <si>
    <t>Angge Yulistyade</t>
  </si>
  <si>
    <t>+6285732367381</t>
  </si>
  <si>
    <t>3503080107950039</t>
  </si>
  <si>
    <t>Jl. Onggak no.121, Rt.06/Rw.04, Kel. Bojong Rawalumbu, Kec. Rawalumbu, Kota Bekasi, jawa Barat</t>
  </si>
  <si>
    <t>Trenggalek</t>
  </si>
  <si>
    <t>01-07-1995</t>
  </si>
  <si>
    <t>Bimbingan Konseling</t>
  </si>
  <si>
    <t>Universitas Islam Indonesia</t>
  </si>
  <si>
    <t>Ahwal Syakhshiyah</t>
  </si>
  <si>
    <t>anggeyulistyadee@gmail.com</t>
  </si>
  <si>
    <t>1LxdrcsMOx8Ce9PcHDTGV40cnV9xlNnjIfRRmmwh6HVE</t>
  </si>
  <si>
    <t>https://docs.google.com/document/d/1LxdrcsMOx8Ce9PcHDTGV40cnV9xlNnjIfRRmmwh6HVE/edit?usp=drivesdk</t>
  </si>
  <si>
    <t>Document successfully created; Document successfully merged; Run via form trigger as kemal.stafsus@gmail.com; Timestamp: Nov 17 2021 9:38 PM</t>
  </si>
  <si>
    <t>https://drive.google.com/open?id=1vNrgRftwmVEYAAy4Ip353aWd3x-ldMLu</t>
  </si>
  <si>
    <t>https://drive.google.com/uc?export=view&amp;id=1vNrgRftwmVEYAAy4Ip353aWd3x-ldMLu</t>
  </si>
  <si>
    <t>Satria Yudistira S.Pd.</t>
  </si>
  <si>
    <t>087778692779</t>
  </si>
  <si>
    <t>3674052303990001</t>
  </si>
  <si>
    <t>Jalan legoso raya no 18 Ciputat timur kota tangerang selatan. Provinsi Banten</t>
  </si>
  <si>
    <t>23-03-1999</t>
  </si>
  <si>
    <t>Bimbingan dan konseling</t>
  </si>
  <si>
    <t xml:space="preserve">Strata 1 - Universitas Negeri Yogyakarta </t>
  </si>
  <si>
    <t xml:space="preserve">Sekolah Islam Daarul Imi - Guru BK SD-SMP-SMA, Guru Bahasa Inggris SMP dan Guru tematik SD kelas 1 dan 2  (Sekarang - Juli 2022) </t>
  </si>
  <si>
    <t>098301023935539</t>
  </si>
  <si>
    <t>Bank Rakyat Indonesia (BRI)</t>
  </si>
  <si>
    <t>Yudistirasatria23@gmail.com</t>
  </si>
  <si>
    <t>1_gN14iAhBp9mlcLFNgeX1TSYH1X8orGnoSGE3A-kGPo</t>
  </si>
  <si>
    <t>https://docs.google.com/document/d/1_gN14iAhBp9mlcLFNgeX1TSYH1X8orGnoSGE3A-kGPo/edit?usp=drivesdk</t>
  </si>
  <si>
    <t>Document successfully created; Document successfully merged; Run via form trigger as kemal.stafsus@gmail.com; Timestamp: Nov 17 2021 10:24 PM</t>
  </si>
  <si>
    <t>https://drive.google.com/open?id=1DN2itSSFrXzVe8cNRAI6RkHwyKKcGaD7</t>
  </si>
  <si>
    <t>https://drive.google.com/uc?export=view&amp;id=1DN2itSSFrXzVe8cNRAI6RkHwyKKcGaD7</t>
  </si>
  <si>
    <t>Muhammad Irwan S. Kep. Ners</t>
  </si>
  <si>
    <t>085333915051</t>
  </si>
  <si>
    <t>5206131411930001</t>
  </si>
  <si>
    <t>Taman Balaraja Block A9B No.14 Rt.002 Rw.008 Kel/Desa : Parahu Kecamatan: Sukamulya</t>
  </si>
  <si>
    <t>14 November 1993</t>
  </si>
  <si>
    <t xml:space="preserve">28 Tahun </t>
  </si>
  <si>
    <t>Universitas Alma Ata Yogyakarta</t>
  </si>
  <si>
    <t>0683265324</t>
  </si>
  <si>
    <t>93irwan.m@gmail.com</t>
  </si>
  <si>
    <t>1Mb1Apiht2SPNRjFY8Id0CwEklP3XDU472rnsuCeaMHQ</t>
  </si>
  <si>
    <t>https://docs.google.com/document/d/1Mb1Apiht2SPNRjFY8Id0CwEklP3XDU472rnsuCeaMHQ/edit?usp=drivesdk</t>
  </si>
  <si>
    <t>Document successfully created; Document successfully merged; Run via form trigger as kemal.stafsus@gmail.com; Timestamp: Nov 18 2021 10:39 PM</t>
  </si>
  <si>
    <t>https://drive.google.com/open?id=1HRGgFA6EKWcPyacNv4LEkxZAu1oOQsqb</t>
  </si>
  <si>
    <t>https://drive.google.com/uc?export=view&amp;id=1HRGgFA6EKWcPyacNv4LEkxZAu1oOQsqb</t>
  </si>
  <si>
    <t>Syarif Putra Satria, SE.MM.</t>
  </si>
  <si>
    <t>08111080408</t>
  </si>
  <si>
    <t>3174070306820001</t>
  </si>
  <si>
    <t>Jl. Utama Kencana, Mutiara Residence IV No.2, Pondok Karya, Pondok Aren, Tangerang Selatan, Banten 15225</t>
  </si>
  <si>
    <t>03-06-1982</t>
  </si>
  <si>
    <t>39 tahun 5 bulan</t>
  </si>
  <si>
    <t>NON KEPENDIDIKAN (HR/Litbang/Finance/Legal/Marketing/IT)</t>
  </si>
  <si>
    <t>STIE Perbanas, Jakarta (ABFII Perbanas)</t>
  </si>
  <si>
    <t>Akuntansi</t>
  </si>
  <si>
    <t>ABFII Perbanas, Jakarta</t>
  </si>
  <si>
    <t>Manajemen Keuangan</t>
  </si>
  <si>
    <t>Senior Fundraising Development Officer - Doctors Without Borders, Hongkong (INGO)</t>
  </si>
  <si>
    <t>Sales Team Leader - PT Bank DBS Indonesia, Jakarta</t>
  </si>
  <si>
    <t>Regional Sales Manager - PT AJ Manulife Indonesia, Jakarta</t>
  </si>
  <si>
    <t>tarasyarif@gmail.com</t>
  </si>
  <si>
    <t>1WY_28QwFY9cTmMKUGgwLcxBOAtgalCG4M0D2LEVSILo</t>
  </si>
  <si>
    <t>https://docs.google.com/document/d/1WY_28QwFY9cTmMKUGgwLcxBOAtgalCG4M0D2LEVSILo/edit?usp=drivesdk</t>
  </si>
  <si>
    <t>Document successfully created; Document successfully merged; Run via form trigger as kemal.stafsus@gmail.com; Timestamp: Nov 24 2021 1:58 AM</t>
  </si>
  <si>
    <t>https://drive.google.com/open?id=1nNT76lxT8SbQceLGEnDtFA8UAKHCJvvJ</t>
  </si>
  <si>
    <t>https://drive.google.com/uc?export=view&amp;id=1nNT76lxT8SbQceLGEnDtFA8UAKHCJvvJ</t>
  </si>
  <si>
    <t>Yuri Alvin S.IP</t>
  </si>
  <si>
    <t>081313964800</t>
  </si>
  <si>
    <t>3273231602830003</t>
  </si>
  <si>
    <t>Komplek Griya Caraka Blok G 59, Cisaranten Endah, Arcamanik, Bandung</t>
  </si>
  <si>
    <t>Banda Aceh</t>
  </si>
  <si>
    <t>16-02-1983</t>
  </si>
  <si>
    <t>38 tahun 9 bulan</t>
  </si>
  <si>
    <t>Ilmu Hubungan Internasional</t>
  </si>
  <si>
    <t>Bank HSBC Indonesia</t>
  </si>
  <si>
    <t>yuri.alvin@gmail.com</t>
  </si>
  <si>
    <t>1X4ZNssW7GeWzon6t83MipyGzAW4lR-eX27hPL1xJmqs</t>
  </si>
  <si>
    <t>https://docs.google.com/document/d/1X4ZNssW7GeWzon6t83MipyGzAW4lR-eX27hPL1xJmqs/edit?usp=drivesdk</t>
  </si>
  <si>
    <t>Document successfully created; Document successfully merged; Run via form trigger as kemal.stafsus@gmail.com; Timestamp: Nov 24 2021 2:25 AM</t>
  </si>
  <si>
    <t>https://drive.google.com/open?id=1IKbzdEA3-FUqkdNTk56DcQFNLuAzdp2w</t>
  </si>
  <si>
    <t>https://drive.google.com/uc?export=view&amp;id=1IKbzdEA3-FUqkdNTk56DcQFNLuAzdp2w</t>
  </si>
  <si>
    <t>ALAM SARWONO, S.E.</t>
  </si>
  <si>
    <t>085694000099</t>
  </si>
  <si>
    <t>3175102803870007</t>
  </si>
  <si>
    <t>Jl. Swadaya 2 No. 69 RT. 007 RW. 002 Kel. Pondok Ranggon, Kec. Cipayung, Kota Jakarta Timur 13860.</t>
  </si>
  <si>
    <t>28-03-1987</t>
  </si>
  <si>
    <t>34 Tahun 8 Bulan</t>
  </si>
  <si>
    <t>Public Relations / Humas</t>
  </si>
  <si>
    <t>Al-Wildan 14 Bumi Mutiara, Bogor</t>
  </si>
  <si>
    <t>UNIVERSITAS MERCU BUANA</t>
  </si>
  <si>
    <t>MANAJEMEN</t>
  </si>
  <si>
    <t>Koordinator Promosi Regional &amp; Koordinator Area Kerjasama Lembaga Mitra</t>
  </si>
  <si>
    <t>Rp. 4.980.000,-</t>
  </si>
  <si>
    <t>Rp. 5.000.000,-</t>
  </si>
  <si>
    <t>alamsarwono@gmail.com</t>
  </si>
  <si>
    <t>1XcbTQLNpMtsDMLKvnuaozA2RLI59HI9tza8SuelN-II</t>
  </si>
  <si>
    <t>https://docs.google.com/document/d/1XcbTQLNpMtsDMLKvnuaozA2RLI59HI9tza8SuelN-II/edit?usp=drivesdk</t>
  </si>
  <si>
    <t>Document successfully created; Document successfully merged; Run via form trigger as kemal.stafsus@gmail.com; Timestamp: Nov 24 2021 4:13 AM</t>
  </si>
  <si>
    <t>https://drive.google.com/open?id=1Z6uZFPTC1wJd9wMO4R1hz2ZhjBnAXEC9</t>
  </si>
  <si>
    <t>https://drive.google.com/uc?export=view&amp;id=1Z6uZFPTC1wJd9wMO4R1hz2ZhjBnAXEC9</t>
  </si>
  <si>
    <t>Muhammad Yadi Prima</t>
  </si>
  <si>
    <t>081380584411</t>
  </si>
  <si>
    <t>3172040810900006</t>
  </si>
  <si>
    <t>Perum. Graha Puspasari 1 Jl. Puspa Negara No. 33 RT. 02/14 Desa Puspasari Kec. Citeureup Kab. Bogor, 16810.</t>
  </si>
  <si>
    <t>08-10-1990</t>
  </si>
  <si>
    <t xml:space="preserve">31 tahun 1 bulan </t>
  </si>
  <si>
    <t>4.600.000 - 5.000.000</t>
  </si>
  <si>
    <t>m.yadi.prima@gmail.com</t>
  </si>
  <si>
    <t>1pQCppBAk-ICcdjca0rOESTLLretyqOhuvKbJKyLG5as</t>
  </si>
  <si>
    <t>https://docs.google.com/document/d/1pQCppBAk-ICcdjca0rOESTLLretyqOhuvKbJKyLG5as/edit?usp=drivesdk</t>
  </si>
  <si>
    <t>Document successfully created; Document successfully merged; Run via form trigger as kemal.stafsus@gmail.com; Timestamp: Nov 24 2021 5:10 AM</t>
  </si>
  <si>
    <t>https://drive.google.com/open?id=1NRV2o-4E9Rt95iPWMsL-7GSc1O75z3l0</t>
  </si>
  <si>
    <t>https://drive.google.com/uc?export=view&amp;id=1NRV2o-4E9Rt95iPWMsL-7GSc1O75z3l0</t>
  </si>
  <si>
    <t>Flory Oktrian, ST</t>
  </si>
  <si>
    <t>+6281219544642</t>
  </si>
  <si>
    <t>3275072710890008</t>
  </si>
  <si>
    <t>Perumahan Grand Sutera Blok A5 no 8 RT 001/023 Kelurahan Kutabumi Kecamatan Pasar Kemis Kabupaten Tangerang, 15561</t>
  </si>
  <si>
    <t>27-10-1989</t>
  </si>
  <si>
    <t>32 Tahun  1 Bulan</t>
  </si>
  <si>
    <t>Tim Litbang</t>
  </si>
  <si>
    <t>Institut Teknologi PLN Jakarta</t>
  </si>
  <si>
    <t>Teknik Informatika</t>
  </si>
  <si>
    <t>Crew Tracking Controller di PT Garuda Indonesia, sejak 2011 sampai sekarang</t>
  </si>
  <si>
    <t>0449886768</t>
  </si>
  <si>
    <t>BNI Taplus</t>
  </si>
  <si>
    <t>floryoktrian@gmail.com</t>
  </si>
  <si>
    <t>1eupMBAl5Y6hQ5exspK35gqKRzLCKxEfrTQlWqRzsZJw</t>
  </si>
  <si>
    <t>https://docs.google.com/document/d/1eupMBAl5Y6hQ5exspK35gqKRzLCKxEfrTQlWqRzsZJw/edit?usp=drivesdk</t>
  </si>
  <si>
    <t>Document successfully created; Document successfully merged; Run via form trigger as kemal.stafsus@gmail.com; Timestamp: Nov 24 2021 5:13 AM</t>
  </si>
  <si>
    <t>https://drive.google.com/open?id=1RH3PpFRki0V3DgOO8ml2CulpcPG7MdRT</t>
  </si>
  <si>
    <t>https://drive.google.com/uc?export=view&amp;id=1RH3PpFRki0V3DgOO8ml2CulpcPG7MdRT</t>
  </si>
  <si>
    <t>Ibnu Arif, S.T</t>
  </si>
  <si>
    <t>08989513494</t>
  </si>
  <si>
    <t>3671071009940002</t>
  </si>
  <si>
    <t>Kp. Kandang Kambing RT 003/RW 012 Kel. Nusa Jaya, Kec. Karawaci, Kota Tangerang</t>
  </si>
  <si>
    <t>10-09-1994</t>
  </si>
  <si>
    <t>Teknik Sipil</t>
  </si>
  <si>
    <t>2.90</t>
  </si>
  <si>
    <t>PENGAWAS di PT. Arsa Jaya Persada</t>
  </si>
  <si>
    <t>PIC MARKETING di PT. Nusantara Surya Sakti</t>
  </si>
  <si>
    <t>R&amp;D Assistant di PT. Putra Naga Indotama</t>
  </si>
  <si>
    <t>indo.ibnuarif@gmail.com</t>
  </si>
  <si>
    <t>1KMvrYmVkZvb9HAHIV2Q3DppYt1_LtvnR5gfxrSgtfEU</t>
  </si>
  <si>
    <t>https://docs.google.com/document/d/1KMvrYmVkZvb9HAHIV2Q3DppYt1_LtvnR5gfxrSgtfEU/edit?usp=drivesdk</t>
  </si>
  <si>
    <t>Document successfully created; Document successfully merged; Run via form trigger as kemal.stafsus@gmail.com; Timestamp: Nov 24 2021 10:37 PM</t>
  </si>
  <si>
    <t>https://drive.google.com/open?id=1RdcK4KcqMbpbU1YbE8lKRqkKu2mWN4Ya</t>
  </si>
  <si>
    <t>https://drive.google.com/uc?export=view&amp;id=1RdcK4KcqMbpbU1YbE8lKRqkKu2mWN4Ya</t>
  </si>
  <si>
    <t>Jejen Al-Hawasi</t>
  </si>
  <si>
    <t>083873388123</t>
  </si>
  <si>
    <t>3603222901960001</t>
  </si>
  <si>
    <t>Perum Legok Permai Blok A1/C1</t>
  </si>
  <si>
    <t>29 januari 1996</t>
  </si>
  <si>
    <t>25tahun 10bulan</t>
  </si>
  <si>
    <t>Tim HR</t>
  </si>
  <si>
    <t>Universitas Islam Syekh Yusuf Tangerang</t>
  </si>
  <si>
    <t>Staff Admimnistrasi Dinas Tata Ruang dan Bangunan Kab Tangerang</t>
  </si>
  <si>
    <t>jejenalwassy99@gmail.com</t>
  </si>
  <si>
    <t>1iTTDZ5OrZWdvw7s4Q6KuxgAzT8dHB3-o3yjKokwxHsw</t>
  </si>
  <si>
    <t>https://docs.google.com/document/d/1iTTDZ5OrZWdvw7s4Q6KuxgAzT8dHB3-o3yjKokwxHsw/edit?usp=drivesdk</t>
  </si>
  <si>
    <t>Document successfully created; Document successfully merged; Run via form trigger as kemal.stafsus@gmail.com; Timestamp: Nov 29 2021 8:37 AM</t>
  </si>
  <si>
    <t>https://drive.google.com/open?id=1BttLuyih18gT2ZnOIhLj2-CEcMD8AmZE</t>
  </si>
  <si>
    <t>https://drive.google.com/uc?export=view&amp;id=1BttLuyih18gT2ZnOIhLj2-CEcMD8AmZE</t>
  </si>
  <si>
    <t>Janice Omar Javier S.Psi</t>
  </si>
  <si>
    <t>082132615618</t>
  </si>
  <si>
    <t>Sidowayah Talun II RT 13 RW 4, Celep, Sidoarjo, Jawa Timur ( Rumah Ibu Rini Jahit/ Cak Soleh Tahu Tek )</t>
  </si>
  <si>
    <t>Pangkalpinang</t>
  </si>
  <si>
    <t>10 Juni 1990</t>
  </si>
  <si>
    <t>31 Tahun 5 Bulan</t>
  </si>
  <si>
    <t>Universitas Muhammadiyah Malang</t>
  </si>
  <si>
    <t>Counselor Teacher SMP SMA</t>
  </si>
  <si>
    <t>6.700.000 - 7.400.000</t>
  </si>
  <si>
    <t>5.000.000 - 6.300.000</t>
  </si>
  <si>
    <t>Fasilitator Freelance</t>
  </si>
  <si>
    <t>4.500.000-6.500.000</t>
  </si>
  <si>
    <t>8.000.000-10.000.000</t>
  </si>
  <si>
    <t>0456586607</t>
  </si>
  <si>
    <t>janiceomarjavier90@gmail.com</t>
  </si>
  <si>
    <t>1mYocTSiMUwVaCFPDelH3Sxw5V3H55wSx7GRUrYc9g00</t>
  </si>
  <si>
    <t>https://docs.google.com/document/d/1mYocTSiMUwVaCFPDelH3Sxw5V3H55wSx7GRUrYc9g00/edit?usp=drivesdk</t>
  </si>
  <si>
    <t>Document successfully created; Invalid image URL [https://drive.google.com/uc?export=view&amp;id=1BttLuyih18gT2ZnOIhLj2-CEcMD8AmZE], make sure that it is public; Document successfully merged; Run via form trigger as kemal.stafsus@gmail.com; Timestamp: Dec 8 2021 1:57 AM</t>
  </si>
  <si>
    <t>https://drive.google.com/open?id=1QPhFA2xsBC3BYS4Fdt-r4r738dC0Z2LI</t>
  </si>
  <si>
    <t>https://drive.google.com/uc?export=view&amp;id=1QPhFA2xsBC3BYS4Fdt-r4r738dC0Z2LI</t>
  </si>
  <si>
    <t>Ikram laata S. Pd</t>
  </si>
  <si>
    <t>7172061908960002</t>
  </si>
  <si>
    <t>Jl. H. Miing No. 67, karihkil, kec. ciseeng, Bogor, Jawa barat</t>
  </si>
  <si>
    <t>Kota Bitung, sulaweai utara</t>
  </si>
  <si>
    <t>19-08-1996</t>
  </si>
  <si>
    <t>25 Tahun, bulan Agustus</t>
  </si>
  <si>
    <t>STIBA Ar raayah</t>
  </si>
  <si>
    <t>Subjec Lider Bahasa Arab</t>
  </si>
  <si>
    <t>ikramlaata1996@gmail.com</t>
  </si>
  <si>
    <t>1NGJrcAXf18QWxrk3WRtbvcfayarkkoKi4DI7SbmSiRo</t>
  </si>
  <si>
    <t>https://docs.google.com/document/d/1NGJrcAXf18QWxrk3WRtbvcfayarkkoKi4DI7SbmSiRo/edit?usp=drivesdk</t>
  </si>
  <si>
    <t>Document successfully created; Document successfully merged; Run via form trigger as kemal.stafsus@gmail.com; Timestamp: Dec 8 2021 6:43 AM</t>
  </si>
  <si>
    <t>https://drive.google.com/open?id=1t2I8xtSzyJAc6Z8hyzYiwMmgUXB89J1r</t>
  </si>
  <si>
    <t>https://drive.google.com/uc?export=view&amp;id=1t2I8xtSzyJAc6Z8hyzYiwMmgUXB89J1r</t>
  </si>
  <si>
    <t>Gelora Jonson M.Pd</t>
  </si>
  <si>
    <t>085217735323</t>
  </si>
  <si>
    <t>1110020106940002</t>
  </si>
  <si>
    <t>Suka Asih RT 001 RW 002, Desa Leuwimekar, Kec. Leuwiliang Kab. Bogor Jawa Barat</t>
  </si>
  <si>
    <t>Lae Bersih Subulussalam Aceh</t>
  </si>
  <si>
    <t>01-06-1994</t>
  </si>
  <si>
    <t>27 Tahun 6 Bulan</t>
  </si>
  <si>
    <t>PTS - STIBA AR-RAAYAH Sukabumi</t>
  </si>
  <si>
    <t>3.66</t>
  </si>
  <si>
    <t>PTN - UIN Syarif Hidayatullah Jakarta</t>
  </si>
  <si>
    <t>Merangkap Sebagai Wakil Ketua Subjek Leader Bagian Bahasa Arab dan Guru Bahasa Arab</t>
  </si>
  <si>
    <t>gelora.jhonson@gmail.com</t>
  </si>
  <si>
    <t>1sbE96tNT2aKu8giKpSoatmEhilfUUPjyLAw3fLax32U</t>
  </si>
  <si>
    <t>https://docs.google.com/document/d/1sbE96tNT2aKu8giKpSoatmEhilfUUPjyLAw3fLax32U/edit?usp=drivesdk</t>
  </si>
  <si>
    <t>Document successfully created; Document successfully merged; Run via form trigger as kemal.stafsus@gmail.com; Timestamp: Dec 8 2021 7:13 AM</t>
  </si>
  <si>
    <t>https://drive.google.com/open?id=1Mbjj-1E7yxGY4Ck4h_Qv29q0IhrpPTqc</t>
  </si>
  <si>
    <t>https://drive.google.com/uc?export=view&amp;id=1Mbjj-1E7yxGY4Ck4h_Qv29q0IhrpPTqc</t>
  </si>
  <si>
    <t>Novredhana diansy Satragama, S. Kom</t>
  </si>
  <si>
    <t>+6282395221661</t>
  </si>
  <si>
    <t>3216052411960007</t>
  </si>
  <si>
    <t>Bugel Mas Indah Blok D5 No. 20, Jalan Empang Mas Raya 2, Kelurahan Bugel, Kecamatan Karawaci, Kota Tangerang, 15113</t>
  </si>
  <si>
    <t>24 November 1991</t>
  </si>
  <si>
    <t>30 Tahun 1 Bulan</t>
  </si>
  <si>
    <t>Admin Call Center Boarding</t>
  </si>
  <si>
    <t>STMIK Bina Sarana Global Tangerang</t>
  </si>
  <si>
    <t>Call center</t>
  </si>
  <si>
    <t>0751477723</t>
  </si>
  <si>
    <t>Bca</t>
  </si>
  <si>
    <t>novredhanads@gmail.com</t>
  </si>
  <si>
    <t>17OgYPXISx_HKP1eAsqWlowWSoKfwzou24Guaiqrpwgc</t>
  </si>
  <si>
    <t>https://docs.google.com/document/d/17OgYPXISx_HKP1eAsqWlowWSoKfwzou24Guaiqrpwgc/edit?usp=drivesdk</t>
  </si>
  <si>
    <t>Document successfully created; Document successfully merged; Run via form trigger as kemal.stafsus@gmail.com; Timestamp: Dec 9 2021 8:26 PM</t>
  </si>
  <si>
    <t>https://drive.google.com/open?id=1W288Bk5GldUwYQjF8RkE0_X0JIEOcvPI</t>
  </si>
  <si>
    <t>https://drive.google.com/uc?export=view&amp;id=1W288Bk5GldUwYQjF8RkE0_X0JIEOcvPI</t>
  </si>
  <si>
    <t>Muhammad Lawrence Pattersons, M.Si.</t>
  </si>
  <si>
    <t>0895367273922</t>
  </si>
  <si>
    <t>3171031512941001</t>
  </si>
  <si>
    <t>Jl. Semanggi II, Kel. Cempaka Putih, Kec. Ciputat Timur, Tangerang Selatan</t>
  </si>
  <si>
    <t>15-12-1994</t>
  </si>
  <si>
    <t>27 tahun 0 bulan</t>
  </si>
  <si>
    <t>PTN - Universitas Islam Negeri Syarif Hidayatullah Jakarta</t>
  </si>
  <si>
    <t>PTN - Universitas Indonesia</t>
  </si>
  <si>
    <t>Ilmu Fisika</t>
  </si>
  <si>
    <t>3.96</t>
  </si>
  <si>
    <t>Bimbel Braine Institute</t>
  </si>
  <si>
    <t>CV. Edukasi Utama Indonesia - Bimbel Exist</t>
  </si>
  <si>
    <t>MAN 4 Jakarta</t>
  </si>
  <si>
    <t>muhammad4lawrence@gmail.com</t>
  </si>
  <si>
    <t>1jR6Zl9FYRVPfvIxqzh7wn6_DxeAUARw9HFEX3kqKNVQ</t>
  </si>
  <si>
    <t>https://docs.google.com/document/d/1jR6Zl9FYRVPfvIxqzh7wn6_DxeAUARw9HFEX3kqKNVQ/edit?usp=drivesdk</t>
  </si>
  <si>
    <t>Document successfully created; Document successfully merged; Run via form trigger as kemal.stafsus@gmail.com; Timestamp: Dec 22 2021 9:57 AM</t>
  </si>
  <si>
    <t>https://drive.google.com/open?id=1jidHwC-VTcFqJ-v8QKDp1UTyyFTG-hdp</t>
  </si>
  <si>
    <t>https://drive.google.com/uc?export=view&amp;id=1jidHwC-VTcFqJ-v8QKDp1UTyyFTG-hdp</t>
  </si>
  <si>
    <t>Brandon Isades Tjakradidjaja S.iKom</t>
  </si>
  <si>
    <t>085607264055</t>
  </si>
  <si>
    <t>3175090812960004</t>
  </si>
  <si>
    <t>Perumahan Karawaci Residence, Jl. Karawaci Residence,  B2 No. 18 RT 05 RW 32 , Kec. Klp. Dua, Tangerang, Banten, 15810</t>
  </si>
  <si>
    <t>08-12-1996</t>
  </si>
  <si>
    <t>25 tahun 0 bulan</t>
  </si>
  <si>
    <t>Public Relations / Humas, Tim Marketing</t>
  </si>
  <si>
    <t>Universitas Prof. Dr. Moestopo (Beragama)</t>
  </si>
  <si>
    <t>Komunikasi</t>
  </si>
  <si>
    <t>Orka Coffee</t>
  </si>
  <si>
    <t>brandonisades08@gmail.com</t>
  </si>
  <si>
    <t>1aAVqPdkHw7ndLbBe7CSqoxMfSnbPzmDH_hhsV9skNWA</t>
  </si>
  <si>
    <t>https://docs.google.com/document/d/1aAVqPdkHw7ndLbBe7CSqoxMfSnbPzmDH_hhsV9skNWA/edit?usp=drivesdk</t>
  </si>
  <si>
    <t>Document successfully created; Document successfully merged; Run via form trigger as kemal.stafsus@gmail.com; Timestamp: Dec 28 2021 8:34 PM</t>
  </si>
  <si>
    <t>https://drive.google.com/open?id=1f0TLVrE1hMuJWbjfUJmEbTZwgyxWnGWe</t>
  </si>
  <si>
    <t>https://drive.google.com/uc?export=view&amp;id=1f0TLVrE1hMuJWbjfUJmEbTZwgyxWnGWe</t>
  </si>
  <si>
    <t>Rohmah Adhawati S.Pd</t>
  </si>
  <si>
    <t>082122388256</t>
  </si>
  <si>
    <t>3674026704960009</t>
  </si>
  <si>
    <t>Kp. Kamurang Atas RT004 RW 001. Kel. Pakualam. Kec. Serpong Utara. Tangerang Selatan.</t>
  </si>
  <si>
    <t>27-04-1996</t>
  </si>
  <si>
    <t>Fasililtator Indonesian Teaching Fellowship Program</t>
  </si>
  <si>
    <t>English Private Teacher</t>
  </si>
  <si>
    <t>0351404403</t>
  </si>
  <si>
    <t>rohmahadhawati@gmail.com</t>
  </si>
  <si>
    <t>17j148KtOWZ4qmjWWi5mazK8ziQc00S9Sdb2naYeW0g0</t>
  </si>
  <si>
    <t>https://docs.google.com/document/d/17j148KtOWZ4qmjWWi5mazK8ziQc00S9Sdb2naYeW0g0/edit?usp=drivesdk</t>
  </si>
  <si>
    <t>Document successfully created; Document successfully merged; Run via form trigger as kemal.stafsus@gmail.com; Timestamp: Dec 29 2021 9:22 PM</t>
  </si>
  <si>
    <t>https://drive.google.com/open?id=1uGRXBXNlakibN8IBjMAx5n3TgohbqdPA</t>
  </si>
  <si>
    <t>https://drive.google.com/uc?export=view&amp;id=1uGRXBXNlakibN8IBjMAx5n3TgohbqdPA</t>
  </si>
  <si>
    <t>Ridwan Rizal Natadiningrat</t>
  </si>
  <si>
    <t>082113344038</t>
  </si>
  <si>
    <t>3174080407720008</t>
  </si>
  <si>
    <t>Jl Pancoran Indah I no 34, Komplek Liga Mas Indah, Pancoran, Jakarta Selatan 12780</t>
  </si>
  <si>
    <t>04-07-1972</t>
  </si>
  <si>
    <t>49 tahun 6 bulan</t>
  </si>
  <si>
    <t>Erasmus University Rotterdam, the Netherlandss</t>
  </si>
  <si>
    <t>Economics</t>
  </si>
  <si>
    <t>Entrepreneur</t>
  </si>
  <si>
    <t>ridwan.natadiningrat@gmail.com</t>
  </si>
  <si>
    <t>1GMY9FmG2nCNYar-LfQS16ZXqHStUsT586TQO9DOyPSQ</t>
  </si>
  <si>
    <t>https://docs.google.com/document/d/1GMY9FmG2nCNYar-LfQS16ZXqHStUsT586TQO9DOyPSQ/edit?usp=drivesdk</t>
  </si>
  <si>
    <t>Document successfully created; Document successfully merged; Run via form trigger as kemal.stafsus@gmail.com; Timestamp: Dec 30 2021 2:25 AM</t>
  </si>
  <si>
    <t>https://drive.google.com/open?id=1fPYvdiQK0KupDHs2PbC73O03fQLLzMcf</t>
  </si>
  <si>
    <t>https://drive.google.com/uc?export=view&amp;id=1fPYvdiQK0KupDHs2PbC73O03fQLLzMcf</t>
  </si>
  <si>
    <t>Arsy Pramesti Poetry, S.Pd</t>
  </si>
  <si>
    <t>085792197013</t>
  </si>
  <si>
    <t>3376025108970001</t>
  </si>
  <si>
    <t>Jl. Pd. Tim. Indah Tim., RT.006/RW.004, Mustika Jaya, Kec. Mustika Jaya, Kota Bks, Jawa Barat 17158</t>
  </si>
  <si>
    <t>11-08-1997</t>
  </si>
  <si>
    <t>24 tahun 4 bulan</t>
  </si>
  <si>
    <t>S1-Universitas Negeri Semarang</t>
  </si>
  <si>
    <t>Guru Bahasa Inggris di Kampung Inggris Semarang, Guru Bahasa Inggris di Ponpes Imam Syafi'i Brebes</t>
  </si>
  <si>
    <t>1.500.000-4.000.000</t>
  </si>
  <si>
    <t>Guru Bahasa Inggris homeschooling anak anak Syaikh Abdul Karim Jassar Hafidzahullah, Syaikhoh Ahlam Hafidzahallah, dan Syaikhoh Su'ad Hafidzahallah</t>
  </si>
  <si>
    <t>Guru Bahasa Inggris di sekolah swasta</t>
  </si>
  <si>
    <t>5.500.000-7.000.000</t>
  </si>
  <si>
    <t>arsypp@gmail.com</t>
  </si>
  <si>
    <t>1s3-PL_C5bo5Q2FxjNYF1Sh7TwqdnazIMx2DltfCsp0M</t>
  </si>
  <si>
    <t>https://docs.google.com/document/d/1s3-PL_C5bo5Q2FxjNYF1Sh7TwqdnazIMx2DltfCsp0M/edit?usp=drivesdk</t>
  </si>
  <si>
    <t>Document successfully created; Document successfully merged; Run via form trigger as kemal.stafsus@gmail.com; Timestamp: Dec 31 2021 12:28 AM</t>
  </si>
  <si>
    <t>https://drive.google.com/open?id=1PFImHFE13s5yxSZVPWK46TzPZAuIgOhD</t>
  </si>
  <si>
    <t>https://drive.google.com/uc?export=view&amp;id=1PFImHFE13s5yxSZVPWK46TzPZAuIgOhD</t>
  </si>
  <si>
    <t>Ashari Bagus Setiawan, S.Pd., M.Si.</t>
  </si>
  <si>
    <t>081217508960</t>
  </si>
  <si>
    <t>3515071708920006</t>
  </si>
  <si>
    <t>Perumahan Bumi Candi Asri B2 No. 16, RT001/RW004, Desa Ngampelsari, Kecamatan Candi, Kabupaten Sidoarjo, kodepos 61271</t>
  </si>
  <si>
    <t>Surabaya</t>
  </si>
  <si>
    <t>17-08-1992</t>
  </si>
  <si>
    <t>Biologi Tumbuhan</t>
  </si>
  <si>
    <t>3.89</t>
  </si>
  <si>
    <t>Tutor Biologi Freelance di LBB Sony Sugema College Surabaya</t>
  </si>
  <si>
    <t>tidak tentu (kisaran 1.100.000)</t>
  </si>
  <si>
    <t>Kurator Herbarium UPT. Laboratorium Terpadu Universitas Trunojoyo Madura</t>
  </si>
  <si>
    <t>Tutor Sains RnG Edu Management</t>
  </si>
  <si>
    <t>tidak tentu (1.500.000)</t>
  </si>
  <si>
    <t>asharibagussetiawan@gmail.com</t>
  </si>
  <si>
    <t>1RVgyh5zQyygKcBlypZ7s3YA8GbrqWJ8Ef7NX4r6wrT4</t>
  </si>
  <si>
    <t>https://docs.google.com/document/d/1RVgyh5zQyygKcBlypZ7s3YA8GbrqWJ8Ef7NX4r6wrT4/edit?usp=drivesdk</t>
  </si>
  <si>
    <t>Document successfully created; Document successfully merged; Run via form trigger as kemal.stafsus@gmail.com; Timestamp: Jan 8 2022 12:46 AM</t>
  </si>
  <si>
    <t>https://drive.google.com/open?id=18_ak3zwHEkMIeN-hW0fcDuiJeJ7qmqKW</t>
  </si>
  <si>
    <t>https://drive.google.com/uc?export=view&amp;id=18_ak3zwHEkMIeN-hW0fcDuiJeJ7qmqKW</t>
  </si>
  <si>
    <t>Sri Supardi Wibowo, S.Pd., M.Si</t>
  </si>
  <si>
    <t>+6281398093154</t>
  </si>
  <si>
    <t>3175101207940003</t>
  </si>
  <si>
    <t xml:space="preserve">Jl. Jankes AD RT 007 RW 002 No. 38 Kelurahan Munjul Kecamatan Cipayung </t>
  </si>
  <si>
    <t xml:space="preserve">12-07-1994 </t>
  </si>
  <si>
    <t xml:space="preserve">Universitas Indonesia </t>
  </si>
  <si>
    <t xml:space="preserve">Biologi </t>
  </si>
  <si>
    <t>3.82</t>
  </si>
  <si>
    <t xml:space="preserve">PT. Konten Karya Kreatif </t>
  </si>
  <si>
    <t xml:space="preserve">SMA Bina Dharma </t>
  </si>
  <si>
    <t xml:space="preserve">SMA Budhi Warman II </t>
  </si>
  <si>
    <t>srisupardiwibowo94@gmail.com</t>
  </si>
  <si>
    <t>1P9ymPxMWbhEp6yFqyqsL7BzUY5m4XNl9NZwHANg2ly4</t>
  </si>
  <si>
    <t>https://docs.google.com/document/d/1P9ymPxMWbhEp6yFqyqsL7BzUY5m4XNl9NZwHANg2ly4/edit?usp=drivesdk</t>
  </si>
  <si>
    <t>Document successfully created; Document successfully merged; Run via form trigger as kemal.stafsus@gmail.com; Timestamp: Jan 8 2022 8:04 PM</t>
  </si>
  <si>
    <t>https://drive.google.com/open?id=1T0DDVinT7vQi5LZ1G62hyTcXUdaoRIJK</t>
  </si>
  <si>
    <t>https://drive.google.com/uc?export=view&amp;id=1T0DDVinT7vQi5LZ1G62hyTcXUdaoRIJK</t>
  </si>
  <si>
    <t>Siti Hafshah Nurul Arafah, S.Mat.</t>
  </si>
  <si>
    <t>087873935030</t>
  </si>
  <si>
    <t>3201107007970002</t>
  </si>
  <si>
    <t>Komplek Universitas Terbuka Blok K No. 4 RT/RW 004/001 Jabon Mekar, Parung, Bogor 16330</t>
  </si>
  <si>
    <t>30-07-1997</t>
  </si>
  <si>
    <t>PTN (Strata-1) - UIN Syarif Hidayatullah Jakarta</t>
  </si>
  <si>
    <t>Mengajar privat (per 90 menit)</t>
  </si>
  <si>
    <t>038201045509508</t>
  </si>
  <si>
    <t>sitihafshahna30@gmail.com</t>
  </si>
  <si>
    <t>1yWUhVh50n1q3c_MCzN4GpNk4SL9t-y2rhEmNI79C3xk</t>
  </si>
  <si>
    <t>https://docs.google.com/document/d/1yWUhVh50n1q3c_MCzN4GpNk4SL9t-y2rhEmNI79C3xk/edit?usp=drivesdk</t>
  </si>
  <si>
    <t>Document successfully created; Invalid image URL [https://drive.google.com/uc?export=view&amp;id=1T0DDVinT7vQi5LZ1G62hyTcXUdaoRIJK], make sure that it is public; Document successfully merged; Run via form trigger as kemal.stafsus@gmail.com; Timestamp: Jan 9 2022 12:02 AM</t>
  </si>
  <si>
    <t>https://drive.google.com/open?id=1nGoyvw_bZr53KvwICf5zuQbGNAU23yG8</t>
  </si>
  <si>
    <t>https://drive.google.com/uc?export=view&amp;id=1nGoyvw_bZr53KvwICf5zuQbGNAU23yG8</t>
  </si>
  <si>
    <t>Dewi Susanti</t>
  </si>
  <si>
    <t>082257300800</t>
  </si>
  <si>
    <t>1471055904960001</t>
  </si>
  <si>
    <t>Jalan Kapur Gang Kapur 03 No.32</t>
  </si>
  <si>
    <t>19-04-1996</t>
  </si>
  <si>
    <t>Science, Physics, Mathematics</t>
  </si>
  <si>
    <t>Universitas Riau</t>
  </si>
  <si>
    <t xml:space="preserve">Institut Teknologi Bandung </t>
  </si>
  <si>
    <t>Pengajaran Fisika</t>
  </si>
  <si>
    <t>Science's and Maths's Teacher</t>
  </si>
  <si>
    <t>0342842630</t>
  </si>
  <si>
    <t>dewii.susantii19@gmail.com</t>
  </si>
  <si>
    <t>1-Kt-KGjhg9gIhTThrg7YWQeDOqDhKG1pIoi69rbzUi0</t>
  </si>
  <si>
    <t>https://docs.google.com/document/d/1-Kt-KGjhg9gIhTThrg7YWQeDOqDhKG1pIoi69rbzUi0/edit?usp=drivesdk</t>
  </si>
  <si>
    <t>Document successfully created; Document successfully merged; Run via form trigger as kemal.stafsus@gmail.com; Timestamp: Jan 9 2022 7:43 AM</t>
  </si>
  <si>
    <t>https://drive.google.com/open?id=11zCMrppISJ1bsW7lrcv9wRYl0ZM2h4KJ</t>
  </si>
  <si>
    <t>https://drive.google.com/uc?export=view&amp;id=11zCMrppISJ1bsW7lrcv9wRYl0ZM2h4KJ</t>
  </si>
  <si>
    <t>Imam Saefurrohman, B.A</t>
  </si>
  <si>
    <t>085315855760</t>
  </si>
  <si>
    <t>3205042704920001</t>
  </si>
  <si>
    <t>Jl. Dipatiunus No 60 Rt/Rw 01/03 Kel. Cibodas Kec. Cibodas Kota Tangerang</t>
  </si>
  <si>
    <t>Garut</t>
  </si>
  <si>
    <t>27-04-1992</t>
  </si>
  <si>
    <t>29 tahun 9 Bulan</t>
  </si>
  <si>
    <t>PAI Inggris dan Indonesia</t>
  </si>
  <si>
    <t>Dakwah dan Ushuluddin</t>
  </si>
  <si>
    <t>Guru Pengajar dan Staf TU Pendidikan di Darunnajah 2 Bogor tahun 2012-2014</t>
  </si>
  <si>
    <t>4.000.000 UMR Bogor (Pengabdian)</t>
  </si>
  <si>
    <t>Guru Pengajar dan Kepala Asrama Putri di Darunnajah 2 Bogor tahun 2020-2022</t>
  </si>
  <si>
    <t>4.500.000 UMR Bogor ( Pengabdian)</t>
  </si>
  <si>
    <t>BSI ex Bank Syariah Mandiri</t>
  </si>
  <si>
    <t>mamzsay27@gmail.com</t>
  </si>
  <si>
    <t>1fFEc8mNp2sTIgcgAydJ3-SB_CAX3R89ygebh2YvSIOk</t>
  </si>
  <si>
    <t>https://docs.google.com/document/d/1fFEc8mNp2sTIgcgAydJ3-SB_CAX3R89ygebh2YvSIOk/edit?usp=drivesdk</t>
  </si>
  <si>
    <t>Document successfully created; Document successfully merged; Run via form trigger as kemal.stafsus@gmail.com; Timestamp: Jan 15 2022 8:03 AM</t>
  </si>
  <si>
    <t>https://drive.google.com/open?id=1EgV1LgfUhSRf0hTmtxkByUcbnzFXSDuK</t>
  </si>
  <si>
    <t>https://drive.google.com/uc?export=view&amp;id=1EgV1LgfUhSRf0hTmtxkByUcbnzFXSDuK</t>
  </si>
  <si>
    <t>Sima</t>
  </si>
  <si>
    <t>081334230527</t>
  </si>
  <si>
    <t>2102056702970004</t>
  </si>
  <si>
    <t>Jalan Bidar III no 12, Tanggerang Banten</t>
  </si>
  <si>
    <t>Tanjung Balai Karimun</t>
  </si>
  <si>
    <t>27-02 -1997</t>
  </si>
  <si>
    <t>24 Tahun 11 bulan</t>
  </si>
  <si>
    <t>Al -Qur'an, Arabic dan PAI</t>
  </si>
  <si>
    <t>Ilmu Hadis</t>
  </si>
  <si>
    <t>Guru Tahfizh Al Qur'an Ummu Ruman Banats</t>
  </si>
  <si>
    <t>Guru Tahfizh Manarul Al Quran</t>
  </si>
  <si>
    <t>simaarina27@gmail.com</t>
  </si>
  <si>
    <t>1yyNWa_JtDAA3kmOj2B04kUItELqNftTz5TL4hmGANYg</t>
  </si>
  <si>
    <t>https://docs.google.com/document/d/1yyNWa_JtDAA3kmOj2B04kUItELqNftTz5TL4hmGANYg/edit?usp=drivesdk</t>
  </si>
  <si>
    <t>Document successfully created; Document successfully merged; Run via form trigger as kemal.stafsus@gmail.com; Timestamp: Jan 22 2022 9:28 AM</t>
  </si>
  <si>
    <t>https://drive.google.com/open?id=1nzZixdf0aaqUNkrv_Pjj_PWz5BJASf6Z</t>
  </si>
  <si>
    <t>https://drive.google.com/uc?export=view&amp;id=1nzZixdf0aaqUNkrv_Pjj_PWz5BJASf6Z</t>
  </si>
  <si>
    <t>Wahyu Hidayat</t>
  </si>
  <si>
    <t>085811977467</t>
  </si>
  <si>
    <t>3671110912840004</t>
  </si>
  <si>
    <t>9 Desember 1986</t>
  </si>
  <si>
    <t>STIE GR</t>
  </si>
  <si>
    <t>LBIS</t>
  </si>
  <si>
    <t>wahyuuhidayatt84@gmail.com</t>
  </si>
  <si>
    <t>1mQwldbX0RZxMriA3pSI7WoTWaxEqG5kJqBdjnS0Qw3s</t>
  </si>
  <si>
    <t>https://docs.google.com/document/d/1mQwldbX0RZxMriA3pSI7WoTWaxEqG5kJqBdjnS0Qw3s/edit?usp=drivesdk</t>
  </si>
  <si>
    <t>Document successfully created; Document successfully merged; Run via form trigger as kemal.stafsus@gmail.com; Timestamp: Jan 25 2022 6:00 AM</t>
  </si>
  <si>
    <t>https://drive.google.com/open?id=1MN0_QGjDEz4f-xFCh35xycwMhgKNsfeh</t>
  </si>
  <si>
    <t>https://drive.google.com/uc?export=view&amp;id=1MN0_QGjDEz4f-xFCh35xycwMhgKNsfeh</t>
  </si>
  <si>
    <t>MUHAMMAD FURQON</t>
  </si>
  <si>
    <t>08129748049</t>
  </si>
  <si>
    <t>3674061805820006</t>
  </si>
  <si>
    <t>Jl TK Aisyiah 83 no 13 RT 001 RW 007, Komplek Departemen Agama RI, Kelurahan Bambu Apus, Kecamatan Pamulang, Kota Tangerang Selatan</t>
  </si>
  <si>
    <t>18 - MEI - 1982</t>
  </si>
  <si>
    <t>39 tahun, 9 bulan</t>
  </si>
  <si>
    <t>Al-Wildan 5 Benhil</t>
  </si>
  <si>
    <t xml:space="preserve">BANK UOB INDONESIA </t>
  </si>
  <si>
    <t>PT HYDRO PERDANA RETAILINDO</t>
  </si>
  <si>
    <t>PT PELAYARAN SAMUDERA RIZQI</t>
  </si>
  <si>
    <t>raqillafurqon@gmail.com</t>
  </si>
  <si>
    <t>1mitNbxmVbLHpg10FGZ_WzmGqpjLauE2yBoxucgmBRzI</t>
  </si>
  <si>
    <t>https://docs.google.com/document/d/1mitNbxmVbLHpg10FGZ_WzmGqpjLauE2yBoxucgmBRzI/edit?usp=drivesdk</t>
  </si>
  <si>
    <t>Document successfully created; Document successfully merged; Run via form trigger as kemal.stafsus@gmail.com; Timestamp: Feb 14 2022 3:57 AM</t>
  </si>
  <si>
    <t>https://drive.google.com/open?id=1qPjOOQqBlpd7fHxMVfVpjZZXhMY6WKu9</t>
  </si>
  <si>
    <t>https://drive.google.com/uc?export=view&amp;id=1qPjOOQqBlpd7fHxMVfVpjZZXhMY6WKu9</t>
  </si>
  <si>
    <t>Aisha Pitaloka Putri</t>
  </si>
  <si>
    <t>085929015674</t>
  </si>
  <si>
    <t>36032850906950008</t>
  </si>
  <si>
    <t>Jl. Sinai IV No. 68, Komp. Islamic Village, Kec. Kelapa Dua, Kel. Kelapa Dua, Kab. Tangerang</t>
  </si>
  <si>
    <t>19-06-1995</t>
  </si>
  <si>
    <t>26 tahun 5 bulan</t>
  </si>
  <si>
    <t>Glorious Education Center</t>
  </si>
  <si>
    <t>aishapitaloka95@gmail.com</t>
  </si>
  <si>
    <t>1Ps0tgcg5RNqd5iFjVG1wzWIOLXqgL7p2dK5JtAU76JI</t>
  </si>
  <si>
    <t>https://docs.google.com/document/d/1Ps0tgcg5RNqd5iFjVG1wzWIOLXqgL7p2dK5JtAU76JI/edit?usp=drivesdk</t>
  </si>
  <si>
    <t>Document successfully created; Document successfully merged; Run via form trigger as kemal.stafsus@gmail.com; Timestamp: Mar 2 2022 10:22 PM</t>
  </si>
  <si>
    <t>https://drive.google.com/open?id=1oKqPNm9qzuXrF8YIFYl7hUmvu6ggLapQ</t>
  </si>
  <si>
    <t>https://drive.google.com/uc?export=view&amp;id=1oKqPNm9qzuXrF8YIFYl7hUmvu6ggLapQ</t>
  </si>
  <si>
    <t>Hanin Nitiani, S.Pd</t>
  </si>
  <si>
    <t>08988955990</t>
  </si>
  <si>
    <t>3273305302950001</t>
  </si>
  <si>
    <t>Jalan Pasir Impun No.91 RT.02/03 Kec. Mandalajati Kota Bandung 40195</t>
  </si>
  <si>
    <t>13-02-1995</t>
  </si>
  <si>
    <t>Surveyor Pemetaan</t>
  </si>
  <si>
    <t>&gt; Rp. 5.000.000/bulan</t>
  </si>
  <si>
    <t>Tunas Unggul Global Interactive School</t>
  </si>
  <si>
    <t>Rp. 5.700.000</t>
  </si>
  <si>
    <t>Rp. 6.500.000 - 6.800.000</t>
  </si>
  <si>
    <t>nitianihanin@gmail.com</t>
  </si>
  <si>
    <t>12qMb3vxeNMC3xI7H5nEAjXGaWPvwvp3TnbVoQAj2pa0</t>
  </si>
  <si>
    <t>https://docs.google.com/document/d/12qMb3vxeNMC3xI7H5nEAjXGaWPvwvp3TnbVoQAj2pa0/edit?usp=drivesdk</t>
  </si>
  <si>
    <t>Document successfully created; Document successfully merged; Run via form trigger as kemal.stafsus@gmail.com; Timestamp: Apr 14 2022 2:10 AM</t>
  </si>
  <si>
    <t>https://drive.google.com/open?id=1_ls_LZ-FX9Et4juV732Ihxjm2YsDKrbD</t>
  </si>
  <si>
    <t>https://drive.google.com/uc?export=view&amp;id=1_ls_LZ-FX9Et4juV732Ihxjm2YsDKrbD</t>
  </si>
  <si>
    <t>Kiki Amirullah, S.Pd</t>
  </si>
  <si>
    <t>085695659039</t>
  </si>
  <si>
    <t>3173041011900014</t>
  </si>
  <si>
    <t>Ciater Permai, Jl. Bakung IV Blok B5/16 Ciater Serpong Tangerang Selatan</t>
  </si>
  <si>
    <t>10-11-1990</t>
  </si>
  <si>
    <t>Corporate Trainer</t>
  </si>
  <si>
    <t xml:space="preserve">Guru Economics Cambridge </t>
  </si>
  <si>
    <t>kikiamirullah10@gmail.com</t>
  </si>
  <si>
    <t>1sqGRZwFGYOWYwjymxCrrE1-OESd4LIT-CDsNEXD3KWs</t>
  </si>
  <si>
    <t>https://docs.google.com/document/d/1sqGRZwFGYOWYwjymxCrrE1-OESd4LIT-CDsNEXD3KWs/edit?usp=drivesdk</t>
  </si>
  <si>
    <t>Document successfully created; Document successfully merged; Run via form trigger as kemal.stafsus@gmail.com; Timestamp: Apr 20 2022 12:47 AM</t>
  </si>
  <si>
    <t>https://drive.google.com/open?id=1YuFY-3oRFAnFbQts0Qih67wyohbv7PhI</t>
  </si>
  <si>
    <t>https://drive.google.com/uc?export=view&amp;id=1YuFY-3oRFAnFbQts0Qih67wyohbv7PhI</t>
  </si>
  <si>
    <t>Astri Padmajati, M.Pd.</t>
  </si>
  <si>
    <t>081328139498</t>
  </si>
  <si>
    <t>3402035107960001</t>
  </si>
  <si>
    <t>Kergan RT 01, Tirtomulyo, Kretek, Bantul, Yogyakarta.</t>
  </si>
  <si>
    <t>11-07-1996</t>
  </si>
  <si>
    <t>PTN - Universitas Negeri Yogyakarta</t>
  </si>
  <si>
    <t xml:space="preserve">Fawwaz GIS </t>
  </si>
  <si>
    <t>SMP, SMA, dan Pesantren Bumi Cendekia</t>
  </si>
  <si>
    <t>004221045828</t>
  </si>
  <si>
    <t>BPD DIY</t>
  </si>
  <si>
    <t>astripadmajati0@gmail.com</t>
  </si>
  <si>
    <t>1YYdQ9QACxAAGMmy_DSykXC9ElbBdAwRiQUGBRTDWjKc</t>
  </si>
  <si>
    <t>https://docs.google.com/document/d/1YYdQ9QACxAAGMmy_DSykXC9ElbBdAwRiQUGBRTDWjKc/edit?usp=drivesdk</t>
  </si>
  <si>
    <t>Document successfully created; Document successfully merged; Run via form trigger as kemal.stafsus@gmail.com; Timestamp: Apr 20 2022 12:55 AM</t>
  </si>
  <si>
    <t>https://drive.google.com/open?id=1Q-Q4Iyixz39fg1Lx6mriIYSlu1n0T_RO</t>
  </si>
  <si>
    <t>https://drive.google.com/uc?export=view&amp;id=1Q-Q4Iyixz39fg1Lx6mriIYSlu1n0T_RO</t>
  </si>
  <si>
    <t>Fairuz Fathiya Khansa, S.Pd</t>
  </si>
  <si>
    <t>087721816684</t>
  </si>
  <si>
    <t>3674065210970003</t>
  </si>
  <si>
    <t>Reni Jaya Jl. Akasia 1 Blok AC 5 No.6-7 Pamulang Barat</t>
  </si>
  <si>
    <t>12-10-1997</t>
  </si>
  <si>
    <t>24 tahun 6 bulan</t>
  </si>
  <si>
    <t>Pendidikan IPS (Konsentrasi Geografi)</t>
  </si>
  <si>
    <t>Guru Geografi - MAN 1 Tangerang Selatan</t>
  </si>
  <si>
    <t>Tutor Geografi - Bimbingan Belajar Ocean Education</t>
  </si>
  <si>
    <t>Guru Geografi (infal) - Insan Cendekia Madani</t>
  </si>
  <si>
    <t>fathiyasasa@gmail.com</t>
  </si>
  <si>
    <t>10YhX0Nz0D55gaKnai7-Zg_zggX3IpkqbQCs9tjTZCyg</t>
  </si>
  <si>
    <t>https://docs.google.com/document/d/10YhX0Nz0D55gaKnai7-Zg_zggX3IpkqbQCs9tjTZCyg/edit?usp=drivesdk</t>
  </si>
  <si>
    <t>Document successfully created; Document successfully merged; Run via form trigger as kemal.stafsus@gmail.com; Timestamp: Apr 20 2022 1:00 AM</t>
  </si>
  <si>
    <t>https://drive.google.com/open?id=1Y9LlXVDAFUVMs5KWvxMSs0LU3mQz54Pv</t>
  </si>
  <si>
    <t>https://drive.google.com/uc?export=view&amp;id=1Y9LlXVDAFUVMs5KWvxMSs0LU3mQz54Pv</t>
  </si>
  <si>
    <t xml:space="preserve">Fauzia Ayu Ramadhanti, S.T. </t>
  </si>
  <si>
    <t>081210932570</t>
  </si>
  <si>
    <t>3172045001980006</t>
  </si>
  <si>
    <t>Jalan Swadarma Utara VI no 7, RT 010/RW008, Ulujami, Pesanggrahan, Jakarta Selatan</t>
  </si>
  <si>
    <t>Jakarta Pusat</t>
  </si>
  <si>
    <t>10-01-1998</t>
  </si>
  <si>
    <t xml:space="preserve">24 tahun 3 bulan </t>
  </si>
  <si>
    <t>Math Cambridge</t>
  </si>
  <si>
    <t>Teknik Metalurgi</t>
  </si>
  <si>
    <t>Guru Eksak SD-SMP di Bintang Pelajar</t>
  </si>
  <si>
    <t>Guru matematika SD-SMP kelas 6 Madina Smart Learning (Online)</t>
  </si>
  <si>
    <t>Guru Privat Matematika IPA SD-SMP</t>
  </si>
  <si>
    <t>3.500.000-5.000.000</t>
  </si>
  <si>
    <t>fauzia.ayur@gmail.com</t>
  </si>
  <si>
    <t>1uvPICcPm0shN5h-zGv2TuCZBMM4xFDARJTLAusa_p6Y</t>
  </si>
  <si>
    <t>https://docs.google.com/document/d/1uvPICcPm0shN5h-zGv2TuCZBMM4xFDARJTLAusa_p6Y/edit?usp=drivesdk</t>
  </si>
  <si>
    <t>Document successfully created; Document successfully merged; Run via form trigger as kemal.stafsus@gmail.com; Timestamp: Apr 20 2022 1:01 AM</t>
  </si>
  <si>
    <t>https://drive.google.com/open?id=1zfW4dGR8tttHD7X2YuytWkbWTOd9sGNw</t>
  </si>
  <si>
    <t>https://drive.google.com/uc?export=view&amp;id=1zfW4dGR8tttHD7X2YuytWkbWTOd9sGNw</t>
  </si>
  <si>
    <t>Aksan Taqwin, S.Pd.</t>
  </si>
  <si>
    <t>082210248450</t>
  </si>
  <si>
    <t>3524071803890002</t>
  </si>
  <si>
    <t>Komplek Masjid Baiturrahman. Kampung Pulo RT/RW 013/005, Bitung Jaya, Cikupa-Tangerang.</t>
  </si>
  <si>
    <t>Lamongan</t>
  </si>
  <si>
    <t>18-03-1989</t>
  </si>
  <si>
    <t>33 tahun 1 bulan</t>
  </si>
  <si>
    <t>Universitas PGRI Ronggolawe Tuban</t>
  </si>
  <si>
    <t>SMAS Pondok Pesantren Daar El-Qolam Program Excellent Class Tangerang</t>
  </si>
  <si>
    <t>SMAS Insan Cendekia Madani BSD</t>
  </si>
  <si>
    <t>Tataqweens@gmail.com</t>
  </si>
  <si>
    <t>1Sx60bNg4dYEPQCL2T9ddX0QvhVNDGtkNZ5N7SfWjc-k</t>
  </si>
  <si>
    <t>https://docs.google.com/document/d/1Sx60bNg4dYEPQCL2T9ddX0QvhVNDGtkNZ5N7SfWjc-k/edit?usp=drivesdk</t>
  </si>
  <si>
    <t>Document successfully created; Document successfully merged; Run via form trigger as kemal.stafsus@gmail.com; Timestamp: Apr 20 2022 1:05 AM</t>
  </si>
  <si>
    <t>https://drive.google.com/open?id=1gmW1pedwQrfUDA2ITGJASqSt7YWDmIwy</t>
  </si>
  <si>
    <t>https://drive.google.com/uc?export=view&amp;id=1gmW1pedwQrfUDA2ITGJASqSt7YWDmIwy</t>
  </si>
  <si>
    <t>Sudarmi, M.Pd</t>
  </si>
  <si>
    <t>085226316430</t>
  </si>
  <si>
    <t>3403147005950001</t>
  </si>
  <si>
    <t>Kontrakan H.Tasdi no 4
Jl. Gandamekar Rt1/Rw1, Gandamekar, Cikarang Barat, Bekasi, Jawa Barat 17841.</t>
  </si>
  <si>
    <t>Gunungkidul</t>
  </si>
  <si>
    <t>30-05-1995</t>
  </si>
  <si>
    <t>26 tahun 11 bulan</t>
  </si>
  <si>
    <t>Al-Wildan 15 Kompas Indah, Tambun Bekasi.</t>
  </si>
  <si>
    <t>Universitas Sarjanawiyata Tamansiswa</t>
  </si>
  <si>
    <t>3.52</t>
  </si>
  <si>
    <t>Instruktur TOEFL di lembaga pelatihan bahasa Universitas Sarjanawiyata Tamansiswa</t>
  </si>
  <si>
    <t xml:space="preserve">Guru privat di Nusagama dan SIB School </t>
  </si>
  <si>
    <t>Guru bantu bahasa Inggris di SMP N 3 Gedangsari</t>
  </si>
  <si>
    <t>sudarmmi@gmail.com</t>
  </si>
  <si>
    <t>17cYITlwVXbpxeHg96_KPe47muDlVXCx-cbhwPygnwlo</t>
  </si>
  <si>
    <t>https://docs.google.com/document/d/17cYITlwVXbpxeHg96_KPe47muDlVXCx-cbhwPygnwlo/edit?usp=drivesdk</t>
  </si>
  <si>
    <t>Document successfully created; Document successfully merged; Run via form trigger as kemal.stafsus@gmail.com; Timestamp: Apr 20 2022 1:31 AM</t>
  </si>
  <si>
    <t>https://drive.google.com/open?id=1BYmm2L3GUavoo-24ETnKVo0jE5rbUNDG</t>
  </si>
  <si>
    <t>https://drive.google.com/uc?export=view&amp;id=1BYmm2L3GUavoo-24ETnKVo0jE5rbUNDG</t>
  </si>
  <si>
    <t>Fitriana Nurindah Putri, S.Pd</t>
  </si>
  <si>
    <t>087878863333</t>
  </si>
  <si>
    <t>3174074902970002</t>
  </si>
  <si>
    <t>Pak Bayu, Desa Mekar Jaya 005/001, Parenggean, Kotawaringin Timur, Kalimantan Tengah</t>
  </si>
  <si>
    <t>9 Februari 1997</t>
  </si>
  <si>
    <t>PT. Pendidikan Ganesha Operation Unit Pemuda</t>
  </si>
  <si>
    <t>SMPIT Aqidah</t>
  </si>
  <si>
    <t>fitrianaputri0919@gmail.com</t>
  </si>
  <si>
    <t>1b3ORH_MFDzQb9MxC4rhLeFGpbfEphD3TyfipX6XRiZ0</t>
  </si>
  <si>
    <t>https://docs.google.com/document/d/1b3ORH_MFDzQb9MxC4rhLeFGpbfEphD3TyfipX6XRiZ0/edit?usp=drivesdk</t>
  </si>
  <si>
    <t>Document successfully created; Document successfully merged; Run via form trigger as kemal.stafsus@gmail.com; Timestamp: Apr 20 2022 1:46 AM</t>
  </si>
  <si>
    <t>https://drive.google.com/open?id=1hIBZ3k5sC03QiV71a2IJZ_QAbXTgDAXm</t>
  </si>
  <si>
    <t>https://drive.google.com/uc?export=view&amp;id=1hIBZ3k5sC03QiV71a2IJZ_QAbXTgDAXm</t>
  </si>
  <si>
    <t>Ela Fitriani, S.Hum., M.Si.</t>
  </si>
  <si>
    <t>081908067896</t>
  </si>
  <si>
    <t>3172035802960002</t>
  </si>
  <si>
    <t>Jl. Alur Laut Gg. Waru No. 63 RT/RW. 05/03 Kel. Rawa Badak Selatan Kec. Koja, Jakarta Utara.</t>
  </si>
  <si>
    <t>18-02-1996</t>
  </si>
  <si>
    <t xml:space="preserve">26 tahun 2 bulan </t>
  </si>
  <si>
    <t>S1 FIB - Universitas Indonesia</t>
  </si>
  <si>
    <t>Sastra Jepang</t>
  </si>
  <si>
    <t>S2 FISIP - Universitas Indonesia</t>
  </si>
  <si>
    <t>Team Leader di fashion store (2017-2022)</t>
  </si>
  <si>
    <t>Tutor Bahasa (2015-2016)</t>
  </si>
  <si>
    <t>efitriani18@gmail.com</t>
  </si>
  <si>
    <t>15wG-h8RSKzpPmnygELtmyCar1b24wBWcnf4hT1vuvv8</t>
  </si>
  <si>
    <t>https://docs.google.com/document/d/15wG-h8RSKzpPmnygELtmyCar1b24wBWcnf4hT1vuvv8/edit?usp=drivesdk</t>
  </si>
  <si>
    <t>Document successfully created; Document successfully merged; Run via form trigger as kemal.stafsus@gmail.com; Timestamp: Apr 20 2022 1:57 AM</t>
  </si>
  <si>
    <t>https://drive.google.com/open?id=16S1cPPdcmjyTYi7_kPUjwNZuL10qBm4f</t>
  </si>
  <si>
    <t>https://drive.google.com/uc?export=view&amp;id=16S1cPPdcmjyTYi7_kPUjwNZuL10qBm4f</t>
  </si>
  <si>
    <t xml:space="preserve">Salman Al Farisi, S.Pd, </t>
  </si>
  <si>
    <t>081903682620</t>
  </si>
  <si>
    <t>3205052612960001</t>
  </si>
  <si>
    <t>Ciangsana gunung putri bogor</t>
  </si>
  <si>
    <t>KABUPATEN GARUT</t>
  </si>
  <si>
    <t>23, Desember 1996</t>
  </si>
  <si>
    <t>Stit Al Hidayah</t>
  </si>
  <si>
    <t>SMP QUR'AN ASY SYSHID Muhafizh dan Musyrif</t>
  </si>
  <si>
    <t>alfariziisalman1996@gmail.com</t>
  </si>
  <si>
    <t>1w4OXjAXdygmOcxkztDKCCKmZI2hFa7fgDOAXjTtTQf0</t>
  </si>
  <si>
    <t>https://docs.google.com/document/d/1w4OXjAXdygmOcxkztDKCCKmZI2hFa7fgDOAXjTtTQf0/edit?usp=drivesdk</t>
  </si>
  <si>
    <t>Document successfully created; Document successfully merged; Run via form trigger as kemal.stafsus@gmail.com; Timestamp: Apr 20 2022 2:16 AM</t>
  </si>
  <si>
    <t>https://drive.google.com/open?id=1QusWp3LvdC7kmfOSOqY3CEBVX1ycDHDb</t>
  </si>
  <si>
    <t>https://drive.google.com/uc?export=view&amp;id=1QusWp3LvdC7kmfOSOqY3CEBVX1ycDHDb</t>
  </si>
  <si>
    <t>Rijal Muttaqin Al hafidz</t>
  </si>
  <si>
    <t>082314959019</t>
  </si>
  <si>
    <t>3329141501940004</t>
  </si>
  <si>
    <t>15 Januari 1994</t>
  </si>
  <si>
    <t>28 tahun 3 bulan</t>
  </si>
  <si>
    <t>Tahfidz</t>
  </si>
  <si>
    <t>Ma'had imam syafii Brebes</t>
  </si>
  <si>
    <t>Pengajar di Ma'had Imam Syafii Brebes</t>
  </si>
  <si>
    <t>icalcaravan@gmail.com</t>
  </si>
  <si>
    <t>1BBiTZNCg8mMWD0AQkGb84DTijDzuDC7gKJksjpyNpJQ</t>
  </si>
  <si>
    <t>https://docs.google.com/document/d/1BBiTZNCg8mMWD0AQkGb84DTijDzuDC7gKJksjpyNpJQ/edit?usp=drivesdk</t>
  </si>
  <si>
    <t>Document successfully created; Document successfully merged; Run via form trigger as kemal.stafsus@gmail.com; Timestamp: Apr 20 2022 2:17 AM</t>
  </si>
  <si>
    <t>https://drive.google.com/open?id=1-t5PpENIBM97tn5r-I22LgPJoAdrfXUe</t>
  </si>
  <si>
    <t>https://drive.google.com/uc?export=view&amp;id=1-t5PpENIBM97tn5r-I22LgPJoAdrfXUe</t>
  </si>
  <si>
    <t>Teguh Agus Wahyuda, S.Pd., CHt.</t>
  </si>
  <si>
    <t>089610011893</t>
  </si>
  <si>
    <t>3329071808930001</t>
  </si>
  <si>
    <t>Ciputat, Tangerang Selatan</t>
  </si>
  <si>
    <t>18-08-1993</t>
  </si>
  <si>
    <t xml:space="preserve">Guru Al-Qur'an </t>
  </si>
  <si>
    <t>PBSI</t>
  </si>
  <si>
    <t>3, 23</t>
  </si>
  <si>
    <t xml:space="preserve">Muayrif &amp; Guru Tahfidz </t>
  </si>
  <si>
    <t>Guru Tahfidz &amp; PAI</t>
  </si>
  <si>
    <t>teguh.46us@gmail.com</t>
  </si>
  <si>
    <t>1ta8e06Y3jXc9P2ckzeYbsL1uxDZHg2cuMKHdjC2FD4I</t>
  </si>
  <si>
    <t>https://docs.google.com/document/d/1ta8e06Y3jXc9P2ckzeYbsL1uxDZHg2cuMKHdjC2FD4I/edit?usp=drivesdk</t>
  </si>
  <si>
    <t>Document successfully created; Document successfully merged; Run via form trigger as kemal.stafsus@gmail.com; Timestamp: Apr 20 2022 2:35 AM</t>
  </si>
  <si>
    <t>https://drive.google.com/open?id=1kj3FUZbSV6Q8izfS_uMfJTkVNjZOizDd</t>
  </si>
  <si>
    <t>https://drive.google.com/uc?export=view&amp;id=1kj3FUZbSV6Q8izfS_uMfJTkVNjZOizDd</t>
  </si>
  <si>
    <t>Pirman Hadiansah, Lc</t>
  </si>
  <si>
    <t>081315979054</t>
  </si>
  <si>
    <t>3273061303950002</t>
  </si>
  <si>
    <t>Jl. Jombol RT02 RW06, Desa Dawuan, Kecamatan Dawuan, Kabupaten Majalengka</t>
  </si>
  <si>
    <t>13-03-1995</t>
  </si>
  <si>
    <t>27 Tahun 1 Bulan</t>
  </si>
  <si>
    <t xml:space="preserve">Diniyyah </t>
  </si>
  <si>
    <t>International University Of Africa, Sudan</t>
  </si>
  <si>
    <t>Tafsir Wa Ulumul Qur'an / Dirosah Islamiyah</t>
  </si>
  <si>
    <t>Guru Diniyyah Pondok Pesantren Islam Al Irsyad Tengaran 2 Majalengka</t>
  </si>
  <si>
    <t>&gt;3.000.000</t>
  </si>
  <si>
    <t>fhadiansah89@gmail.com</t>
  </si>
  <si>
    <t>18iCjJ5oRcowXjSmiwXpqlCpVKlwouvNWglNjKU7q8f4</t>
  </si>
  <si>
    <t>https://docs.google.com/document/d/18iCjJ5oRcowXjSmiwXpqlCpVKlwouvNWglNjKU7q8f4/edit?usp=drivesdk</t>
  </si>
  <si>
    <t>Document successfully created; Document successfully merged; Run via form trigger as kemal.stafsus@gmail.com; Timestamp: Apr 20 2022 2:37 AM</t>
  </si>
  <si>
    <t>https://drive.google.com/open?id=13y_7xUYReU9uVtm44P9nZmz2VMF5UB4e</t>
  </si>
  <si>
    <t>https://drive.google.com/uc?export=view&amp;id=13y_7xUYReU9uVtm44P9nZmz2VMF5UB4e</t>
  </si>
  <si>
    <t>Devitri Andini, M.Pd</t>
  </si>
  <si>
    <t>085272927925</t>
  </si>
  <si>
    <t>1404045812950001</t>
  </si>
  <si>
    <t>Perumahan Pondok Kopi i2/7, Duren Sawit, Jakarta Timur</t>
  </si>
  <si>
    <t>Tembilahan</t>
  </si>
  <si>
    <t>18-12-1995</t>
  </si>
  <si>
    <t>Universitas Islam Negeri Sultan Syarif Kasim Riau</t>
  </si>
  <si>
    <t>4.500.000 - 5.000.000</t>
  </si>
  <si>
    <t>devitriandini@gmail.com</t>
  </si>
  <si>
    <t>1xCNx2MUAmQ-T2AMaRIsv2JO9nWhoi7ajbsaorCrr4sU</t>
  </si>
  <si>
    <t>https://docs.google.com/document/d/1xCNx2MUAmQ-T2AMaRIsv2JO9nWhoi7ajbsaorCrr4sU/edit?usp=drivesdk</t>
  </si>
  <si>
    <t>Document successfully created; Document successfully merged; Run via form trigger as kemal.stafsus@gmail.com; Timestamp: Apr 20 2022 2:44 AM</t>
  </si>
  <si>
    <t>https://drive.google.com/open?id=1jduMnEUzbh0dc42Ry2o2_yEB1e7wsDJE</t>
  </si>
  <si>
    <t>https://drive.google.com/uc?export=view&amp;id=1jduMnEUzbh0dc42Ry2o2_yEB1e7wsDJE</t>
  </si>
  <si>
    <t>Ferizco Khusyufi Setiawan, S.Hum.</t>
  </si>
  <si>
    <t>083899369726</t>
  </si>
  <si>
    <t>3201022205970006</t>
  </si>
  <si>
    <t>Jakarta Timur</t>
  </si>
  <si>
    <t>22-05-1997</t>
  </si>
  <si>
    <t>Bahasa dan Sastra Arab</t>
  </si>
  <si>
    <t>3.11</t>
  </si>
  <si>
    <t>1. Guru Al-Qur'an metode Ummi di SMA Muhammadiyah 3 Jakarta (2018-2020)</t>
  </si>
  <si>
    <t>2. Guru Al-Qur'an di SDIF Al-Fikri Depok (2020-2021)</t>
  </si>
  <si>
    <t>setiawanferizco@gmail.com</t>
  </si>
  <si>
    <t>19yUS26_bcfgoFmh3n8IAb4LlsXQYaycNIQWwkiweF9k</t>
  </si>
  <si>
    <t>https://docs.google.com/document/d/19yUS26_bcfgoFmh3n8IAb4LlsXQYaycNIQWwkiweF9k/edit?usp=drivesdk</t>
  </si>
  <si>
    <t>Document successfully created; Invalid image URL [https://drive.google.com/uc?export=view&amp;id=1jduMnEUzbh0dc42Ry2o2_yEB1e7wsDJE], make sure that it is public; Document successfully merged; Run via form trigger as kemal.stafsus@gmail.com; Timestamp: Apr 20 2022 3:22 AM</t>
  </si>
  <si>
    <t>https://drive.google.com/open?id=1v1pv4QkpfDuAtPcp9Fb2m-r7yX-efcHh</t>
  </si>
  <si>
    <t>https://drive.google.com/uc?export=view&amp;id=1v1pv4QkpfDuAtPcp9Fb2m-r7yX-efcHh</t>
  </si>
  <si>
    <t>Siti Aminatuh Juhriah, M.Si</t>
  </si>
  <si>
    <t>085891986669</t>
  </si>
  <si>
    <t>3671016201910007</t>
  </si>
  <si>
    <t>Jl. Babussalam RT 001/RW 015 Tanah Tinggi Tangerang</t>
  </si>
  <si>
    <t>22-01-1991</t>
  </si>
  <si>
    <t>31 tahun 4 bulan</t>
  </si>
  <si>
    <t>Biologi/IPA Cambridge</t>
  </si>
  <si>
    <t xml:space="preserve">Ilmu Kelautan </t>
  </si>
  <si>
    <t>3.68</t>
  </si>
  <si>
    <t>SMA IIHS (International Islamic High School)</t>
  </si>
  <si>
    <t>0820994464</t>
  </si>
  <si>
    <t>sitiaminatuh1@gmail.com</t>
  </si>
  <si>
    <t>1xQEYtduTyfCbIUMacp-BnjfCwOkKKsjVjCN18K9JSkQ</t>
  </si>
  <si>
    <t>https://docs.google.com/document/d/1xQEYtduTyfCbIUMacp-BnjfCwOkKKsjVjCN18K9JSkQ/edit?usp=drivesdk</t>
  </si>
  <si>
    <t>Document successfully created; Document successfully merged; Run via form trigger as kemal.stafsus@gmail.com; Timestamp: Apr 20 2022 3:43 AM</t>
  </si>
  <si>
    <t>https://drive.google.com/open?id=117B9zNAqKhvwbXytv7P7Puzxx3VqroRS</t>
  </si>
  <si>
    <t>https://drive.google.com/uc?export=view&amp;id=117B9zNAqKhvwbXytv7P7Puzxx3VqroRS</t>
  </si>
  <si>
    <t>Riska Herdiyanti Damanik S.Pd</t>
  </si>
  <si>
    <t>085693106056</t>
  </si>
  <si>
    <t>3215255304970002</t>
  </si>
  <si>
    <t>Kp Karajan RT 02/01 Ds Pucung Kec Kotabaru Kab Karawang</t>
  </si>
  <si>
    <t>Karawang</t>
  </si>
  <si>
    <t>25 tahun 1 bulan</t>
  </si>
  <si>
    <t>Universitas Pendidikan Indonesia Kampus Purwakarta</t>
  </si>
  <si>
    <t xml:space="preserve">PGSD </t>
  </si>
  <si>
    <t>Pendidikan Dasar</t>
  </si>
  <si>
    <t>Homeroom Teacher Kindergarten</t>
  </si>
  <si>
    <t>SDI Al Azhari Global School Cikampek</t>
  </si>
  <si>
    <t>riskaapplication13@gmail.com</t>
  </si>
  <si>
    <t>11Dz8CpB1roGWSvKvwndFTFWRfXhhOLvxmkOgmpABXCI</t>
  </si>
  <si>
    <t>https://docs.google.com/document/d/11Dz8CpB1roGWSvKvwndFTFWRfXhhOLvxmkOgmpABXCI/edit?usp=drivesdk</t>
  </si>
  <si>
    <t>Document successfully created; Invalid image URL [https://drive.google.com/uc?export=view&amp;id=117B9zNAqKhvwbXytv7P7Puzxx3VqroRS], make sure that it is public; Document successfully merged; Run via form trigger as kemal.stafsus@gmail.com; Timestamp: Apr 20 2022 4:42 AM</t>
  </si>
  <si>
    <t>https://drive.google.com/open?id=1W3zszwAiAL1_Vpe8CJ2yIFwlU5Eh7jYu</t>
  </si>
  <si>
    <t>https://drive.google.com/uc?export=view&amp;id=1W3zszwAiAL1_Vpe8CJ2yIFwlU5Eh7jYu</t>
  </si>
  <si>
    <t>Abdellah Azzam Maachou</t>
  </si>
  <si>
    <t>085856455465</t>
  </si>
  <si>
    <t>Institut Tazkia Jl. Cilember no.156, Jogjogan, Cisarua, Kab. Bogor</t>
  </si>
  <si>
    <t>Sidi Bel Abbes</t>
  </si>
  <si>
    <t>19-03-1990</t>
  </si>
  <si>
    <t>32 Tahun 1 bulan</t>
  </si>
  <si>
    <t>Djillali Liabes University</t>
  </si>
  <si>
    <t>British and American Civilization/ literature</t>
  </si>
  <si>
    <t>TEFL</t>
  </si>
  <si>
    <t>UK University of Northampton</t>
  </si>
  <si>
    <t>IELTS teacher</t>
  </si>
  <si>
    <t xml:space="preserve">8.000.000 (13 jam per minggu) plus akomodasi, makan 3X sehari, laundry, dan KITAS </t>
  </si>
  <si>
    <t>Native English teacher</t>
  </si>
  <si>
    <t>5.500.000 plus akomodasi</t>
  </si>
  <si>
    <t>12.000.000 (Negotiable) untuk fulltime teaching plus akomodasi dan work permit</t>
  </si>
  <si>
    <t>azumanzt@gmail.com</t>
  </si>
  <si>
    <t>1ljc10rU67cYIrafkM7kM2Empkrv2E3aIz9lavcbRjFc</t>
  </si>
  <si>
    <t>https://docs.google.com/document/d/1ljc10rU67cYIrafkM7kM2Empkrv2E3aIz9lavcbRjFc/edit?usp=drivesdk</t>
  </si>
  <si>
    <t>Document successfully created; Document successfully merged; Run via form trigger as kemal.stafsus@gmail.com; Timestamp: Apr 20 2022 5:24 AM</t>
  </si>
  <si>
    <t>https://drive.google.com/open?id=1uhGA4wm1N_QOvmlvbUh_1PpCuUguq7lt</t>
  </si>
  <si>
    <t>https://drive.google.com/uc?export=view&amp;id=1uhGA4wm1N_QOvmlvbUh_1PpCuUguq7lt</t>
  </si>
  <si>
    <t>Imam Abdul Rachman B.Sc</t>
  </si>
  <si>
    <t>087808596842</t>
  </si>
  <si>
    <t>1106102303950001</t>
  </si>
  <si>
    <t>Komplek PAP Blok CXVI/9 Karanganyar, Neglasari, Tangerang</t>
  </si>
  <si>
    <t>Aceh Besar</t>
  </si>
  <si>
    <t>Kimia - Cambridge</t>
  </si>
  <si>
    <t>Hacettepe University</t>
  </si>
  <si>
    <t>Chemistry</t>
  </si>
  <si>
    <t>Chemistry Cambridge Teacher and Guidance Counsellor for International Career at FITRAH ISLAMIC WORLD ACADEMY</t>
  </si>
  <si>
    <t>E-Commerce Operation Executive at DACHIN E-TECH GLOBAL</t>
  </si>
  <si>
    <t>Turkish - Indonesian Interpreter at PT Philip Morris Indonesia (Freelance)</t>
  </si>
  <si>
    <t>10.000.000 - 12.000.000 (project based)</t>
  </si>
  <si>
    <t>6.000.000 - 7.000.000</t>
  </si>
  <si>
    <t>imam.rachman03@gmail.com</t>
  </si>
  <si>
    <t>1V_AHvyc30ZTWKADlbE0EUWf3OU4_zvlwoLXzjB4BXmM</t>
  </si>
  <si>
    <t>https://docs.google.com/document/d/1V_AHvyc30ZTWKADlbE0EUWf3OU4_zvlwoLXzjB4BXmM/edit?usp=drivesdk</t>
  </si>
  <si>
    <t>Document successfully created; Invalid image URL [https://drive.google.com/uc?export=view&amp;id=1uhGA4wm1N_QOvmlvbUh_1PpCuUguq7lt], make sure that it is public; Document successfully merged; Run via form trigger as kemal.stafsus@gmail.com; Timestamp: Apr 20 2022 8:30 AM</t>
  </si>
  <si>
    <t>https://drive.google.com/open?id=1Od5n7vBsr5iPMbBF0KsjFPLNOOUHGEHT</t>
  </si>
  <si>
    <t>https://drive.google.com/uc?export=view&amp;id=1Od5n7vBsr5iPMbBF0KsjFPLNOOUHGEHT</t>
  </si>
  <si>
    <t>Dede Pratiwi Susilowati, S.Pd, M.Pd</t>
  </si>
  <si>
    <t>081282495524</t>
  </si>
  <si>
    <t>Villa Cinere Hijau C.02, Jalan Haji Mujahidin, RT. 003, RW.007, Kel. Meruyung, Kec. Limo, Kota Depok 16532</t>
  </si>
  <si>
    <t>Tegal, Jawa Tengah</t>
  </si>
  <si>
    <t>02-04-1993</t>
  </si>
  <si>
    <t>29 tahun 0 bulan</t>
  </si>
  <si>
    <t>Universitas Negeri Sultan Ageng Tirtayasa</t>
  </si>
  <si>
    <t>Pendidikan Bahasa konsentrasi Bahasa Indonesia</t>
  </si>
  <si>
    <t>Universitas Yarsi</t>
  </si>
  <si>
    <t>dedepratiwi93@yahoo.com</t>
  </si>
  <si>
    <t>1vlbX5yZ3nz9Y7s77OY1BXFwDI0eCu9xHJhQHJ1j6pmI</t>
  </si>
  <si>
    <t>https://docs.google.com/document/d/1vlbX5yZ3nz9Y7s77OY1BXFwDI0eCu9xHJhQHJ1j6pmI/edit?usp=drivesdk</t>
  </si>
  <si>
    <t>Document successfully created; Invalid image URL [https://drive.google.com/uc?export=view&amp;id=1Od5n7vBsr5iPMbBF0KsjFPLNOOUHGEHT], make sure that it is public; Document successfully merged; Run via form trigger as kemal.stafsus@gmail.com; Timestamp: Apr 20 2022 8:44 AM</t>
  </si>
  <si>
    <t>https://drive.google.com/open?id=11w1Fzc1Pci_44AzJI5LxTHDCid_EFtc5</t>
  </si>
  <si>
    <t>https://drive.google.com/uc?export=view&amp;id=11w1Fzc1Pci_44AzJI5LxTHDCid_EFtc5</t>
  </si>
  <si>
    <t>M.Firmansyah</t>
  </si>
  <si>
    <t>085697671615</t>
  </si>
  <si>
    <t>3201290601020002</t>
  </si>
  <si>
    <t>06-01-2002</t>
  </si>
  <si>
    <t>On Going S1</t>
  </si>
  <si>
    <t xml:space="preserve">Guru Al-Qur'an di pesantren Tahfidz El makin </t>
  </si>
  <si>
    <t xml:space="preserve">Guru Al-Qur'an di yayasan Cahaya muda Qur'ani </t>
  </si>
  <si>
    <t>firmansyahbgr006@gmail.com</t>
  </si>
  <si>
    <t>1nU7sP08JqxiyX7fthpIc31GWF9vnZug4_15v_e1Yfxo</t>
  </si>
  <si>
    <t>https://docs.google.com/document/d/1nU7sP08JqxiyX7fthpIc31GWF9vnZug4_15v_e1Yfxo/edit?usp=drivesdk</t>
  </si>
  <si>
    <t>Document successfully created; Document successfully merged; Run via form trigger as kemal.stafsus@gmail.com; Timestamp: Apr 20 2022 10:08 AM</t>
  </si>
  <si>
    <t>https://drive.google.com/open?id=1e2parNo6pmh3u_IapzreO7-kn56kMADw</t>
  </si>
  <si>
    <t>https://drive.google.com/uc?export=view&amp;id=1e2parNo6pmh3u_IapzreO7-kn56kMADw</t>
  </si>
  <si>
    <t>Achmad Ruri Darmansyah LC, SPDI</t>
  </si>
  <si>
    <t>083812772630</t>
  </si>
  <si>
    <t>3271061006820009</t>
  </si>
  <si>
    <t xml:space="preserve">Jl.Bubulak no.65 kota bogor </t>
  </si>
  <si>
    <t xml:space="preserve">Bogor </t>
  </si>
  <si>
    <t>10-06-1982</t>
  </si>
  <si>
    <t xml:space="preserve">39 tahun 10 bulan </t>
  </si>
  <si>
    <t xml:space="preserve">(STRATA-1)- UNIVERSITAS AL-IMAM MUHAMMAD BIN SAUD AL-ISLAMIYAH </t>
  </si>
  <si>
    <t xml:space="preserve">Syariah islamiyah </t>
  </si>
  <si>
    <t>Achmad Ruri</t>
  </si>
  <si>
    <t xml:space="preserve">SMA IHBS </t>
  </si>
  <si>
    <t xml:space="preserve">Sekolah  an nash </t>
  </si>
  <si>
    <t>BLC</t>
  </si>
  <si>
    <t>ahmddarman@yahoo.com</t>
  </si>
  <si>
    <t>1mfWAIzdjbQhMAo9_eHyhaumgAsNtEDNVS1Ske5h3wBY</t>
  </si>
  <si>
    <t>https://docs.google.com/document/d/1mfWAIzdjbQhMAo9_eHyhaumgAsNtEDNVS1Ske5h3wBY/edit?usp=drivesdk</t>
  </si>
  <si>
    <t>Document successfully created; Document successfully merged; Run via form trigger as kemal.stafsus@gmail.com; Timestamp: Apr 20 2022 1:15 PM</t>
  </si>
  <si>
    <t>https://drive.google.com/open?id=1kSBx3E4ZFurQZkwJyPZXhqBGC1GERnhh</t>
  </si>
  <si>
    <t>https://drive.google.com/uc?export=view&amp;id=1kSBx3E4ZFurQZkwJyPZXhqBGC1GERnhh</t>
  </si>
  <si>
    <t>Abdul Majid Fatihul Islam</t>
  </si>
  <si>
    <t>085333745556</t>
  </si>
  <si>
    <t>Pondok kelapa selatan dalam 3g no.43A rt005/rw012, duren sawit, jakarta timur</t>
  </si>
  <si>
    <t>Dasan tereng, lombok timur</t>
  </si>
  <si>
    <t>29-09-1996</t>
  </si>
  <si>
    <t>25 tahun 7 bulan</t>
  </si>
  <si>
    <t>Mengajar tahfizh dan bahasa arab di sekolah hafizh Quran, usia dari 7 sampai 15 tahun.</t>
  </si>
  <si>
    <t>rojulunghorib@gmail.com</t>
  </si>
  <si>
    <t>187iAmG9dw15yBeOe_oAmkLAn_mEOvAubURiNvy2hac0</t>
  </si>
  <si>
    <t>https://docs.google.com/document/d/187iAmG9dw15yBeOe_oAmkLAn_mEOvAubURiNvy2hac0/edit?usp=drivesdk</t>
  </si>
  <si>
    <t>Document successfully created; Document successfully merged; Run via form trigger as kemal.stafsus@gmail.com; Timestamp: Apr 20 2022 7:17 PM</t>
  </si>
  <si>
    <t>https://drive.google.com/open?id=1kTLmWyjtoQqytAVh68LofKd_tjF4BwnB</t>
  </si>
  <si>
    <t>https://drive.google.com/uc?export=view&amp;id=1kTLmWyjtoQqytAVh68LofKd_tjF4BwnB</t>
  </si>
  <si>
    <t>Aria Fariska, S.E.I, M.Pd</t>
  </si>
  <si>
    <t>085694999041</t>
  </si>
  <si>
    <t>3172032903920013</t>
  </si>
  <si>
    <t>Jalan Komplek UKA Blok BM.1 RT.17/08, Tugu Utara, Koja, Jakarta Utara</t>
  </si>
  <si>
    <t>29 Maret 1992</t>
  </si>
  <si>
    <t>Sekolah Tinggi Ekonomi Islam SEBI</t>
  </si>
  <si>
    <t>Manajemen Perbankan Syariah</t>
  </si>
  <si>
    <t>Universitas Islam Jakarta</t>
  </si>
  <si>
    <t>Magister Pendidikan Agama Islam</t>
  </si>
  <si>
    <t>Wakil Kepala Sekolah Bidang Keagamaan SMP Muhammadiyah 2 Jakarta</t>
  </si>
  <si>
    <t>ekonomrabbani29@gmail.com</t>
  </si>
  <si>
    <t>1dGNZsa6MRFAYuIfT_MFJIkH3S6gNQ8rujdbRuKAF_rA</t>
  </si>
  <si>
    <t>https://docs.google.com/document/d/1dGNZsa6MRFAYuIfT_MFJIkH3S6gNQ8rujdbRuKAF_rA/edit?usp=drivesdk</t>
  </si>
  <si>
    <t>Document successfully created; Document successfully merged; Run via form trigger as kemal.stafsus@gmail.com; Timestamp: Apr 20 2022 7:28 PM</t>
  </si>
  <si>
    <t>https://drive.google.com/open?id=1q4CZwvMZCSi7XgNIgP6jI703Pkmn4x69</t>
  </si>
  <si>
    <t>https://drive.google.com/uc?export=view&amp;id=1q4CZwvMZCSi7XgNIgP6jI703Pkmn4x69</t>
  </si>
  <si>
    <t>Abdurahman Ahmed Milad</t>
  </si>
  <si>
    <t>082135890905</t>
  </si>
  <si>
    <t>G69CNN7F (PASSPORT)</t>
  </si>
  <si>
    <t>Perumahan Ayodya Sekaran, belalang no 30. RT6 RW4 Sekaran, Gunungpati Semarang</t>
  </si>
  <si>
    <t>Khoms</t>
  </si>
  <si>
    <t>11-12-1991</t>
  </si>
  <si>
    <t>30 tahun 04  bulan</t>
  </si>
  <si>
    <t>Management, Wakil Kepala Sekolah, Guru Mata Pelajaran, Guru Bimbingan Konseling, Tata Usaha (Pendidikan), Tim Pusat Penelitian Kurikulum</t>
  </si>
  <si>
    <t>English, Arabic</t>
  </si>
  <si>
    <t>Al-Mergib university, Khoms City, Libya</t>
  </si>
  <si>
    <t>English langauge</t>
  </si>
  <si>
    <t>UNNES Univeersitas Negeri Semarang</t>
  </si>
  <si>
    <t>English language</t>
  </si>
  <si>
    <t>In process, belum lulus</t>
  </si>
  <si>
    <t>Head of English study program at Africa university, Tripoli, Libya</t>
  </si>
  <si>
    <t>9.500.000+</t>
  </si>
  <si>
    <t>lecturer at Asmarya Islamic university, Zliten/Libya</t>
  </si>
  <si>
    <t>8.500.000+</t>
  </si>
  <si>
    <t>Lecturer at Tripoli University, Libya</t>
  </si>
  <si>
    <t>9.000.000+</t>
  </si>
  <si>
    <t>0751871439</t>
  </si>
  <si>
    <t>1.69</t>
  </si>
  <si>
    <t>abdo160580@gmail.com</t>
  </si>
  <si>
    <t>1_Kdn8YH4FpYLYPAAwkLE6uiv9LvCxOMmuf3jcqOtU4Q</t>
  </si>
  <si>
    <t>https://docs.google.com/document/d/1_Kdn8YH4FpYLYPAAwkLE6uiv9LvCxOMmuf3jcqOtU4Q/edit?usp=drivesdk</t>
  </si>
  <si>
    <t>Document successfully created; Document successfully merged; Run via form trigger as kemal.stafsus@gmail.com; Timestamp: Apr 20 2022 11:54 PM</t>
  </si>
  <si>
    <t>https://drive.google.com/open?id=1XoXT2n6WtaOzM9xcJ0OS4mG5MEnooXtq</t>
  </si>
  <si>
    <t>https://drive.google.com/uc?export=view&amp;id=1XoXT2n6WtaOzM9xcJ0OS4mG5MEnooXtq</t>
  </si>
  <si>
    <t>Mesha Gilang Pratama, S.S.</t>
  </si>
  <si>
    <t>085659198347</t>
  </si>
  <si>
    <t>3273262608860001</t>
  </si>
  <si>
    <t>Bukit Indah Pasanggrahan blok i no 3 RT 04 RW 13 Kelurahan Pasanggrahan, Kecamatan Ujungberung, Kota Bandung.</t>
  </si>
  <si>
    <t>26-08-1986</t>
  </si>
  <si>
    <t>35 tahun 7 bulan</t>
  </si>
  <si>
    <t>Universitas Widyatama</t>
  </si>
  <si>
    <t>3.10</t>
  </si>
  <si>
    <t>Hazani Rangka Utama - Marketing and Communication</t>
  </si>
  <si>
    <t>Bandung Islamic School - Guru English</t>
  </si>
  <si>
    <t>5.600.000 - 6.000.000</t>
  </si>
  <si>
    <t>mesha.gilang@gmail.com</t>
  </si>
  <si>
    <t>1MrPFUSKarlBWs3WaflkecyVfFUWzSa4qayIE6GvgyJQ</t>
  </si>
  <si>
    <t>https://docs.google.com/document/d/1MrPFUSKarlBWs3WaflkecyVfFUWzSa4qayIE6GvgyJQ/edit?usp=drivesdk</t>
  </si>
  <si>
    <t>Document successfully created; Document successfully merged; Run via form trigger as kemal.stafsus@gmail.com; Timestamp: Apr 21 2022 12:55 AM</t>
  </si>
  <si>
    <t>https://drive.google.com/open?id=1qUj8WEnNDjaI911DXm1Bnp_NFgnqpNOi</t>
  </si>
  <si>
    <t>https://drive.google.com/uc?export=view&amp;id=1qUj8WEnNDjaI911DXm1Bnp_NFgnqpNOi</t>
  </si>
  <si>
    <t>Ahmad Ramli, Lc.</t>
  </si>
  <si>
    <t>5203091010980005</t>
  </si>
  <si>
    <t>Masjid AsySyifaa RSPAD Gatot Soebroto | Jl. Abdul Rahman Saleh Raya No.24, RT.10/RW.5, Senen, Kec. Senen, Kota Jakarta Pusat, Daerah Khusus Ibukota Jakarta 10410</t>
  </si>
  <si>
    <t>Keroya</t>
  </si>
  <si>
    <t>10 oktober 1998</t>
  </si>
  <si>
    <t>23 thn 6 bln</t>
  </si>
  <si>
    <t>Diniyyah (PAI, Fiqh, Akhlaq dll)</t>
  </si>
  <si>
    <t>4.67 / 5.00</t>
  </si>
  <si>
    <t xml:space="preserve">Imam Masjid AsySyifa RSPAD Gatot Soebroto </t>
  </si>
  <si>
    <t>ahmadramli1098@gmail.com</t>
  </si>
  <si>
    <t>1dhg-5cwtx2tVA5vRA_esOwUeNPzlX7Y0GmMjpH6gx0U</t>
  </si>
  <si>
    <t>https://docs.google.com/document/d/1dhg-5cwtx2tVA5vRA_esOwUeNPzlX7Y0GmMjpH6gx0U/edit?usp=drivesdk</t>
  </si>
  <si>
    <t>Document successfully created; Document successfully merged; Run via form trigger as kemal.stafsus@gmail.com; Timestamp: Apr 21 2022 12:26 PM</t>
  </si>
  <si>
    <t>https://drive.google.com/open?id=1O_Fyl8pdLROeMyQJ-t_vrkZRBBnMOXBh</t>
  </si>
  <si>
    <t>https://drive.google.com/uc?export=view&amp;id=1O_Fyl8pdLROeMyQJ-t_vrkZRBBnMOXBh</t>
  </si>
  <si>
    <t>Abdurrahman Baghoush</t>
  </si>
  <si>
    <t>00201111707763</t>
  </si>
  <si>
    <t>A25369186</t>
  </si>
  <si>
    <t>Bogor, Indonesia</t>
  </si>
  <si>
    <t>Giza, Egypt</t>
  </si>
  <si>
    <t>12-07-1994</t>
  </si>
  <si>
    <t>27 tahun, 9 bulan</t>
  </si>
  <si>
    <t>Native - Arabic</t>
  </si>
  <si>
    <t>Cairo Unviersity</t>
  </si>
  <si>
    <t>Arabic Language, literature and Islamic Studies</t>
  </si>
  <si>
    <t>Native - Arabic at "FIWA International School" - Indonesia.</t>
  </si>
  <si>
    <t>900 USD</t>
  </si>
  <si>
    <t>Head of Arabic Proofreading Section at "Lingo Soft" - Egypt</t>
  </si>
  <si>
    <t>750 USD</t>
  </si>
  <si>
    <t>Arabic Tutor for Non-Arabic Speakers (online)</t>
  </si>
  <si>
    <t>Depends on Rizqullah</t>
  </si>
  <si>
    <t>1200 USD</t>
  </si>
  <si>
    <t>baghoushi@gmail.com</t>
  </si>
  <si>
    <t>19mnEFrHU_d91T29U2iFNU-L9fyzNLfmQsgANW0VXV0k</t>
  </si>
  <si>
    <t>https://docs.google.com/document/d/19mnEFrHU_d91T29U2iFNU-L9fyzNLfmQsgANW0VXV0k/edit?usp=drivesdk</t>
  </si>
  <si>
    <t>Document successfully created; Document successfully merged; Run via form trigger as kemal.stafsus@gmail.com; Timestamp: Apr 22 2022 4:51 AM</t>
  </si>
  <si>
    <t>https://drive.google.com/open?id=1ciy4ebbOzAQXkNR09FbgNnR4pFeRMWwX</t>
  </si>
  <si>
    <t>https://drive.google.com/uc?export=view&amp;id=1ciy4ebbOzAQXkNR09FbgNnR4pFeRMWwX</t>
  </si>
  <si>
    <t>Abdullah Fahri Azzam, BA., MA.</t>
  </si>
  <si>
    <t>+966556272972</t>
  </si>
  <si>
    <t>3275032710950012</t>
  </si>
  <si>
    <t>MT Haryono Residence, Jatinegara - Jakarta Timur</t>
  </si>
  <si>
    <t>27 Oktober 1995</t>
  </si>
  <si>
    <t>26 Tahun 6 Bulan</t>
  </si>
  <si>
    <t>LN - King Saud University</t>
  </si>
  <si>
    <t>4.67/5</t>
  </si>
  <si>
    <t>Teaching Arabic to Speakers of Other Languages</t>
  </si>
  <si>
    <t>4.75/5</t>
  </si>
  <si>
    <t>PT Data Media Kreasi</t>
  </si>
  <si>
    <t>6-7 juta</t>
  </si>
  <si>
    <t>a.fahriazzam@gmail.com</t>
  </si>
  <si>
    <t>1ppdg8DByi_Qp0Y6gkXWtEiIHQkpktcPvrjggcdJ11tc</t>
  </si>
  <si>
    <t>https://docs.google.com/document/d/1ppdg8DByi_Qp0Y6gkXWtEiIHQkpktcPvrjggcdJ11tc/edit?usp=drivesdk</t>
  </si>
  <si>
    <t>Document successfully created; Document successfully merged; Run via form trigger as kemal.stafsus@gmail.com; Timestamp: Apr 22 2022 6:42 AM</t>
  </si>
  <si>
    <t>https://drive.google.com/open?id=1w3p785q9F7mR_YCHK220u3cPRE2EaOS3</t>
  </si>
  <si>
    <t>https://drive.google.com/uc?export=view&amp;id=1w3p785q9F7mR_YCHK220u3cPRE2EaOS3</t>
  </si>
  <si>
    <t>Dyan Agni Mayatirtana, S.Pd.,M.Si</t>
  </si>
  <si>
    <t>081212510030</t>
  </si>
  <si>
    <t>3175044510890003</t>
  </si>
  <si>
    <t>Jl. Batu Bulat 2 No 42A RT 18 RW 05 Kel. Batu Ampar Kec. Kramat Jati Jakarta Timur</t>
  </si>
  <si>
    <t>Bojonegoro</t>
  </si>
  <si>
    <t>05-10-1989</t>
  </si>
  <si>
    <t xml:space="preserve">32 Tahun 6 Bulan </t>
  </si>
  <si>
    <t>SMA IIHS Jakarta</t>
  </si>
  <si>
    <t>PT Rensa Kerta Mukti</t>
  </si>
  <si>
    <t>dyanagnimaya05@gmail.com</t>
  </si>
  <si>
    <t>1RsEhgd1y9LePZLSbSY7r_2CPypUeZ-p5xAZ8SBaZzMU</t>
  </si>
  <si>
    <t>https://docs.google.com/document/d/1RsEhgd1y9LePZLSbSY7r_2CPypUeZ-p5xAZ8SBaZzMU/edit?usp=drivesdk</t>
  </si>
  <si>
    <t>Document successfully created; Document successfully merged; Run via form trigger as kemal.stafsus@gmail.com; Timestamp: Apr 22 2022 9:02 AM</t>
  </si>
  <si>
    <t>https://drive.google.com/open?id=1e5zBUyGoSm0RQcXPznfMl4usd32UTgbq</t>
  </si>
  <si>
    <t>https://drive.google.com/uc?export=view&amp;id=1e5zBUyGoSm0RQcXPznfMl4usd32UTgbq</t>
  </si>
  <si>
    <t>Azmi Husni Bawedan, B.A.</t>
  </si>
  <si>
    <t>089506688789</t>
  </si>
  <si>
    <t>3173070406950005</t>
  </si>
  <si>
    <t>Junrejo Kota Batu Jawa Timur</t>
  </si>
  <si>
    <t>04-06-1995</t>
  </si>
  <si>
    <t>27 tahun 10 bulan</t>
  </si>
  <si>
    <t>4.79/5.0</t>
  </si>
  <si>
    <t xml:space="preserve">Petugas Penyelenggara Ibadah Haji Indonesia (PPIH) 2017 – 2019
2 bulan setiap tahunnya
	Penanggung jawab akomodasi
	Penghubung Maktab haji Arab Saudi
</t>
  </si>
  <si>
    <t>25.000.000/bulan</t>
  </si>
  <si>
    <t>Pesantren Islam Al-Irsyad Tengaran 7 Kota Batu 2020 – 2022
	Pengajar agama di jenjang I’dad Lughowy dan MA (Mapel bahasa Arab dan diniyyah)
	Kasie Kepengasuhan Mental dan Kegiatan (tahun pertama)
	Kasie Kepengasuhan Asrama dan Ketertiban (tahun Kedua)</t>
  </si>
  <si>
    <t>4.500.000/bulan</t>
  </si>
  <si>
    <t>7.000.000 dan tunjangan tempat tinggal</t>
  </si>
  <si>
    <t>azmibwdn@gmail.com</t>
  </si>
  <si>
    <t>1ojsaZWOkeZF9xyVOXiO3yCfVlnarxQK-pmNVIgCmt7Y</t>
  </si>
  <si>
    <t>https://docs.google.com/document/d/1ojsaZWOkeZF9xyVOXiO3yCfVlnarxQK-pmNVIgCmt7Y/edit?usp=drivesdk</t>
  </si>
  <si>
    <t>Document successfully created; Document successfully merged; Run via form trigger as kemal.stafsus@gmail.com; Timestamp: Apr 22 2022 1:19 PM</t>
  </si>
  <si>
    <t>https://drive.google.com/open?id=1tc2SPbxYKsMIwZagM4onKqSi2s5C4AsZ</t>
  </si>
  <si>
    <t>https://drive.google.com/uc?export=view&amp;id=1tc2SPbxYKsMIwZagM4onKqSi2s5C4AsZ</t>
  </si>
  <si>
    <t>Fakhrur rodhi al- hendan S.H.</t>
  </si>
  <si>
    <t>08995974310</t>
  </si>
  <si>
    <t>3327083101970082</t>
  </si>
  <si>
    <t>Bogor, jl kapten yusuf, Cikaret, Bogor barat.</t>
  </si>
  <si>
    <t>Pemalang (jawa tengah)</t>
  </si>
  <si>
    <t>31-01-1997</t>
  </si>
  <si>
    <t>Fiqih (diutamakan), aqidah, hadits, tafsir, adab akhlaq.</t>
  </si>
  <si>
    <t>STDI IMAM SYAFI'I JEMBER</t>
  </si>
  <si>
    <t>ahwal syakhsiyyah</t>
  </si>
  <si>
    <t>Pengajar di sekolah tinggi al badr, part time.</t>
  </si>
  <si>
    <t xml:space="preserve">Sekarang, guru fiqih kls 10, 11, 12. Dan kelas 7. Plus wali kelas 7. </t>
  </si>
  <si>
    <t>Permata</t>
  </si>
  <si>
    <t>maherheendan@gmail.com</t>
  </si>
  <si>
    <t>1LKF16pGgYk-vnq6YIvMGBFAbfo10azQtalx9lvp3fB0</t>
  </si>
  <si>
    <t>https://docs.google.com/document/d/1LKF16pGgYk-vnq6YIvMGBFAbfo10azQtalx9lvp3fB0/edit?usp=drivesdk</t>
  </si>
  <si>
    <t>Document successfully created; Document successfully merged; Run via form trigger as kemal.stafsus@gmail.com; Timestamp: Apr 23 2022 1:54 AM</t>
  </si>
  <si>
    <t>https://drive.google.com/open?id=1SlBJ1lCzcPf7eA01y0XrH0zjBo-RP8zV</t>
  </si>
  <si>
    <t>https://drive.google.com/uc?export=view&amp;id=1SlBJ1lCzcPf7eA01y0XrH0zjBo-RP8zV</t>
  </si>
  <si>
    <t>Mustapha Abaji</t>
  </si>
  <si>
    <t>089612267839</t>
  </si>
  <si>
    <t>BJ235735</t>
  </si>
  <si>
    <t>Cibubur (dekat Alwildan Mutiara bogor)</t>
  </si>
  <si>
    <t>Casablanca</t>
  </si>
  <si>
    <t>03-03-1984</t>
  </si>
  <si>
    <t>British Columbia University9</t>
  </si>
  <si>
    <t>23 juta</t>
  </si>
  <si>
    <t>6 tahun sebagai Native English teacher</t>
  </si>
  <si>
    <t>24 juta</t>
  </si>
  <si>
    <t>23 juta*</t>
  </si>
  <si>
    <t>0670280292</t>
  </si>
  <si>
    <t>christofabaji@gmail.com</t>
  </si>
  <si>
    <t>1rLzjssVWRBswoDejy7Z5MbhYHMf2Xl2oBpV6qTKc5CM</t>
  </si>
  <si>
    <t>https://docs.google.com/document/d/1rLzjssVWRBswoDejy7Z5MbhYHMf2Xl2oBpV6qTKc5CM/edit?usp=drivesdk</t>
  </si>
  <si>
    <t>Document successfully created; Document successfully merged; Run via form trigger as kemal.stafsus@gmail.com; Timestamp: Apr 23 2022 3:21 AM</t>
  </si>
  <si>
    <t>https://drive.google.com/open?id=1GUEkkiuexcH9jd7pz4x503zIOis6kK76</t>
  </si>
  <si>
    <t>https://drive.google.com/uc?export=view&amp;id=1GUEkkiuexcH9jd7pz4x503zIOis6kK76</t>
  </si>
  <si>
    <t>Ramadhani Latifah Faeka Murni, S.Pd</t>
  </si>
  <si>
    <t>081280842563</t>
  </si>
  <si>
    <t>3275034803920008</t>
  </si>
  <si>
    <t>KOTA BEKASI</t>
  </si>
  <si>
    <t>BEKASI</t>
  </si>
  <si>
    <t>8 MARET 1992</t>
  </si>
  <si>
    <t>30 tahun 1 bulan</t>
  </si>
  <si>
    <t>IPA atau Biologi</t>
  </si>
  <si>
    <t>UNIVERSITAS SEBELAS MARET SURAKARTA</t>
  </si>
  <si>
    <t>S1 PENDIDIKAN BIOLOGI</t>
  </si>
  <si>
    <t>Guru Kelas Level 5 di SDIT WIDYA DUTA BEKASI</t>
  </si>
  <si>
    <t>r.latifahfaekamurni@gmail.com</t>
  </si>
  <si>
    <t>1a9tOcg62XKmx4e2xMmTUX74nLPVe5V85tVfwgrnqFBo</t>
  </si>
  <si>
    <t>https://docs.google.com/document/d/1a9tOcg62XKmx4e2xMmTUX74nLPVe5V85tVfwgrnqFBo/edit?usp=drivesdk</t>
  </si>
  <si>
    <t>Document successfully created; Document successfully merged; Run via form trigger as kemal.stafsus@gmail.com; Timestamp: Apr 23 2022 12:02 PM</t>
  </si>
  <si>
    <t>https://drive.google.com/open?id=1Im6ZIbJU7XzsjdzkKoJ3q1vN-ZbQh8SM</t>
  </si>
  <si>
    <t>https://drive.google.com/uc?export=view&amp;id=1Im6ZIbJU7XzsjdzkKoJ3q1vN-ZbQh8SM</t>
  </si>
  <si>
    <t>Indah Agustina, S.S.</t>
  </si>
  <si>
    <t>081362323904</t>
  </si>
  <si>
    <t>3671057008940004</t>
  </si>
  <si>
    <t>Al Fitroh, Jl. Baru2 No.15 RT02 RW002 Poris Plawat Utara, Kecamatan Cipondoh, Kota Tangerang 15141</t>
  </si>
  <si>
    <t>30-08-1994</t>
  </si>
  <si>
    <t>PTS - Universitas Al Azhar Indonesia</t>
  </si>
  <si>
    <t>Guru Bahasa Inggris SMA BPIBS</t>
  </si>
  <si>
    <t>indahagstn094@gmail.com</t>
  </si>
  <si>
    <t>1uYvCeKlO1Mqi_fbmaKge5_KSDXaVqbaxeZuCvsbo3z0</t>
  </si>
  <si>
    <t>https://docs.google.com/document/d/1uYvCeKlO1Mqi_fbmaKge5_KSDXaVqbaxeZuCvsbo3z0/edit?usp=drivesdk</t>
  </si>
  <si>
    <t>Document successfully created; Document successfully merged; Run via form trigger as kemal.stafsus@gmail.com; Timestamp: Apr 23 2022 1:47 PM</t>
  </si>
  <si>
    <t>https://drive.google.com/open?id=12zNc5tt1D3-qKVEjzRXyAo6rxZmC7kMu</t>
  </si>
  <si>
    <t>https://drive.google.com/uc?export=view&amp;id=12zNc5tt1D3-qKVEjzRXyAo6rxZmC7kMu</t>
  </si>
  <si>
    <t>Alya Maulida Lc.</t>
  </si>
  <si>
    <t>083839049193</t>
  </si>
  <si>
    <t>3329165301970002</t>
  </si>
  <si>
    <t>Jl. Raya Muchtar, Gg. Poncol, RT.1/RW.3, Sawangan Lama, Kec. Sawangan, Kota Depok</t>
  </si>
  <si>
    <t>13-01-1997</t>
  </si>
  <si>
    <t>Fiqh/akhlaq</t>
  </si>
  <si>
    <t>3.87</t>
  </si>
  <si>
    <t>Guru bahasa arab di Wadi Mubarak</t>
  </si>
  <si>
    <t>Guru bahasa arab di SIBA-Mafaza</t>
  </si>
  <si>
    <t>alyaeuh@gmail.com</t>
  </si>
  <si>
    <t>1GDzb1wgrNnhTz7bhJoTozmKNk24cyeJ6bVZU1nSJhLo</t>
  </si>
  <si>
    <t>https://docs.google.com/document/d/1GDzb1wgrNnhTz7bhJoTozmKNk24cyeJ6bVZU1nSJhLo/edit?usp=drivesdk</t>
  </si>
  <si>
    <t>Document successfully created; Document successfully merged; Run via form trigger as kemal.stafsus@gmail.com; Timestamp: Apr 23 2022 6:16 PM</t>
  </si>
  <si>
    <t>https://drive.google.com/open?id=1mOnqVvTQ41s9MbAil5Pxrg1uiboJI3mC</t>
  </si>
  <si>
    <t>https://drive.google.com/uc?export=view&amp;id=1mOnqVvTQ41s9MbAil5Pxrg1uiboJI3mC</t>
  </si>
  <si>
    <t>Nanda Annisa S.Pd.</t>
  </si>
  <si>
    <t>081809733574</t>
  </si>
  <si>
    <t>3672026507960002</t>
  </si>
  <si>
    <t>Palem II Residence Blok B4/5 kecamatan Dayeuh Kolot Kabupaten Bandung</t>
  </si>
  <si>
    <t>Cilegon</t>
  </si>
  <si>
    <t>25-07-1996</t>
  </si>
  <si>
    <t>Al-Wildan 7 Serang</t>
  </si>
  <si>
    <t>Partner Privat</t>
  </si>
  <si>
    <t>2.000.000-3.000.000</t>
  </si>
  <si>
    <t xml:space="preserve">Bintang Pelajar Bandung </t>
  </si>
  <si>
    <t>4.000.000-4.500.000</t>
  </si>
  <si>
    <t>nandaannisa25@gmail.com</t>
  </si>
  <si>
    <t>18eBYVFAOdQ6QkB00AJeRRwMxp7h3pnEphKEr_99XuAs</t>
  </si>
  <si>
    <t>https://docs.google.com/document/d/18eBYVFAOdQ6QkB00AJeRRwMxp7h3pnEphKEr_99XuAs/edit?usp=drivesdk</t>
  </si>
  <si>
    <t>Document successfully created; Document successfully merged; Run via form trigger as kemal.stafsus@gmail.com; Timestamp: Apr 24 2022 12:54 AM</t>
  </si>
  <si>
    <t>https://drive.google.com/open?id=160Bt4CNqlN0ZvwaElA0k6wfJ2CSfmFs4</t>
  </si>
  <si>
    <t>https://drive.google.com/uc?export=view&amp;id=160Bt4CNqlN0ZvwaElA0k6wfJ2CSfmFs4</t>
  </si>
  <si>
    <t>Nurul Falah Elyandri, S.Pd.</t>
  </si>
  <si>
    <t>082125643451</t>
  </si>
  <si>
    <t>3603205007960009</t>
  </si>
  <si>
    <t>Cibodas, Jonggol-Bogor</t>
  </si>
  <si>
    <t>10 Juli 1996</t>
  </si>
  <si>
    <t xml:space="preserve">Guru bahasa arab </t>
  </si>
  <si>
    <t>Guru bahasa arab</t>
  </si>
  <si>
    <t>nuruldirectioner382@gmail.com</t>
  </si>
  <si>
    <t>1mcsEYA1GR2_p6cU4VVLMOQ7wsib27mHVJEyK6iCkkOo</t>
  </si>
  <si>
    <t>https://docs.google.com/document/d/1mcsEYA1GR2_p6cU4VVLMOQ7wsib27mHVJEyK6iCkkOo/edit?usp=drivesdk</t>
  </si>
  <si>
    <t>Document successfully created; Document successfully merged; Run via form trigger as kemal.stafsus@gmail.com; Timestamp: Apr 24 2022 2:12 AM</t>
  </si>
  <si>
    <t>https://drive.google.com/open?id=1P_K7swj1247hq8EDO1t5GhaHi1RloHgj</t>
  </si>
  <si>
    <t>https://drive.google.com/uc?export=view&amp;id=1P_K7swj1247hq8EDO1t5GhaHi1RloHgj</t>
  </si>
  <si>
    <t>Nawafie Kholief, S.Pd.</t>
  </si>
  <si>
    <t>081295850976</t>
  </si>
  <si>
    <t>3604092706960001</t>
  </si>
  <si>
    <t>cibodas, Jonggol, Bogor</t>
  </si>
  <si>
    <t>27-06-1996</t>
  </si>
  <si>
    <t>Stiba Arrayah Sukabumi</t>
  </si>
  <si>
    <t>PBA (Pendidikan Bahasa Arab)</t>
  </si>
  <si>
    <t>Guru Mapel Bahasa Arab, Wali kelas dan Bagian Bahasa Arab di Pondok Pesantren Madinatul Qur'an</t>
  </si>
  <si>
    <t>nawafieibnuhakim@gmail.com</t>
  </si>
  <si>
    <t>16it5s5701hIklk5WqitGJN1TRZ_VmYNGJ4Qw7j7ZZ3E</t>
  </si>
  <si>
    <t>https://docs.google.com/document/d/16it5s5701hIklk5WqitGJN1TRZ_VmYNGJ4Qw7j7ZZ3E/edit?usp=drivesdk</t>
  </si>
  <si>
    <t>Document successfully created; Document successfully merged; Run via form trigger as kemal.stafsus@gmail.com; Timestamp: Apr 24 2022 2:33 AM</t>
  </si>
  <si>
    <t>https://drive.google.com/open?id=1JHOUL8tMJT2q-HLzl845yl3PMNJu60sY</t>
  </si>
  <si>
    <t>https://drive.google.com/uc?export=view&amp;id=1JHOUL8tMJT2q-HLzl845yl3PMNJu60sY</t>
  </si>
  <si>
    <t>Wulan Puspitaningtyas Wedy, S.Kom., M.M.</t>
  </si>
  <si>
    <t>087888060627</t>
  </si>
  <si>
    <t>3671056702830004</t>
  </si>
  <si>
    <t>Perumahan Alam Indah, Jl. Alamanda 2, blok A6/no, Cipondoh, Tangerang 15141</t>
  </si>
  <si>
    <t>Jayapura</t>
  </si>
  <si>
    <t>27-02-1983</t>
  </si>
  <si>
    <t>Universitas Bina Nusantara</t>
  </si>
  <si>
    <t>Prasetiya Mulya Business School</t>
  </si>
  <si>
    <t xml:space="preserve">Magister Manajemen </t>
  </si>
  <si>
    <t>Customer Service (2004 - 2005)</t>
  </si>
  <si>
    <t xml:space="preserve">Marketing (Brand) Officer (2006 - 2009) </t>
  </si>
  <si>
    <t>Guru (2019 - sekarang)</t>
  </si>
  <si>
    <t>wulanpw@gmail.com</t>
  </si>
  <si>
    <t>1DyI8ZaAk_-iVd8Wv8awRGS-jcCwCiwVOBWAPtTANR1Q</t>
  </si>
  <si>
    <t>https://docs.google.com/document/d/1DyI8ZaAk_-iVd8Wv8awRGS-jcCwCiwVOBWAPtTANR1Q/edit?usp=drivesdk</t>
  </si>
  <si>
    <t>Document successfully created; Document successfully merged; Run via form trigger as kemal.stafsus@gmail.com; Timestamp: Apr 24 2022 4:43 AM</t>
  </si>
  <si>
    <t>https://drive.google.com/open?id=1L0gvHft_L4wjdSnp3m95qYsa5bZCMWF3</t>
  </si>
  <si>
    <t>https://drive.google.com/uc?export=view&amp;id=1L0gvHft_L4wjdSnp3m95qYsa5bZCMWF3</t>
  </si>
  <si>
    <t>Fahmi Yahya Abdil Haq, S.Pd.</t>
  </si>
  <si>
    <t>089523589791</t>
  </si>
  <si>
    <t>3275111306970003</t>
  </si>
  <si>
    <t xml:space="preserve">Perum Mutiara Insani C22 kel Padurenan kec Mustika Jaya Bekasi </t>
  </si>
  <si>
    <t>13-06-1997</t>
  </si>
  <si>
    <t xml:space="preserve">Universitas Pendidikan Indonesia </t>
  </si>
  <si>
    <t>Guru Bahasa Arab (SMPIT Arkan Cendekia)</t>
  </si>
  <si>
    <t>Guru Bahasa Arab (SMPI Rabbaanii)</t>
  </si>
  <si>
    <t>yahyafahmi123@student.upi.edu</t>
  </si>
  <si>
    <t>1vfKC03UXiBpy9oCu5dx7cmDFgNrWCsFmCp8hqcUL_6k</t>
  </si>
  <si>
    <t>https://docs.google.com/document/d/1vfKC03UXiBpy9oCu5dx7cmDFgNrWCsFmCp8hqcUL_6k/edit?usp=drivesdk</t>
  </si>
  <si>
    <t>Document successfully created; Document successfully merged; Run via form trigger as kemal.stafsus@gmail.com; Timestamp: Apr 25 2022 1:39 AM</t>
  </si>
  <si>
    <t>https://drive.google.com/open?id=1AuWqIfCMbphds8w9PHUofMy2PMF3lLD8</t>
  </si>
  <si>
    <t>https://drive.google.com/uc?export=view&amp;id=1AuWqIfCMbphds8w9PHUofMy2PMF3lLD8</t>
  </si>
  <si>
    <t>Ahmad Hafiz B.A</t>
  </si>
  <si>
    <t>085264119796</t>
  </si>
  <si>
    <t>1471092905960001</t>
  </si>
  <si>
    <t>Jl. BAKTI IX NO.10 C</t>
  </si>
  <si>
    <t>29-05-1996</t>
  </si>
  <si>
    <t>4.30</t>
  </si>
  <si>
    <t>Wali kelas
Bidang Kesantrian
Guru Diniyyah</t>
  </si>
  <si>
    <t>Private class bahasa Arab</t>
  </si>
  <si>
    <t>20.000 per. Jam</t>
  </si>
  <si>
    <t>hafizkarim2905@gmail.com</t>
  </si>
  <si>
    <t>1NDAtFb0SycClLU8eiPz5QpQznj1bbVYE6uIFmY7EukE</t>
  </si>
  <si>
    <t>https://docs.google.com/document/d/1NDAtFb0SycClLU8eiPz5QpQznj1bbVYE6uIFmY7EukE/edit?usp=drivesdk</t>
  </si>
  <si>
    <t>Document successfully created; Document successfully merged; Run via form trigger as kemal.stafsus@gmail.com; Timestamp: Apr 25 2022 2:00 AM</t>
  </si>
  <si>
    <t>https://drive.google.com/open?id=1i6JfiuKLFLv8Nej7X4ZGIzK76FZx9j0M</t>
  </si>
  <si>
    <t>https://drive.google.com/uc?export=view&amp;id=1i6JfiuKLFLv8Nej7X4ZGIzK76FZx9j0M</t>
  </si>
  <si>
    <t>Osy Benu Ismail S.Pd.</t>
  </si>
  <si>
    <t>081387399554</t>
  </si>
  <si>
    <t>3173042702950003</t>
  </si>
  <si>
    <t>Gg Swadaya, Poris, Tangerang Kota</t>
  </si>
  <si>
    <t>27-02-1995</t>
  </si>
  <si>
    <t>3.35</t>
  </si>
  <si>
    <t>BKB Nurul Fikri 2018 - 2021</t>
  </si>
  <si>
    <t>± 6.500.000</t>
  </si>
  <si>
    <t>Karantina UI 2022 - Sekarang</t>
  </si>
  <si>
    <t>± 7.000.000</t>
  </si>
  <si>
    <t>132958osybenu@gmail.com</t>
  </si>
  <si>
    <t>16YBbTm4TUrVy_wC7JJDU9SwcvlzRXrNMTufFlE3pMlk</t>
  </si>
  <si>
    <t>https://docs.google.com/document/d/16YBbTm4TUrVy_wC7JJDU9SwcvlzRXrNMTufFlE3pMlk/edit?usp=drivesdk</t>
  </si>
  <si>
    <t>Document successfully created; Document successfully merged; Run via form trigger as kemal.stafsus@gmail.com; Timestamp: Apr 25 2022 6:14 AM</t>
  </si>
  <si>
    <t>https://drive.google.com/open?id=1klfZXtk1z-GGbuVAaYjhCrvyAAqm5Dnz</t>
  </si>
  <si>
    <t>https://drive.google.com/uc?export=view&amp;id=1klfZXtk1z-GGbuVAaYjhCrvyAAqm5Dnz</t>
  </si>
  <si>
    <t>Muhammad Khaidir S.pd.</t>
  </si>
  <si>
    <t>081292018396</t>
  </si>
  <si>
    <t>1107222008960003</t>
  </si>
  <si>
    <t>Desa Karihkil, Kec. Ciseeng, Kab Bogor, Jawa barat.</t>
  </si>
  <si>
    <t>Desa Rheng</t>
  </si>
  <si>
    <t>20 Agustus 1996</t>
  </si>
  <si>
    <t xml:space="preserve">26 tahun </t>
  </si>
  <si>
    <t>Diniyah (Fiqih, Tafsir, Tauhid)</t>
  </si>
  <si>
    <t xml:space="preserve">STAI-Assunnah Medan </t>
  </si>
  <si>
    <t xml:space="preserve">PBM- Pendidikan Bahasa Arab </t>
  </si>
  <si>
    <t xml:space="preserve">IUM-Minnosetta, cabang yaman (kuliah online) </t>
  </si>
  <si>
    <t>Fiqh wa Usulh (Fiqih dan Usul fiqh)</t>
  </si>
  <si>
    <t>- (belum mengambil berkas)</t>
  </si>
  <si>
    <t>Guru Diniyah/ Arabic di sekolah FIWA (Fitrah Islamic World Academy) selama 3 tahun 10 bulan. 
Di Tahun ajaran I 		:Guru mapel Tauhid, Tafsir 			
Di Tahun ajaran I		: Guru mapel Hadist, Fiqih dan Tafsir
Di Tahun ajaran Ke II 	:Sekretaris Divisi Diniyah,guru mapel Tafsir 
Di Tahun ajaran Ke II 	: Guru mapel Tafsir 
Di tahun ajaran III		: Guru mapel Tafsir  	
Di tahun ajaran III		: Guru mapel Tafsir  			
Di Tahun Ajaran IV 		: Guru Mapel  Bahasa Arab
Di Tahun Ajaran IV 		: Guru Mapel Tafsir dan Fiqih</t>
  </si>
  <si>
    <t>5.800.000 - 6.000.000</t>
  </si>
  <si>
    <t xml:space="preserve">hanya ada BSI </t>
  </si>
  <si>
    <t>khaidiralatas9696@gmail.com</t>
  </si>
  <si>
    <t>1e8RVfRClpdTsw-qJNWMQ_hK0AvReNqrEJ90bGIisRoU</t>
  </si>
  <si>
    <t>https://docs.google.com/document/d/1e8RVfRClpdTsw-qJNWMQ_hK0AvReNqrEJ90bGIisRoU/edit?usp=drivesdk</t>
  </si>
  <si>
    <t>Document successfully created; Document successfully merged; Run via form trigger as kemal.stafsus@gmail.com; Timestamp: Apr 25 2022 6:15 AM</t>
  </si>
  <si>
    <t>https://drive.google.com/open?id=1A1eslfdbTkMAmpKU3JGlReiedvqTBJNX</t>
  </si>
  <si>
    <t>https://drive.google.com/uc?export=view&amp;id=1A1eslfdbTkMAmpKU3JGlReiedvqTBJNX</t>
  </si>
  <si>
    <t>Muhammad Anzar, LC</t>
  </si>
  <si>
    <t>085219507837</t>
  </si>
  <si>
    <t>7371113012920002</t>
  </si>
  <si>
    <t>Ciseeng, Bogor</t>
  </si>
  <si>
    <t>Ujung Pandang</t>
  </si>
  <si>
    <t>30-12-1992</t>
  </si>
  <si>
    <t>29 Tahun 3 Bulan</t>
  </si>
  <si>
    <t>Universitas Muhummad Ibnu Suud (LIPIA JAKARTA)</t>
  </si>
  <si>
    <t>3.94/5.0</t>
  </si>
  <si>
    <t>Rumah Tahfidz Zaid Bin Tsabit - Bekasi (Muhaffidz)</t>
  </si>
  <si>
    <t>Fitrah Islamic World Academy (FIWA) - Ciseeng, Bogor (Guru + Musyrif + Muhaffidz)</t>
  </si>
  <si>
    <t>anchaboema13@gmail.com</t>
  </si>
  <si>
    <t>1F_--lRqP8-MfIselx-hV_upM60aWe6ORgZb-urjOXKw</t>
  </si>
  <si>
    <t>https://docs.google.com/document/d/1F_--lRqP8-MfIselx-hV_upM60aWe6ORgZb-urjOXKw/edit?usp=drivesdk</t>
  </si>
  <si>
    <t>Document successfully created; Document successfully merged; Run via form trigger as kemal.stafsus@gmail.com; Timestamp: Apr 25 2022 7:24 AM</t>
  </si>
  <si>
    <t>https://drive.google.com/open?id=1UMnhSa6d0JngONxP-bmIT8gSTMXl3Twc</t>
  </si>
  <si>
    <t>https://drive.google.com/uc?export=view&amp;id=1UMnhSa6d0JngONxP-bmIT8gSTMXl3Twc</t>
  </si>
  <si>
    <t>Hilman Hujaji, SQ ( Sarjana Al-Quran )</t>
  </si>
  <si>
    <t>085777800016</t>
  </si>
  <si>
    <t>3603091602000001</t>
  </si>
  <si>
    <t>Masjid Dan Pesantren Pascatahfiz Bayt Al-Qur'an, Tangerang Selatan</t>
  </si>
  <si>
    <t>16-02-2000</t>
  </si>
  <si>
    <t xml:space="preserve">Al-Quran </t>
  </si>
  <si>
    <t>Institut Perguruan Tinggi Ilmu Al-Qur'an ( PTIQ Jakarta )</t>
  </si>
  <si>
    <t>Ilmu Al-Quran dan Tafsir</t>
  </si>
  <si>
    <t>Guru Al-Quran</t>
  </si>
  <si>
    <t>hilmanhujaji03@gmail.com</t>
  </si>
  <si>
    <t>13HV1ttQYev9Opt-wTo-T00OCFs-xbuBAm50lA2G9OM8</t>
  </si>
  <si>
    <t>https://docs.google.com/document/d/13HV1ttQYev9Opt-wTo-T00OCFs-xbuBAm50lA2G9OM8/edit?usp=drivesdk</t>
  </si>
  <si>
    <t>Document successfully created; Document successfully merged; Run via form trigger as kemal.stafsus@gmail.com; Timestamp: Apr 25 2022 10:53 PM</t>
  </si>
  <si>
    <t>https://drive.google.com/open?id=100l8kNSldi6XGa9ls1LmtOQQisTYPzTS</t>
  </si>
  <si>
    <t>https://drive.google.com/uc?export=view&amp;id=100l8kNSldi6XGa9ls1LmtOQQisTYPzTS</t>
  </si>
  <si>
    <t>Dini Naseha, S. Pd</t>
  </si>
  <si>
    <t>089604427265</t>
  </si>
  <si>
    <t>3329115204990002</t>
  </si>
  <si>
    <t xml:space="preserve">Brebes </t>
  </si>
  <si>
    <t>12-April-1998</t>
  </si>
  <si>
    <t>24 Tahun</t>
  </si>
  <si>
    <t>Guru TK</t>
  </si>
  <si>
    <t>S1 IAIN Cirebon</t>
  </si>
  <si>
    <t>S1 Manajemen Pendidikan Islam</t>
  </si>
  <si>
    <t>SMPIT 12 CIREBON</t>
  </si>
  <si>
    <t>dininaseha124@gmail.com</t>
  </si>
  <si>
    <t>1WiYjUX1pdb8TcGYruaqeb4DQ5bgDIrdM8a5o7O4yTTI</t>
  </si>
  <si>
    <t>https://docs.google.com/document/d/1WiYjUX1pdb8TcGYruaqeb4DQ5bgDIrdM8a5o7O4yTTI/edit?usp=drivesdk</t>
  </si>
  <si>
    <t>Document successfully created; Document successfully merged; Run via form trigger as kemal.stafsus@gmail.com; Timestamp: Apr 25 2022 11:12 PM</t>
  </si>
  <si>
    <t>https://drive.google.com/open?id=1LDl6csuVUSiK9ZmdHnFfeNlD5vYXnVdC</t>
  </si>
  <si>
    <t>https://drive.google.com/uc?export=view&amp;id=1LDl6csuVUSiK9ZmdHnFfeNlD5vYXnVdC</t>
  </si>
  <si>
    <t>Moh. Azhar, LC</t>
  </si>
  <si>
    <t>081907896739</t>
  </si>
  <si>
    <t>5202061704930004</t>
  </si>
  <si>
    <t>Jl. H. Miing, Karihkil, Ciseeng, Jawa Barat</t>
  </si>
  <si>
    <t>Montong Lisung, Desa Semoyang, Kec. Praya Timur, Kab. Lombok Tengah, NTB</t>
  </si>
  <si>
    <t>17-04-1993</t>
  </si>
  <si>
    <t>29 Tahun, 1 Bulan</t>
  </si>
  <si>
    <t>Fiqih, Mapel Diniyah</t>
  </si>
  <si>
    <t>S1 - LIPIA Jakarta</t>
  </si>
  <si>
    <t>4,73 / 5</t>
  </si>
  <si>
    <t>4 Tahun</t>
  </si>
  <si>
    <t>ibnumuhsin08@gmail.com</t>
  </si>
  <si>
    <t>1Hp-rRsXKALTiNQTGKUKrDkWILIt6msvub_Xl3xNbbDE</t>
  </si>
  <si>
    <t>https://docs.google.com/document/d/1Hp-rRsXKALTiNQTGKUKrDkWILIt6msvub_Xl3xNbbDE/edit?usp=drivesdk</t>
  </si>
  <si>
    <t>Document successfully created; Document successfully merged; Run via form trigger as kemal.stafsus@gmail.com; Timestamp: Apr 26 2022 10:48 AM</t>
  </si>
  <si>
    <t>https://drive.google.com/open?id=19uebgpFTaNwr-jsAhCNdNL3XyXsHgma9</t>
  </si>
  <si>
    <t>https://drive.google.com/uc?export=view&amp;id=19uebgpFTaNwr-jsAhCNdNL3XyXsHgma9</t>
  </si>
  <si>
    <t>Achmad ruri darmansyah, LC, Spdi</t>
  </si>
  <si>
    <t>Jln bubulak no 65 bogor</t>
  </si>
  <si>
    <t>39 tahun 9 bulan</t>
  </si>
  <si>
    <t>Bahasa ARAB</t>
  </si>
  <si>
    <t>Universitas Al-imam Muhammad bin saud al islamiyah</t>
  </si>
  <si>
    <t>S1 syariah islamiyah</t>
  </si>
  <si>
    <t>Sma ihbs</t>
  </si>
  <si>
    <t>19ogD29-39s5Pl3aUTvVUJPUD9KarOXXvImrrZbj1CLs</t>
  </si>
  <si>
    <t>https://docs.google.com/document/d/19ogD29-39s5Pl3aUTvVUJPUD9KarOXXvImrrZbj1CLs/edit?usp=drivesdk</t>
  </si>
  <si>
    <t>Document successfully created; Document successfully merged; Run via form trigger as kemal.stafsus@gmail.com; Timestamp: Apr 26 2022 12:58 PM</t>
  </si>
  <si>
    <t>https://drive.google.com/open?id=1ZwsFaIjqjgezGR1CcYochpO2i0X8jAM7</t>
  </si>
  <si>
    <t>https://drive.google.com/uc?export=view&amp;id=1ZwsFaIjqjgezGR1CcYochpO2i0X8jAM7</t>
  </si>
  <si>
    <t>Refi Melda, S.Pd</t>
  </si>
  <si>
    <t>083875003600</t>
  </si>
  <si>
    <t>3603164711880002</t>
  </si>
  <si>
    <t>Jl. Raya Kuta Bumi Perum TBA Block C2 No. 3, Kel. Karet, Kec. Sepatan, Kab. Tangerang, Banten 15520</t>
  </si>
  <si>
    <t>33 tahun 5 bulan</t>
  </si>
  <si>
    <t>Guru Kelas TK (2011-sekarang)
Kepala TK (2017-sekarang)</t>
  </si>
  <si>
    <t>revi.melda@gmail.com</t>
  </si>
  <si>
    <t>1SQQpyWTyybi_621n-C2qak5_xFy55Y784NZ7TD4-PPw</t>
  </si>
  <si>
    <t>https://docs.google.com/document/d/1SQQpyWTyybi_621n-C2qak5_xFy55Y784NZ7TD4-PPw/edit?usp=drivesdk</t>
  </si>
  <si>
    <t>Document successfully created; Document successfully merged; Run via form trigger as kemal.stafsus@gmail.com; Timestamp: Apr 27 2022 2:14 AM</t>
  </si>
  <si>
    <t>https://drive.google.com/open?id=1IcVE_FLydtNzJTyCE8yAHU1nXJicAOim</t>
  </si>
  <si>
    <t>https://drive.google.com/uc?export=view&amp;id=1IcVE_FLydtNzJTyCE8yAHU1nXJicAOim</t>
  </si>
  <si>
    <t>Hafizha An'umillah, Lc</t>
  </si>
  <si>
    <t>081336226740</t>
  </si>
  <si>
    <t>3524025611960002</t>
  </si>
  <si>
    <t>16-11-1996</t>
  </si>
  <si>
    <t>Universitas Al Azhar</t>
  </si>
  <si>
    <t>hafizhaelfaza@gmail.com</t>
  </si>
  <si>
    <t>1F-9WMII05KPyULqQ8nTSc57iH173Wg0B5YH0uMJoLuo</t>
  </si>
  <si>
    <t>https://docs.google.com/document/d/1F-9WMII05KPyULqQ8nTSc57iH173Wg0B5YH0uMJoLuo/edit?usp=drivesdk</t>
  </si>
  <si>
    <t>Document successfully created; Document successfully merged; Run via form trigger as kemal.stafsus@gmail.com; Timestamp: Apr 27 2022 2:37 AM</t>
  </si>
  <si>
    <t>https://drive.google.com/open?id=1cOR1gxjRt-B59K66B7Jy27U9v4l6k6s5</t>
  </si>
  <si>
    <t>https://drive.google.com/uc?export=view&amp;id=1cOR1gxjRt-B59K66B7Jy27U9v4l6k6s5</t>
  </si>
  <si>
    <t>Fahadz. S.pd</t>
  </si>
  <si>
    <t>085281293240</t>
  </si>
  <si>
    <t>SUKABUMI</t>
  </si>
  <si>
    <t>11-08-1993</t>
  </si>
  <si>
    <t>BAHASA ARAB</t>
  </si>
  <si>
    <t>STIBA AR-RAAYAH</t>
  </si>
  <si>
    <t>PENDIDIKAN BAHASA ARAB</t>
  </si>
  <si>
    <t>3.24</t>
  </si>
  <si>
    <t xml:space="preserve">MA'HAD TAHFIDZ AL-YUSRO </t>
  </si>
  <si>
    <t>4.300.000 + TUNJANGAN RUMAH &amp; SEMBAKO</t>
  </si>
  <si>
    <t>FITRAH ISLAMIC WORLD ACADEMY</t>
  </si>
  <si>
    <t>5.000.000 + TUNJANGAN - TUNJANGAN</t>
  </si>
  <si>
    <t>5.000.000 + TUNJANGAN RUMAH &amp; KELUARGA</t>
  </si>
  <si>
    <t>MUAMALAT</t>
  </si>
  <si>
    <t>fahadsaid110893@gmail.com</t>
  </si>
  <si>
    <t>1IVW1Ceq4iK0386fblBcKTMi_oNunqzE5Ez18X6-gDQA</t>
  </si>
  <si>
    <t>https://docs.google.com/document/d/1IVW1Ceq4iK0386fblBcKTMi_oNunqzE5Ez18X6-gDQA/edit?usp=drivesdk</t>
  </si>
  <si>
    <t>Document successfully created; Document successfully merged; Run via form trigger as kemal.stafsus@gmail.com; Timestamp: May 5 2022 8:53 AM</t>
  </si>
  <si>
    <t>https://drive.google.com/open?id=1UGN4q8r6brIW0O_R5r0y5PVx0Za7oP4R</t>
  </si>
  <si>
    <t>https://drive.google.com/uc?export=view&amp;id=1UGN4q8r6brIW0O_R5r0y5PVx0Za7oP4R</t>
  </si>
  <si>
    <t>Dicky Handika Ahmad Gojali, S.Pd.</t>
  </si>
  <si>
    <t>081324243613</t>
  </si>
  <si>
    <t>3603113110910003</t>
  </si>
  <si>
    <t>Perum Duta Asri Palem 3 RT 6 RW 11, Kel.Sukatani, Kec.Rajeg, Kab. Tangerang</t>
  </si>
  <si>
    <t>31-10-1991</t>
  </si>
  <si>
    <t>Universitas Siliwangi</t>
  </si>
  <si>
    <t>Operator Sekolah</t>
  </si>
  <si>
    <t>Bank Muamalat</t>
  </si>
  <si>
    <t>dickyhandika@live.com</t>
  </si>
  <si>
    <t>1hK2fQeLh-4mXi9OmM2vBKq_tP9D1l1EuGjm56-AafGk</t>
  </si>
  <si>
    <t>https://docs.google.com/document/d/1hK2fQeLh-4mXi9OmM2vBKq_tP9D1l1EuGjm56-AafGk/edit?usp=drivesdk</t>
  </si>
  <si>
    <t>Document successfully created; Document successfully merged; Run via form trigger as kemal.stafsus@gmail.com; Timestamp: May 19 2022 11:28 PM</t>
  </si>
  <si>
    <t>https://drive.google.com/open?id=1-L8odO-fHxWxruEigf59pCjsZBs6nJZH</t>
  </si>
  <si>
    <t>https://drive.google.com/uc?export=view&amp;id=1-L8odO-fHxWxruEigf59pCjsZBs6nJZH</t>
  </si>
  <si>
    <t>M. Jihad Fitratul Akbar</t>
  </si>
  <si>
    <t>082342114906</t>
  </si>
  <si>
    <t>5271062503930003</t>
  </si>
  <si>
    <t>Jl.beringin raya 1 Btn babakan permai</t>
  </si>
  <si>
    <t>25-03-1993</t>
  </si>
  <si>
    <t>29 tahun 1 bulan</t>
  </si>
  <si>
    <t>Universitas Amikom Yogyakarta</t>
  </si>
  <si>
    <t>2.21</t>
  </si>
  <si>
    <t>Marketing promotor di caezar group untuk suku cadang  sepeda motor</t>
  </si>
  <si>
    <t>1.000.000 - 4.000.000</t>
  </si>
  <si>
    <t>4.000.000 - 5.000.000(mengikuti upah minimum provinsi)</t>
  </si>
  <si>
    <t>muhammadj2593@gmail.com</t>
  </si>
  <si>
    <t>1dIIJVabDl0vi8pzvB7TGNUwr_46CS-ZzDnxUx0LIeCM</t>
  </si>
  <si>
    <t>https://docs.google.com/document/d/1dIIJVabDl0vi8pzvB7TGNUwr_46CS-ZzDnxUx0LIeCM/edit?usp=drivesdk</t>
  </si>
  <si>
    <t>Document successfully created; Document successfully merged; Run via form trigger as kemal.stafsus@gmail.com; Timestamp: May 20 2022 5:49 AM</t>
  </si>
  <si>
    <t>https://drive.google.com/open?id=1gTS_YuLtgT4Hpo9L2UHprqG7eN_zykuY</t>
  </si>
  <si>
    <t>https://drive.google.com/uc?export=view&amp;id=1gTS_YuLtgT4Hpo9L2UHprqG7eN_zykuY</t>
  </si>
  <si>
    <t>Hamzah sahbana Lc BA</t>
  </si>
  <si>
    <t>087881040784</t>
  </si>
  <si>
    <t>Tanggerang selatan jln ceater raya Ma'had Al Wildan</t>
  </si>
  <si>
    <t>Masbagik Lombok Timur NTB</t>
  </si>
  <si>
    <t>02 DESEMBER 1989</t>
  </si>
  <si>
    <t>Wakil Kepala Sekolah, Guru Mata Pelajaran, Guru Bimbingan Konseling, Tim Kreatif, Musyrif (Non-ITBA), ITBA - GURU</t>
  </si>
  <si>
    <t>Bahasa Arab dan pelajaran agama islam</t>
  </si>
  <si>
    <t>Proses muqobalah Universitas Ummul quro makkah</t>
  </si>
  <si>
    <t>Pernah menjabat ketua bahasa arab penggerak bahasa arab di MA Plus Abu Hurairah Mataram Lombok Barat NTB</t>
  </si>
  <si>
    <t>2.300.000 sampai 2.500.000</t>
  </si>
  <si>
    <t>Menjabat ketua pengajian kecamatan Masbagik Lombok Timur NTB</t>
  </si>
  <si>
    <t>Se ikhlasnya</t>
  </si>
  <si>
    <t>Guru bahasa Arab dan Agama islam Di ponpes Abu Hurairah Mataram</t>
  </si>
  <si>
    <t>9.000.000 atau 11.000.000</t>
  </si>
  <si>
    <t>abuhisyam311@gmail.com</t>
  </si>
  <si>
    <t>1TKENXDlfd6NpVrL92OuMiwrvCMfxiO_5jcF_bHPE4Pg</t>
  </si>
  <si>
    <t>https://docs.google.com/document/d/1TKENXDlfd6NpVrL92OuMiwrvCMfxiO_5jcF_bHPE4Pg/edit?usp=drivesdk</t>
  </si>
  <si>
    <t>Document successfully created; Document successfully merged; Run via form trigger as kemal.stafsus@gmail.com; Timestamp: May 23 2022 9:01 PM</t>
  </si>
  <si>
    <t>https://drive.google.com/open?id=14uPAck1mXV0Kvpi7dK0rvznKVPByQcio</t>
  </si>
  <si>
    <t>https://drive.google.com/uc?export=view&amp;id=14uPAck1mXV0Kvpi7dK0rvznKVPByQcio</t>
  </si>
  <si>
    <t>Siti Hawa, M.Pd</t>
  </si>
  <si>
    <t>0895700218050</t>
  </si>
  <si>
    <t>3174056903960005</t>
  </si>
  <si>
    <t>29-03-1969</t>
  </si>
  <si>
    <t>53 tahun 2 bulan</t>
  </si>
  <si>
    <t>IKIP Jakarta</t>
  </si>
  <si>
    <t>2.66</t>
  </si>
  <si>
    <t>Universitas Indraprasta PGRI</t>
  </si>
  <si>
    <t>Guru TK Kinderland</t>
  </si>
  <si>
    <t>Guru Privat</t>
  </si>
  <si>
    <t>12.000.000 (11 anak)</t>
  </si>
  <si>
    <t>sitihawafaisol69@gmail.com</t>
  </si>
  <si>
    <t>1FnQAjLEP2jOLwCmdGfMd_LDIsW3MEbUpB4MmKRiZMq8</t>
  </si>
  <si>
    <t>https://docs.google.com/document/d/1FnQAjLEP2jOLwCmdGfMd_LDIsW3MEbUpB4MmKRiZMq8/edit?usp=drivesdk</t>
  </si>
  <si>
    <t>Document successfully created; Document successfully merged; Run via form trigger as kemal.stafsus@gmail.com; Timestamp: May 28 2022 5:40 AM</t>
  </si>
  <si>
    <t>https://drive.google.com/open?id=1lWDPU66QnL_gTSJE1cPmvdF86HP-xTYz</t>
  </si>
  <si>
    <t>https://drive.google.com/uc?export=view&amp;id=1lWDPU66QnL_gTSJE1cPmvdF86HP-xTYz</t>
  </si>
  <si>
    <t>Mohammad Ismail Al Bukhory, S.Pd</t>
  </si>
  <si>
    <t>089661516738</t>
  </si>
  <si>
    <t>3201072701920006</t>
  </si>
  <si>
    <t>Klapanunggal, Cileungsi</t>
  </si>
  <si>
    <t>30 tahun 4 bulan</t>
  </si>
  <si>
    <t>Pendidikan Agama Islam/PAI</t>
  </si>
  <si>
    <t>Universitas Ibnu Khaldun Bogor</t>
  </si>
  <si>
    <t>Guru PAI SD Muhammadiyah Cileungsi 2016-2017</t>
  </si>
  <si>
    <t>Guru Mapel dan Kepala Biro Event Organizer Al Wafi Islamic Boarding School, Depok 2017-2022</t>
  </si>
  <si>
    <t>bukhary26@gmail.com</t>
  </si>
  <si>
    <t>1Uv7tl1hbjiKnMtcC-x0Dk5C9SrAFpe05Wrv4-KulMZM</t>
  </si>
  <si>
    <t>https://docs.google.com/document/d/1Uv7tl1hbjiKnMtcC-x0Dk5C9SrAFpe05Wrv4-KulMZM/edit?usp=drivesdk</t>
  </si>
  <si>
    <t>Document successfully created; Document successfully merged; Run via form trigger as kemal.stafsus@gmail.com; Timestamp: May 29 2022 5:13 AM</t>
  </si>
  <si>
    <t>https://drive.google.com/open?id=1jUBB8bi1gwtJnyNUeGBHfFFkflRd2kEj</t>
  </si>
  <si>
    <t>https://drive.google.com/uc?export=view&amp;id=1jUBB8bi1gwtJnyNUeGBHfFFkflRd2kEj</t>
  </si>
  <si>
    <t xml:space="preserve">Mohammad Dera Huriadi S.H.I </t>
  </si>
  <si>
    <t>081389072751</t>
  </si>
  <si>
    <t>3601050512900002</t>
  </si>
  <si>
    <t>Link Cikerut Permai No 014 RT/RW 07/04 Kelurahan Karang asem kecamatan cibeber kota cilegon 42425</t>
  </si>
  <si>
    <t xml:space="preserve">Pandeglang </t>
  </si>
  <si>
    <t>05-12-1990</t>
  </si>
  <si>
    <t>31 Tahun 6 bulan</t>
  </si>
  <si>
    <t xml:space="preserve">ON GOING UIN SMH BANTEN </t>
  </si>
  <si>
    <t xml:space="preserve">PBA </t>
  </si>
  <si>
    <t xml:space="preserve">IP Smstr 1 : 3,81 </t>
  </si>
  <si>
    <t xml:space="preserve">Guru Alquran </t>
  </si>
  <si>
    <t xml:space="preserve">250.000 s.d 900.000 </t>
  </si>
  <si>
    <t>Guru Nahwu Shorof</t>
  </si>
  <si>
    <t>lahirancigeulis90@gmail.com</t>
  </si>
  <si>
    <t>1pmKTevyIocj900QDU0kj3XDyMis5svvzeJyUS_HXi5g</t>
  </si>
  <si>
    <t>https://docs.google.com/document/d/1pmKTevyIocj900QDU0kj3XDyMis5svvzeJyUS_HXi5g/edit?usp=drivesdk</t>
  </si>
  <si>
    <t>Document successfully created; Document successfully merged; Run via form trigger as kemal.stafsus@gmail.com; Timestamp: May 29 2022 5:25 AM</t>
  </si>
  <si>
    <t>https://drive.google.com/open?id=10a_Dz6fV2PCX6iBJP5yK2duA0-h2xxAf</t>
  </si>
  <si>
    <t>https://drive.google.com/uc?export=view&amp;id=10a_Dz6fV2PCX6iBJP5yK2duA0-h2xxAf</t>
  </si>
  <si>
    <t>Muhammad Hanafi, B.A.</t>
  </si>
  <si>
    <t>081529289404</t>
  </si>
  <si>
    <t>1504053011960002</t>
  </si>
  <si>
    <t>Jambi</t>
  </si>
  <si>
    <t>30 - 11 - 1996</t>
  </si>
  <si>
    <t xml:space="preserve">Fiqh/Ushul Fiqh </t>
  </si>
  <si>
    <t xml:space="preserve">Universitas Islam Sultan Sharif Ali </t>
  </si>
  <si>
    <t>Syariah (Ushul Fiqh)</t>
  </si>
  <si>
    <t>Cahaya Bina Insan Brunei (part time)</t>
  </si>
  <si>
    <t xml:space="preserve">PPLN Bandar Seri Begawan </t>
  </si>
  <si>
    <t xml:space="preserve">Diniyyah Al-Azhar Jambi </t>
  </si>
  <si>
    <t>060601037501504</t>
  </si>
  <si>
    <t>hanafigontor689@gmail.com</t>
  </si>
  <si>
    <t>1kv9vSmQU4ogRK8X2bvdJooFRto-CCgkIDgLsaP9u9YE</t>
  </si>
  <si>
    <t>https://docs.google.com/document/d/1kv9vSmQU4ogRK8X2bvdJooFRto-CCgkIDgLsaP9u9YE/edit?usp=drivesdk</t>
  </si>
  <si>
    <t>Document successfully created; Document successfully merged; Run via form trigger as kemal.stafsus@gmail.com; Timestamp: May 29 2022 6:07 AM</t>
  </si>
  <si>
    <t>https://drive.google.com/open?id=1SrtVcmvuw_UTnffM081-PV8cyUFlwGEG</t>
  </si>
  <si>
    <t>https://drive.google.com/uc?export=view&amp;id=1SrtVcmvuw_UTnffM081-PV8cyUFlwGEG</t>
  </si>
  <si>
    <t>Evi Afidah, SE</t>
  </si>
  <si>
    <t>081585337350</t>
  </si>
  <si>
    <t>3674035604780008</t>
  </si>
  <si>
    <t>Griya Mulya C10 Jl. Mujair Raya Bambu Apus Pamulang Tangerang Selatan Banten</t>
  </si>
  <si>
    <t>16-04-1978</t>
  </si>
  <si>
    <t>44 tahun 1 bulan</t>
  </si>
  <si>
    <t>Ekonomi Cambridge, IPS, Mathematics Cambridge</t>
  </si>
  <si>
    <t>Sekolah Tinggi Ilmu Ekonomi Ahmad Dahlan Jakarta</t>
  </si>
  <si>
    <t>Lazuardi Cordova Global Islamic School</t>
  </si>
  <si>
    <t>Mutiara Harapan Islamic School</t>
  </si>
  <si>
    <t xml:space="preserve">7.000.000 (negotiable) </t>
  </si>
  <si>
    <t>mazaya1301@gmail.com</t>
  </si>
  <si>
    <t>1ujllh8kq7oTmrCWTqqjqf_Ut6kPugwSatxrcoiMIxQs</t>
  </si>
  <si>
    <t>https://docs.google.com/document/d/1ujllh8kq7oTmrCWTqqjqf_Ut6kPugwSatxrcoiMIxQs/edit?usp=drivesdk</t>
  </si>
  <si>
    <t>Document successfully created; Document successfully merged; Run via form trigger as kemal.stafsus@gmail.com; Timestamp: May 29 2022 7:49 AM</t>
  </si>
  <si>
    <t>https://drive.google.com/open?id=1echSvP7mUzeimKKouM3Ke-y1LfsiYiI_</t>
  </si>
  <si>
    <t>https://drive.google.com/uc?export=view&amp;id=1echSvP7mUzeimKKouM3Ke-y1LfsiYiI_</t>
  </si>
  <si>
    <t>Amirudin.Lc</t>
  </si>
  <si>
    <t>081932997367</t>
  </si>
  <si>
    <t>5202042006940003</t>
  </si>
  <si>
    <t>Lombok NTB</t>
  </si>
  <si>
    <t>Tanak awu</t>
  </si>
  <si>
    <t>20 Juni 1994</t>
  </si>
  <si>
    <t>27  tahun 11 bulan</t>
  </si>
  <si>
    <t>Hadits , Tafsir</t>
  </si>
  <si>
    <t>4.11</t>
  </si>
  <si>
    <t>Guru mata pelajaran ponpes minhajus sahabah</t>
  </si>
  <si>
    <t>Guru mata pelajaran FIWA</t>
  </si>
  <si>
    <t>sapulidi012345@gmail.com</t>
  </si>
  <si>
    <t>17w5oIOidX4ylhtUVULFNR3yXMAT3ao6C3f91_mOv_fM</t>
  </si>
  <si>
    <t>https://docs.google.com/document/d/17w5oIOidX4ylhtUVULFNR3yXMAT3ao6C3f91_mOv_fM/edit?usp=drivesdk</t>
  </si>
  <si>
    <t>Document successfully created; Document successfully merged; Run via form trigger as kemal.stafsus@gmail.com; Timestamp: May 29 2022 8:01 AM</t>
  </si>
  <si>
    <t>https://drive.google.com/open?id=1AA2yf0UUnviaPSFCCEwh0bMUajLZmju0</t>
  </si>
  <si>
    <t>https://drive.google.com/uc?export=view&amp;id=1AA2yf0UUnviaPSFCCEwh0bMUajLZmju0</t>
  </si>
  <si>
    <t>Nicholin Chaesar Noer M., S.Hum.</t>
  </si>
  <si>
    <t>08989005306</t>
  </si>
  <si>
    <t>3211032503970006</t>
  </si>
  <si>
    <t>Dusun Ancol RT/RW 002/002. Desa Karang Pakuan. Kecamatan Darmaraja. Kabupaten Sumedang. 45372</t>
  </si>
  <si>
    <t>25-03-1997</t>
  </si>
  <si>
    <t>UIN Sunan Gunung Djati Bandung</t>
  </si>
  <si>
    <t>Guru Bahasa Inggris di SD Ar Rafi' BHS Sumedang</t>
  </si>
  <si>
    <t>Freelance English Teacher di EdCourse Sumedang</t>
  </si>
  <si>
    <t>100.000 - 300.000 (kondisional)</t>
  </si>
  <si>
    <t>nicholin87@gmail.com</t>
  </si>
  <si>
    <t>1EA2BIcTvTdQ79Btm9gbY5IrZsFc5aHOXJWuzpL7kJ1k</t>
  </si>
  <si>
    <t>https://docs.google.com/document/d/1EA2BIcTvTdQ79Btm9gbY5IrZsFc5aHOXJWuzpL7kJ1k/edit?usp=drivesdk</t>
  </si>
  <si>
    <t>Document successfully created; Document successfully merged; Run via form trigger as kemal.stafsus@gmail.com; Timestamp: May 29 2022 8:07 AM</t>
  </si>
  <si>
    <t>https://drive.google.com/open?id=1hl4lT8VDWlxmy_yC3PGTXscWvOSKIa4f</t>
  </si>
  <si>
    <t>https://drive.google.com/uc?export=view&amp;id=1hl4lT8VDWlxmy_yC3PGTXscWvOSKIa4f</t>
  </si>
  <si>
    <t>Indana Zulfa, B.A</t>
  </si>
  <si>
    <t>089633951513</t>
  </si>
  <si>
    <t>3204285506960004</t>
  </si>
  <si>
    <t>Jl Dahlia no 134 blok 8 RT. 01 RW. 08 Kelurahan Rancaekek Kencana, Kec Rancaekek, kabupaten Bandung</t>
  </si>
  <si>
    <t>Cimahi</t>
  </si>
  <si>
    <t>15-06-1996</t>
  </si>
  <si>
    <t>Guru Mata Pelajaran, Musyrifah (Non-ITBA)</t>
  </si>
  <si>
    <t>Guru tahsin online yayasan komunitas belajar</t>
  </si>
  <si>
    <t>Tahsin dan bahasa arab privat online (non resmi)</t>
  </si>
  <si>
    <t>Sekitar 1-2 juta tergantung lagi dapat berapa murid privat</t>
  </si>
  <si>
    <t>Mahasiswi lipia</t>
  </si>
  <si>
    <t>200 real / 700.000</t>
  </si>
  <si>
    <t>Musyrifah (UMR) + guru SMA (UMR)</t>
  </si>
  <si>
    <t>Tidak punya rek lain</t>
  </si>
  <si>
    <t>indanazulfa.bdg@gmail.com</t>
  </si>
  <si>
    <t>1qmN45rhEflRRQcviLy9TML78ZpzL18dzJhHPaQ7ZQAk</t>
  </si>
  <si>
    <t>https://docs.google.com/document/d/1qmN45rhEflRRQcviLy9TML78ZpzL18dzJhHPaQ7ZQAk/edit?usp=drivesdk</t>
  </si>
  <si>
    <t>Document successfully created; Document successfully merged; Run via form trigger as kemal.stafsus@gmail.com; Timestamp: May 29 2022 8:36 AM</t>
  </si>
  <si>
    <t>https://drive.google.com/open?id=1YhqmsJPEWdLvD3I7uCiixmvODZ7wN7fb</t>
  </si>
  <si>
    <t>https://drive.google.com/uc?export=view&amp;id=1YhqmsJPEWdLvD3I7uCiixmvODZ7wN7fb</t>
  </si>
  <si>
    <t>Nia Sandra Nova S Pd</t>
  </si>
  <si>
    <t>085283975440</t>
  </si>
  <si>
    <t>3205170711940007</t>
  </si>
  <si>
    <t>Gading Serpong- Tangerang</t>
  </si>
  <si>
    <t>07-11-1994</t>
  </si>
  <si>
    <t>Guru Bahasa Arab</t>
  </si>
  <si>
    <t>S1- STIBA ARRAYAH SUKABUMI</t>
  </si>
  <si>
    <t>PBA ( Pendidikan Bahasa Arab)</t>
  </si>
  <si>
    <t>Guru Bahasa Arab, Guru Hadits dan Wali kelas</t>
  </si>
  <si>
    <t>nia.abulaits1994@gmail.com</t>
  </si>
  <si>
    <t>1pF96gKcdfVBobKjuX0ZicH4TA-zBceltSW0M0hs0urw</t>
  </si>
  <si>
    <t>https://docs.google.com/document/d/1pF96gKcdfVBobKjuX0ZicH4TA-zBceltSW0M0hs0urw/edit?usp=drivesdk</t>
  </si>
  <si>
    <t>Document successfully created; Document successfully merged; Run via form trigger as kemal.stafsus@gmail.com; Timestamp: May 29 2022 8:55 AM</t>
  </si>
  <si>
    <t>https://drive.google.com/open?id=1ShQdJT_SKduuzAGtHK3D7_LPMYdHKC9q</t>
  </si>
  <si>
    <t>https://drive.google.com/uc?export=view&amp;id=1ShQdJT_SKduuzAGtHK3D7_LPMYdHKC9q</t>
  </si>
  <si>
    <t>H. A. Sungkawa, Lc.</t>
  </si>
  <si>
    <t>081383563161</t>
  </si>
  <si>
    <t>3604101805600001</t>
  </si>
  <si>
    <t>PonPes Daar el ittihad kp. Pipitan rt.06 rw.02 ds. Pipitan kec. Walantaka kota serang Banten</t>
  </si>
  <si>
    <t>18-05-1960</t>
  </si>
  <si>
    <t>62 tahun</t>
  </si>
  <si>
    <t>Diniyyah (PAI, Fiqh, Aqidah)</t>
  </si>
  <si>
    <t>Al Azhar, Cairo-Mesir</t>
  </si>
  <si>
    <t>Ushuluddin</t>
  </si>
  <si>
    <t>Maqbul</t>
  </si>
  <si>
    <t>Guru Bahasa Arab, Fiqh, Tafsir dan Bahasa Inggris di MA Darussalam Pipitan sejak tahun 1990 s.d sekarang.</t>
  </si>
  <si>
    <t>Guru tafsir dan fiqh di Pontren Al Rahmah lebak wangi sejak 2007-2021</t>
  </si>
  <si>
    <t>Guru tafsir dan bahasa arab di pontren daar et taqwa sejak 1993-1995</t>
  </si>
  <si>
    <t>006201035272535</t>
  </si>
  <si>
    <t>BRI a.n (H. A. Sungkawa, Lc)</t>
  </si>
  <si>
    <t>lela26aja@gmail.com</t>
  </si>
  <si>
    <t>1JpPfVigVFhWGQo4Vs79T4DUXPDVLGR4FLdws12MyWTQ</t>
  </si>
  <si>
    <t>https://docs.google.com/document/d/1JpPfVigVFhWGQo4Vs79T4DUXPDVLGR4FLdws12MyWTQ/edit?usp=drivesdk</t>
  </si>
  <si>
    <t>Document successfully created; Document successfully merged; Run via form trigger as kemal.stafsus@gmail.com; Timestamp: May 29 2022 9:01 AM</t>
  </si>
  <si>
    <t>https://drive.google.com/open?id=1c2poxYsGO-J6smEcUq2_m2BBJrNl1IU3</t>
  </si>
  <si>
    <t>https://drive.google.com/uc?export=view&amp;id=1c2poxYsGO-J6smEcUq2_m2BBJrNl1IU3</t>
  </si>
  <si>
    <t>Ananda putri cahyani S.Pi, M.Si</t>
  </si>
  <si>
    <t>08152552995</t>
  </si>
  <si>
    <t>3201205910940002</t>
  </si>
  <si>
    <t>Perumahan Griya Parahita Blok A11 no 9, Desa Kadusirung Kab. Tangerang</t>
  </si>
  <si>
    <t>19-19-1994</t>
  </si>
  <si>
    <t>Universitas Brawijaya</t>
  </si>
  <si>
    <t>Teknologi hasil perikanan</t>
  </si>
  <si>
    <t>IPB University</t>
  </si>
  <si>
    <t>Ilmu pangan</t>
  </si>
  <si>
    <t>aputricahyani@gmail.com</t>
  </si>
  <si>
    <t>1oHYwqT1_zKf4S7TzrUfMwv_XLQZOZ55vO2zfix58s5Y</t>
  </si>
  <si>
    <t>https://docs.google.com/document/d/1oHYwqT1_zKf4S7TzrUfMwv_XLQZOZ55vO2zfix58s5Y/edit?usp=drivesdk</t>
  </si>
  <si>
    <t>Document successfully created; Document successfully merged; Run via form trigger as kemal.stafsus@gmail.com; Timestamp: May 29 2022 10:13 AM</t>
  </si>
  <si>
    <t>https://drive.google.com/open?id=1dxMJywr_vCLUouTxV_btQSUAF88ttSAl</t>
  </si>
  <si>
    <t>https://drive.google.com/uc?export=view&amp;id=1dxMJywr_vCLUouTxV_btQSUAF88ttSAl</t>
  </si>
  <si>
    <t>Rika Marhamah, S.Ag.</t>
  </si>
  <si>
    <t>081330821057</t>
  </si>
  <si>
    <t>1671096511980006</t>
  </si>
  <si>
    <t>25 November 1998</t>
  </si>
  <si>
    <t>23 tahun 6 Bulan</t>
  </si>
  <si>
    <t>Hadits, Sirah, bahasa arab, mustolah hadits</t>
  </si>
  <si>
    <t>STDI imam Syafi'i jember</t>
  </si>
  <si>
    <t>Fakultas ilmu hadits</t>
  </si>
  <si>
    <t>Mengajar Bahasa Arab 2× sepekan untuk salah satu dosen akhwat dikampus tahun 2019</t>
  </si>
  <si>
    <t xml:space="preserve">400.000 (perbulan, 1 pekan 2 kali) </t>
  </si>
  <si>
    <t xml:space="preserve">Guru dan Wali kelas Diponpes Zaadul maad palembang (Guru Diniyyah SMA) </t>
  </si>
  <si>
    <t>rikamarhamah1998@gmail.com</t>
  </si>
  <si>
    <t>1by2m3uNcL0634NGcHk_7deFnqzDkQZoTrODVtcrzopI</t>
  </si>
  <si>
    <t>https://docs.google.com/document/d/1by2m3uNcL0634NGcHk_7deFnqzDkQZoTrODVtcrzopI/edit?usp=drivesdk</t>
  </si>
  <si>
    <t>Document successfully created; Document successfully merged; Run via form trigger as kemal.stafsus@gmail.com; Timestamp: May 29 2022 10:21 AM</t>
  </si>
  <si>
    <t>https://drive.google.com/open?id=18DYnnQib5jFRNlvsYOTOsh33tJC7HCbG</t>
  </si>
  <si>
    <t>https://drive.google.com/uc?export=view&amp;id=18DYnnQib5jFRNlvsYOTOsh33tJC7HCbG</t>
  </si>
  <si>
    <t>Rizqi Alqomaru Sya'ban S.Ag.</t>
  </si>
  <si>
    <t>3216082711980001</t>
  </si>
  <si>
    <t xml:space="preserve">Cikarang Barat Bekasi </t>
  </si>
  <si>
    <t>27-11-1998</t>
  </si>
  <si>
    <t xml:space="preserve">Tauhid, mustholah hadits, hadits fiqih, </t>
  </si>
  <si>
    <t xml:space="preserve">STDI Imam Syafi'i Jember </t>
  </si>
  <si>
    <t xml:space="preserve">Studi Ilmu Hadits </t>
  </si>
  <si>
    <t>Guru diniyyah SMP-SMA ponpes Riyadhussolihin program Daar Asy Syari'ah</t>
  </si>
  <si>
    <t>alqom27@gmail.com</t>
  </si>
  <si>
    <t>1zgb1VAQurqwAdl6WcyeLKp2FuoBVcvWBbqb0h3doEEE</t>
  </si>
  <si>
    <t>https://docs.google.com/document/d/1zgb1VAQurqwAdl6WcyeLKp2FuoBVcvWBbqb0h3doEEE/edit?usp=drivesdk</t>
  </si>
  <si>
    <t>Document successfully created; Document successfully merged; Run via form trigger as kemal.stafsus@gmail.com; Timestamp: May 29 2022 10:25 AM</t>
  </si>
  <si>
    <t>https://drive.google.com/open?id=1vLGAMU118AHkYQjog3qLy93dMKaJe0T3</t>
  </si>
  <si>
    <t>https://drive.google.com/uc?export=view&amp;id=1vLGAMU118AHkYQjog3qLy93dMKaJe0T3</t>
  </si>
  <si>
    <t>Heni Wahyu Arini, M.Pd.</t>
  </si>
  <si>
    <t>085959697343</t>
  </si>
  <si>
    <t>3174056001950004</t>
  </si>
  <si>
    <t>Perumahan Taman Cinangka Blok A 17, Cinangka, Sawangan, Depok</t>
  </si>
  <si>
    <t>20-01-1995</t>
  </si>
  <si>
    <t>27 tahun 4 bulan</t>
  </si>
  <si>
    <t>Wali Kelas 9 dan Guru Bahasa Inggris di SMP Global Islamic School 2 Serpong</t>
  </si>
  <si>
    <t>Wali Kelas 2 dan Guru Bahasa Inggris di SD EMIISc Jakarta (Excellent Metropolitan Integrated Islamic School)</t>
  </si>
  <si>
    <t xml:space="preserve">K-2 Teacher di Raffles Christian International School Jakarta </t>
  </si>
  <si>
    <t>missheni.2021@gmail.com</t>
  </si>
  <si>
    <t>1z4RGgQIVkKw2wPhBd1DZ2v936kjUltuI9oSzvA-HcT8</t>
  </si>
  <si>
    <t>https://docs.google.com/document/d/1z4RGgQIVkKw2wPhBd1DZ2v936kjUltuI9oSzvA-HcT8/edit?usp=drivesdk</t>
  </si>
  <si>
    <t>Document successfully created; Document successfully merged; Run via form trigger as kemal.stafsus@gmail.com; Timestamp: May 29 2022 10:36 AM</t>
  </si>
  <si>
    <t>https://drive.google.com/open?id=1N_ciaEdU3k6YEL4UfMcLSoS6KEzumc7B</t>
  </si>
  <si>
    <t>https://drive.google.com/uc?export=view&amp;id=1N_ciaEdU3k6YEL4UfMcLSoS6KEzumc7B</t>
  </si>
  <si>
    <t>Fitriany Kadevi, S.E.I.</t>
  </si>
  <si>
    <t>08121346776</t>
  </si>
  <si>
    <t>3216064301890005</t>
  </si>
  <si>
    <t>Perum Mekarsari Permai B5. Nomor 63, Desa Mekarsari, Kec. Tambun Selatan, Bekasi.</t>
  </si>
  <si>
    <t>03-01-1989</t>
  </si>
  <si>
    <t>33 Tahun 4 Bulan</t>
  </si>
  <si>
    <t>STEI TAZKIA</t>
  </si>
  <si>
    <t>Akuntansi Islam</t>
  </si>
  <si>
    <t>HRD pada PT Sinde Multi Kemasindo ( 2014 SD 2019)</t>
  </si>
  <si>
    <t>Akunting Pada PT Wujud Nawang Wulan (2012  sd 2013)</t>
  </si>
  <si>
    <t>Akunting Pada PT Jatis Solusions (2011)</t>
  </si>
  <si>
    <t>nadakadevi@gmail.com</t>
  </si>
  <si>
    <t>1jMI2ZYE45EC3HcdS4jPtc_ArOSoRKKnNva2x8kRGQ60</t>
  </si>
  <si>
    <t>https://docs.google.com/document/d/1jMI2ZYE45EC3HcdS4jPtc_ArOSoRKKnNva2x8kRGQ60/edit?usp=drivesdk</t>
  </si>
  <si>
    <t>Document successfully created; Document successfully merged; Run via form trigger as kemal.stafsus@gmail.com; Timestamp: May 29 2022 10:48 AM</t>
  </si>
  <si>
    <t>https://drive.google.com/open?id=1ho-yyK9uwcFx4sc13nSp5M0NzqhTjxst</t>
  </si>
  <si>
    <t>https://drive.google.com/uc?export=view&amp;id=1ho-yyK9uwcFx4sc13nSp5M0NzqhTjxst</t>
  </si>
  <si>
    <t>Okta Sumarja,S.Pd</t>
  </si>
  <si>
    <t>082184602412</t>
  </si>
  <si>
    <t>1803172610950001</t>
  </si>
  <si>
    <t>26 tahun 7 bulan</t>
  </si>
  <si>
    <t>Ma'had FIWA Bogor</t>
  </si>
  <si>
    <t>oktasumarja27@gmail.com</t>
  </si>
  <si>
    <t>1nSQPl4_cJ9Q6x0mFGM4Gm2C0AtdQio4oaNuwRCCYsSQ</t>
  </si>
  <si>
    <t>https://docs.google.com/document/d/1nSQPl4_cJ9Q6x0mFGM4Gm2C0AtdQio4oaNuwRCCYsSQ/edit?usp=drivesdk</t>
  </si>
  <si>
    <t>Document successfully created; Document successfully merged; Run via form trigger as kemal.stafsus@gmail.com; Timestamp: May 29 2022 10:55 AM</t>
  </si>
  <si>
    <t>https://drive.google.com/open?id=1RmO_1P4bh8JvFqbF2DBSxIe57rBLOoML</t>
  </si>
  <si>
    <t>https://drive.google.com/uc?export=view&amp;id=1RmO_1P4bh8JvFqbF2DBSxIe57rBLOoML</t>
  </si>
  <si>
    <t>Imaduddin abdurrahim B.A</t>
  </si>
  <si>
    <t>082124734063</t>
  </si>
  <si>
    <t>3276022801940012</t>
  </si>
  <si>
    <t>Pamijahan bogor jawa barat</t>
  </si>
  <si>
    <t>28 - 01 - 1994</t>
  </si>
  <si>
    <t xml:space="preserve">4.64 </t>
  </si>
  <si>
    <t>Guru di mahad fiwa</t>
  </si>
  <si>
    <t>Mahad Quran dan Lughoh</t>
  </si>
  <si>
    <t>abdurrahimimaduddin@gmail.com</t>
  </si>
  <si>
    <t>1JD_qWEpE8o1ZsvunJ7dQ62OVW23v7DyEOVoLjaFjnf4</t>
  </si>
  <si>
    <t>https://docs.google.com/document/d/1JD_qWEpE8o1ZsvunJ7dQ62OVW23v7DyEOVoLjaFjnf4/edit?usp=drivesdk</t>
  </si>
  <si>
    <t>Document successfully created; Document successfully merged; Run via form trigger as kemal.stafsus@gmail.com; Timestamp: May 29 2022 6:40 PM</t>
  </si>
  <si>
    <t>https://drive.google.com/open?id=1xaXHOpyA-y2Gof7zO4zAFzY4qactguoU</t>
  </si>
  <si>
    <t>https://drive.google.com/uc?export=view&amp;id=1xaXHOpyA-y2Gof7zO4zAFzY4qactguoU</t>
  </si>
  <si>
    <t>Anri Ibrahim S.Pd</t>
  </si>
  <si>
    <t>082124434774</t>
  </si>
  <si>
    <t>1401122011000006</t>
  </si>
  <si>
    <t>Tandun</t>
  </si>
  <si>
    <t>16-08-1996</t>
  </si>
  <si>
    <t xml:space="preserve">STIBA ARRAAYAH </t>
  </si>
  <si>
    <t>Guru di Fitrah Islamic World Academy (fiwa) 
Divisi Tarbiyah</t>
  </si>
  <si>
    <t>ibrahim.anri@gmail.com</t>
  </si>
  <si>
    <t>1eLf-6PaXCvnliFU1WrGT_2uJOc7RndxHSYgsnwUis9w</t>
  </si>
  <si>
    <t>https://docs.google.com/document/d/1eLf-6PaXCvnliFU1WrGT_2uJOc7RndxHSYgsnwUis9w/edit?usp=drivesdk</t>
  </si>
  <si>
    <t>Document successfully created; Document successfully merged; Run via form trigger as kemal.stafsus@gmail.com; Timestamp: May 29 2022 6:43 PM</t>
  </si>
  <si>
    <t>https://drive.google.com/open?id=10q8cxEPsTEo_Ipv5jc8CVcQp1Pc9CUnE</t>
  </si>
  <si>
    <t>https://drive.google.com/uc?export=view&amp;id=10q8cxEPsTEo_Ipv5jc8CVcQp1Pc9CUnE</t>
  </si>
  <si>
    <t>Suryanika Ramadani., M.Pd</t>
  </si>
  <si>
    <t>081291282423</t>
  </si>
  <si>
    <t>1304045804900004</t>
  </si>
  <si>
    <t>Kemanggisan Raya RT/RW 007/009</t>
  </si>
  <si>
    <t>Batusangkar</t>
  </si>
  <si>
    <t>18-04-1990</t>
  </si>
  <si>
    <t>Home Private Tutor Alchemie Course</t>
  </si>
  <si>
    <t xml:space="preserve">Supervisor of Global Sevilla Students </t>
  </si>
  <si>
    <t>anika.ramadhani@gmail.com</t>
  </si>
  <si>
    <t>1MYsCjSrhVO44g2mo06HdnysiymrJi6ALMN620_pHRHM</t>
  </si>
  <si>
    <t>https://docs.google.com/document/d/1MYsCjSrhVO44g2mo06HdnysiymrJi6ALMN620_pHRHM/edit?usp=drivesdk</t>
  </si>
  <si>
    <t>Document successfully created; Document successfully merged; Run via form trigger as kemal.stafsus@gmail.com; Timestamp: May 29 2022 7:27 PM</t>
  </si>
  <si>
    <t>https://drive.google.com/open?id=1IJTcKjTdfo2t0dSJf1-ArO_MFG8LyzBf</t>
  </si>
  <si>
    <t>https://drive.google.com/uc?export=view&amp;id=1IJTcKjTdfo2t0dSJf1-ArO_MFG8LyzBf</t>
  </si>
  <si>
    <t>Ibrahim S.Pd</t>
  </si>
  <si>
    <t>081218037377</t>
  </si>
  <si>
    <t>6474010910970004</t>
  </si>
  <si>
    <t xml:space="preserve">Loktuan, Bontang, Kalimantan timur </t>
  </si>
  <si>
    <t xml:space="preserve">Makassar </t>
  </si>
  <si>
    <t>09-10-1997</t>
  </si>
  <si>
    <t>24 tahun 8 bulan</t>
  </si>
  <si>
    <t xml:space="preserve">STIBA Arrayah </t>
  </si>
  <si>
    <t>ibrahimbontang988@gmail.com</t>
  </si>
  <si>
    <t>1RUznO1YgZzefJJ1m7TUr9H5eXqzF0-hPKDTPrT3G7n8</t>
  </si>
  <si>
    <t>https://docs.google.com/document/d/1RUznO1YgZzefJJ1m7TUr9H5eXqzF0-hPKDTPrT3G7n8/edit?usp=drivesdk</t>
  </si>
  <si>
    <t>Document successfully created; Document successfully merged; Run via form trigger as kemal.stafsus@gmail.com; Timestamp: May 29 2022 9:10 PM</t>
  </si>
  <si>
    <t>https://drive.google.com/open?id=1XmzvQSURDl9dUqvbyxe9X1Y4D6BUVLAo</t>
  </si>
  <si>
    <t>https://drive.google.com/uc?export=view&amp;id=1XmzvQSURDl9dUqvbyxe9X1Y4D6BUVLAo</t>
  </si>
  <si>
    <t>Endra Iriyanto, S.Pd</t>
  </si>
  <si>
    <t>085243272192</t>
  </si>
  <si>
    <t>9101100107950002</t>
  </si>
  <si>
    <t>Merauke</t>
  </si>
  <si>
    <t>01 Juli 1995</t>
  </si>
  <si>
    <t>3.84</t>
  </si>
  <si>
    <t>Guru Bahasa Arab, Muaddib, Muhafidz dan Wali Kelas</t>
  </si>
  <si>
    <t>endrairiyanto@gmail.com</t>
  </si>
  <si>
    <t>1J4wVYoa9zEdjAOy-hZP9BqE70rmsdYaQy-FNGl77y5Y</t>
  </si>
  <si>
    <t>https://docs.google.com/document/d/1J4wVYoa9zEdjAOy-hZP9BqE70rmsdYaQy-FNGl77y5Y/edit?usp=drivesdk</t>
  </si>
  <si>
    <t>Document successfully created; Document successfully merged; Run via form trigger as kemal.stafsus@gmail.com; Timestamp: May 29 2022 9:16 PM</t>
  </si>
  <si>
    <t>https://drive.google.com/open?id=1udFy81fpE3evyAkfriC_Hf9_lDokWPgs</t>
  </si>
  <si>
    <t>https://drive.google.com/uc?export=view&amp;id=1udFy81fpE3evyAkfriC_Hf9_lDokWPgs</t>
  </si>
  <si>
    <t>Izzah Imaniyah, S.Pd</t>
  </si>
  <si>
    <t>085711180603</t>
  </si>
  <si>
    <t>3671055011930001</t>
  </si>
  <si>
    <t>Jl. KH. Ahmad Dahlan No.40 RT 007/01, Kel. Petir, Kec. Cipondoh, Tangerang -Banten</t>
  </si>
  <si>
    <t xml:space="preserve">28 tahun 6 bulan </t>
  </si>
  <si>
    <t xml:space="preserve">Quantum SS Learning Center - Tutor Matematika &amp; Fisika </t>
  </si>
  <si>
    <t>PT. Sinotif International - Tutor Fisika</t>
  </si>
  <si>
    <t>D'Royal Moroco Integrative Islamic School - Physics Teacher</t>
  </si>
  <si>
    <t>0423726442</t>
  </si>
  <si>
    <t>izzahimaniyah10@gmail.com</t>
  </si>
  <si>
    <t>1yT8-3egHyUAJaQuGugI89Ry_thkO__t6LjVJIilu8xY</t>
  </si>
  <si>
    <t>https://docs.google.com/document/d/1yT8-3egHyUAJaQuGugI89Ry_thkO__t6LjVJIilu8xY/edit?usp=drivesdk</t>
  </si>
  <si>
    <t>Document successfully created; Document successfully merged; Run via form trigger as kemal.stafsus@gmail.com; Timestamp: May 29 2022 10:21 PM</t>
  </si>
  <si>
    <t>https://drive.google.com/open?id=1MQ8gPtalHWwu96MbDu1JhBdzIWXihqpG</t>
  </si>
  <si>
    <t>https://drive.google.com/uc?export=view&amp;id=1MQ8gPtalHWwu96MbDu1JhBdzIWXihqpG</t>
  </si>
  <si>
    <t>Hasanudin Sultoni ( S1)</t>
  </si>
  <si>
    <t>087718853603</t>
  </si>
  <si>
    <t>3603220304900001</t>
  </si>
  <si>
    <t>Kp.Sawah Rt 001/003 Desa Lengkong Kulon kec.Pagedangan Kab.Tangerang banten</t>
  </si>
  <si>
    <t>03-04-1990</t>
  </si>
  <si>
    <t>Pai/Diniyyah</t>
  </si>
  <si>
    <t>3.03</t>
  </si>
  <si>
    <t>Sd Negeri Kademangan serpong</t>
  </si>
  <si>
    <t>Pesantren Tahfidz ekonomi islam Multazam Bogor</t>
  </si>
  <si>
    <t>Smp Islam Terpadu Granada Karawaci Tangerang</t>
  </si>
  <si>
    <t>tonyicha201@gmail.com</t>
  </si>
  <si>
    <t>1ZmR4p5G5PNwAS8rCNoWLlzCWpc2NyHglPBCx1rpCSuQ</t>
  </si>
  <si>
    <t>https://docs.google.com/document/d/1ZmR4p5G5PNwAS8rCNoWLlzCWpc2NyHglPBCx1rpCSuQ/edit?usp=drivesdk</t>
  </si>
  <si>
    <t>Document successfully created; Document successfully merged; Run via form trigger as kemal.stafsus@gmail.com; Timestamp: May 29 2022 11:59 PM</t>
  </si>
  <si>
    <t>https://drive.google.com/open?id=1E1s3ZDF9Ws3oWHWLMtoeY8vPwQyg0TsP</t>
  </si>
  <si>
    <t>https://drive.google.com/uc?export=view&amp;id=1E1s3ZDF9Ws3oWHWLMtoeY8vPwQyg0TsP</t>
  </si>
  <si>
    <t>Nurmilah Fadilah, S.Pd.</t>
  </si>
  <si>
    <t>081519966305</t>
  </si>
  <si>
    <t>3671114608990001</t>
  </si>
  <si>
    <t>Jalan H Jali RT/RW 05/02 No. 140 Kelurahan Kunciran Jaya, Kecamatan Pinang, Kota Tangerang, Banten, 15144</t>
  </si>
  <si>
    <t>06-08-1999</t>
  </si>
  <si>
    <t>22 tahun 10 bulan</t>
  </si>
  <si>
    <t>Pendidikan Bahasa Indonesia</t>
  </si>
  <si>
    <t>Guru Bimbel Biruni</t>
  </si>
  <si>
    <t>Admin</t>
  </si>
  <si>
    <t>Guru Bimbel Bintang Anak Negeri</t>
  </si>
  <si>
    <t>fnurmilah@gmail.com</t>
  </si>
  <si>
    <t>19Nyj9cPI8drz-HF5ZtmjL5bipdc1faGEx4MnXbGUXyg</t>
  </si>
  <si>
    <t>https://docs.google.com/document/d/19Nyj9cPI8drz-HF5ZtmjL5bipdc1faGEx4MnXbGUXyg/edit?usp=drivesdk</t>
  </si>
  <si>
    <t>Document successfully created; Document successfully merged; Run via form trigger as kemal.stafsus@gmail.com; Timestamp: May 30 2022 1:40 AM</t>
  </si>
  <si>
    <t>https://drive.google.com/open?id=1uhXX45cK_-AkYamyLODOfHwGx20z2u0Q</t>
  </si>
  <si>
    <t>https://drive.google.com/uc?export=view&amp;id=1uhXX45cK_-AkYamyLODOfHwGx20z2u0Q</t>
  </si>
  <si>
    <t>Farouq Khudzaifah, Lc</t>
  </si>
  <si>
    <t>081381888248</t>
  </si>
  <si>
    <t>3303071212940003</t>
  </si>
  <si>
    <t>Jl. Cimandiri 8 B RT 06/02 Graha Asri 17550, Jatireja, Kec. Cikarang Tim., Kabupaten Bekasi, Jawa Barat 17550</t>
  </si>
  <si>
    <t>12-12-1994</t>
  </si>
  <si>
    <t>27 tahun 5 bulan</t>
  </si>
  <si>
    <t>hadits, aqidah</t>
  </si>
  <si>
    <t>Lulusan LN - Universitas Islam Madinah</t>
  </si>
  <si>
    <t>4.73</t>
  </si>
  <si>
    <t>Guru pengabdian tahun 2012 di Al-I'tisham Gunungkidul</t>
  </si>
  <si>
    <t>Guru di Rabbaanii Islamic School</t>
  </si>
  <si>
    <t>0984470964</t>
  </si>
  <si>
    <t>senzhodam.hudzaifah@gmail.com</t>
  </si>
  <si>
    <t>1sQMbEEQyQckqiYoynHHfcrsPw8wuaEVTazsyVUu8hVo</t>
  </si>
  <si>
    <t>https://docs.google.com/document/d/1sQMbEEQyQckqiYoynHHfcrsPw8wuaEVTazsyVUu8hVo/edit?usp=drivesdk</t>
  </si>
  <si>
    <t>Document successfully created; Document successfully merged; Run via form trigger as kemal.stafsus@gmail.com; Timestamp: May 30 2022 3:06 AM</t>
  </si>
  <si>
    <t>https://drive.google.com/open?id=1QtoH_1_pSk4h5eoDHx_LmRVSvLHt0-cU</t>
  </si>
  <si>
    <t>https://drive.google.com/uc?export=view&amp;id=1QtoH_1_pSk4h5eoDHx_LmRVSvLHt0-cU</t>
  </si>
  <si>
    <t>Muhamad Rahmatullah</t>
  </si>
  <si>
    <t>085703453130</t>
  </si>
  <si>
    <t>3602092906940001</t>
  </si>
  <si>
    <t>29-07-1994</t>
  </si>
  <si>
    <t>ARABIC</t>
  </si>
  <si>
    <t>STIBA ARRAYAH SUKABUMI</t>
  </si>
  <si>
    <t>Guru B. Arab dan Diniyyah Ponpes Modern Al-Islam Serang-Banten (1 Tahun)</t>
  </si>
  <si>
    <t>&lt;1000.000</t>
  </si>
  <si>
    <t>Guru Tahsin dan TAhfidz Al-Qur'an SMP 1 CIBADAK SUKABUMI</t>
  </si>
  <si>
    <t>Tanpa Gaji tetap</t>
  </si>
  <si>
    <t>3 tahun menjadi Guru Bahasa Arab di Al Wafi Islamic Boarding School</t>
  </si>
  <si>
    <t>m.rahmat2994@gmail.com</t>
  </si>
  <si>
    <t>1Js6lAmNcJzwfYIP4bkbqSEY2V0FKAqtYDEMN09aMepY</t>
  </si>
  <si>
    <t>https://docs.google.com/document/d/1Js6lAmNcJzwfYIP4bkbqSEY2V0FKAqtYDEMN09aMepY/edit?usp=drivesdk</t>
  </si>
  <si>
    <t>Document successfully created; Document successfully merged; Run via form trigger as kemal.stafsus@gmail.com; Timestamp: May 30 2022 3:41 AM</t>
  </si>
  <si>
    <t>https://drive.google.com/open?id=1DCKlWoZFoXODSZuYQrEDnIBozVUKUrOZ</t>
  </si>
  <si>
    <t>https://drive.google.com/uc?export=view&amp;id=1DCKlWoZFoXODSZuYQrEDnIBozVUKUrOZ</t>
  </si>
  <si>
    <t>Sagita Defriyanti S.M</t>
  </si>
  <si>
    <t>083875703521</t>
  </si>
  <si>
    <t>3671112212970005/ B7618168</t>
  </si>
  <si>
    <t>Jl. Matahari, RT 007/ RW 004, Kel Sudimara Pinang, Kec Pinang, Kota Tangerang, Banten, 15145</t>
  </si>
  <si>
    <t>22-12-1997</t>
  </si>
  <si>
    <t>24 Tahun 5 Bulan</t>
  </si>
  <si>
    <t>PAI (Indo)</t>
  </si>
  <si>
    <t>PTS - Universitas Budi Luhur</t>
  </si>
  <si>
    <t>Fakultas Ekonomi dan Bisnis - Manajemen Pemasaran</t>
  </si>
  <si>
    <t>Bekerja di Kimia Farma Graha Raya Regency Boulevard Sebagai Perawat Gigi Selama 6 bulan</t>
  </si>
  <si>
    <t>2015 (6 bulan) Rp2.700.000, exc Bonus</t>
  </si>
  <si>
    <t>PT Robicom Cipta Solusindo bergerak di bidang bisnis multimedia, business software dan general suplier selama 1 tahun dengan Job Description (B2G dan B2B, menjual produk secara langsung dan melalui e-lelang pada saat APBD dan APBN Pemerintahan, prentasi, branding product, maintenance client)</t>
  </si>
  <si>
    <t>2015-2016 (1 Tahun) Rp4.000.000, exc Insentif</t>
  </si>
  <si>
    <t>PT Mareco Prima Mandiri bergerak di bidang Financial Technology selama 2 tahun 8 bulan dengan Job Description (menganalisa bisnis, pesaing, dan harga, strategi bisinis, marketing dan produk, partnership, maintenance client, membuat NDA dan PKS, QA nge-test dan review content social media)</t>
  </si>
  <si>
    <t>2019-2022 (2 tahun 8 bulan) Rp13.000.000</t>
  </si>
  <si>
    <t>Rp10.000.000 (Negotiable)</t>
  </si>
  <si>
    <t>sagitadefriyanti001@gmail.com</t>
  </si>
  <si>
    <t>1rfb3UOT36_55qihMQyZjv-GvwyPq7HKt-YxaPVmqVrI</t>
  </si>
  <si>
    <t>https://docs.google.com/document/d/1rfb3UOT36_55qihMQyZjv-GvwyPq7HKt-YxaPVmqVrI/edit?usp=drivesdk</t>
  </si>
  <si>
    <t>Document successfully created; Document successfully merged; Run via form trigger as kemal.stafsus@gmail.com; Timestamp: May 30 2022 5:36 AM</t>
  </si>
  <si>
    <t>https://drive.google.com/open?id=19gPsROoquTJuKO6Uuxl7nMUh8iX4-iEC</t>
  </si>
  <si>
    <t>https://drive.google.com/uc?export=view&amp;id=19gPsROoquTJuKO6Uuxl7nMUh8iX4-iEC</t>
  </si>
  <si>
    <t>Fathan Fadhilah Spd</t>
  </si>
  <si>
    <t>085212333104</t>
  </si>
  <si>
    <t>3205040305960002</t>
  </si>
  <si>
    <t>Jl. H.miing No.67 Karihkil kecamatan Ciseeng kabupaten Bogor</t>
  </si>
  <si>
    <t>03-05-1996</t>
  </si>
  <si>
    <t>Pendidikan bahasa Arab</t>
  </si>
  <si>
    <t>Pengajar Bahasa Arab</t>
  </si>
  <si>
    <t>fathanfadhil001@gmail.com</t>
  </si>
  <si>
    <t>1PKwjriYKoX877N4Fhl2qPgxdhAm7qoQJKn3jPSgRPpo</t>
  </si>
  <si>
    <t>https://docs.google.com/document/d/1PKwjriYKoX877N4Fhl2qPgxdhAm7qoQJKn3jPSgRPpo/edit?usp=drivesdk</t>
  </si>
  <si>
    <t>Document successfully created; Document successfully merged; Run via form trigger as kemal.stafsus@gmail.com; Timestamp: May 30 2022 6:32 AM</t>
  </si>
  <si>
    <t>https://drive.google.com/open?id=1B-5j-195b8-pmWGJVouL3ptTIAI0QqJB</t>
  </si>
  <si>
    <t>https://drive.google.com/uc?export=view&amp;id=1B-5j-195b8-pmWGJVouL3ptTIAI0QqJB</t>
  </si>
  <si>
    <t>Jani, S.Pd.</t>
  </si>
  <si>
    <t>085885106852</t>
  </si>
  <si>
    <t>3209292709920001</t>
  </si>
  <si>
    <t>Jl. Kampung Baru 1 Rt 16/09 Kel. Kelapa Dua Wetan Kec. Ciracas, Jakarta Timur</t>
  </si>
  <si>
    <t>28-09-1992</t>
  </si>
  <si>
    <t>Strata-1 - Sekolah Tinggi Agama Islam Indonesia</t>
  </si>
  <si>
    <t>ubaidillahbebens@gmail.com</t>
  </si>
  <si>
    <t>1QXCpJi6V02fPmNLbpDGOGx2QAewAroMbNnG2jYxiF20</t>
  </si>
  <si>
    <t>https://docs.google.com/document/d/1QXCpJi6V02fPmNLbpDGOGx2QAewAroMbNnG2jYxiF20/edit?usp=drivesdk</t>
  </si>
  <si>
    <t>Document successfully created; Document successfully merged; Run via form trigger as kemal.stafsus@gmail.com; Timestamp: May 30 2022 7:00 AM</t>
  </si>
  <si>
    <t>https://drive.google.com/open?id=1db9s483va9oe8JfNdGdy7lnwJHEddAB7</t>
  </si>
  <si>
    <t>https://drive.google.com/uc?export=view&amp;id=1db9s483va9oe8JfNdGdy7lnwJHEddAB7</t>
  </si>
  <si>
    <t>Lingga Yuwana, M.Ag</t>
  </si>
  <si>
    <t>082215246640</t>
  </si>
  <si>
    <t>3329012708950001</t>
  </si>
  <si>
    <t>Blok 4 Joho Condongcatur, RT.07/RW.60, NO. 20, Depok, Sleman, Yogyakarta, 55283</t>
  </si>
  <si>
    <t>27-08-1995</t>
  </si>
  <si>
    <t>26 tahun 9 bulan</t>
  </si>
  <si>
    <t>PAI ENGLISH</t>
  </si>
  <si>
    <t>Universitas Islam Negeri Sunan Kalijaga Yogyakarta</t>
  </si>
  <si>
    <t>Aqidah dan Filsafat Islam</t>
  </si>
  <si>
    <t>Magister Aqidah dan Filsafat Islam</t>
  </si>
  <si>
    <t>3.94</t>
  </si>
  <si>
    <t>Marketing Staff Akhy Agency</t>
  </si>
  <si>
    <t>Freelancer Tutor Pejuang Lulus Kuliah (PLK)</t>
  </si>
  <si>
    <t>Pengasuh dan Pengajar TPA Al-Irsyad Gondokusuman Yogyakarta</t>
  </si>
  <si>
    <t>linggayuwana@gmail.com</t>
  </si>
  <si>
    <t>1yNlo03CvRk95TDW-qVqU-aQdBLeP5Vy9FIErtajKXQE</t>
  </si>
  <si>
    <t>https://docs.google.com/document/d/1yNlo03CvRk95TDW-qVqU-aQdBLeP5Vy9FIErtajKXQE/edit?usp=drivesdk</t>
  </si>
  <si>
    <t>Document successfully created; Document successfully merged; Run via form trigger as kemal.stafsus@gmail.com; Timestamp: May 30 2022 8:07 AM</t>
  </si>
  <si>
    <t>https://drive.google.com/open?id=155pHhiDUqITiYnM4zGOsvNsjiW3-HFY2</t>
  </si>
  <si>
    <t>https://drive.google.com/uc?export=view&amp;id=155pHhiDUqITiYnM4zGOsvNsjiW3-HFY2</t>
  </si>
  <si>
    <t>Muhammad Muhollis S.Pd.</t>
  </si>
  <si>
    <t>081319497966</t>
  </si>
  <si>
    <t>7402370909960001</t>
  </si>
  <si>
    <t>Karang Tengah Jl. H. Irin Rt.5 Rw.8, Kelurahan Lebak Bulus. Kecamatan Cilandak. Jakarta Selatan. Kode pos 12440</t>
  </si>
  <si>
    <t>09-09-1996</t>
  </si>
  <si>
    <t>24 tahun 7 bulan</t>
  </si>
  <si>
    <t>STIBA AR-RAYAH</t>
  </si>
  <si>
    <t>Sementara Bimbingan Penulisan Thesis</t>
  </si>
  <si>
    <t>3 Tahun (Guru Bahasa Arab di Mahad FIWA)</t>
  </si>
  <si>
    <t>muhammadmukholis10@gmail.com</t>
  </si>
  <si>
    <t>14Rjp6fDho8RF4--edHQURkqw78PlxhviOd8TpQ9ipd0</t>
  </si>
  <si>
    <t>https://docs.google.com/document/d/14Rjp6fDho8RF4--edHQURkqw78PlxhviOd8TpQ9ipd0/edit?usp=drivesdk</t>
  </si>
  <si>
    <t>Document successfully created; Document successfully merged; Run via form trigger as kemal.stafsus@gmail.com; Timestamp: May 30 2022 8:29 AM</t>
  </si>
  <si>
    <t>https://drive.google.com/open?id=1uqJttUmFbdsWhVeU6VVZkD_B_Sk1Ms3f</t>
  </si>
  <si>
    <t>https://drive.google.com/uc?export=view&amp;id=1uqJttUmFbdsWhVeU6VVZkD_B_Sk1Ms3f</t>
  </si>
  <si>
    <t>Aris Setiyani S.I.A</t>
  </si>
  <si>
    <t>085691132787</t>
  </si>
  <si>
    <t>3175066411930002</t>
  </si>
  <si>
    <t>KH Sanip I no.7 Rt 04/04, Kel. Bojongkulur, Kec. Gunung putri, Bogor, Jawa Barat.</t>
  </si>
  <si>
    <t>24-11-1993</t>
  </si>
  <si>
    <t>Ilmu Administrasi Niaga</t>
  </si>
  <si>
    <t>Privat tutor (reg&amp;international school student)</t>
  </si>
  <si>
    <t xml:space="preserve">150.000/sesi </t>
  </si>
  <si>
    <t>Agen Asuransi Prudential</t>
  </si>
  <si>
    <t>Guru bahasa inggris ELP</t>
  </si>
  <si>
    <t>40.000/sesi</t>
  </si>
  <si>
    <t>0273514572</t>
  </si>
  <si>
    <t>arissetiyani@gmail.com</t>
  </si>
  <si>
    <t>1WHo9foEQk5lDIqIEyIPeLm9VwFqW9A6LeuIbkrcv1Xc</t>
  </si>
  <si>
    <t>https://docs.google.com/document/d/1WHo9foEQk5lDIqIEyIPeLm9VwFqW9A6LeuIbkrcv1Xc/edit?usp=drivesdk</t>
  </si>
  <si>
    <t>Document successfully created; Document successfully merged; Run via form trigger as kemal.stafsus@gmail.com; Timestamp: May 30 2022 8:59 AM</t>
  </si>
  <si>
    <t>https://drive.google.com/open?id=1jMl69SMPGAYFSB8Ow9E9rdJMjTCO5_2c</t>
  </si>
  <si>
    <t>https://drive.google.com/uc?export=view&amp;id=1jMl69SMPGAYFSB8Ow9E9rdJMjTCO5_2c</t>
  </si>
  <si>
    <t>Warih Woro Retnadi, S.I.Kom.</t>
  </si>
  <si>
    <t>085200812211</t>
  </si>
  <si>
    <t>3671116102940001 / X844759</t>
  </si>
  <si>
    <t>Jl. M.Siban No.30 Rt.002/RW.014, Kel Kunciran Indah, Kec Pinang, Kota Tangerang 15144</t>
  </si>
  <si>
    <t>Strata-1 - Universitas Muhammadiyah Yogyakarta</t>
  </si>
  <si>
    <t>Ilmu Komunikasi</t>
  </si>
  <si>
    <t>3.85</t>
  </si>
  <si>
    <t>MTS Annajah, Petukangan, Jakarta Selatan 2019 - currently (Public Relation &amp; Administration Staff)</t>
  </si>
  <si>
    <t>ATR Badan Pertanahan Nasional - BPN Kota Tangerang 2018 (Support Worker Administration)</t>
  </si>
  <si>
    <t>Asian Games Opening Closing Ceremony 2018 (Team Leader Stage Management &amp; Cast Movement)</t>
  </si>
  <si>
    <t>wretnadi@gmail.com</t>
  </si>
  <si>
    <t>1VW4H-_FwUW25psvvarG7jphvtB3yFKO78OZl1fsm0w8</t>
  </si>
  <si>
    <t>https://docs.google.com/document/d/1VW4H-_FwUW25psvvarG7jphvtB3yFKO78OZl1fsm0w8/edit?usp=drivesdk</t>
  </si>
  <si>
    <t>Document successfully created; Document successfully merged; Run via form trigger as kemal.stafsus@gmail.com; Timestamp: May 30 2022 10:42 AM</t>
  </si>
  <si>
    <t>https://drive.google.com/open?id=1BOJMGLCmP9-PjRdQVHyIjMOwcAOBfD-F</t>
  </si>
  <si>
    <t>https://drive.google.com/uc?export=view&amp;id=1BOJMGLCmP9-PjRdQVHyIjMOwcAOBfD-F</t>
  </si>
  <si>
    <t>Yulia Indah Nurcahya AMd.MI</t>
  </si>
  <si>
    <t>082113761199</t>
  </si>
  <si>
    <t>3275014908800013</t>
  </si>
  <si>
    <t>Jl. Mutiara Tropis 3 Blok C2 No.17 Perum Villa Setia Mekar - Tambun Selatan</t>
  </si>
  <si>
    <t>09-081980</t>
  </si>
  <si>
    <t>41 Tahun  9 Bulan</t>
  </si>
  <si>
    <t>Al-Wildan 12 Bulak Kapal, Bekasi</t>
  </si>
  <si>
    <t>Akademi Pimpinan Perusahaan</t>
  </si>
  <si>
    <t>Management Pemasaran</t>
  </si>
  <si>
    <t>Al Huda Islamic School</t>
  </si>
  <si>
    <t>SDIT Utsman Bin Affan</t>
  </si>
  <si>
    <t>SMPIT Al Munawwarah</t>
  </si>
  <si>
    <t>Bank Negara Indonesia</t>
  </si>
  <si>
    <t>umidewi0908@gmail.com</t>
  </si>
  <si>
    <t>1Zwvl_gHKKRmm_vBmLkFUfOQSi0lpmWulD2GLyBkmH3s</t>
  </si>
  <si>
    <t>https://docs.google.com/document/d/1Zwvl_gHKKRmm_vBmLkFUfOQSi0lpmWulD2GLyBkmH3s/edit?usp=drivesdk</t>
  </si>
  <si>
    <t>Document successfully created; Document successfully merged; Run via form trigger as kemal.stafsus@gmail.com; Timestamp: May 30 2022 12:42 PM</t>
  </si>
  <si>
    <t>https://drive.google.com/open?id=1dMEzlQBm3DnsdLsPl3ZtdICMciIV-99A</t>
  </si>
  <si>
    <t>https://drive.google.com/uc?export=view&amp;id=1dMEzlQBm3DnsdLsPl3ZtdICMciIV-99A</t>
  </si>
  <si>
    <t>Ahmed Nabil Hassan</t>
  </si>
  <si>
    <t>00201553377740</t>
  </si>
  <si>
    <t>A23527943</t>
  </si>
  <si>
    <t>Egypt</t>
  </si>
  <si>
    <t>Mansoura, Egypt</t>
  </si>
  <si>
    <t>01-05-1992</t>
  </si>
  <si>
    <t>Native Arabic Teacher</t>
  </si>
  <si>
    <t>Darul Ulum - Cairo University</t>
  </si>
  <si>
    <t>3.7</t>
  </si>
  <si>
    <t>Al-Isbah Center, Egypt</t>
  </si>
  <si>
    <t>9000 EGP</t>
  </si>
  <si>
    <t>Al-Furqan Center, Egypt</t>
  </si>
  <si>
    <t>12500 EGP</t>
  </si>
  <si>
    <t>Ahsanta Center, Egypt</t>
  </si>
  <si>
    <t>15000 EGP</t>
  </si>
  <si>
    <t>1400 USD</t>
  </si>
  <si>
    <t>Not exists</t>
  </si>
  <si>
    <t>ahmednabil015533@gmail.com</t>
  </si>
  <si>
    <t>1kcTbwvbB8sZ7Mxf1FyU10TYI10K_miy5esAOAgUmXJg</t>
  </si>
  <si>
    <t>https://docs.google.com/document/d/1kcTbwvbB8sZ7Mxf1FyU10TYI10K_miy5esAOAgUmXJg/edit?usp=drivesdk</t>
  </si>
  <si>
    <t>Document successfully created; Document successfully merged; Run via form trigger as kemal.stafsus@gmail.com; Timestamp: May 30 2022 4:16 PM</t>
  </si>
  <si>
    <t>https://drive.google.com/open?id=1KCI-qxcq5jmX6FatykEF-PyrDoAjy2NQ</t>
  </si>
  <si>
    <t>https://drive.google.com/uc?export=view&amp;id=1KCI-qxcq5jmX6FatykEF-PyrDoAjy2NQ</t>
  </si>
  <si>
    <t>Arsalan risyad, S.E.</t>
  </si>
  <si>
    <t>081388309025</t>
  </si>
  <si>
    <t>3175060909950001</t>
  </si>
  <si>
    <t>Jln hassanudin, batu, jawa timur</t>
  </si>
  <si>
    <t>09-09-1995</t>
  </si>
  <si>
    <t>26 tahun 8 bulan</t>
  </si>
  <si>
    <t>FINANCE</t>
  </si>
  <si>
    <t>Kepala bidang akuntansi dan keuangan Pesantren islam Al Irsyad Tengaran 7 Batu</t>
  </si>
  <si>
    <t>005101214574503</t>
  </si>
  <si>
    <t>risyadarsalan@gmail.com</t>
  </si>
  <si>
    <t>1TREZdsmlE8qUaQ5AHKLQlRS2c70knJ7umP9k-l1H0AY</t>
  </si>
  <si>
    <t>https://docs.google.com/document/d/1TREZdsmlE8qUaQ5AHKLQlRS2c70knJ7umP9k-l1H0AY/edit?usp=drivesdk</t>
  </si>
  <si>
    <t>Document successfully created; Document successfully merged; Run via form trigger as kemal.stafsus@gmail.com; Timestamp: May 30 2022 8:18 PM</t>
  </si>
  <si>
    <t>https://drive.google.com/open?id=1XqYLOSCSfQ5ClcfT8ZGHwnNP3KW5X3OX</t>
  </si>
  <si>
    <t>https://drive.google.com/uc?export=view&amp;id=1XqYLOSCSfQ5ClcfT8ZGHwnNP3KW5X3OX</t>
  </si>
  <si>
    <t>Muhamad Fikri Zulfikar S.Si</t>
  </si>
  <si>
    <t>081311417199</t>
  </si>
  <si>
    <t>3201131012950007</t>
  </si>
  <si>
    <t xml:space="preserve">Taman Raya Citayam E1/22, RT:006/RW:012, Kecamatan Bojonggede, Kabupaten Bogor </t>
  </si>
  <si>
    <t>10 - 12 - 1995</t>
  </si>
  <si>
    <t xml:space="preserve">26 Tahun 6 Bulan </t>
  </si>
  <si>
    <t>Biologi - IPA</t>
  </si>
  <si>
    <t>Internship Laboratorium Terpadu Universitas Diponegoro</t>
  </si>
  <si>
    <t>500.000 - 700.000</t>
  </si>
  <si>
    <t xml:space="preserve">Guru Biologi - IPA Bimbel Bintang Pelajar </t>
  </si>
  <si>
    <t>4.250.000 - 4.500.000</t>
  </si>
  <si>
    <t>5.000.000 - 5.500.000</t>
  </si>
  <si>
    <t>fikri.zulfikar095@gmail.com</t>
  </si>
  <si>
    <t>1irGDG2aobEFUyvJOQK_50LugP35Gnzywm6VRs9wg1RY</t>
  </si>
  <si>
    <t>https://docs.google.com/document/d/1irGDG2aobEFUyvJOQK_50LugP35Gnzywm6VRs9wg1RY/edit?usp=drivesdk</t>
  </si>
  <si>
    <t>Document successfully created; Document successfully merged; Run via form trigger as kemal.stafsus@gmail.com; Timestamp: May 30 2022 8:39 PM</t>
  </si>
  <si>
    <t>https://drive.google.com/open?id=1Iflz-OaBJDNwjcUzNtXF6y0e0Fg676uD</t>
  </si>
  <si>
    <t>https://drive.google.com/uc?export=view&amp;id=1Iflz-OaBJDNwjcUzNtXF6y0e0Fg676uD</t>
  </si>
  <si>
    <t>NURUL ADHCHIAH</t>
  </si>
  <si>
    <t>089514571979</t>
  </si>
  <si>
    <t>3275086306910019</t>
  </si>
  <si>
    <t>Jl Kebon Kelapa No.52 4/7 Tambun, Tambun Selatan, Bekasi</t>
  </si>
  <si>
    <t>23-06-1991</t>
  </si>
  <si>
    <t xml:space="preserve">Syariah (Fiquh dan Ushul Fiqih) </t>
  </si>
  <si>
    <t>4.39 /5</t>
  </si>
  <si>
    <t>100.000 /jam</t>
  </si>
  <si>
    <t>Guru Tahsin Al-Quran</t>
  </si>
  <si>
    <t>150.000/jam</t>
  </si>
  <si>
    <t>Guru Diniyyah dan Al-Quran</t>
  </si>
  <si>
    <t>Sekitar 3.000.000</t>
  </si>
  <si>
    <t>adhchiah@gmail.com</t>
  </si>
  <si>
    <t>1kaRVw04k1_AjlXFqiojHAgLynOM6VSh34KrPRIgnxb0</t>
  </si>
  <si>
    <t>https://docs.google.com/document/d/1kaRVw04k1_AjlXFqiojHAgLynOM6VSh34KrPRIgnxb0/edit?usp=drivesdk</t>
  </si>
  <si>
    <t>Document successfully created; Document successfully merged; Run via form trigger as kemal.stafsus@gmail.com; Timestamp: May 30 2022 11:41 PM</t>
  </si>
  <si>
    <t>https://drive.google.com/open?id=1XKX6JynZDDrMmRB_ZcVW2Y86iwtd656x</t>
  </si>
  <si>
    <t>https://drive.google.com/uc?export=view&amp;id=1XKX6JynZDDrMmRB_ZcVW2Y86iwtd656x</t>
  </si>
  <si>
    <t>Ibrahim Nashihul Haq S.Pd.</t>
  </si>
  <si>
    <t>085215855875</t>
  </si>
  <si>
    <t>3315101205950001</t>
  </si>
  <si>
    <t>Ciseeng Bogor Jawa Barat</t>
  </si>
  <si>
    <t>Grobogan</t>
  </si>
  <si>
    <t>12 Mei 1995</t>
  </si>
  <si>
    <t xml:space="preserve">27 Tahun </t>
  </si>
  <si>
    <t>STIBA AR RAAYAH</t>
  </si>
  <si>
    <t>Guru Bahasa Arab 3 tahun di FIWA, Bogor</t>
  </si>
  <si>
    <t>ibrahimInashihulhaq@gmail.com</t>
  </si>
  <si>
    <t>1duMQkjqQUEbicLDh5X_ZqE8FD_yhBzfXQgr5hKzsPfA</t>
  </si>
  <si>
    <t>https://docs.google.com/document/d/1duMQkjqQUEbicLDh5X_ZqE8FD_yhBzfXQgr5hKzsPfA/edit?usp=drivesdk</t>
  </si>
  <si>
    <t>Document successfully created; Document successfully merged; Run via form trigger as kemal.stafsus@gmail.com; Timestamp: May 31 2022 12:29 AM</t>
  </si>
  <si>
    <t>https://drive.google.com/open?id=1YOfI5au-9fV5xY9j7PWCISxmv9xMuBN4</t>
  </si>
  <si>
    <t>https://drive.google.com/uc?export=view&amp;id=1YOfI5au-9fV5xY9j7PWCISxmv9xMuBN4</t>
  </si>
  <si>
    <t>Pujo Ahmadi, B.A</t>
  </si>
  <si>
    <t>085885599698</t>
  </si>
  <si>
    <t>3301221302900003</t>
  </si>
  <si>
    <t>Jl Andara Raya Pangkalan Jati Baru, Cinere, kota Depok</t>
  </si>
  <si>
    <t>Madiun</t>
  </si>
  <si>
    <t>13-02-1990</t>
  </si>
  <si>
    <t>32 tahun 3 bulan</t>
  </si>
  <si>
    <t xml:space="preserve">Diniyah(PAI, Fiqih, Ahklak dll) </t>
  </si>
  <si>
    <t xml:space="preserve">Lembaga Ilmu Pengetahuan Islam dan Arab (LIPIA) </t>
  </si>
  <si>
    <t>Masjid Ar Rauf</t>
  </si>
  <si>
    <t>3.700.00</t>
  </si>
  <si>
    <t>Pengajar Diniyah</t>
  </si>
  <si>
    <t>3.500.000 - 4.000.000</t>
  </si>
  <si>
    <t>pujoahmadi1302@gmail.com</t>
  </si>
  <si>
    <t>1F_V-k88tnqHrMVUhJi-fNSPmgkk4Q-_Fujkxw0eqeKY</t>
  </si>
  <si>
    <t>https://docs.google.com/document/d/1F_V-k88tnqHrMVUhJi-fNSPmgkk4Q-_Fujkxw0eqeKY/edit?usp=drivesdk</t>
  </si>
  <si>
    <t>Document successfully created; Document successfully merged; Run via form trigger as kemal.stafsus@gmail.com; Timestamp: May 31 2022 1:00 AM</t>
  </si>
  <si>
    <t>https://drive.google.com/open?id=1bAfsi5F91LfKlUcR5bn2nEfjIsDlS3Nv</t>
  </si>
  <si>
    <t>https://drive.google.com/uc?export=view&amp;id=1bAfsi5F91LfKlUcR5bn2nEfjIsDlS3Nv</t>
  </si>
  <si>
    <t>dr. Rahma Ayu Wulandari</t>
  </si>
  <si>
    <t>081340233362</t>
  </si>
  <si>
    <t>7172026802930002</t>
  </si>
  <si>
    <t>Perumahan Griya Gaharu Mas blok D2 no 1. Kel Babakan Kec.  Cibereum</t>
  </si>
  <si>
    <t>Kota Bitung</t>
  </si>
  <si>
    <t>Dokter Umum</t>
  </si>
  <si>
    <t>Universitas Sam Ratulangi Manado</t>
  </si>
  <si>
    <t>Kedokteran Umum</t>
  </si>
  <si>
    <t>Klinik Akbar Kadudampit</t>
  </si>
  <si>
    <t>500.000-1.000.000 per hari</t>
  </si>
  <si>
    <t xml:space="preserve">Klinik Ammyn Klapanunggal Sukabumi </t>
  </si>
  <si>
    <t>4.000.000 per minggu</t>
  </si>
  <si>
    <t xml:space="preserve">Klinik Jalur  Farma </t>
  </si>
  <si>
    <t>6.000.000 per 2 minggu</t>
  </si>
  <si>
    <t>0765014333</t>
  </si>
  <si>
    <t>imwulan@yahoo.co.id</t>
  </si>
  <si>
    <t>1hb2X2F-gGy_MlC1-fda6H6flueBaREJHIx_sNqMtFmg</t>
  </si>
  <si>
    <t>https://docs.google.com/document/d/1hb2X2F-gGy_MlC1-fda6H6flueBaREJHIx_sNqMtFmg/edit?usp=drivesdk</t>
  </si>
  <si>
    <t>Document successfully created; Document successfully merged; Run via form trigger as kemal.stafsus@gmail.com; Timestamp: May 31 2022 9:40 AM</t>
  </si>
  <si>
    <t>https://drive.google.com/open?id=1oYjlv7LpIqMz_2rzo1nz1VJQCaKQwDmK</t>
  </si>
  <si>
    <t>https://drive.google.com/uc?export=view&amp;id=1oYjlv7LpIqMz_2rzo1nz1VJQCaKQwDmK</t>
  </si>
  <si>
    <t>Adji Haerun Mutakin, S.Pd</t>
  </si>
  <si>
    <t>085210860781</t>
  </si>
  <si>
    <t>7402192010960004</t>
  </si>
  <si>
    <t>Jalan Pelabuhan 2 km 19 kampung cilangkap rt 002 rw 006. Desa Cikembar Kecamatan Cikembar Kabupaten Sukabumi</t>
  </si>
  <si>
    <t>20-10-1996</t>
  </si>
  <si>
    <t xml:space="preserve">25 tahun 8 bulan </t>
  </si>
  <si>
    <t xml:space="preserve">STIBA ArRAAYAH </t>
  </si>
  <si>
    <t xml:space="preserve">Pendidikan Bahasa Arab </t>
  </si>
  <si>
    <t>Sebagai Guru Arabic,muhafiz,muaddib dan Pengisi Dauroh Bahasa Arab selama 6 bulan di Ma'had Fitrah Islamic World Academy</t>
  </si>
  <si>
    <t>bank muamalat</t>
  </si>
  <si>
    <t>adjihaerunmutakin96@gmail.com</t>
  </si>
  <si>
    <t>1d4NTX2NBO4-5Lz7IMYuSSGo6th71io27hWPS8DB3DRs</t>
  </si>
  <si>
    <t>https://docs.google.com/document/d/1d4NTX2NBO4-5Lz7IMYuSSGo6th71io27hWPS8DB3DRs/edit?usp=drivesdk</t>
  </si>
  <si>
    <t>Document successfully created; Document successfully merged; Run via form trigger as kemal.stafsus@gmail.com; Timestamp: May 31 2022 11:14 AM</t>
  </si>
  <si>
    <t>https://drive.google.com/open?id=10HrJH0fcKHh8k7wPd8niCwGhB6ta9BFD</t>
  </si>
  <si>
    <t>https://drive.google.com/uc?export=view&amp;id=10HrJH0fcKHh8k7wPd8niCwGhB6ta9BFD</t>
  </si>
  <si>
    <t>Asri Eka Widyaningsih S.Pd</t>
  </si>
  <si>
    <t>08999306517</t>
  </si>
  <si>
    <t>3276026704890011</t>
  </si>
  <si>
    <t>Jl Taman Indah I Kp areman rt 01/05 no.56 Cimanggis Depok</t>
  </si>
  <si>
    <t>27-04-1989</t>
  </si>
  <si>
    <t>IPS / Ekonomi</t>
  </si>
  <si>
    <t>S-1 - Universitas Negeri Jakarta</t>
  </si>
  <si>
    <t>Pendidikan Ekonomi Koperasi</t>
  </si>
  <si>
    <t>Guru di SMPIT Al Haraki</t>
  </si>
  <si>
    <t>Guru di SDIT Al Kamil</t>
  </si>
  <si>
    <t>Staff Underwriting Asuransi Reliance Indonesia</t>
  </si>
  <si>
    <t>acieka99@gmail.com</t>
  </si>
  <si>
    <t>1TXPxWg4G-kImPdMs-PQRva1ITkSVs-BZ6Nmh_ocfiw4</t>
  </si>
  <si>
    <t>https://docs.google.com/document/d/1TXPxWg4G-kImPdMs-PQRva1ITkSVs-BZ6Nmh_ocfiw4/edit?usp=drivesdk</t>
  </si>
  <si>
    <t>Document successfully created; Document successfully merged; Run via form trigger as kemal.stafsus@gmail.com; Timestamp: May 31 2022 10:01 PM</t>
  </si>
  <si>
    <t>https://drive.google.com/open?id=1CnH4fMLfr1UjtbQlIJXQEVNGy5FbXsJP</t>
  </si>
  <si>
    <t>https://drive.google.com/uc?export=view&amp;id=1CnH4fMLfr1UjtbQlIJXQEVNGy5FbXsJP</t>
  </si>
  <si>
    <t>Minorita Minosa S. Pd</t>
  </si>
  <si>
    <t>087741124769</t>
  </si>
  <si>
    <t>3674024308790001</t>
  </si>
  <si>
    <t>Jl. H. Nisan no. 34 rt 02/01 Jelupang, Serpong Utara Tangerang Selatan</t>
  </si>
  <si>
    <t>03/08/1979</t>
  </si>
  <si>
    <t>42 tahun 10 bulan</t>
  </si>
  <si>
    <t>Universitas Indra Prasta PGRI Jakarta</t>
  </si>
  <si>
    <t>Guru Wali Kelas TK A di Lady Bird Preschool and Kindergarten</t>
  </si>
  <si>
    <t>Guru Wali Kelas TK A di Raindrops Preschool and Kindergarten</t>
  </si>
  <si>
    <t>Guru Wali Kelas di BINUS School Serpong</t>
  </si>
  <si>
    <t>osa.minosa@gmail.com</t>
  </si>
  <si>
    <t>1gdhsg-5yYRzv2veB1L97fOcBUhM5ju7ZwWZKKq74eGM</t>
  </si>
  <si>
    <t>https://docs.google.com/document/d/1gdhsg-5yYRzv2veB1L97fOcBUhM5ju7ZwWZKKq74eGM/edit?usp=drivesdk</t>
  </si>
  <si>
    <t>Document successfully created; Document successfully merged; Run via form trigger as kemal.stafsus@gmail.com; Timestamp: Jun 1 2022 12:00 AM</t>
  </si>
  <si>
    <t>https://drive.google.com/open?id=1NT_USHW9R4LbXMx4Z-nIPHfvhn_pyop7</t>
  </si>
  <si>
    <t>https://drive.google.com/uc?export=view&amp;id=1NT_USHW9R4LbXMx4Z-nIPHfvhn_pyop7</t>
  </si>
  <si>
    <t xml:space="preserve">Ahmad Zainuddin </t>
  </si>
  <si>
    <t>3528132608930003</t>
  </si>
  <si>
    <t>Jl.H Miing, Karihkil, Ciseeng, Bogor, Jawa Barat</t>
  </si>
  <si>
    <t>26-08-1993</t>
  </si>
  <si>
    <t>Ilmu hadits</t>
  </si>
  <si>
    <t>STAI DR KHEZ Muttaqien (Masuk tahun 2021-Sekarang)</t>
  </si>
  <si>
    <t>Guru PAI di ma'had FIWA Bogor 2019-2022</t>
  </si>
  <si>
    <t>zainzulfanc@gmail.com</t>
  </si>
  <si>
    <t>1sgHZd6yrqLqKZa_5hZi57UuNHKmz7XlXM2tHTy0LZlk</t>
  </si>
  <si>
    <t>https://docs.google.com/document/d/1sgHZd6yrqLqKZa_5hZi57UuNHKmz7XlXM2tHTy0LZlk/edit?usp=drivesdk</t>
  </si>
  <si>
    <t>Document successfully created; Document successfully merged; Run via form trigger as kemal.stafsus@gmail.com; Timestamp: Jun 1 2022 10:51 PM</t>
  </si>
  <si>
    <t>https://drive.google.com/open?id=1VPMsZwC37zj-hcnBXWxIDUrMNzDntNAe</t>
  </si>
  <si>
    <t>https://drive.google.com/uc?export=view&amp;id=1VPMsZwC37zj-hcnBXWxIDUrMNzDntNAe</t>
  </si>
  <si>
    <t>Novan Raja Kurniawan S.Ag</t>
  </si>
  <si>
    <t>081296970990</t>
  </si>
  <si>
    <t>3276051611960008</t>
  </si>
  <si>
    <t>Depok, Jawa Barat</t>
  </si>
  <si>
    <t>25 Tahun, 7 Bulan</t>
  </si>
  <si>
    <t>STDI Imam Syafi'i</t>
  </si>
  <si>
    <t xml:space="preserve">Guru Mapel PAI </t>
  </si>
  <si>
    <t>zahirmanpadang@gmail.com</t>
  </si>
  <si>
    <t>11ajVI7CWegxnnFBIuv1kffNQHrfMAPsE5oTqm6jtQjw</t>
  </si>
  <si>
    <t>https://docs.google.com/document/d/11ajVI7CWegxnnFBIuv1kffNQHrfMAPsE5oTqm6jtQjw/edit?usp=drivesdk</t>
  </si>
  <si>
    <t>Document successfully created; Document successfully merged; Run via form trigger as kemal.stafsus@gmail.com; Timestamp: Jun 1 2022 11:31 PM</t>
  </si>
  <si>
    <t>https://drive.google.com/open?id=119t_qiz0wdik1fClqlYJoJYn5OVTEL71</t>
  </si>
  <si>
    <t>https://drive.google.com/uc?export=view&amp;id=119t_qiz0wdik1fClqlYJoJYn5OVTEL71</t>
  </si>
  <si>
    <t>Dwi Rima Islami, S.Pd</t>
  </si>
  <si>
    <t>085782707351</t>
  </si>
  <si>
    <t>3603016603890001</t>
  </si>
  <si>
    <t>Peruma Villa Balaraja blok R12A no 1 Rt 07 Rw 07 kabupaten Tangerang</t>
  </si>
  <si>
    <t>26-03-1989</t>
  </si>
  <si>
    <t>33 tahun 2 bulan</t>
  </si>
  <si>
    <t>Math (cambridge)</t>
  </si>
  <si>
    <t>Pengajar matematika BKB Nurul Fikri</t>
  </si>
  <si>
    <t>arradu28@gmail.com</t>
  </si>
  <si>
    <t>1zn5jTGV_FqbMGlcBjHoW9PovbejrchRUDLzncw-DAK8</t>
  </si>
  <si>
    <t>https://docs.google.com/document/d/1zn5jTGV_FqbMGlcBjHoW9PovbejrchRUDLzncw-DAK8/edit?usp=drivesdk</t>
  </si>
  <si>
    <t>Document successfully created; Document successfully merged; Run via form trigger as kemal.stafsus@gmail.com; Timestamp: Jun 2 2022 1:35 AM</t>
  </si>
  <si>
    <t>https://drive.google.com/open?id=1Ncy5lnDzi8B5yvjE5q3fK_xRJmiXesCD</t>
  </si>
  <si>
    <t>https://drive.google.com/uc?export=view&amp;id=1Ncy5lnDzi8B5yvjE5q3fK_xRJmiXesCD</t>
  </si>
  <si>
    <t xml:space="preserve">Zulkarnaen, Lc. </t>
  </si>
  <si>
    <t>5208033112900285</t>
  </si>
  <si>
    <t xml:space="preserve">Perumahan Prestigio no. 6, Jl. Raya Curug, Bojongsari, Depok. </t>
  </si>
  <si>
    <t>Sambik Jengkel, Lombok</t>
  </si>
  <si>
    <t>31-12-1990</t>
  </si>
  <si>
    <t>Fakultas Syariah</t>
  </si>
  <si>
    <t>4.28</t>
  </si>
  <si>
    <t>Ponpes Nurul Hakim Kediri Lombok</t>
  </si>
  <si>
    <t>Pesantren Internasional Al Andalus, Bogor</t>
  </si>
  <si>
    <t>Pesantren Minhaj Shahabat, Bogor</t>
  </si>
  <si>
    <t>zulkarnaen995@gmail.com</t>
  </si>
  <si>
    <t>1fXEWR2h3UHyJ74ifWxyGdsuESc9GS8OnXw_G_5bZ18c</t>
  </si>
  <si>
    <t>https://docs.google.com/document/d/1fXEWR2h3UHyJ74ifWxyGdsuESc9GS8OnXw_G_5bZ18c/edit?usp=drivesdk</t>
  </si>
  <si>
    <t>Document successfully created; Document successfully merged; Run via form trigger as kemal.stafsus@gmail.com; Timestamp: Jun 2 2022 2:48 AM</t>
  </si>
  <si>
    <t>https://drive.google.com/open?id=1d-hb53-4YB4To5Vm-DGnoziSdLFVmwdO</t>
  </si>
  <si>
    <t>https://drive.google.com/uc?export=view&amp;id=1d-hb53-4YB4To5Vm-DGnoziSdLFVmwdO</t>
  </si>
  <si>
    <t>Haryono Suyono, S.Pd</t>
  </si>
  <si>
    <t>082339922790</t>
  </si>
  <si>
    <t>5205051606950002</t>
  </si>
  <si>
    <t>Jl. Mawadah XII No.9, kec. Serpong kota Tangerang prov. Banten</t>
  </si>
  <si>
    <t>16-06-1995</t>
  </si>
  <si>
    <t>Sekolah Tinggi Agama Islam Negeri</t>
  </si>
  <si>
    <t>Coca Cola Amatil Indonesia - Bali Nusra</t>
  </si>
  <si>
    <t>5.000.000,-</t>
  </si>
  <si>
    <t xml:space="preserve">Operator Madrasah Aliyah </t>
  </si>
  <si>
    <t>1.500.000,-</t>
  </si>
  <si>
    <t>Pejabat Pembuat Akta Tanah (PPAT)</t>
  </si>
  <si>
    <t>0562006921</t>
  </si>
  <si>
    <t>haryonpotter@gmail.com</t>
  </si>
  <si>
    <t>1XoLc7yIYR1_l-dLeEmIdjJ1hkKSy-jidawzE_Jt0rs0</t>
  </si>
  <si>
    <t>https://docs.google.com/document/d/1XoLc7yIYR1_l-dLeEmIdjJ1hkKSy-jidawzE_Jt0rs0/edit?usp=drivesdk</t>
  </si>
  <si>
    <t>Document successfully created; Document successfully merged; Run via form trigger as kemal.stafsus@gmail.com; Timestamp: Jun 7 2022 1:59 AM</t>
  </si>
  <si>
    <t>https://drive.google.com/open?id=17oe04kPRxH9dd63LkQAMZF81qJXdzcEj</t>
  </si>
  <si>
    <t>https://drive.google.com/uc?export=view&amp;id=17oe04kPRxH9dd63LkQAMZF81qJXdzcEj</t>
  </si>
  <si>
    <t>Muhammad Khoirul Umam</t>
  </si>
  <si>
    <t>087875118720</t>
  </si>
  <si>
    <t>3327141604900003</t>
  </si>
  <si>
    <t>Jl. Prof dr. Hamka No.1 Gaga, Larangan, Tangerang.</t>
  </si>
  <si>
    <t>16-04-1990</t>
  </si>
  <si>
    <t>Universitas Mohammad Husni Thamrin Jakarta</t>
  </si>
  <si>
    <t>3.02</t>
  </si>
  <si>
    <t>Guru Komputer</t>
  </si>
  <si>
    <t>Guru TIK dan Operator Sekolah</t>
  </si>
  <si>
    <t>humam.khoirul@gmail.com</t>
  </si>
  <si>
    <t>1s0XhoZ3GbTsNpap2hZjCz4TanTdy2ju0izO0P9C9QRk</t>
  </si>
  <si>
    <t>https://docs.google.com/document/d/1s0XhoZ3GbTsNpap2hZjCz4TanTdy2ju0izO0P9C9QRk/edit?usp=drivesdk</t>
  </si>
  <si>
    <t>Document successfully created; Document successfully merged; Run via form trigger as kemal.stafsus@gmail.com; Timestamp: Jun 8 2022 12:39 AM</t>
  </si>
  <si>
    <t>https://drive.google.com/open?id=1zDcZMIcZFOARA0PMqqG3qe-zawC-ywSP</t>
  </si>
  <si>
    <t>https://drive.google.com/uc?export=view&amp;id=1zDcZMIcZFOARA0PMqqG3qe-zawC-ywSP</t>
  </si>
  <si>
    <t>Ahmad Saefudin</t>
  </si>
  <si>
    <t>085810547683</t>
  </si>
  <si>
    <t>3173071302810003</t>
  </si>
  <si>
    <t>Jl. Swadaya Rt 03/ Rw 03 Rawa Mekar Jaya, Serpong, Tangerang Selatan</t>
  </si>
  <si>
    <t>13-02-1981</t>
  </si>
  <si>
    <t>41 Tahun 4 Bulan</t>
  </si>
  <si>
    <t>Tenaga Administrasi Sekolah</t>
  </si>
  <si>
    <t>hmd.saefudin@gmail.com</t>
  </si>
  <si>
    <t>1y5RhBCugo-2jkWsXCnCb7kiz9MK8if4l_pMX5XUFt00</t>
  </si>
  <si>
    <t>https://docs.google.com/document/d/1y5RhBCugo-2jkWsXCnCb7kiz9MK8if4l_pMX5XUFt00/edit?usp=drivesdk</t>
  </si>
  <si>
    <t>Document successfully created; Document successfully merged; Run via form trigger as kemal.stafsus@gmail.com; Timestamp: Jun 8 2022 12:59 AM</t>
  </si>
  <si>
    <t>https://drive.google.com/open?id=1ZTDN8zPJBfTxOSkZ-LBkC3eRmoJaTOfB</t>
  </si>
  <si>
    <t>https://drive.google.com/uc?export=view&amp;id=1ZTDN8zPJBfTxOSkZ-LBkC3eRmoJaTOfB</t>
  </si>
  <si>
    <t>Pambudi Cahyo Oktavian, S.Kom</t>
  </si>
  <si>
    <t>082213439991</t>
  </si>
  <si>
    <t>3275033010900023</t>
  </si>
  <si>
    <t>Jl. Manggis I No. 291 RT 01/05, Karang Satria - Tambun Utara, Kab. Bekasi</t>
  </si>
  <si>
    <t>30-10-1990</t>
  </si>
  <si>
    <t>31 tahun 7 bulan</t>
  </si>
  <si>
    <t>2.87</t>
  </si>
  <si>
    <t>4 Tahun 10 Bulan</t>
  </si>
  <si>
    <t>0093920139101</t>
  </si>
  <si>
    <t>Bank BJB</t>
  </si>
  <si>
    <t>vian2930@gmail.com</t>
  </si>
  <si>
    <t>1OivhdGrGAmFi_6ZX7jRP9eyzgP5F6yXWiV0NaKtXtJ8</t>
  </si>
  <si>
    <t>https://docs.google.com/document/d/1OivhdGrGAmFi_6ZX7jRP9eyzgP5F6yXWiV0NaKtXtJ8/edit?usp=drivesdk</t>
  </si>
  <si>
    <t>Document successfully created; Document successfully merged; Run via form trigger as kemal.stafsus@gmail.com; Timestamp: Jun 8 2022 1:52 AM</t>
  </si>
  <si>
    <t>https://drive.google.com/open?id=18DFlln2dM0R4GiG3tr_BK9GNWmsvyp7z</t>
  </si>
  <si>
    <t>https://drive.google.com/uc?export=view&amp;id=18DFlln2dM0R4GiG3tr_BK9GNWmsvyp7z</t>
  </si>
  <si>
    <t>Bilqis Ulfah Apriyadin, S.Hum</t>
  </si>
  <si>
    <t>087785302024</t>
  </si>
  <si>
    <t>3671014704950002</t>
  </si>
  <si>
    <t>Kebon Nanas no. 22 RT 006/007, Kel. Cikokol, Kec.Tangerang, Kota Tangerang-Banten</t>
  </si>
  <si>
    <t>07-04-1995</t>
  </si>
  <si>
    <t>Program Studi Inggris</t>
  </si>
  <si>
    <t>Guru Bahasa Inggris untuk Access Microscholarship Program (2021-sekarang)</t>
  </si>
  <si>
    <t>350.000/sesi</t>
  </si>
  <si>
    <t>Guru Bahasa Inggris English First (Swara Group) (2019-2021)</t>
  </si>
  <si>
    <t>5.400.000/bulan</t>
  </si>
  <si>
    <t>Guru Bahasa Inggris CST English Center (2017-2018)</t>
  </si>
  <si>
    <t>5.500.000-5.800.000</t>
  </si>
  <si>
    <t>0232112166</t>
  </si>
  <si>
    <t>bilqis.apriyadin@gmail.com</t>
  </si>
  <si>
    <t>10weCf6H3sIMtUOHistH13qVYhpc2ATcswGyZOMyvFpI</t>
  </si>
  <si>
    <t>https://docs.google.com/document/d/10weCf6H3sIMtUOHistH13qVYhpc2ATcswGyZOMyvFpI/edit?usp=drivesdk</t>
  </si>
  <si>
    <t>Document successfully created; Document successfully merged; Run via form trigger as kemal.stafsus@gmail.com; Timestamp: Jun 8 2022 2:12 PM</t>
  </si>
  <si>
    <t>https://drive.google.com/open?id=1g7fzcY1lVuIsqtja_sslfJEeL2PiwBjR</t>
  </si>
  <si>
    <t>https://drive.google.com/uc?export=view&amp;id=1g7fzcY1lVuIsqtja_sslfJEeL2PiwBjR</t>
  </si>
  <si>
    <t>ramzil Majdi</t>
  </si>
  <si>
    <t>081212481979</t>
  </si>
  <si>
    <t>3216062110840011</t>
  </si>
  <si>
    <t>perumahan bekasi timur permai jl kalimusada raya blok b4/12,rt/rw:019/012, pandawa 4.</t>
  </si>
  <si>
    <t>Ciptomangun kusuma ; Jakarta Timur</t>
  </si>
  <si>
    <t xml:space="preserve">21 - 10 - 1984 </t>
  </si>
  <si>
    <t>37 Tahun 4 bulan</t>
  </si>
  <si>
    <t>Pendidikan Luar Sekolah</t>
  </si>
  <si>
    <t>LAZISMUH DAN PP MUH Bagian TU : WAKAF DAN  KEHARTABENDAAN</t>
  </si>
  <si>
    <t>CIMB NIAGA AUTO FINANCE : BAGIAN SURVEYOR</t>
  </si>
  <si>
    <t>SMP IT AL MUTTAQIEN</t>
  </si>
  <si>
    <t>ramzilmajid@gmail.com</t>
  </si>
  <si>
    <t>1jgW5fXYvTq9F5HVspVHTaeyxWSxEs5Q2GRTwDcCoko0</t>
  </si>
  <si>
    <t>https://docs.google.com/document/d/1jgW5fXYvTq9F5HVspVHTaeyxWSxEs5Q2GRTwDcCoko0/edit?usp=drivesdk</t>
  </si>
  <si>
    <t>Document successfully created; Document successfully merged; Run via form trigger as kemal.stafsus@gmail.com; Timestamp: Jun 13 2022 9:53 AM</t>
  </si>
  <si>
    <t>https://drive.google.com/open?id=1MXJNibKnwR6FcECXdW_3QL-jvcQow1y2</t>
  </si>
  <si>
    <t>https://drive.google.com/uc?export=view&amp;id=1MXJNibKnwR6FcECXdW_3QL-jvcQow1y2</t>
  </si>
  <si>
    <t>Yashinta Fatirinnisa, S.Hum</t>
  </si>
  <si>
    <t>088298194173</t>
  </si>
  <si>
    <t>3604016302961006</t>
  </si>
  <si>
    <t>Taman Widya Asri blok e 6 no 1, Serang</t>
  </si>
  <si>
    <t>SDIT Imam Syafii Serang</t>
  </si>
  <si>
    <t>intanyashinta@gmail.com</t>
  </si>
  <si>
    <t>1FJFfdLajYxpoY8-icrULT165S7_OiI5ciGlPP2si8XQ</t>
  </si>
  <si>
    <t>https://docs.google.com/document/d/1FJFfdLajYxpoY8-icrULT165S7_OiI5ciGlPP2si8XQ/edit?usp=drivesdk</t>
  </si>
  <si>
    <t>Document successfully created; Document successfully merged; Run via form trigger as kemal.stafsus@gmail.com; Timestamp: Jun 14 2022 3:33 AM</t>
  </si>
  <si>
    <t>https://drive.google.com/open?id=16o16Jq8z-Ul1OAvPcCFNT7IndbqRDEVL</t>
  </si>
  <si>
    <t>https://drive.google.com/uc?export=view&amp;id=16o16Jq8z-Ul1OAvPcCFNT7IndbqRDEVL</t>
  </si>
  <si>
    <t>Haudhiya Niam Rahmani, BA</t>
  </si>
  <si>
    <t>087885778492</t>
  </si>
  <si>
    <t>5208056706970002</t>
  </si>
  <si>
    <t>pasar minggu, jakarta selatan</t>
  </si>
  <si>
    <t>27-06-1997</t>
  </si>
  <si>
    <t>Menjadi guru di program daurah ilmiyah di pondok pesantren nurul hakim</t>
  </si>
  <si>
    <t>1.000.000/bulan</t>
  </si>
  <si>
    <t xml:space="preserve"> mengajar bahasa arab untuk ibu-ibu di yayasan marhaban depok</t>
  </si>
  <si>
    <t>200.000/pertemuan</t>
  </si>
  <si>
    <t>menjadi pengajar bahasa arab online di madinah salam</t>
  </si>
  <si>
    <t>62.500/jam</t>
  </si>
  <si>
    <t>odhyniam@gmail.com</t>
  </si>
  <si>
    <t>1c4ibqgWMYTXmMVZtUdBjKmzG43Ak5foL-0kwq_KDsp4</t>
  </si>
  <si>
    <t>https://docs.google.com/document/d/1c4ibqgWMYTXmMVZtUdBjKmzG43Ak5foL-0kwq_KDsp4/edit?usp=drivesdk</t>
  </si>
  <si>
    <t>Document successfully created; Document successfully merged; Run via form trigger as kemal.stafsus@gmail.com; Timestamp: Jun 14 2022 12:10 PM</t>
  </si>
  <si>
    <t>https://drive.google.com/open?id=1ABooliXsF8b_ZzavwPhdYQuh1Zv_xhX2</t>
  </si>
  <si>
    <t>https://drive.google.com/uc?export=view&amp;id=1ABooliXsF8b_ZzavwPhdYQuh1Zv_xhX2</t>
  </si>
  <si>
    <t>Andri Mulyani, S.Pd</t>
  </si>
  <si>
    <t>085750059077</t>
  </si>
  <si>
    <t>3671070304880005</t>
  </si>
  <si>
    <t xml:space="preserve">Jl. Beringin Raya I, RT 03, RW 07, No.19, Kel. Pamulang Barat, Kec. Pamulang, Tangerang Selatan </t>
  </si>
  <si>
    <t>03 April 1988</t>
  </si>
  <si>
    <t xml:space="preserve">34 Tahun, 2 Bulan </t>
  </si>
  <si>
    <t xml:space="preserve">Indraprasta University </t>
  </si>
  <si>
    <t>2.99</t>
  </si>
  <si>
    <t>Daarul Qur'an International School - English Teacher - 2014</t>
  </si>
  <si>
    <t>Homeschooling Kak Seto - IPS Class - 2011 - Now</t>
  </si>
  <si>
    <t xml:space="preserve">6.900.000 - Fluctuation </t>
  </si>
  <si>
    <t>Headmaster of Kindergarten &amp; Primary School Teacher - 2020 - 2021</t>
  </si>
  <si>
    <t>9.000.000 - Negotiable</t>
  </si>
  <si>
    <t>052101018247503</t>
  </si>
  <si>
    <t>andrimulyani@gmail.com</t>
  </si>
  <si>
    <t>1M99DDLbQ9ZXkuK6DjYnwdtz9IHyOVD7mlUodGs4W-lM</t>
  </si>
  <si>
    <t>https://docs.google.com/document/d/1M99DDLbQ9ZXkuK6DjYnwdtz9IHyOVD7mlUodGs4W-lM/edit?usp=drivesdk</t>
  </si>
  <si>
    <t>Document successfully created; Document successfully merged; Run via form trigger as kemal.stafsus@gmail.com; Timestamp: Jun 14 2022 8:45 PM</t>
  </si>
  <si>
    <t>https://drive.google.com/open?id=1tKVHk1k3qAYgs5Mj5ReQuFEJPq6ZoS49</t>
  </si>
  <si>
    <t>https://drive.google.com/uc?export=view&amp;id=1tKVHk1k3qAYgs5Mj5ReQuFEJPq6ZoS49</t>
  </si>
  <si>
    <t>Mochamad Wahyu Ardiatama,  S.T.</t>
  </si>
  <si>
    <t>082139011570</t>
  </si>
  <si>
    <t>3216110501940007</t>
  </si>
  <si>
    <t xml:space="preserve">Beranda Ganesha 2 G4 No 18 Telaga Kahuripan, Desa Tegal Kabupaten Bogor </t>
  </si>
  <si>
    <t>05-01-1994</t>
  </si>
  <si>
    <t>ITS</t>
  </si>
  <si>
    <t>Teknik Fisika</t>
  </si>
  <si>
    <t>Brain Academy Online by Ruangguru (2021-Sekarang) / Star Master Teacher</t>
  </si>
  <si>
    <t>Fitrah Islamic World Academy (2019-2022) /Guru Fisika</t>
  </si>
  <si>
    <t>Education Laboratory (2018-2019) / Physics Educator</t>
  </si>
  <si>
    <t>mochamad.wahyu.a@gmail.com</t>
  </si>
  <si>
    <t>1OWQjXPIFYtw3mqFSLdH73zHk5y8c4BLI_8WTFLD_Fl8</t>
  </si>
  <si>
    <t>https://docs.google.com/document/d/1OWQjXPIFYtw3mqFSLdH73zHk5y8c4BLI_8WTFLD_Fl8/edit?usp=drivesdk</t>
  </si>
  <si>
    <t>Document successfully created; Document successfully merged; Run via form trigger as kemal.stafsus@gmail.com; Timestamp: Jun 15 2022 4:15 AM</t>
  </si>
  <si>
    <t>https://drive.google.com/open?id=1Ccojk19wOtMKdqz-PBBP4Ra0hufReZQ_</t>
  </si>
  <si>
    <t>https://drive.google.com/uc?export=view&amp;id=1Ccojk19wOtMKdqz-PBBP4Ra0hufReZQ_</t>
  </si>
  <si>
    <t>Syarifah Hafizah, S.Pd.</t>
  </si>
  <si>
    <t>081513863672</t>
  </si>
  <si>
    <t>3275085801960012</t>
  </si>
  <si>
    <t>Perumahan Azalea Garden, Blok A3/17,  Kelurahan Daru, Kecamatan Jambe, Kabupaten Tangerang. 15720</t>
  </si>
  <si>
    <t>Payakumbuh</t>
  </si>
  <si>
    <t>18-01-1996</t>
  </si>
  <si>
    <t>3.75 (belum final. masih proses tesis)</t>
  </si>
  <si>
    <t>SMA Negeri 36 Jakarta</t>
  </si>
  <si>
    <t>syarifahafizah@gmail.com</t>
  </si>
  <si>
    <t>1hPe_Rpur7tEjJhg0P5HM2acnJYOa47neiYR1UMtBb7U</t>
  </si>
  <si>
    <t>https://docs.google.com/document/d/1hPe_Rpur7tEjJhg0P5HM2acnJYOa47neiYR1UMtBb7U/edit?usp=drivesdk</t>
  </si>
  <si>
    <t>Document successfully created; Document successfully merged; Run via form trigger as kemal.stafsus@gmail.com; Timestamp: Jun 15 2022 5:52 AM</t>
  </si>
  <si>
    <t>https://drive.google.com/open?id=1iOsXSn5_T_Sy44aAicSzdvKPPy8G-h5_</t>
  </si>
  <si>
    <t>https://drive.google.com/uc?export=view&amp;id=1iOsXSn5_T_Sy44aAicSzdvKPPy8G-h5_</t>
  </si>
  <si>
    <t>Intansha Rifani Al-Hafidzoh</t>
  </si>
  <si>
    <t>Guru Tahfizh</t>
  </si>
  <si>
    <t>Sekitar 3.000.000 - 4.000.000</t>
  </si>
  <si>
    <t>Intansha.rfn12@gmail.com</t>
  </si>
  <si>
    <t>1cu39pzlLJ8RJbiUiGmBDKXF3PyLz-5iUrYWygHNFNhw</t>
  </si>
  <si>
    <t>https://docs.google.com/document/d/1cu39pzlLJ8RJbiUiGmBDKXF3PyLz-5iUrYWygHNFNhw/edit?usp=drivesdk</t>
  </si>
  <si>
    <t>Document successfully created; Document successfully merged; Run via form trigger as kemal.stafsus@gmail.com; Timestamp: Jun 16 2022 2:41 AM</t>
  </si>
  <si>
    <t>https://drive.google.com/open?id=1ttF0MFMMYD8MXtbNq9BgCnCQhFooFgi2</t>
  </si>
  <si>
    <t>https://drive.google.com/uc?export=view&amp;id=1ttF0MFMMYD8MXtbNq9BgCnCQhFooFgi2</t>
  </si>
  <si>
    <t xml:space="preserve">Nurani Gunawan </t>
  </si>
  <si>
    <t>085864927155</t>
  </si>
  <si>
    <t>3205065603000004</t>
  </si>
  <si>
    <t>Jl. Hasan Arif Kp. Babakan Baru Rt 03/Rw 09 Desa Cipicung Kec. Banyuresmi Kab. Garut</t>
  </si>
  <si>
    <t xml:space="preserve">Garut </t>
  </si>
  <si>
    <t>16-03-2000</t>
  </si>
  <si>
    <t>22 tahun 3 bulan</t>
  </si>
  <si>
    <t>Musyrifah - Albinaa Putri Islamic Boarding School Cikarang</t>
  </si>
  <si>
    <t>2.750.000/bln</t>
  </si>
  <si>
    <t>Guru - Paud Melati Garut</t>
  </si>
  <si>
    <t>150.000/bln</t>
  </si>
  <si>
    <t>Guru Tahfizh - Rumah Tahfizh Madinatul Qur'an Garut</t>
  </si>
  <si>
    <t>600.000/bln</t>
  </si>
  <si>
    <t>nurani16gunawan@gmail.com</t>
  </si>
  <si>
    <t>1VZ3_5F-FIbqdVw0YL8rRKnOHjr4y0Nj-lJeTgJDvbBc</t>
  </si>
  <si>
    <t>https://docs.google.com/document/d/1VZ3_5F-FIbqdVw0YL8rRKnOHjr4y0Nj-lJeTgJDvbBc/edit?usp=drivesdk</t>
  </si>
  <si>
    <t>Document successfully created; Document successfully merged; Run via form trigger as kemal.stafsus@gmail.com; Timestamp: Jun 16 2022 8:28 PM</t>
  </si>
  <si>
    <t>https://drive.google.com/open?id=1qJHxpyaoLlE2s8W9JPNyX6Kc9g0a2D8l</t>
  </si>
  <si>
    <t>https://drive.google.com/uc?export=view&amp;id=1qJHxpyaoLlE2s8W9JPNyX6Kc9g0a2D8l</t>
  </si>
  <si>
    <t>Dr. Ibnu Awwaliansyah, M. Ag</t>
  </si>
  <si>
    <t>085774000558</t>
  </si>
  <si>
    <t>3328110901900004</t>
  </si>
  <si>
    <t>Cikarang Timur Bekasi</t>
  </si>
  <si>
    <t>09 01 1990</t>
  </si>
  <si>
    <t>32 tahun 5 bulan</t>
  </si>
  <si>
    <t>STIT INSIDA</t>
  </si>
  <si>
    <t>Institut Ilmu Al Qur'an</t>
  </si>
  <si>
    <t>Islamic studies</t>
  </si>
  <si>
    <t>Pendidikan berbasis Al Qur'an</t>
  </si>
  <si>
    <t>3.43</t>
  </si>
  <si>
    <t>Direktur &amp; ketua yayasan Rabbaanii Islamic School</t>
  </si>
  <si>
    <t>Mudir Asrama di FIWA</t>
  </si>
  <si>
    <t>Ketua II Yayasan Riyadhush shalihin  Tegal</t>
  </si>
  <si>
    <t>awwaliansyah90@gmail.com</t>
  </si>
  <si>
    <t>1oduOoqsRHnocHlqBfT_-ICNm2c6LYO8hHPlLQWdqk5Y</t>
  </si>
  <si>
    <t>https://docs.google.com/document/d/1oduOoqsRHnocHlqBfT_-ICNm2c6LYO8hHPlLQWdqk5Y/edit?usp=drivesdk</t>
  </si>
  <si>
    <t>Document successfully created; Document successfully merged; Run via form trigger as kemal.stafsus@gmail.com; Timestamp: Jun 17 2022 8:47 AM</t>
  </si>
  <si>
    <t>https://drive.google.com/open?id=1qSWcYLEhOte5RnbEHhnmOtxdsQ9q2ukX</t>
  </si>
  <si>
    <t>https://drive.google.com/uc?export=view&amp;id=1qSWcYLEhOte5RnbEHhnmOtxdsQ9q2ukX</t>
  </si>
  <si>
    <t>Galih Permatasari, S.Pd</t>
  </si>
  <si>
    <t>1608014410970001</t>
  </si>
  <si>
    <t>Perumahan Gunung Walat Blok A4/65 Cibadak Sukabumi Jawa Barat</t>
  </si>
  <si>
    <t>04-10-1997</t>
  </si>
  <si>
    <t>Guru TK Bahasa Inggris</t>
  </si>
  <si>
    <t>Juli 2021 - sekarang: Freelance Tutor Home Visit</t>
  </si>
  <si>
    <t>245.000 x 20= 4.900.000 (Nett)</t>
  </si>
  <si>
    <t>Juli 2020 - Juni 2021: Maitreyawira School Jakarta</t>
  </si>
  <si>
    <t>5.395.369 (Gross)</t>
  </si>
  <si>
    <t>5.500.000 (Gross)</t>
  </si>
  <si>
    <t>galihpermatasari157@gmail.com</t>
  </si>
  <si>
    <t>1EHpra7Zq3vHRaqw9SD8B4NecW0DMnwVmePhI45MjUYM</t>
  </si>
  <si>
    <t>https://docs.google.com/document/d/1EHpra7Zq3vHRaqw9SD8B4NecW0DMnwVmePhI45MjUYM/edit?usp=drivesdk</t>
  </si>
  <si>
    <t>Document successfully created; Document successfully merged; Run via form trigger as kemal.stafsus@gmail.com; Timestamp: Jun 18 2022 4:31 AM</t>
  </si>
  <si>
    <t>https://drive.google.com/open?id=1YvBCnFDSW_xcio5DJCN_QVbRzjVRwBeo</t>
  </si>
  <si>
    <t>https://drive.google.com/uc?export=view&amp;id=1YvBCnFDSW_xcio5DJCN_QVbRzjVRwBeo</t>
  </si>
  <si>
    <t>Muhammad Ario Prastyan, S.Si</t>
  </si>
  <si>
    <t>081283831813</t>
  </si>
  <si>
    <t>3201020610950001</t>
  </si>
  <si>
    <t>Jl Majlis taklim almansyuriah no.10, RT.01/RW.10, Bojong kulur, Gn putri, Bogor</t>
  </si>
  <si>
    <t>06101995</t>
  </si>
  <si>
    <t>26 tahun, 10 bulan</t>
  </si>
  <si>
    <t>Geologi</t>
  </si>
  <si>
    <t>Creative</t>
  </si>
  <si>
    <t>prastyanario@gmail.com</t>
  </si>
  <si>
    <t>1GqU6j-UD2FFjBZrojdXpFtBHB6wkWqTz7aHGP2HIp-8</t>
  </si>
  <si>
    <t>https://docs.google.com/document/d/1GqU6j-UD2FFjBZrojdXpFtBHB6wkWqTz7aHGP2HIp-8/edit?usp=drivesdk</t>
  </si>
  <si>
    <t>Document successfully created; Document successfully merged; Run via form trigger as kemal.stafsus@gmail.com; Timestamp: Jun 19 2022 8:50 PM</t>
  </si>
  <si>
    <t>https://drive.google.com/open?id=1bsMS5Ll1gduaTNLiLd9f3Eh0HZLUVk-A</t>
  </si>
  <si>
    <t>https://drive.google.com/uc?export=view&amp;id=1bsMS5Ll1gduaTNLiLd9f3Eh0HZLUVk-A</t>
  </si>
  <si>
    <t>Fariha Ramadhani S. Hum.</t>
  </si>
  <si>
    <t>085817390472</t>
  </si>
  <si>
    <t>3174055312990001</t>
  </si>
  <si>
    <t>Jl Masjid Al-Ittihad no.24 Kelap Dua Kebon Jeruk</t>
  </si>
  <si>
    <t>13-12-1999</t>
  </si>
  <si>
    <t>22 tahun 6 bulan</t>
  </si>
  <si>
    <t>Sastra Perancis</t>
  </si>
  <si>
    <t>General Affairs</t>
  </si>
  <si>
    <t>International Communication</t>
  </si>
  <si>
    <t>6000000 - 7000000</t>
  </si>
  <si>
    <t>Mandiri atas nama Fariha Ramadhani</t>
  </si>
  <si>
    <t>fariharamadhani@gmail.com</t>
  </si>
  <si>
    <t>1FpcRGTfgxSrfHmYGyNz0XmcnRDNvG8gwLGLWSw3lZS0</t>
  </si>
  <si>
    <t>https://docs.google.com/document/d/1FpcRGTfgxSrfHmYGyNz0XmcnRDNvG8gwLGLWSw3lZS0/edit?usp=drivesdk</t>
  </si>
  <si>
    <t>Document successfully created; Document successfully merged; Run via form trigger as kemal.stafsus@gmail.com; Timestamp: Jun 21 2022 2:55 AM</t>
  </si>
  <si>
    <t>https://drive.google.com/open?id=1hZ-RS9sQ4SCC95zFe5DXF8lQ20BKFKvx</t>
  </si>
  <si>
    <t>https://drive.google.com/uc?export=view&amp;id=1hZ-RS9sQ4SCC95zFe5DXF8lQ20BKFKvx</t>
  </si>
  <si>
    <t>Vivie Savietri Devi, S.E</t>
  </si>
  <si>
    <t>081345129852</t>
  </si>
  <si>
    <t>3603286005660003</t>
  </si>
  <si>
    <t>Jl. Sinai 4 No. 68</t>
  </si>
  <si>
    <t xml:space="preserve">Tasikmalaya </t>
  </si>
  <si>
    <t>20-05-1966</t>
  </si>
  <si>
    <t xml:space="preserve">56 tahun 1 bulan </t>
  </si>
  <si>
    <t xml:space="preserve">IKOPIN </t>
  </si>
  <si>
    <t xml:space="preserve">UNIVERSITAS INDRAPRASTA PGRI </t>
  </si>
  <si>
    <t>On Going</t>
  </si>
  <si>
    <t xml:space="preserve">Guru Bidang Matematika (Cambridge) Kelas 4-5 di SD Muhammadiyah 33 </t>
  </si>
  <si>
    <t>0000000</t>
  </si>
  <si>
    <t>0016101500603786</t>
  </si>
  <si>
    <t>Bank Tabungan Negara (BTN)</t>
  </si>
  <si>
    <t>viviesavietri6@gmail.com</t>
  </si>
  <si>
    <t>1isRCEeBFq1T6rFb1IyAP5V0tOSWC5XAm0sM19MRFAL8</t>
  </si>
  <si>
    <t>https://docs.google.com/document/d/1isRCEeBFq1T6rFb1IyAP5V0tOSWC5XAm0sM19MRFAL8/edit?usp=drivesdk</t>
  </si>
  <si>
    <t>Document successfully created; Document successfully merged; Run via form trigger as kemal.stafsus@gmail.com; Timestamp: Jun 21 2022 11:05 AM</t>
  </si>
  <si>
    <t>https://drive.google.com/open?id=1s4FGXccWc0cmsjrN3heotWa9eupvdDrh</t>
  </si>
  <si>
    <t>https://drive.google.com/uc?export=view&amp;id=1s4FGXccWc0cmsjrN3heotWa9eupvdDrh</t>
  </si>
  <si>
    <t>Tika Khusnul Fatimahsari, S.Pd.</t>
  </si>
  <si>
    <t>089635722571</t>
  </si>
  <si>
    <t>3603224611910004</t>
  </si>
  <si>
    <t>Jalan Cimone Alfa V No. 114 RT/RW. 007/007, Cimone Permai, Karawaci, Tangerang</t>
  </si>
  <si>
    <t>06-11-1991</t>
  </si>
  <si>
    <t>3, 53</t>
  </si>
  <si>
    <t>Al-wildan Islamic School 1 Gading Serpong</t>
  </si>
  <si>
    <t>tika.khusnul@gmail.com</t>
  </si>
  <si>
    <t>1MoKvfW0RGyK1Iufl15QwEqglqiacw9CJAVDWIF5EFaE</t>
  </si>
  <si>
    <t>https://docs.google.com/document/d/1MoKvfW0RGyK1Iufl15QwEqglqiacw9CJAVDWIF5EFaE/edit?usp=drivesdk</t>
  </si>
  <si>
    <t>Document successfully created; Document successfully merged; Run via form trigger as kemal.stafsus@gmail.com; Timestamp: Jun 21 2022 11:09 AM</t>
  </si>
  <si>
    <t>https://drive.google.com/open?id=1cb5vYOKzQgeoXfEy25kb9P2r99wEm41S</t>
  </si>
  <si>
    <t>https://drive.google.com/uc?export=view&amp;id=1cb5vYOKzQgeoXfEy25kb9P2r99wEm41S</t>
  </si>
  <si>
    <t>Tb Rifqi Hasbi Fauzan</t>
  </si>
  <si>
    <t>085320621880</t>
  </si>
  <si>
    <t>3601123007980001</t>
  </si>
  <si>
    <t>30 juli 1998</t>
  </si>
  <si>
    <t>Guru Al quran</t>
  </si>
  <si>
    <t>STIQ Zad Cianjur</t>
  </si>
  <si>
    <t>Ilmu quran dan tafsir</t>
  </si>
  <si>
    <t>3.39</t>
  </si>
  <si>
    <t>3.00.000</t>
  </si>
  <si>
    <t>hasbifauzan98@gmail.com</t>
  </si>
  <si>
    <t>12jRNGzcYSvmx6h9vC-_1PK3L_ZQwJjnpBNxC2x6hdDQ</t>
  </si>
  <si>
    <t>https://docs.google.com/document/d/12jRNGzcYSvmx6h9vC-_1PK3L_ZQwJjnpBNxC2x6hdDQ/edit?usp=drivesdk</t>
  </si>
  <si>
    <t>Document successfully created; Document successfully merged; Run via form trigger as kemal.stafsus@gmail.com; Timestamp: Jun 21 2022 12:43 PM</t>
  </si>
  <si>
    <t>https://drive.google.com/open?id=1GlmmxFzNB-w8IbT9woLKV_8jMCd8J_FB</t>
  </si>
  <si>
    <t>https://drive.google.com/uc?export=view&amp;id=1GlmmxFzNB-w8IbT9woLKV_8jMCd8J_FB</t>
  </si>
  <si>
    <t>Mohammad Bachtiar Turchan, S.Pd</t>
  </si>
  <si>
    <t>081225097807</t>
  </si>
  <si>
    <t>3374063103940002</t>
  </si>
  <si>
    <t xml:space="preserve">Jl. SMP Negeri 7, RT 06 RW 01 Kelurahan Rawa Buntu, Kecamatan Serpong, Tangerang Selatan </t>
  </si>
  <si>
    <t xml:space="preserve">Semarang </t>
  </si>
  <si>
    <t>31-03-1994</t>
  </si>
  <si>
    <t xml:space="preserve">PAI ENGLISH </t>
  </si>
  <si>
    <t xml:space="preserve">Universitas Islam Sultan Agung Semarang </t>
  </si>
  <si>
    <t xml:space="preserve">Pendidikan Agama Islam </t>
  </si>
  <si>
    <t>Ketua dan Tentor Bimbingan Belajar DIC</t>
  </si>
  <si>
    <t xml:space="preserve">Pemilik dan Tentor Bimbingan Belajar Master Course </t>
  </si>
  <si>
    <t>mbachtiar686@gmail.com</t>
  </si>
  <si>
    <t>1SyGoKhSHeEdQt_097HX32PdQ1_hN2XI9-fKf36Oa0Dw</t>
  </si>
  <si>
    <t>https://docs.google.com/document/d/1SyGoKhSHeEdQt_097HX32PdQ1_hN2XI9-fKf36Oa0Dw/edit?usp=drivesdk</t>
  </si>
  <si>
    <t>Document successfully created; Document successfully merged; Run via form trigger as kemal.stafsus@gmail.com; Timestamp: Jun 22 2022 1:42 AM</t>
  </si>
  <si>
    <t>https://drive.google.com/open?id=1GSh8K6-oeiLpJyPCrr3XoN0j1rXs2mHL</t>
  </si>
  <si>
    <t>https://drive.google.com/uc?export=view&amp;id=1GSh8K6-oeiLpJyPCrr3XoN0j1rXs2mHL</t>
  </si>
  <si>
    <t>Dwivananda meidio swalidra LC.</t>
  </si>
  <si>
    <t>081284469412</t>
  </si>
  <si>
    <t>3674030502980008</t>
  </si>
  <si>
    <t>Jl. Perkutut no.15 kelurahan pondok betung kecamatan pondok aren kota tangerang selatan</t>
  </si>
  <si>
    <t>02-05-1998</t>
  </si>
  <si>
    <t>24tahun 1bulan</t>
  </si>
  <si>
    <t>FINANCE, Guru Mata Pelajaran, Tata Usaha (Pendidikan)</t>
  </si>
  <si>
    <t xml:space="preserve">Al-Qur'an </t>
  </si>
  <si>
    <t>Lipia jakarta</t>
  </si>
  <si>
    <t>Ekonomi syari'ah</t>
  </si>
  <si>
    <t>Musyrif di pondok tahfidz</t>
  </si>
  <si>
    <t>dwivanandameidio@gmail.com</t>
  </si>
  <si>
    <t>15c-Ccpwt4vX9yXcn4zkZ1TOmSJGTioqd3qwyFMQ8828</t>
  </si>
  <si>
    <t>https://docs.google.com/document/d/15c-Ccpwt4vX9yXcn4zkZ1TOmSJGTioqd3qwyFMQ8828/edit?usp=drivesdk</t>
  </si>
  <si>
    <t>Document successfully created; Invalid image URL [https://drive.google.com/uc?export=view&amp;id=1GSh8K6-oeiLpJyPCrr3XoN0j1rXs2mHL], make sure that it is public; Document successfully merged; Run via form trigger as kemal.stafsus@gmail.com; Timestamp: Jun 22 2022 3:22 AM</t>
  </si>
  <si>
    <t>https://drive.google.com/open?id=1j3OThzvBgksdZEdh6Vcnn0ZxveCDFS5-</t>
  </si>
  <si>
    <t>https://drive.google.com/uc?export=view&amp;id=1j3OThzvBgksdZEdh6Vcnn0ZxveCDFS5-</t>
  </si>
  <si>
    <t>NAURY AMILIA QISTI, S.Pd.</t>
  </si>
  <si>
    <t>087824307171</t>
  </si>
  <si>
    <t>3604056506930005</t>
  </si>
  <si>
    <t>Komplek Bukit Kramatwatu Indah Blok F 06 RT 03 RW 04 Serang, Banten 42161</t>
  </si>
  <si>
    <t>25-06-1993</t>
  </si>
  <si>
    <t>Kampung Inggris Bandung, Freelance Translator and Private English Tutor</t>
  </si>
  <si>
    <t>Rp. 4.200.000</t>
  </si>
  <si>
    <t>Rp. 4.500.000 - 5.000.000</t>
  </si>
  <si>
    <t>0276855837</t>
  </si>
  <si>
    <t>naury.amilia@gmail.com</t>
  </si>
  <si>
    <t>1umX66GT50ctFuRGvfXXpX6srb1-T966F-Bs-Nrdyp-Q</t>
  </si>
  <si>
    <t>https://docs.google.com/document/d/1umX66GT50ctFuRGvfXXpX6srb1-T966F-Bs-Nrdyp-Q/edit?usp=drivesdk</t>
  </si>
  <si>
    <t>Document successfully created; Document successfully merged; Run via form trigger as kemal.stafsus@gmail.com; Timestamp: Jun 22 2022 3:23 AM</t>
  </si>
  <si>
    <t>https://drive.google.com/open?id=1egGGyOvBqo3abN0rpgRYjrpyNdUiBfEt</t>
  </si>
  <si>
    <t>https://drive.google.com/uc?export=view&amp;id=1egGGyOvBqo3abN0rpgRYjrpyNdUiBfEt</t>
  </si>
  <si>
    <t>Syahidah, S.Pd</t>
  </si>
  <si>
    <t>085871501217</t>
  </si>
  <si>
    <t>Kp. Cihaur Rt. 004 / 001 Desa. Cicantayan Kec. Cicantayan Kab. Sukabumi 43152</t>
  </si>
  <si>
    <t>20/06/1994</t>
  </si>
  <si>
    <t>PAI, Fiqh, Akhlak dll</t>
  </si>
  <si>
    <t xml:space="preserve">Universitas Terbuka </t>
  </si>
  <si>
    <t>PG-PAUD</t>
  </si>
  <si>
    <t>Koperasi PP. Syamsul'Ulum 2014-2016</t>
  </si>
  <si>
    <t>Dinas Pertanian Kabupaten Sukabumi - Freelanc 2016-2019</t>
  </si>
  <si>
    <t>TK Islam Karmilah 2016-2022</t>
  </si>
  <si>
    <t>3.000.000 - 5.000.000</t>
  </si>
  <si>
    <t>0900844135</t>
  </si>
  <si>
    <t>syahidaha11@gmail.com</t>
  </si>
  <si>
    <t>1XuoRy5cMKUT4XtqDIByPKTqMulNWxjXSw7NUCOMfTRg</t>
  </si>
  <si>
    <t>https://docs.google.com/document/d/1XuoRy5cMKUT4XtqDIByPKTqMulNWxjXSw7NUCOMfTRg/edit?usp=drivesdk</t>
  </si>
  <si>
    <t>Document successfully created; Document successfully merged; Run via form trigger as kemal.stafsus@gmail.com; Timestamp: Jun 22 2022 3:47 AM</t>
  </si>
  <si>
    <t>https://drive.google.com/open?id=1k9I9P88k0MzEclAqKRchLhwR7T6hSsYH</t>
  </si>
  <si>
    <t>https://drive.google.com/uc?export=view&amp;id=1k9I9P88k0MzEclAqKRchLhwR7T6hSsYH</t>
  </si>
  <si>
    <t>Malini Ulfah,S.Psi.</t>
  </si>
  <si>
    <t>088975523722</t>
  </si>
  <si>
    <t>3603175101880007</t>
  </si>
  <si>
    <t>Perumahan Cikupa Asri Pasir Gadung Cikupa Tangerang</t>
  </si>
  <si>
    <t>11-01-1988</t>
  </si>
  <si>
    <t>34 tahun 5 bulan</t>
  </si>
  <si>
    <t xml:space="preserve"> Family counselor di uni Emirate Arab</t>
  </si>
  <si>
    <t>alintaufan11@gmail.com</t>
  </si>
  <si>
    <t>1jE7dCPvnnRq7nSFyLp4ZMathXL1AH1z9DXBCc8CKAtA</t>
  </si>
  <si>
    <t>https://docs.google.com/document/d/1jE7dCPvnnRq7nSFyLp4ZMathXL1AH1z9DXBCc8CKAtA/edit?usp=drivesdk</t>
  </si>
  <si>
    <t>Document successfully created; Document successfully merged; Run via form trigger as kemal.stafsus@gmail.com; Timestamp: Jun 24 2022 3:29 AM</t>
  </si>
  <si>
    <t>https://drive.google.com/open?id=1kjX9C88SAZs9FXWTLwDGesfQdsyH8fX9</t>
  </si>
  <si>
    <t>https://drive.google.com/uc?export=view&amp;id=1kjX9C88SAZs9FXWTLwDGesfQdsyH8fX9</t>
  </si>
  <si>
    <t>Malini Ulfah, S. Psi</t>
  </si>
  <si>
    <t>Perumahan Cikupa Asri Blok D4 no 1 Pasir Gadung, Cikupa Tangerang 15710</t>
  </si>
  <si>
    <t>34tahun 5bulan</t>
  </si>
  <si>
    <t>Sarlito Consulting- Asisten Psikolog</t>
  </si>
  <si>
    <t>Konselor Anak, Remaja dan Keluarga di United Emirates Arab</t>
  </si>
  <si>
    <t xml:space="preserve">Pemateri Seminar Psikologi </t>
  </si>
  <si>
    <t>1IxvZB0lSrww3b_IwyA3oBUBXJUTuxU2uj31Km2AM_tc</t>
  </si>
  <si>
    <t>https://docs.google.com/document/d/1IxvZB0lSrww3b_IwyA3oBUBXJUTuxU2uj31Km2AM_tc/edit?usp=drivesdk</t>
  </si>
  <si>
    <t>Document successfully created; Document successfully merged; Run via form trigger as kemal.stafsus@gmail.com; Timestamp: Jun 24 2022 10:33 AM</t>
  </si>
  <si>
    <t>https://drive.google.com/open?id=1VhNIt9p3lN_W05nCNLSxnef75HBNhrg3</t>
  </si>
  <si>
    <t>https://drive.google.com/uc?export=view&amp;id=1VhNIt9p3lN_W05nCNLSxnef75HBNhrg3</t>
  </si>
  <si>
    <t xml:space="preserve">Dzariyati Hikmah Bestari </t>
  </si>
  <si>
    <t>089522114971</t>
  </si>
  <si>
    <t>3217110401990011</t>
  </si>
  <si>
    <t>Jl. H Taiman rt/rw 006/010 kel.Gedong kec.Pasar rebo</t>
  </si>
  <si>
    <t>04 Januari 1999</t>
  </si>
  <si>
    <t xml:space="preserve">D2- Ma'had Dzin Nurain </t>
  </si>
  <si>
    <t>PENDIDIKAN AGAMA ISLAM</t>
  </si>
  <si>
    <t>Musyrifah dan guru diniyyah SD</t>
  </si>
  <si>
    <t>dzariyatihikmahbestari@gmail.com</t>
  </si>
  <si>
    <t>1Nyvl2oQ68HDXr3vf_RaHPePgshl0iRHFV0MbkZIWn2g</t>
  </si>
  <si>
    <t>https://docs.google.com/document/d/1Nyvl2oQ68HDXr3vf_RaHPePgshl0iRHFV0MbkZIWn2g/edit?usp=drivesdk</t>
  </si>
  <si>
    <t>Document successfully created; Document successfully merged; Run via form trigger as kemal.stafsus@gmail.com; Timestamp: Jun 24 2022 11:44 AM</t>
  </si>
  <si>
    <t>https://drive.google.com/open?id=15xQs7MUuE_InA5TmzdRVBRwuNM1pr_aB</t>
  </si>
  <si>
    <t>https://drive.google.com/uc?export=view&amp;id=15xQs7MUuE_InA5TmzdRVBRwuNM1pr_aB</t>
  </si>
  <si>
    <t>Abdul Azis, S. Pd</t>
  </si>
  <si>
    <t>081519607226</t>
  </si>
  <si>
    <t>3324012706820001</t>
  </si>
  <si>
    <t>Raffa Residence 4 blok C No 2, Jalan Kemang, Pasir Putih, Sawangan, Depok</t>
  </si>
  <si>
    <t>Kendal</t>
  </si>
  <si>
    <t>27-06-1982</t>
  </si>
  <si>
    <t>39 Tahun 11 Bulan</t>
  </si>
  <si>
    <t>Sekolah Indonesia Luar Negeri Cairo (2019-2022)</t>
  </si>
  <si>
    <t>1855 USD</t>
  </si>
  <si>
    <t>MAN Insan Cendekia Pekalongan (2015-2019)</t>
  </si>
  <si>
    <t>SMA Pondok Modern Selamat (2007-2015)</t>
  </si>
  <si>
    <t>aazis8414@gmail.com</t>
  </si>
  <si>
    <t>1MjNfkCsLAT3xQj_100GMlqYpZnJZ6q4DuyUiWynFcr4</t>
  </si>
  <si>
    <t>https://docs.google.com/document/d/1MjNfkCsLAT3xQj_100GMlqYpZnJZ6q4DuyUiWynFcr4/edit?usp=drivesdk</t>
  </si>
  <si>
    <t>Document successfully created; Document successfully merged; Run via form trigger as kemal.stafsus@gmail.com; Timestamp: Jun 24 2022 10:29 PM</t>
  </si>
  <si>
    <t>https://drive.google.com/open?id=1ERPKW8bn243iiwPKS6v0e49WzSomdT60</t>
  </si>
  <si>
    <t>https://drive.google.com/uc?export=view&amp;id=1ERPKW8bn243iiwPKS6v0e49WzSomdT60</t>
  </si>
  <si>
    <t>Rini Papana Siregar, S.E., M.Sc</t>
  </si>
  <si>
    <t>0895626147288</t>
  </si>
  <si>
    <t>1207285609890003</t>
  </si>
  <si>
    <t>Jalan Pendidikan Desa Tanjung Garbus I
Kec. Lubuk Pakam Kab. Deli Serdang
Prop. Sumatera Utara 20511</t>
  </si>
  <si>
    <t>Lubuk Pakam</t>
  </si>
  <si>
    <t>16-09-1989</t>
  </si>
  <si>
    <t>32 Tahun 9 Bulan</t>
  </si>
  <si>
    <t>Ekonomi / IPS Cambridge</t>
  </si>
  <si>
    <t>Universitas Sumatera Utara (USU)</t>
  </si>
  <si>
    <t>Universitas Gadjah Mada (UGM)</t>
  </si>
  <si>
    <t>Manajemen Agribisnis</t>
  </si>
  <si>
    <t>13.000.000 dengan alasan sbb : 1. Saya punya tanggungan yaitu ibu saya karena saat ini bapak saya sudah meninggal   2. Saya berencana melanjutkan S3 dalam 1-2 tahun ke depan dan untuk persiapannya butuh biaya yang tidak sedikit mulai dari biaya kursus dan tes TOEFL/IELTS, biaya pendaftaran, biaya dokumen, dll   3. Saya juga butuh menabung untuk keperluan sehari-hari dsb jika nantinya Allah benar-benar izinkan saya untuk berangkat S3 di luar negeri, tentu opsi beasiswa termasuk dalam plan saya, namun tabungan tetap diperlukan untuk antisipasi untuk beasiswa yang tidak full atau nominalnya masih kurang untuk meng-cover semua biaya   4. Saya juga berencana mengembangkan bisnis sehingga membutuhkan modal yang cukup besar, tentu itupun jika pihak Al-Wildan mengizinkan asatidz/asatidzah mengembangkan bisnis di luar jam mengajar   5. Untuk kebutuhan sewa kos, transportasi umum, obat-obatan, tabungan umroh &amp; haji, tabungan rumah, dll</t>
  </si>
  <si>
    <t>026601056400503</t>
  </si>
  <si>
    <t>rinipapanasiregar@gmail.com</t>
  </si>
  <si>
    <t>1uDr8UP7UrkCJY1IlRhKe771NjsWLyf_kEZdvGDENof4</t>
  </si>
  <si>
    <t>https://docs.google.com/document/d/1uDr8UP7UrkCJY1IlRhKe771NjsWLyf_kEZdvGDENof4/edit?usp=drivesdk</t>
  </si>
  <si>
    <t>Document successfully created; Document successfully merged; Run via form trigger as kemal.stafsus@gmail.com; Timestamp: Jun 24 2022 11:17 PM</t>
  </si>
  <si>
    <t>https://drive.google.com/open?id=1bnAOtlMoNkGLb93OXm5N-XMjnQ56rxjA</t>
  </si>
  <si>
    <t>https://drive.google.com/uc?export=view&amp;id=1bnAOtlMoNkGLb93OXm5N-XMjnQ56rxjA</t>
  </si>
  <si>
    <t>Atthur El Fath, S.Si</t>
  </si>
  <si>
    <t>089630812763</t>
  </si>
  <si>
    <t>3674060401960001</t>
  </si>
  <si>
    <t>Jl. Maluku No 18 Blok C 72 Benda Baru Pamulang.</t>
  </si>
  <si>
    <t>04-01-1996</t>
  </si>
  <si>
    <t xml:space="preserve">MAN 4 Jakarta - Cambridge Physics Teacher </t>
  </si>
  <si>
    <t xml:space="preserve">TVRI Nasional </t>
  </si>
  <si>
    <t>atthur.ae@gmail.com</t>
  </si>
  <si>
    <t>11iTKB4bFZYIaUBab_BUyQDZYVLhtF9GPev4x1cVVCtU</t>
  </si>
  <si>
    <t>https://docs.google.com/document/d/11iTKB4bFZYIaUBab_BUyQDZYVLhtF9GPev4x1cVVCtU/edit?usp=drivesdk</t>
  </si>
  <si>
    <t>Document successfully created; Document successfully merged; Run via form trigger as kemal.stafsus@gmail.com; Timestamp: Jun 25 2022 2:26 AM</t>
  </si>
  <si>
    <t>https://drive.google.com/open?id=1Hm9wYPC0k56ZivQBzZONcBKMRCgAJCFx</t>
  </si>
  <si>
    <t>https://drive.google.com/uc?export=view&amp;id=1Hm9wYPC0k56ZivQBzZONcBKMRCgAJCFx</t>
  </si>
  <si>
    <t>Yuliana S.Pd</t>
  </si>
  <si>
    <t>081907220193</t>
  </si>
  <si>
    <t>5202025808930005</t>
  </si>
  <si>
    <t>Perum dasana indah,blok ua 4 no 1, Rt.04/Rw.023,kelurahan bojong nangka, kecamatan kelapa dua, kabupaten Tangerang, propinsi Banten.</t>
  </si>
  <si>
    <t>Lelede</t>
  </si>
  <si>
    <t>Arabic, Al-Qur'an, dan PAI</t>
  </si>
  <si>
    <t>Universitas Islam Negeri (UIN) Mataram Lombok</t>
  </si>
  <si>
    <t>pernah Magang di MTS selama 4 bulan</t>
  </si>
  <si>
    <t>Bank syariah indonesia (BSI)</t>
  </si>
  <si>
    <t>yuliaharis53@gmail.com</t>
  </si>
  <si>
    <t>1OZYbswRQLMXFfdVYhJL7tmPDCy55Cc4VnJQJ4zypwuk</t>
  </si>
  <si>
    <t>https://docs.google.com/document/d/1OZYbswRQLMXFfdVYhJL7tmPDCy55Cc4VnJQJ4zypwuk/edit?usp=drivesdk</t>
  </si>
  <si>
    <t>Document successfully created; Document successfully merged; Run via form trigger as kemal.stafsus@gmail.com; Timestamp: Jun 27 2022 8:42 AM</t>
  </si>
  <si>
    <t>https://drive.google.com/open?id=1_PzgnDUkEwidzPeoUaPApBsYwp0k69BC</t>
  </si>
  <si>
    <t>https://drive.google.com/uc?export=view&amp;id=1_PzgnDUkEwidzPeoUaPApBsYwp0k69BC</t>
  </si>
  <si>
    <t>Mutia Alifah</t>
  </si>
  <si>
    <t>085811921266</t>
  </si>
  <si>
    <t>3174106604000002</t>
  </si>
  <si>
    <t>Virginia Village, Jl. Moneta No. 22, Curug Sangereng, Kelapa Dua, Tangerang.</t>
  </si>
  <si>
    <t>26 April 2000</t>
  </si>
  <si>
    <t>22 tahun 2 bulan</t>
  </si>
  <si>
    <t>BINUS University</t>
  </si>
  <si>
    <t>Mass Communication</t>
  </si>
  <si>
    <t>Suara.com</t>
  </si>
  <si>
    <t xml:space="preserve"> -</t>
  </si>
  <si>
    <t>BinusTV</t>
  </si>
  <si>
    <t>BCA an Mutia Alifah</t>
  </si>
  <si>
    <t>tyaalfh@gmail.com</t>
  </si>
  <si>
    <t>15sXVAVoVLtOPcvQTJoZwErHRyFw-iH1lKagsVKCBXKI</t>
  </si>
  <si>
    <t>https://docs.google.com/document/d/15sXVAVoVLtOPcvQTJoZwErHRyFw-iH1lKagsVKCBXKI/edit?usp=drivesdk</t>
  </si>
  <si>
    <t>Document successfully created; Document successfully merged; Run via form trigger as kemal.stafsus@gmail.com; Timestamp: Jun 27 2022 8:48 AM</t>
  </si>
  <si>
    <t>https://drive.google.com/open?id=17EBcSwNTCxvvJh-1XxvQyLz4BQ_3VG6W</t>
  </si>
  <si>
    <t>https://drive.google.com/uc?export=view&amp;id=17EBcSwNTCxvvJh-1XxvQyLz4BQ_3VG6W</t>
  </si>
  <si>
    <t xml:space="preserve">Muhammad Yusuf Pattimahu </t>
  </si>
  <si>
    <t>081299839672</t>
  </si>
  <si>
    <t>8101130710970003</t>
  </si>
  <si>
    <t xml:space="preserve">Jl.mandor samin rt 2 rw 5 no 07 kalibaru cilodong depok </t>
  </si>
  <si>
    <t>Kabauw</t>
  </si>
  <si>
    <t>07-10-1997</t>
  </si>
  <si>
    <t>Guru Al quran, diniyyah , dan b.arab</t>
  </si>
  <si>
    <t xml:space="preserve">Mahad badr al islamy Bogor </t>
  </si>
  <si>
    <t>D2 dakwah dan b.arab</t>
  </si>
  <si>
    <t>3 tahun  dari oktober 2019 sampai juni 2022 menjabat sebagai koordinator tahfidz  dan guru  al quran di annajm islamic school depok</t>
  </si>
  <si>
    <t>Januari 2019 sampai oktober 2019 menjabat sebagai musyrif  dan guru diniyyah di SMP SMA al wafa setu bekasi</t>
  </si>
  <si>
    <t>0335597120</t>
  </si>
  <si>
    <t>rizka.yarrah.rigama@gmail.com</t>
  </si>
  <si>
    <t>1X21ILiXAYzfXOjxVsKd4x6lfrLw3-7U1IKqLAic_4m0</t>
  </si>
  <si>
    <t>https://docs.google.com/document/d/1X21ILiXAYzfXOjxVsKd4x6lfrLw3-7U1IKqLAic_4m0/edit?usp=drivesdk</t>
  </si>
  <si>
    <t>Document successfully created; Document successfully merged; Run via form trigger as kemal.stafsus@gmail.com; Timestamp: Jun 28 2022 1:26 AM</t>
  </si>
  <si>
    <t>https://drive.google.com/open?id=1dK5GEZHT7WMYYHo5voyuw_t5cqlZE3WB</t>
  </si>
  <si>
    <t>https://drive.google.com/uc?export=view&amp;id=1dK5GEZHT7WMYYHo5voyuw_t5cqlZE3WB</t>
  </si>
  <si>
    <t>Aisah alsaini</t>
  </si>
  <si>
    <t>089503959625</t>
  </si>
  <si>
    <t>3171074202021001</t>
  </si>
  <si>
    <t xml:space="preserve">Jatimurni,Bekasi </t>
  </si>
  <si>
    <t xml:space="preserve">Subang </t>
  </si>
  <si>
    <t>02 , Februari 2002</t>
  </si>
  <si>
    <t xml:space="preserve">20 Tahun ,4 bulan </t>
  </si>
  <si>
    <t>Musyrifah (Non-ITBA)</t>
  </si>
  <si>
    <t xml:space="preserve">Musyrifah Dan Guru Adab pondok pesantren Annaba Cianjur </t>
  </si>
  <si>
    <t xml:space="preserve">Bank Muamalat </t>
  </si>
  <si>
    <t>Aisyahalsaini40@gmail.com</t>
  </si>
  <si>
    <t>1pWXYXaLm5pF-oLe6x2Iuk1r-3SJ3AagUeAEtOQFbLGA</t>
  </si>
  <si>
    <t>https://docs.google.com/document/d/1pWXYXaLm5pF-oLe6x2Iuk1r-3SJ3AagUeAEtOQFbLGA/edit?usp=drivesdk</t>
  </si>
  <si>
    <t>Document successfully created; Invalid image URL [https://drive.google.com/uc?export=view&amp;id=1dK5GEZHT7WMYYHo5voyuw_t5cqlZE3WB], make sure that it is public; Document successfully merged; Run via form trigger as kemal.stafsus@gmail.com; Timestamp: Jun 28 2022 1:26 AM</t>
  </si>
  <si>
    <t>https://drive.google.com/open?id=1aVJZI7SQ0bVtLt7WDecuFqm_dnNaNNI2</t>
  </si>
  <si>
    <t>https://drive.google.com/uc?export=view&amp;id=1aVJZI7SQ0bVtLt7WDecuFqm_dnNaNNI2</t>
  </si>
  <si>
    <t>Aaj Abdul Rozak S.Pd.I  S.Q</t>
  </si>
  <si>
    <t>081297049187</t>
  </si>
  <si>
    <t>3205241602860002</t>
  </si>
  <si>
    <t>Komplek Cendana Resedence. Blok E12/6 . Ciater.Tangsel</t>
  </si>
  <si>
    <t>Garut, 07 Juni 1987</t>
  </si>
  <si>
    <t>07 Juni 1987</t>
  </si>
  <si>
    <t xml:space="preserve">35 Tahun Pas </t>
  </si>
  <si>
    <t xml:space="preserve">Guru AlQuran </t>
  </si>
  <si>
    <t xml:space="preserve">Perguruan Tinggi Ilmu Al-Qur'an </t>
  </si>
  <si>
    <t>S.1</t>
  </si>
  <si>
    <t>Pengajar/Guru AlQuran  Tahsin dn Tahfidz dari Tahun 2016 sd 2022</t>
  </si>
  <si>
    <t>5 JT sd 7 JT</t>
  </si>
  <si>
    <t xml:space="preserve">BSI </t>
  </si>
  <si>
    <t>joerozak70@gmail.com</t>
  </si>
  <si>
    <t>1yzNs3naTF-3kjI3t0oInmyUl3RhaDy2j7T49iSuZI74</t>
  </si>
  <si>
    <t>https://docs.google.com/document/d/1yzNs3naTF-3kjI3t0oInmyUl3RhaDy2j7T49iSuZI74/edit?usp=drivesdk</t>
  </si>
  <si>
    <t>Document successfully created; Document successfully merged; Run via form trigger as kemal.stafsus@gmail.com; Timestamp: Jun 28 2022 1:36 AM</t>
  </si>
  <si>
    <t>https://drive.google.com/open?id=1tv-Mu1UZ3h8sh1R22G1yHK_-HIVuZX4_</t>
  </si>
  <si>
    <t>https://drive.google.com/uc?export=view&amp;id=1tv-Mu1UZ3h8sh1R22G1yHK_-HIVuZX4_</t>
  </si>
  <si>
    <t>Rohman</t>
  </si>
  <si>
    <t>082334609331</t>
  </si>
  <si>
    <t>C9219389</t>
  </si>
  <si>
    <t>Bapak : rohman
Yayasan Daarul Maarif,
Jl. Taman Malaka Selatan K2 No.16, RT.1/RW.9, Pondok kelapa, Kec. Duren Sawit, Jakarta Timur 13450</t>
  </si>
  <si>
    <t xml:space="preserve">Bangkinang </t>
  </si>
  <si>
    <t>17-04-2000</t>
  </si>
  <si>
    <t>22 (2000 -04)</t>
  </si>
  <si>
    <t>1 tahun musrif minhajul haq purwakarta</t>
  </si>
  <si>
    <t>bsi</t>
  </si>
  <si>
    <t>ammimaman17@gmail.com</t>
  </si>
  <si>
    <t>1A3cJPto9sLF6oNoOy7_uoW0FfmjUTXOIvHFZYks2kaY</t>
  </si>
  <si>
    <t>https://docs.google.com/document/d/1A3cJPto9sLF6oNoOy7_uoW0FfmjUTXOIvHFZYks2kaY/edit?usp=drivesdk</t>
  </si>
  <si>
    <t>Document successfully created; Document successfully merged; Run via form trigger as kemal.stafsus@gmail.com; Timestamp: Jun 28 2022 1:45 AM</t>
  </si>
  <si>
    <t>https://drive.google.com/open?id=1A5eG72JtymfreMD5Yu2eqjh_qnGQFcb4</t>
  </si>
  <si>
    <t>https://drive.google.com/uc?export=view&amp;id=1A5eG72JtymfreMD5Yu2eqjh_qnGQFcb4</t>
  </si>
  <si>
    <t>Rizki Ramadan</t>
  </si>
  <si>
    <t>081380321544</t>
  </si>
  <si>
    <t>Sawangan, Depok</t>
  </si>
  <si>
    <t>Melayu, Kalimantan Barat</t>
  </si>
  <si>
    <t>02 Januari 1997</t>
  </si>
  <si>
    <t>25 Tahun 6 bulan</t>
  </si>
  <si>
    <t>Mulazamah Darul Hadist Yaman, Aden</t>
  </si>
  <si>
    <t>Musyrif / Muhaffidz</t>
  </si>
  <si>
    <t>3.5</t>
  </si>
  <si>
    <t>rizkiramadanbinhamid@gmail.com</t>
  </si>
  <si>
    <t>1Ji8SVL63GGvKdzohQvSFknxw4CQ4OHe0JxClujdiDjw</t>
  </si>
  <si>
    <t>https://docs.google.com/document/d/1Ji8SVL63GGvKdzohQvSFknxw4CQ4OHe0JxClujdiDjw/edit?usp=drivesdk</t>
  </si>
  <si>
    <t>Document successfully created; Document successfully merged; Run via form trigger as kemal.stafsus@gmail.com; Timestamp: Jun 28 2022 2:51 AM</t>
  </si>
  <si>
    <t>https://drive.google.com/open?id=1E2cTcCUA5ycztkaS9sD0R8S131gZ7jzG</t>
  </si>
  <si>
    <t>https://drive.google.com/uc?export=view&amp;id=1E2cTcCUA5ycztkaS9sD0R8S131gZ7jzG</t>
  </si>
  <si>
    <t>Musyayyadah Lc</t>
  </si>
  <si>
    <t>081804513017</t>
  </si>
  <si>
    <t>7314035411950001</t>
  </si>
  <si>
    <t>Jl.Bulak barat IV, NO.23B, RT004/RW05, kel. Klender, Kec.Duren sawit, JAKTIM 13470.</t>
  </si>
  <si>
    <t>AMAMOTU</t>
  </si>
  <si>
    <t>14 NOVEMBER 1995</t>
  </si>
  <si>
    <t>Al-Qur’an</t>
  </si>
  <si>
    <t xml:space="preserve">Sastra Arab </t>
  </si>
  <si>
    <t>1. Pernah mengajar bahasa Arab dan Tahsin di ma’had nurusyifa’ Al-islamy litahfidzil Qur’an wata’limi llughotil arobiyah - sidrap(makassar).
2. Mengajar tahsin dan tajwid di masjid Kalibata City (Jaksel).
3. Mengajar bahasa Arab,tahsin dan menjadi musyrifah di RQ darurrohim Cipinang muara (jaktim).</t>
  </si>
  <si>
    <t>Pengajar</t>
  </si>
  <si>
    <t>umairummu77@gmail.com</t>
  </si>
  <si>
    <t>1VXXN_-Q14DA7cuhBBs5N5tASofHnB33d8USf8IQMohc</t>
  </si>
  <si>
    <t>https://docs.google.com/document/d/1VXXN_-Q14DA7cuhBBs5N5tASofHnB33d8USf8IQMohc/edit?usp=drivesdk</t>
  </si>
  <si>
    <t>Document successfully created; Document successfully merged; Run via form trigger as kemal.stafsus@gmail.com; Timestamp: Jun 28 2022 3:13 AM</t>
  </si>
  <si>
    <t>https://drive.google.com/open?id=16aNLKwDGTd65Ca5wpdvNoOzuDkHvbGbE</t>
  </si>
  <si>
    <t>https://drive.google.com/uc?export=view&amp;id=16aNLKwDGTd65Ca5wpdvNoOzuDkHvbGbE</t>
  </si>
  <si>
    <t>Nur Lita Rahmatia, S.Hum</t>
  </si>
  <si>
    <t>081242736459</t>
  </si>
  <si>
    <t>5206136710990001</t>
  </si>
  <si>
    <t xml:space="preserve">Jakarta, kalideres domisili Sulawesi Selatan </t>
  </si>
  <si>
    <t>27 Oktober 1999</t>
  </si>
  <si>
    <t xml:space="preserve">UIN Alauddin Makassar </t>
  </si>
  <si>
    <t xml:space="preserve">Bahasa dan sastra Arab </t>
  </si>
  <si>
    <t xml:space="preserve">Ngajar private Al Qur'an </t>
  </si>
  <si>
    <t>0550328182</t>
  </si>
  <si>
    <t>nurlitarahmati51@gmail.com</t>
  </si>
  <si>
    <t>1ev6MGLkamzK3weZNi3M7qNMde9gXqGP63m6kTLKazb0</t>
  </si>
  <si>
    <t>https://docs.google.com/document/d/1ev6MGLkamzK3weZNi3M7qNMde9gXqGP63m6kTLKazb0/edit?usp=drivesdk</t>
  </si>
  <si>
    <t>Document successfully created; Document successfully merged; Run via form trigger as kemal.stafsus@gmail.com; Timestamp: Jun 28 2022 3:28 AM</t>
  </si>
  <si>
    <t>https://drive.google.com/open?id=1C6ys40hDrpKLu1f2dN0T_K771V-onmiV</t>
  </si>
  <si>
    <t>https://drive.google.com/uc?export=view&amp;id=1C6ys40hDrpKLu1f2dN0T_K771V-onmiV</t>
  </si>
  <si>
    <t>LALU ZAKARIA</t>
  </si>
  <si>
    <t>085965991554</t>
  </si>
  <si>
    <t>5203141106030005</t>
  </si>
  <si>
    <t>Dsn jurang koak timur desa Bebidas kec.wanasaba</t>
  </si>
  <si>
    <t>11-06-2003</t>
  </si>
  <si>
    <t xml:space="preserve">19 tahun </t>
  </si>
  <si>
    <t>5 000 000</t>
  </si>
  <si>
    <t>ibnulalu123@gmail.com</t>
  </si>
  <si>
    <t>1sGjVX_8F2hTI3N3UBDRElk8tSJs2oseqTmWWVqp4vqg</t>
  </si>
  <si>
    <t>https://docs.google.com/document/d/1sGjVX_8F2hTI3N3UBDRElk8tSJs2oseqTmWWVqp4vqg/edit?usp=drivesdk</t>
  </si>
  <si>
    <t>Document successfully created; Document successfully merged; Run via form trigger as kemal.stafsus@gmail.com; Timestamp: Jun 28 2022 3:45 AM</t>
  </si>
  <si>
    <t>https://drive.google.com/open?id=1rCV6_kRq8G4-YFljKx37yfOmNdFeKo4E</t>
  </si>
  <si>
    <t>https://drive.google.com/uc?export=view&amp;id=1rCV6_kRq8G4-YFljKx37yfOmNdFeKo4E</t>
  </si>
  <si>
    <t>Ilham Akbar Firdaus</t>
  </si>
  <si>
    <t>085717541327</t>
  </si>
  <si>
    <t>3201311209000001</t>
  </si>
  <si>
    <t>12 September 2000</t>
  </si>
  <si>
    <t>21Tahun 6 Bulan</t>
  </si>
  <si>
    <t>Guru Al Quran SD ITAl irsyad</t>
  </si>
  <si>
    <t xml:space="preserve">Musrif IDN </t>
  </si>
  <si>
    <t>ilhamakbar6061@gmail.com</t>
  </si>
  <si>
    <t>17c2uqGzgtL61ZeDvv1ZwlLKkHneDlpILOqrXczwUcsA</t>
  </si>
  <si>
    <t>https://docs.google.com/document/d/17c2uqGzgtL61ZeDvv1ZwlLKkHneDlpILOqrXczwUcsA/edit?usp=drivesdk</t>
  </si>
  <si>
    <t>Document successfully created; Document successfully merged; Run via form trigger as kemal.stafsus@gmail.com; Timestamp: Jun 28 2022 3:48 AM</t>
  </si>
  <si>
    <t>https://drive.google.com/open?id=112yvL5NITLupj10wvvIx3dqErYsMy75R</t>
  </si>
  <si>
    <t>https://drive.google.com/uc?export=view&amp;id=112yvL5NITLupj10wvvIx3dqErYsMy75R</t>
  </si>
  <si>
    <t>Wahyu Syahputra</t>
  </si>
  <si>
    <t>08111296566</t>
  </si>
  <si>
    <t>3175082110860002</t>
  </si>
  <si>
    <t xml:space="preserve">Arinda permai 2 blok e2 no 1 a pondok aren </t>
  </si>
  <si>
    <t>21 oktober 1986</t>
  </si>
  <si>
    <t>38 tahun 8 bulan</t>
  </si>
  <si>
    <t>Psikologi/Psikometri</t>
  </si>
  <si>
    <t>Institut Ummul Quro Al Islami / UNUSIA</t>
  </si>
  <si>
    <t>syahputrawahyu@gmail.com</t>
  </si>
  <si>
    <t>1IHjlgiuSTLAlZI7X6LHGYrHgixsVux0EOrqrBh27aXs</t>
  </si>
  <si>
    <t>https://docs.google.com/document/d/1IHjlgiuSTLAlZI7X6LHGYrHgixsVux0EOrqrBh27aXs/edit?usp=drivesdk</t>
  </si>
  <si>
    <t>Document successfully created; Document successfully merged; Run via form trigger as kemal.stafsus@gmail.com; Timestamp: Jun 28 2022 3:50 AM</t>
  </si>
  <si>
    <t>https://drive.google.com/open?id=1PMlPtpHjD7mECBECfrFsKYHKbDUoHHAb</t>
  </si>
  <si>
    <t>https://drive.google.com/uc?export=view&amp;id=1PMlPtpHjD7mECBECfrFsKYHKbDUoHHAb</t>
  </si>
  <si>
    <t>M SIDIK</t>
  </si>
  <si>
    <t>082317328048</t>
  </si>
  <si>
    <t>1803101707960007</t>
  </si>
  <si>
    <t>jln.Tentara Pelajar, Dusun Girimulya, Desa Binangun, kampung Mundu Rt.02 Rw.13 kec.pataruman kota Banjar  Jawa Barat</t>
  </si>
  <si>
    <t>Taman jaya Kotabumi Selatan Lampung Utara</t>
  </si>
  <si>
    <t>17 Juli 1996</t>
  </si>
  <si>
    <t>Guru Mata Pelajaran, Musyrif (Non-ITBA)</t>
  </si>
  <si>
    <t>Guru Qur'an</t>
  </si>
  <si>
    <t>Guru Tahfidz di rumah Tahfidz arrohaman</t>
  </si>
  <si>
    <t>1000.0000-1.500.000</t>
  </si>
  <si>
    <t>Guru Qur'an di Madinatul Qur'an Depok</t>
  </si>
  <si>
    <t>Guru Qur'an di SD inspiratif Al Ilham</t>
  </si>
  <si>
    <t>sidiqassobru@gmail.com</t>
  </si>
  <si>
    <t>1crX2WdYLLmDGyLjyRTWF-cXLr9DLLst3QfbAmfjZ5EY</t>
  </si>
  <si>
    <t>https://docs.google.com/document/d/1crX2WdYLLmDGyLjyRTWF-cXLr9DLLst3QfbAmfjZ5EY/edit?usp=drivesdk</t>
  </si>
  <si>
    <t>Document successfully created; Document successfully merged; Run via form trigger as kemal.stafsus@gmail.com; Timestamp: Jun 28 2022 5:12 AM</t>
  </si>
  <si>
    <t>https://drive.google.com/open?id=1YEibbqhVLhJKAnLsXx-K90SSP44ukT0r</t>
  </si>
  <si>
    <t>https://drive.google.com/uc?export=view&amp;id=1YEibbqhVLhJKAnLsXx-K90SSP44ukT0r</t>
  </si>
  <si>
    <t>Haryanto</t>
  </si>
  <si>
    <t>081234328842</t>
  </si>
  <si>
    <t>5206182205850001</t>
  </si>
  <si>
    <t>Jl. Subur 51 RT/RW:010/002 Kel/Desa: Sempalwadak Kecamatan: Bululawang Kabupaten: Malang Jawa timur 65171</t>
  </si>
  <si>
    <t xml:space="preserve">Bima </t>
  </si>
  <si>
    <t>22-05-1985</t>
  </si>
  <si>
    <t>37 tahun 1bulan</t>
  </si>
  <si>
    <t xml:space="preserve">SMA/sederajat </t>
  </si>
  <si>
    <t>Musyrif dan guru tahfidz</t>
  </si>
  <si>
    <t>Guru tahfidz dan musyrif</t>
  </si>
  <si>
    <t>Sesuai kinerja</t>
  </si>
  <si>
    <t>rahmaniaaziez83218@gmail.com</t>
  </si>
  <si>
    <t>1bh0_w51-KyNiVoLdAUtC22GoO2qBIanOEmp0mkLnlmM</t>
  </si>
  <si>
    <t>https://docs.google.com/document/d/1bh0_w51-KyNiVoLdAUtC22GoO2qBIanOEmp0mkLnlmM/edit?usp=drivesdk</t>
  </si>
  <si>
    <t>Document successfully created; Document successfully merged; Run via form trigger as kemal.stafsus@gmail.com; Timestamp: Jun 28 2022 7:26 AM</t>
  </si>
  <si>
    <t>https://drive.google.com/open?id=1me0G3odRm6sWvg5RdkLRan0EXLnD85-M</t>
  </si>
  <si>
    <t>https://drive.google.com/uc?export=view&amp;id=1me0G3odRm6sWvg5RdkLRan0EXLnD85-M</t>
  </si>
  <si>
    <t xml:space="preserve">Ridwan Rahmansyah </t>
  </si>
  <si>
    <t>085723827937</t>
  </si>
  <si>
    <t>3217020105000006</t>
  </si>
  <si>
    <t xml:space="preserve">Jl Cihanjuang, kp cibaligo RT 03 RW 14, desa Cihanjuang, kec Parongpong, kab Bandung barat </t>
  </si>
  <si>
    <t xml:space="preserve">Bandung </t>
  </si>
  <si>
    <t xml:space="preserve">22 tahun 1 bulan </t>
  </si>
  <si>
    <t>Musyrif halaqah Al-Qur'an, guru bahasa arab</t>
  </si>
  <si>
    <t xml:space="preserve">3.500.000 / sesuai dengan ketentuan dan kebijakan alwildan </t>
  </si>
  <si>
    <t>ridwansy015@gmail.com</t>
  </si>
  <si>
    <t>14KoTMatRl-tkf3qtD59QsvYeuNjQQDsPb3EUXD9YG7k</t>
  </si>
  <si>
    <t>https://docs.google.com/document/d/14KoTMatRl-tkf3qtD59QsvYeuNjQQDsPb3EUXD9YG7k/edit?usp=drivesdk</t>
  </si>
  <si>
    <t>Document successfully created; Document successfully merged; Run via form trigger as kemal.stafsus@gmail.com; Timestamp: Jun 28 2022 7:31 AM</t>
  </si>
  <si>
    <t>https://drive.google.com/open?id=1n1UUWVYPMnW6IFlqFmsx65R8_lsK2voJ</t>
  </si>
  <si>
    <t>https://drive.google.com/uc?export=view&amp;id=1n1UUWVYPMnW6IFlqFmsx65R8_lsK2voJ</t>
  </si>
  <si>
    <t>081238427178</t>
  </si>
  <si>
    <t>Jln. Subur RT. 010 RW. 002 Desa Sempalwadak Kec. Bululawang Kab. Malang Prov. Jawa Timur</t>
  </si>
  <si>
    <t>Pondok Pesantren Al Fatah Malang</t>
  </si>
  <si>
    <t>Pondok Pesantren Umar Bin Khattab</t>
  </si>
  <si>
    <t>abualiyaalbimawy@gmail.com</t>
  </si>
  <si>
    <t>19x63tirurpXKeByuqVWEVc8apw9jqA6heou0nCviJ1I</t>
  </si>
  <si>
    <t>https://docs.google.com/document/d/19x63tirurpXKeByuqVWEVc8apw9jqA6heou0nCviJ1I/edit?usp=drivesdk</t>
  </si>
  <si>
    <t>Document successfully created; Document successfully merged; Run via form trigger as kemal.stafsus@gmail.com; Timestamp: Jun 28 2022 9:46 AM</t>
  </si>
  <si>
    <t>https://drive.google.com/open?id=1-gYC8Hcr-So5cy6QjYQi1rM5qvwcOMRG</t>
  </si>
  <si>
    <t>https://drive.google.com/uc?export=view&amp;id=1-gYC8Hcr-So5cy6QjYQi1rM5qvwcOMRG</t>
  </si>
  <si>
    <t>Zander Botes</t>
  </si>
  <si>
    <t>089668591085</t>
  </si>
  <si>
    <t>3172043005981002</t>
  </si>
  <si>
    <t>Rorotan Kirana Legacy, Cluster Norfolk NF6/6, Jakarta Utara</t>
  </si>
  <si>
    <t xml:space="preserve">RICHARDS BAY </t>
  </si>
  <si>
    <t>30-05-1998</t>
  </si>
  <si>
    <t>Native English Teacher</t>
  </si>
  <si>
    <t>English Native Teacher di Global Islamic School Serpong</t>
  </si>
  <si>
    <t>Logistic team di Blackhawk Security KZN</t>
  </si>
  <si>
    <t>0072906801</t>
  </si>
  <si>
    <t>BCA an.Tiara Ratih</t>
  </si>
  <si>
    <t>zanderbotes30@gmail.com</t>
  </si>
  <si>
    <t>1vW5Ubr6vwPUbcMfDHSg2qNKyIJzY7dI-Gc-1QnwvtF8</t>
  </si>
  <si>
    <t>https://docs.google.com/document/d/1vW5Ubr6vwPUbcMfDHSg2qNKyIJzY7dI-Gc-1QnwvtF8/edit?usp=drivesdk</t>
  </si>
  <si>
    <t>Document successfully created; Document successfully merged; Run via form trigger as kemal.stafsus@gmail.com; Timestamp: Jun 28 2022 12:00 PM</t>
  </si>
  <si>
    <t>https://drive.google.com/open?id=1gAEvOD56HROCYKYav3U-cBnQrL0NVsVA</t>
  </si>
  <si>
    <t>https://drive.google.com/uc?export=view&amp;id=1gAEvOD56HROCYKYav3U-cBnQrL0NVsVA</t>
  </si>
  <si>
    <t>Ultari Addie Syahputri, S.Psi</t>
  </si>
  <si>
    <t>08568563027</t>
  </si>
  <si>
    <t>3671125708920007</t>
  </si>
  <si>
    <t>Jl Wanamaulya IV, Ciledug - Tangerang</t>
  </si>
  <si>
    <t>29 Tahun 10 Bulan</t>
  </si>
  <si>
    <t>Universitas Esa Unggul Jakarta</t>
  </si>
  <si>
    <t>Recruitment &amp; People Development (CBI)</t>
  </si>
  <si>
    <t>HR Management (IM2)</t>
  </si>
  <si>
    <t>Customer Service (IM2)</t>
  </si>
  <si>
    <t>13.000.000 (Negotiable)</t>
  </si>
  <si>
    <t>t.addiesyahputrie@yahoo.com</t>
  </si>
  <si>
    <t>1o5axTDCenThts2FNMv8PwWov301Jfq3K0W8N-Fkjhiw</t>
  </si>
  <si>
    <t>https://docs.google.com/document/d/1o5axTDCenThts2FNMv8PwWov301Jfq3K0W8N-Fkjhiw/edit?usp=drivesdk</t>
  </si>
  <si>
    <t>Document successfully created; Document successfully merged; Run via form trigger as kemal.stafsus@gmail.com; Timestamp: Jun 29 2022 12:39 AM</t>
  </si>
  <si>
    <t>https://drive.google.com/open?id=1wygzdwrLtVWwZ8WIUx1PexZDsHDLc4kJ</t>
  </si>
  <si>
    <t>https://drive.google.com/uc?export=view&amp;id=1wygzdwrLtVWwZ8WIUx1PexZDsHDLc4kJ</t>
  </si>
  <si>
    <t>Roby Mahesa Putra, A.Md.</t>
  </si>
  <si>
    <t>087780802150</t>
  </si>
  <si>
    <t>3329080405950013</t>
  </si>
  <si>
    <t>Kp. Sukabakti RT 07/04, ds. Lembangsari, kec. Rajeg, kab. Tangerang</t>
  </si>
  <si>
    <t>04-05-1995</t>
  </si>
  <si>
    <t>CCTV Controller</t>
  </si>
  <si>
    <t>Universitas Pendidikan Indonesia, Bandung</t>
  </si>
  <si>
    <t>D3 Teknik Mesin</t>
  </si>
  <si>
    <t>3.48</t>
  </si>
  <si>
    <t xml:space="preserve">PT. Angkasa Pura Propertindo penempatan di Bandara Soekarno Hatta, Tangerang </t>
  </si>
  <si>
    <t xml:space="preserve">PT. Virtus Facility Service, penempatan Puri Indah Financial Tower, Jakarta Barat </t>
  </si>
  <si>
    <t>0835837904</t>
  </si>
  <si>
    <t>Bank BNI</t>
  </si>
  <si>
    <t>robymahesa95@gmail.com</t>
  </si>
  <si>
    <t>1uG4cj1E2yLc9kcoOAsmUTJdXGj20YebWwmwqwwVIjv0</t>
  </si>
  <si>
    <t>https://docs.google.com/document/d/1uG4cj1E2yLc9kcoOAsmUTJdXGj20YebWwmwqwwVIjv0/edit?usp=drivesdk</t>
  </si>
  <si>
    <t>Document successfully created; Document successfully merged; Run via form trigger as kemal.stafsus@gmail.com; Timestamp: Jun 29 2022 12:48 AM</t>
  </si>
  <si>
    <t>https://drive.google.com/open?id=1pd1EqBF5CM4K1d5y0VNQpmU9cnEVLepi</t>
  </si>
  <si>
    <t>https://drive.google.com/uc?export=view&amp;id=1pd1EqBF5CM4K1d5y0VNQpmU9cnEVLepi</t>
  </si>
  <si>
    <t xml:space="preserve">DAAN NURROYYAN A </t>
  </si>
  <si>
    <t>087765953453</t>
  </si>
  <si>
    <t>C8508341</t>
  </si>
  <si>
    <t>Pejaten Pasar Minggu Jakarta Selatan</t>
  </si>
  <si>
    <t>Praya</t>
  </si>
  <si>
    <t>01-02-2000</t>
  </si>
  <si>
    <t xml:space="preserve">22 tahun 4 bulan </t>
  </si>
  <si>
    <t>LIPIA Jakarta (جامعة الإمام محمد بن سعود الإسلامية والعربية جاكرتا)</t>
  </si>
  <si>
    <t>4.00 (from 5)</t>
  </si>
  <si>
    <t>Privat persiapan ujian 2nd and 3th grade (elementary school) Yemeni School- Selangor</t>
  </si>
  <si>
    <t>250.000 /pertemuan</t>
  </si>
  <si>
    <t>rayyanalhady6@gmail.com</t>
  </si>
  <si>
    <t>1dASuzpuH36ZTDNCeA0g0KPl-X8ck3vFurmdGUeP483c</t>
  </si>
  <si>
    <t>https://docs.google.com/document/d/1dASuzpuH36ZTDNCeA0g0KPl-X8ck3vFurmdGUeP483c/edit?usp=drivesdk</t>
  </si>
  <si>
    <t>Document successfully created; Document successfully merged; Run via form trigger as kemal.stafsus@gmail.com; Timestamp: Jun 29 2022 2:54 AM</t>
  </si>
  <si>
    <t>https://drive.google.com/open?id=1kROagpwvw71DUKmF3lYKaNgSaWS9JjmD</t>
  </si>
  <si>
    <t>https://drive.google.com/uc?export=view&amp;id=1kROagpwvw71DUKmF3lYKaNgSaWS9JjmD</t>
  </si>
  <si>
    <t>Muhammad Subeni</t>
  </si>
  <si>
    <t>089656572374</t>
  </si>
  <si>
    <t>3603122805900005</t>
  </si>
  <si>
    <t xml:space="preserve">Kp. Gelam Timur RT 005/003 Desa Gelam Jaya Kec. Pasar Kemis Kab. Tangerang </t>
  </si>
  <si>
    <t>28-05-1990</t>
  </si>
  <si>
    <t>CCTV CONTROLLER</t>
  </si>
  <si>
    <t>muhammadsubeni28@gmail.com</t>
  </si>
  <si>
    <t>1FwJzaWPs9y1N-s7v_Us1idKcbV4TubWnrteDujp43rI</t>
  </si>
  <si>
    <t>https://docs.google.com/document/d/1FwJzaWPs9y1N-s7v_Us1idKcbV4TubWnrteDujp43rI/edit?usp=drivesdk</t>
  </si>
  <si>
    <t>Document successfully created; Document successfully merged; Run via form trigger as kemal.stafsus@gmail.com; Timestamp: Jun 29 2022 3:06 AM</t>
  </si>
  <si>
    <t>https://drive.google.com/open?id=1onmZ_qMyuCX_v5lmz5849wmH4XXfCjwB</t>
  </si>
  <si>
    <t>https://drive.google.com/uc?export=view&amp;id=1onmZ_qMyuCX_v5lmz5849wmH4XXfCjwB</t>
  </si>
  <si>
    <t>Siti Zakiah S.H</t>
  </si>
  <si>
    <t>081210230808</t>
  </si>
  <si>
    <t>3175036506800004</t>
  </si>
  <si>
    <t>Jl. Bukit duri tanjakan N0.22 RT 001/011</t>
  </si>
  <si>
    <t>25/06/1980</t>
  </si>
  <si>
    <t>42 thn</t>
  </si>
  <si>
    <t>Universitas BungKarno</t>
  </si>
  <si>
    <t>Hukum perdata</t>
  </si>
  <si>
    <t>Administrasi PT.Transistel</t>
  </si>
  <si>
    <t>Administrasi Samudra Indonesia</t>
  </si>
  <si>
    <t>Genaral Afair IIGF</t>
  </si>
  <si>
    <t>kikizakiah1980@gmail.com</t>
  </si>
  <si>
    <t>17zjDDJWXJpOugF9joV3xi1btGLa2ZjkcOVaoZcer2aY</t>
  </si>
  <si>
    <t>https://docs.google.com/document/d/17zjDDJWXJpOugF9joV3xi1btGLa2ZjkcOVaoZcer2aY/edit?usp=drivesdk</t>
  </si>
  <si>
    <t>Document successfully created; Document successfully merged; Run via form trigger as kemal.stafsus@gmail.com; Timestamp: Jun 29 2022 11:09 AM</t>
  </si>
  <si>
    <t>https://drive.google.com/open?id=1lSiGYpEMHe0IZDBAPjzuWpuj1EOF0rkO</t>
  </si>
  <si>
    <t>https://drive.google.com/uc?export=view&amp;id=1lSiGYpEMHe0IZDBAPjzuWpuj1EOF0rkO</t>
  </si>
  <si>
    <t>Hamdan S. Ag</t>
  </si>
  <si>
    <t>6471040104900007</t>
  </si>
  <si>
    <t>Perum Dasana Indah, Bojong Nangka, Kelapa Dua, Tangerang</t>
  </si>
  <si>
    <t>01-04-1990</t>
  </si>
  <si>
    <t>32 tahun 2 bulan</t>
  </si>
  <si>
    <t xml:space="preserve">Sekolah Tinggi Dirosah Islamiyah Imam Syafi’i Jember </t>
  </si>
  <si>
    <t>Guru PAI/Diniyah dan penanggung jawab asrama</t>
  </si>
  <si>
    <t>Guru PAI/ Diniyah</t>
  </si>
  <si>
    <t>hamdanjafar7@gmail.com</t>
  </si>
  <si>
    <t>10GDek4Vu52LwmqeFSqjqwV-Ctd557c6BDQ9jbHluPK0</t>
  </si>
  <si>
    <t>https://docs.google.com/document/d/10GDek4Vu52LwmqeFSqjqwV-Ctd557c6BDQ9jbHluPK0/edit?usp=drivesdk</t>
  </si>
  <si>
    <t>Document successfully created; Document successfully merged; Run via form trigger as kemal.stafsus@gmail.com; Timestamp: Jun 29 2022 7:59 PM</t>
  </si>
  <si>
    <t>https://drive.google.com/open?id=1Z-O1Dmpu0tDy4cg4x_wv46RGvW1_zhhq</t>
  </si>
  <si>
    <t>https://drive.google.com/uc?export=view&amp;id=1Z-O1Dmpu0tDy4cg4x_wv46RGvW1_zhhq</t>
  </si>
  <si>
    <t xml:space="preserve">Emil Yazid, B.A. </t>
  </si>
  <si>
    <t>083893124292</t>
  </si>
  <si>
    <t>A1960</t>
  </si>
  <si>
    <t>Jl flamboyan no 21 rempoa, tangerang selatan</t>
  </si>
  <si>
    <t>25-11-1984</t>
  </si>
  <si>
    <t>1st Preference: English 2nd Preference: Cambridge IPS</t>
  </si>
  <si>
    <t>City College of New York</t>
  </si>
  <si>
    <t>Business Minor: Psychology</t>
  </si>
  <si>
    <t>Saya bersedia ditempatkan di.bekasi,bsd atau lebak bulus</t>
  </si>
  <si>
    <t>Islamic School di BSD/Bogor</t>
  </si>
  <si>
    <t>Noah International school</t>
  </si>
  <si>
    <t>Sekitas gaji saya sekarang atau beda jika diperbolehkab</t>
  </si>
  <si>
    <t>yazemayaz89@gmail.com</t>
  </si>
  <si>
    <t>1rKDEqU-iYuxgCwZvybFo2GIWzJ-_YWlfQ5FWmtim5wE</t>
  </si>
  <si>
    <t>https://docs.google.com/document/d/1rKDEqU-iYuxgCwZvybFo2GIWzJ-_YWlfQ5FWmtim5wE/edit?usp=drivesdk</t>
  </si>
  <si>
    <t>Document successfully created; Document successfully merged; Run via form trigger as kemal.stafsus@gmail.com; Timestamp: Jun 30 2022 2:24 AM</t>
  </si>
  <si>
    <t>https://drive.google.com/open?id=1776bPHqUVFLzF2__UwMEuFEeZNNk7Wso</t>
  </si>
  <si>
    <t>https://drive.google.com/uc?export=view&amp;id=1776bPHqUVFLzF2__UwMEuFEeZNNk7Wso</t>
  </si>
  <si>
    <t>Erik Jonedi</t>
  </si>
  <si>
    <t>081281008008</t>
  </si>
  <si>
    <t>3173070201891001</t>
  </si>
  <si>
    <t>Jalan Raya Munjul No.25 (L) RT 01/RW 02 Kelurahan Munjul Kecamatan Cipayung Jakarta Timur DKI Jakarta</t>
  </si>
  <si>
    <t>02-01-1989</t>
  </si>
  <si>
    <t>Universitas Pertahanan Indonesia</t>
  </si>
  <si>
    <t>Ekonomi Pertahanan</t>
  </si>
  <si>
    <t>erik.jonedi2189@gmail.com</t>
  </si>
  <si>
    <t>1xlYT8KHUA23dhetgMlabh12x66dPoBtAF_j7Fu8vOaI</t>
  </si>
  <si>
    <t>https://docs.google.com/document/d/1xlYT8KHUA23dhetgMlabh12x66dPoBtAF_j7Fu8vOaI/edit?usp=drivesdk</t>
  </si>
  <si>
    <t>Document successfully created; Document successfully merged; Run via form trigger as kemal.stafsus@gmail.com; Timestamp: Jun 30 2022 2:31 AM</t>
  </si>
  <si>
    <t>https://drive.google.com/open?id=1Lc9edG2zmFOlJppeTp4jA_pfJ1DfuDcI</t>
  </si>
  <si>
    <t>https://drive.google.com/uc?export=view&amp;id=1Lc9edG2zmFOlJppeTp4jA_pfJ1DfuDcI</t>
  </si>
  <si>
    <t>Nisrina Zhia Karima, S. Pd.</t>
  </si>
  <si>
    <t>08998319556</t>
  </si>
  <si>
    <t>3327105903950001</t>
  </si>
  <si>
    <t>Kabupaten Pemalang, Jawa Tengah</t>
  </si>
  <si>
    <t>19-03-1995</t>
  </si>
  <si>
    <t>27 tahun 3 bulan</t>
  </si>
  <si>
    <t>Ganesha Operation</t>
  </si>
  <si>
    <t>LKP Science Society</t>
  </si>
  <si>
    <t>0685339792</t>
  </si>
  <si>
    <t>nisrinazk1@gmail.com</t>
  </si>
  <si>
    <t>1GGeE2Q3tJdBW3wtVtVDjs_COyFd8HD5h1w_oQlY3uSU</t>
  </si>
  <si>
    <t>https://docs.google.com/document/d/1GGeE2Q3tJdBW3wtVtVDjs_COyFd8HD5h1w_oQlY3uSU/edit?usp=drivesdk</t>
  </si>
  <si>
    <t>Document successfully created; Document successfully merged; Run via form trigger as kemal.stafsus@gmail.com; Timestamp: Jun 30 2022 12:45 PM</t>
  </si>
  <si>
    <t>https://drive.google.com/open?id=1EHNHQ7Ny709ThjQ-nw01qIPr01Z5g7_k</t>
  </si>
  <si>
    <t>https://drive.google.com/uc?export=view&amp;id=1EHNHQ7Ny709ThjQ-nw01qIPr01Z5g7_k</t>
  </si>
  <si>
    <t xml:space="preserve">Maulana Rasyid Ridho </t>
  </si>
  <si>
    <t>082299567896</t>
  </si>
  <si>
    <t>3172033007961001</t>
  </si>
  <si>
    <t>Jalan Lagoa Terusan Gang 3 C2 No.14 RT/RW : 012/003 Lagoa, Koja, Jakarta Utara 14270</t>
  </si>
  <si>
    <t>30-07-1996</t>
  </si>
  <si>
    <t>UIN Jakarta dan STAI Sabili</t>
  </si>
  <si>
    <t>Sastra Inggris dan Pendidikan Agama Islam</t>
  </si>
  <si>
    <t>3.1</t>
  </si>
  <si>
    <t xml:space="preserve">Sekolah Hafizh Qur'an </t>
  </si>
  <si>
    <t>Alfitrah Qur'an School</t>
  </si>
  <si>
    <t>Rumah Tahfidz Nurul Quran</t>
  </si>
  <si>
    <t>ridhomaulanarasyid@gmail.com</t>
  </si>
  <si>
    <t>19a7KcyAcwd4huli2WvAxxYDoTntJ7NgeElfbNoh-WkE</t>
  </si>
  <si>
    <t>https://docs.google.com/document/d/19a7KcyAcwd4huli2WvAxxYDoTntJ7NgeElfbNoh-WkE/edit?usp=drivesdk</t>
  </si>
  <si>
    <t>Document successfully created; Document successfully merged; Run via form trigger as kemal.stafsus@gmail.com; Timestamp: Jun 30 2022 8:01 PM</t>
  </si>
  <si>
    <t>https://drive.google.com/open?id=1zuYikBmRGriZLrlzxloJfDILga_ZfyLc</t>
  </si>
  <si>
    <t>https://drive.google.com/uc?export=view&amp;id=1zuYikBmRGriZLrlzxloJfDILga_ZfyLc</t>
  </si>
  <si>
    <t>Putri Zahrah S.Pd.</t>
  </si>
  <si>
    <t>+6281282275461</t>
  </si>
  <si>
    <t>3175046410990006</t>
  </si>
  <si>
    <t>Kramat Jati, Kramat Jati, Jakarta Timur DKI Jakarta 13510</t>
  </si>
  <si>
    <t>24-10-1999</t>
  </si>
  <si>
    <t>English Teacher</t>
  </si>
  <si>
    <t>Universitas Muhammadiyah Prof. Dr. Hamka</t>
  </si>
  <si>
    <t>English Teacher Freelance</t>
  </si>
  <si>
    <t>1.050.000 - 2.400.000</t>
  </si>
  <si>
    <t>English Tutor</t>
  </si>
  <si>
    <t>500.000 - 1.000.000</t>
  </si>
  <si>
    <t>putrizahrah13@gmail.com</t>
  </si>
  <si>
    <t>1EC3NRgSJiEpPxKLBiyJRWYwEu-ALmS_2bIwHSxGW1IM</t>
  </si>
  <si>
    <t>https://docs.google.com/document/d/1EC3NRgSJiEpPxKLBiyJRWYwEu-ALmS_2bIwHSxGW1IM/edit?usp=drivesdk</t>
  </si>
  <si>
    <t>Document successfully created; Document successfully merged; Run via form trigger as kemal.stafsus@gmail.com; Timestamp: Jun 30 2022 8:17 PM</t>
  </si>
  <si>
    <t>https://drive.google.com/open?id=1Qh2k6UOZ-KnxS0j4H_XIRqQiUZQAehAL</t>
  </si>
  <si>
    <t>https://drive.google.com/uc?export=view&amp;id=1Qh2k6UOZ-KnxS0j4H_XIRqQiUZQAehAL</t>
  </si>
  <si>
    <t>Nurwahyuningsih Anjaswara S.Pd</t>
  </si>
  <si>
    <t>088294585051</t>
  </si>
  <si>
    <t>3674025302970004</t>
  </si>
  <si>
    <t>Jln. Padat Karya Desa Situ Gadung RT. 007 RW. 04 No. 82 Kec. Pagedangan KP. Cisauk Kab. Tangera</t>
  </si>
  <si>
    <t>13-02-1997</t>
  </si>
  <si>
    <t>25 Tahun 5 Bulan</t>
  </si>
  <si>
    <t>PTN (Strata-1)- Universitas Islam Negri Syarif Hidayatullah</t>
  </si>
  <si>
    <t>TU (Non-Pendidikan)</t>
  </si>
  <si>
    <t>nurwahyuningsihanjaswara444@gmail.com</t>
  </si>
  <si>
    <t>1HG0G0qT-RMlrCeoeJ1EoVhS6dTQnM7-LL1upoJ3AOGM</t>
  </si>
  <si>
    <t>https://docs.google.com/document/d/1HG0G0qT-RMlrCeoeJ1EoVhS6dTQnM7-LL1upoJ3AOGM/edit?usp=drivesdk</t>
  </si>
  <si>
    <t>Document successfully created; Document successfully merged; Run via form trigger as kemal.stafsus@gmail.com; Timestamp: Jun 30 2022 8:31 PM</t>
  </si>
  <si>
    <t>https://drive.google.com/open?id=1uQy8dhM8Hs0dESrGzDX6wwLcrsqiCZQZ</t>
  </si>
  <si>
    <t>https://drive.google.com/uc?export=view&amp;id=1uQy8dhM8Hs0dESrGzDX6wwLcrsqiCZQZ</t>
  </si>
  <si>
    <t>Edy Wahyudin</t>
  </si>
  <si>
    <t>082310833420</t>
  </si>
  <si>
    <t>52061613029661002</t>
  </si>
  <si>
    <t>Cisauk</t>
  </si>
  <si>
    <t xml:space="preserve">Tangerang </t>
  </si>
  <si>
    <t>13-02-1996</t>
  </si>
  <si>
    <t>Tim Admin (Non Kependidikan)</t>
  </si>
  <si>
    <t>Lpkn mataram</t>
  </si>
  <si>
    <t>D1</t>
  </si>
  <si>
    <t xml:space="preserve">Security </t>
  </si>
  <si>
    <t>edy.wahyudin1320@gmail.com</t>
  </si>
  <si>
    <t>1ERMiQzC0Tx3P7mK9XoR42p_Q0QLAxdUZ0p8FgKA0-GA</t>
  </si>
  <si>
    <t>https://docs.google.com/document/d/1ERMiQzC0Tx3P7mK9XoR42p_Q0QLAxdUZ0p8FgKA0-GA/edit?usp=drivesdk</t>
  </si>
  <si>
    <t>Document successfully created; Document successfully merged; Run via form trigger as kemal.stafsus@gmail.com; Timestamp: Jun 30 2022 9:41 PM</t>
  </si>
  <si>
    <t>https://drive.google.com/open?id=1_DnRyJYxuUrnmY8_24Hg2wK7lO9Lt3_S</t>
  </si>
  <si>
    <t>https://drive.google.com/uc?export=view&amp;id=1_DnRyJYxuUrnmY8_24Hg2wK7lO9Lt3_S</t>
  </si>
  <si>
    <t>Maryati S.Sos.i</t>
  </si>
  <si>
    <t>085770602075</t>
  </si>
  <si>
    <t>3671135905820004</t>
  </si>
  <si>
    <t>Jl. Pesantren rt003/03 no.36 C, kreo selatan, larangan, kota tangerang</t>
  </si>
  <si>
    <t>19-05-1982</t>
  </si>
  <si>
    <t>40 tahun 1 bulan</t>
  </si>
  <si>
    <t>Manajemen Dakwah</t>
  </si>
  <si>
    <t>Mengajar privat, mengajar Quran di Sahabat Quran, Rq. Arrahmah, RQ. Asy syifa, karantina Quran masjid al falah.</t>
  </si>
  <si>
    <t>0010001471100</t>
  </si>
  <si>
    <t>Bank Jawa Barat, atas nama Syarifuddin</t>
  </si>
  <si>
    <t>maryati.fathimah99@gmail.com</t>
  </si>
  <si>
    <t>1zUU-0bumtk0GCf6Iek9xseWWDBR9NpfJPyWSMbwDpT4</t>
  </si>
  <si>
    <t>https://docs.google.com/document/d/1zUU-0bumtk0GCf6Iek9xseWWDBR9NpfJPyWSMbwDpT4/edit?usp=drivesdk</t>
  </si>
  <si>
    <t>Document successfully created; Document successfully merged; Run via form trigger as kemal.stafsus@gmail.com; Timestamp: Jun 30 2022 10:40 PM</t>
  </si>
  <si>
    <t>https://drive.google.com/open?id=10snJ2FwCrdOFWDWf79OPyYwEzoaQJIkp</t>
  </si>
  <si>
    <t>https://drive.google.com/uc?export=view&amp;id=10snJ2FwCrdOFWDWf79OPyYwEzoaQJIkp</t>
  </si>
  <si>
    <t>Martika Fitria Damayanti, S.Pd.</t>
  </si>
  <si>
    <t>085781332442</t>
  </si>
  <si>
    <t>3201016003940004</t>
  </si>
  <si>
    <t>Puri Nirwana 1 Blok G-18, Cibinong, Bogor</t>
  </si>
  <si>
    <t>20-03-1994</t>
  </si>
  <si>
    <t xml:space="preserve">Pengembangan Kurikulum </t>
  </si>
  <si>
    <t>One Day One English</t>
  </si>
  <si>
    <t>SMP Suluh</t>
  </si>
  <si>
    <t>martikafitria@gmail.com</t>
  </si>
  <si>
    <t>1IXV9REDmv0rotBoPMru3zD1I5AJyslyK1v-eVJqnpfU</t>
  </si>
  <si>
    <t>https://docs.google.com/document/d/1IXV9REDmv0rotBoPMru3zD1I5AJyslyK1v-eVJqnpfU/edit?usp=drivesdk</t>
  </si>
  <si>
    <t>Document successfully created; Document successfully merged; Run via form trigger as kemal.stafsus@gmail.com; Timestamp: Jul 1 2022 12:08 AM</t>
  </si>
  <si>
    <t>https://drive.google.com/open?id=1oHYvoiFBlEKyBaqF4aYFbjMzFY5Iwpa9</t>
  </si>
  <si>
    <t>https://drive.google.com/uc?export=view&amp;id=1oHYvoiFBlEKyBaqF4aYFbjMzFY5Iwpa9</t>
  </si>
  <si>
    <t>Devi Isniawati, S.S., M.M</t>
  </si>
  <si>
    <t>085691902221</t>
  </si>
  <si>
    <t>3216066904900003</t>
  </si>
  <si>
    <t>Perum Bima Green 1, Tambun-Bekasi</t>
  </si>
  <si>
    <t>Universitas Islam 45 Bekasi</t>
  </si>
  <si>
    <t>3.14</t>
  </si>
  <si>
    <t>STIE ISM Pertiwi Jakarta</t>
  </si>
  <si>
    <t>Manajemen SDM</t>
  </si>
  <si>
    <t>English Teacher di Lembaga Kursus/Bimbel</t>
  </si>
  <si>
    <t>Staff Admin di PT Bekasi Power</t>
  </si>
  <si>
    <t>Isniawati@gmail.com</t>
  </si>
  <si>
    <t>1ecApzvnPJTfD_4ZmcDPqqwcghQcKjxjYRCL1RJ4dA7Y</t>
  </si>
  <si>
    <t>https://docs.google.com/document/d/1ecApzvnPJTfD_4ZmcDPqqwcghQcKjxjYRCL1RJ4dA7Y/edit?usp=drivesdk</t>
  </si>
  <si>
    <t>Document successfully created; Document successfully merged; Run via form trigger as kemal.stafsus@gmail.com; Timestamp: Jul 1 2022 4:00 AM</t>
  </si>
  <si>
    <t>https://drive.google.com/open?id=1a6uVw34ijisjNlGnHzADItYojASyqXCw</t>
  </si>
  <si>
    <t>https://drive.google.com/uc?export=view&amp;id=1a6uVw34ijisjNlGnHzADItYojASyqXCw</t>
  </si>
  <si>
    <t xml:space="preserve">Ummi Hani,S.Pd </t>
  </si>
  <si>
    <t>0895347145063</t>
  </si>
  <si>
    <t>3216064912940024</t>
  </si>
  <si>
    <t>Sidoarjo</t>
  </si>
  <si>
    <t>09 Desember 1994</t>
  </si>
  <si>
    <t xml:space="preserve">Guru Mata Pelajaran </t>
  </si>
  <si>
    <t xml:space="preserve">Universitas Muhammadiyah Jakarta </t>
  </si>
  <si>
    <t xml:space="preserve">S1 Prodi PAI </t>
  </si>
  <si>
    <t xml:space="preserve">Guru Mata Pelajaran tingkat SD dari tahun 2015 sampai sekarang </t>
  </si>
  <si>
    <t>ummihani912@gmail.com</t>
  </si>
  <si>
    <t>174ggXQ2fRv-Sp4nXF-ih-eGsXvAqPJpatoWH3Wc75lw</t>
  </si>
  <si>
    <t>https://docs.google.com/document/d/174ggXQ2fRv-Sp4nXF-ih-eGsXvAqPJpatoWH3Wc75lw/edit?usp=drivesdk</t>
  </si>
  <si>
    <t>Document successfully created; Document successfully merged; Run via form trigger as kemal.stafsus@gmail.com; Timestamp: Jul 1 2022 4:14 AM</t>
  </si>
  <si>
    <t>https://drive.google.com/open?id=1keKUA7h59ULGQjJLcgPs_NhjJZCZv0bj</t>
  </si>
  <si>
    <t>https://drive.google.com/uc?export=view&amp;id=1keKUA7h59ULGQjJLcgPs_NhjJZCZv0bj</t>
  </si>
  <si>
    <t>Fitria Nunung Sulastri, S.Pd.</t>
  </si>
  <si>
    <t>081391821212</t>
  </si>
  <si>
    <t>3328095504910923</t>
  </si>
  <si>
    <t>Jl. Kebanggaan No.28 Rt.07/06 Cempaka Putih Barat, Cempaka Putih, Jakarta Pusat, 10520</t>
  </si>
  <si>
    <t>15-04-1991</t>
  </si>
  <si>
    <t>S1- Indraprasta PGRI</t>
  </si>
  <si>
    <t>Guru Bahasa Inggris SMA Ksatrya (2014-2016)</t>
  </si>
  <si>
    <t>Wakil Kepala Sekolah Bidang Kurikulum dan Guru Bahasa Inggris  (2014-2019)</t>
  </si>
  <si>
    <t>0380713132</t>
  </si>
  <si>
    <t>fitriashena@gmail.com</t>
  </si>
  <si>
    <t>1SUeCqh7unYMPopg6JltFmaii4BLvP3XVKRJEED_LC6U</t>
  </si>
  <si>
    <t>https://docs.google.com/document/d/1SUeCqh7unYMPopg6JltFmaii4BLvP3XVKRJEED_LC6U/edit?usp=drivesdk</t>
  </si>
  <si>
    <t>Document successfully created; Document successfully merged; Run via form trigger as kemal.stafsus@gmail.com; Timestamp: Jul 2 2022 4:01 AM</t>
  </si>
  <si>
    <t>https://drive.google.com/open?id=1JC_hp7dJt3MS5niwwswQwDzhGLBATvHG</t>
  </si>
  <si>
    <t>https://drive.google.com/uc?export=view&amp;id=1JC_hp7dJt3MS5niwwswQwDzhGLBATvHG</t>
  </si>
  <si>
    <t>Noviani Utami, M.Pd</t>
  </si>
  <si>
    <t>081310964749</t>
  </si>
  <si>
    <t>3671014811890002</t>
  </si>
  <si>
    <t>Jalan Daan Mogot km. 23 Gg. Pom bensin RT 02/07 No. 34 Tanah Tinggi Tangerang Kota Tangerang 15119</t>
  </si>
  <si>
    <t>08-11-1989</t>
  </si>
  <si>
    <t>32 tahun 7 bulan</t>
  </si>
  <si>
    <t>Kindergarten</t>
  </si>
  <si>
    <t>Guru IPA</t>
  </si>
  <si>
    <t>noviani.utami@gmail.com</t>
  </si>
  <si>
    <t>1SzRbgPyae4akZO2weZYAU2FfkRCxm7pdQI5ad6kMZXE</t>
  </si>
  <si>
    <t>https://docs.google.com/document/d/1SzRbgPyae4akZO2weZYAU2FfkRCxm7pdQI5ad6kMZXE/edit?usp=drivesdk</t>
  </si>
  <si>
    <t>Document successfully created; Document successfully merged; Run via form trigger as kemal.stafsus@gmail.com; Timestamp: Jul 3 2022 11:00 AM</t>
  </si>
  <si>
    <t>https://drive.google.com/open?id=137LvFbmtxkUqdCYjQSOdFRorhhzVIoU_</t>
  </si>
  <si>
    <t>https://drive.google.com/uc?export=view&amp;id=137LvFbmtxkUqdCYjQSOdFRorhhzVIoU_</t>
  </si>
  <si>
    <t>Risti Sifa' Fadhillah, S.Si, M.Biomed</t>
  </si>
  <si>
    <t>081511204904</t>
  </si>
  <si>
    <t>1471125409940001</t>
  </si>
  <si>
    <t>Jl. Salvia 2 Blok UH No. 12, RT.4/RW.6, Rw. Buntu, Kec. Serpong, Kota Tangerang Selatan, Banten 15310</t>
  </si>
  <si>
    <t>14-09-1994</t>
  </si>
  <si>
    <t>27 tahun 9 bulan</t>
  </si>
  <si>
    <t>Program Magister Ilmu Biomedik</t>
  </si>
  <si>
    <t>Guru Biologi CIE AS &amp; A Level SMA Insan Cendekia Madani</t>
  </si>
  <si>
    <t>risti.sifa71@alumni.ui.ac.id</t>
  </si>
  <si>
    <t>19S5tS93uHjH0aGR_skr_imD7MWROhYAg8WPujNmpuEg</t>
  </si>
  <si>
    <t>https://docs.google.com/document/d/19S5tS93uHjH0aGR_skr_imD7MWROhYAg8WPujNmpuEg/edit?usp=drivesdk</t>
  </si>
  <si>
    <t>Document successfully created; Document successfully merged; Run via form trigger as kemal.stafsus@gmail.com; Timestamp: Jul 4 2022 12:06 AM</t>
  </si>
  <si>
    <t>https://drive.google.com/open?id=1Y0yX__jdGoND-TGGcSmgfitaGZ3O1Oc9</t>
  </si>
  <si>
    <t>https://drive.google.com/uc?export=view&amp;id=1Y0yX__jdGoND-TGGcSmgfitaGZ3O1Oc9</t>
  </si>
  <si>
    <t>Dwi Yulianto, M.Pd</t>
  </si>
  <si>
    <t>081292928306</t>
  </si>
  <si>
    <t>3604161707880002</t>
  </si>
  <si>
    <t>Jalan Raya Pengasinan Kelurahan Pengasinan, Kecamatan, Pengasinan, Kec. Sawangan, Kota Depok, Jawa Barat 16518</t>
  </si>
  <si>
    <t>17-07-1988</t>
  </si>
  <si>
    <t>34 Tahun</t>
  </si>
  <si>
    <t>Universitas Sultan Agengtirtayasa</t>
  </si>
  <si>
    <t>Pondok Pesantren Daar El Qolam 4</t>
  </si>
  <si>
    <t>STKIP La Tansa Mashiro</t>
  </si>
  <si>
    <t>009901176423</t>
  </si>
  <si>
    <t>Permata Bank</t>
  </si>
  <si>
    <t>dwiyulianto554@gmail.com</t>
  </si>
  <si>
    <t>1V7mES7VnoqU3MOJdLMF6QjedurvuJAQc5_49a8kqxvQ</t>
  </si>
  <si>
    <t>https://docs.google.com/document/d/1V7mES7VnoqU3MOJdLMF6QjedurvuJAQc5_49a8kqxvQ/edit?usp=drivesdk</t>
  </si>
  <si>
    <t>Document successfully created; Document successfully merged; Run via form trigger as kemal.stafsus@gmail.com; Timestamp: Jul 4 2022 12:36 AM</t>
  </si>
  <si>
    <t>https://drive.google.com/open?id=1hCOvYrYaM1MDpgnaV7i7HyoLyXYBj2-L</t>
  </si>
  <si>
    <t>https://drive.google.com/uc?export=view&amp;id=1hCOvYrYaM1MDpgnaV7i7HyoLyXYBj2-L</t>
  </si>
  <si>
    <t>Luthfiana Ulfah, S.Pd</t>
  </si>
  <si>
    <t>0895609114180</t>
  </si>
  <si>
    <t>3216024511950007</t>
  </si>
  <si>
    <t xml:space="preserve">Perumahan Madani 11 Babelan Kota Bekasi Utara </t>
  </si>
  <si>
    <t>05-11-1995</t>
  </si>
  <si>
    <t>26 Tahun 8 bulan</t>
  </si>
  <si>
    <t xml:space="preserve">PAI English </t>
  </si>
  <si>
    <t xml:space="preserve">STAI ATTAQWA BEKASI </t>
  </si>
  <si>
    <t xml:space="preserve">Guru PAI di SMK IT. Attaqwa 9 </t>
  </si>
  <si>
    <t xml:space="preserve">
Waka Kurikulum (Ponpes Al Khalifah)
Guru Bahasa Inggris (Ponpes Al Khalifah)</t>
  </si>
  <si>
    <t>luthfianaulfah392@gmail.com</t>
  </si>
  <si>
    <t>1CZUZbIM1IE7OVWfFlq_F0unNd2llnfocLAGUc5WYw7k</t>
  </si>
  <si>
    <t>https://docs.google.com/document/d/1CZUZbIM1IE7OVWfFlq_F0unNd2llnfocLAGUc5WYw7k/edit?usp=drivesdk</t>
  </si>
  <si>
    <t>Document successfully created; Document successfully merged; Run via form trigger as kemal.stafsus@gmail.com; Timestamp: Jul 4 2022 2:11 AM</t>
  </si>
  <si>
    <t>https://drive.google.com/open?id=1Omf55zyyIKWdch6zxsu36gGuWtLVPs-1</t>
  </si>
  <si>
    <t>https://drive.google.com/uc?export=view&amp;id=1Omf55zyyIKWdch6zxsu36gGuWtLVPs-1</t>
  </si>
  <si>
    <t xml:space="preserve">Dinan Fakhrana Ramadhani, S.Si. </t>
  </si>
  <si>
    <t>081357108255</t>
  </si>
  <si>
    <t>3216064702960011</t>
  </si>
  <si>
    <t>Kompas Indah, Jl. Andong A8/10, Tambun Selatan, Kab. Bekasi, Jawa Barat</t>
  </si>
  <si>
    <t>07-02-1996</t>
  </si>
  <si>
    <t>PTN (Strata-1) - Institut Teknologi Sepuluh Nopember</t>
  </si>
  <si>
    <t>Matematika - Ilmu Komputer</t>
  </si>
  <si>
    <t>Data Analyst - PT Mitsubishi Motors Krama Yudha Sales Indonesia</t>
  </si>
  <si>
    <t>dinan7296@gmail.com</t>
  </si>
  <si>
    <t>1vh5Ne2OxHw5XxtJAEazdqcOpV95QtNrQGyjQY7pngjc</t>
  </si>
  <si>
    <t>https://docs.google.com/document/d/1vh5Ne2OxHw5XxtJAEazdqcOpV95QtNrQGyjQY7pngjc/edit?usp=drivesdk</t>
  </si>
  <si>
    <t>Document successfully created; Document successfully merged; Run via form trigger as kemal.stafsus@gmail.com; Timestamp: Jul 4 2022 3:37 AM</t>
  </si>
  <si>
    <t>https://drive.google.com/open?id=119QZvL8wLFB3PvMD_Rr-uTrUrqqeMN2G</t>
  </si>
  <si>
    <t>https://drive.google.com/uc?export=view&amp;id=119QZvL8wLFB3PvMD_Rr-uTrUrqqeMN2G</t>
  </si>
  <si>
    <t>UTOROADJI TUNGGUL ANGGORO</t>
  </si>
  <si>
    <t>0818483948</t>
  </si>
  <si>
    <t>3603280805840006</t>
  </si>
  <si>
    <t>Jl. Danau Bratan 5 Blok AD 5 no.14 RT06 RW06 Catalina Gading Serpong Tangerang</t>
  </si>
  <si>
    <t>08-05-1984</t>
  </si>
  <si>
    <t>38 Tahun 1 bulan</t>
  </si>
  <si>
    <t>Guru Matematika (FIWA)</t>
  </si>
  <si>
    <t>Guru Matematika, Fisika, Kimia (Rumah Belajar Clavius)</t>
  </si>
  <si>
    <t>tec_maniac_sg@yahoo.com.sg</t>
  </si>
  <si>
    <t>1DLgjjAlYQCd3ObzxAwUyYp7wWc1VHyidQCNUJNVDZMU</t>
  </si>
  <si>
    <t>https://docs.google.com/document/d/1DLgjjAlYQCd3ObzxAwUyYp7wWc1VHyidQCNUJNVDZMU/edit?usp=drivesdk</t>
  </si>
  <si>
    <t>Document successfully created; Document successfully merged; Run via form trigger as kemal.stafsus@gmail.com; Timestamp: Jul 4 2022 7:06 AM</t>
  </si>
  <si>
    <t>https://drive.google.com/open?id=1PbxARvt3ifi7O9DubEmStiuKsUfWN_s7</t>
  </si>
  <si>
    <t>https://drive.google.com/uc?export=view&amp;id=1PbxARvt3ifi7O9DubEmStiuKsUfWN_s7</t>
  </si>
  <si>
    <t>Aditya Krishna Subagiyo</t>
  </si>
  <si>
    <t>08119911190</t>
  </si>
  <si>
    <t>3174012208900004</t>
  </si>
  <si>
    <t>Teras 1 Candraloka Blok B3 No.8, Telaga Kahuripan, Kabupaten Bogor</t>
  </si>
  <si>
    <t>22-08-1990</t>
  </si>
  <si>
    <t>Subject Leader STEM</t>
  </si>
  <si>
    <t>Mathematics Teacher - Education Consultant</t>
  </si>
  <si>
    <t>adit220890@gmail.com</t>
  </si>
  <si>
    <t>1GloN4hGUq9jzUTL0-rN5NItC8ZdyGef8e0WS1p04jEs</t>
  </si>
  <si>
    <t>https://docs.google.com/document/d/1GloN4hGUq9jzUTL0-rN5NItC8ZdyGef8e0WS1p04jEs/edit?usp=drivesdk</t>
  </si>
  <si>
    <t>Document successfully created; Document successfully merged; Run via form trigger as kemal.stafsus@gmail.com; Timestamp: Jul 4 2022 4:40 PM</t>
  </si>
  <si>
    <t>https://drive.google.com/open?id=19EJ9wcjKtMpF7H5B5D6RmavgK5rYjbjV</t>
  </si>
  <si>
    <t>https://drive.google.com/uc?export=view&amp;id=19EJ9wcjKtMpF7H5B5D6RmavgK5rYjbjV</t>
  </si>
  <si>
    <t>Rika Hardianti Tenri, S.Pd.</t>
  </si>
  <si>
    <t>082123459648</t>
  </si>
  <si>
    <t>3671094212960008</t>
  </si>
  <si>
    <t>KP. KARANGANYAR</t>
  </si>
  <si>
    <t>02121996</t>
  </si>
  <si>
    <t>Guru Bahasa Inggris di Glorious Education Centre</t>
  </si>
  <si>
    <t>rikahardianti70@gmail.com</t>
  </si>
  <si>
    <t>1dWsi2S71A9OpYE7IO12-w7usv4I_iH0rQcLYi3NTqk0</t>
  </si>
  <si>
    <t>https://docs.google.com/document/d/1dWsi2S71A9OpYE7IO12-w7usv4I_iH0rQcLYi3NTqk0/edit?usp=drivesdk</t>
  </si>
  <si>
    <t>Document successfully created; Document successfully merged; Run via form trigger as kemal.stafsus@gmail.com; Timestamp: Jul 4 2022 6:42 PM</t>
  </si>
  <si>
    <t>https://drive.google.com/open?id=1njpF1tMvLzQHPcOeG3oLglxQ9ISYPNVw</t>
  </si>
  <si>
    <t>https://drive.google.com/uc?export=view&amp;id=1njpF1tMvLzQHPcOeG3oLglxQ9ISYPNVw</t>
  </si>
  <si>
    <t>Karnilah Spd</t>
  </si>
  <si>
    <t>085720751241</t>
  </si>
  <si>
    <t>3202106102960002</t>
  </si>
  <si>
    <t>Jalan Pelabuhan 2 km 19  Kampung Cilangkap RT 002 RW 006 Desa Cikembar Kecamatan  Cikembar Kabupaten Sukabumi, Jawa barat</t>
  </si>
  <si>
    <t>21-02-1996</t>
  </si>
  <si>
    <t xml:space="preserve">STIBA Arraayah </t>
  </si>
  <si>
    <t>Guru Arabic, Tarikh, Pembina musyrifah, Pengampu Tahfiz</t>
  </si>
  <si>
    <t>karnilahhm@gmail.com</t>
  </si>
  <si>
    <t>1rKb84STJHK9kdbz9_dIFv-kgFQFPggSmjGRZiRwcDqw</t>
  </si>
  <si>
    <t>https://docs.google.com/document/d/1rKb84STJHK9kdbz9_dIFv-kgFQFPggSmjGRZiRwcDqw/edit?usp=drivesdk</t>
  </si>
  <si>
    <t>Document successfully created; Document successfully merged; Run via form trigger as kemal.stafsus@gmail.com; Timestamp: Jul 6 2022 12:15 AM</t>
  </si>
  <si>
    <t>https://drive.google.com/open?id=1ICYRuHXyTPNmVNutFZU40m2Iuik-vugp</t>
  </si>
  <si>
    <t>https://drive.google.com/uc?export=view&amp;id=1ICYRuHXyTPNmVNutFZU40m2Iuik-vugp</t>
  </si>
  <si>
    <t xml:space="preserve">Bentar Nuur Robbikah, S.S., CH., CHt. </t>
  </si>
  <si>
    <t>+6285691451804</t>
  </si>
  <si>
    <t>3603140305870002</t>
  </si>
  <si>
    <t>Jl. SMPN 1 Kosambi, Kp Talok RT 13 /07 no. 103, Cengklong, Kosambi, Tangerang 15212</t>
  </si>
  <si>
    <t>03-05-1987</t>
  </si>
  <si>
    <t>35 tahun 2 bulan</t>
  </si>
  <si>
    <t xml:space="preserve">English </t>
  </si>
  <si>
    <t xml:space="preserve">UIN Syarif Hidayatullah Jakarta </t>
  </si>
  <si>
    <t xml:space="preserve">Bahasa dan Sastra Inggris </t>
  </si>
  <si>
    <t>3.17</t>
  </si>
  <si>
    <t xml:space="preserve">Universitas Prof. Dr. Hamka Jakarta </t>
  </si>
  <si>
    <t>(SIPN Cairo) Guru Bahasa Inggris, Koordinator Cambridge, Operator Dapodik SMA</t>
  </si>
  <si>
    <t xml:space="preserve">(Pelita Kasih School Jakarta) Guru Bahasa Inggris </t>
  </si>
  <si>
    <t xml:space="preserve">(Mutiara Bangsa 2 School) Guru Bahasa Inggris, Pembina OSIS </t>
  </si>
  <si>
    <t>6,5 - 7,5 jt</t>
  </si>
  <si>
    <t>0983019092</t>
  </si>
  <si>
    <t>bentar.nr@gmail.com</t>
  </si>
  <si>
    <t>1f-F61yukPsFRfxQvaCVRKyx8BAP-QKW97yw8zvFdpis</t>
  </si>
  <si>
    <t>https://docs.google.com/document/d/1f-F61yukPsFRfxQvaCVRKyx8BAP-QKW97yw8zvFdpis/edit?usp=drivesdk</t>
  </si>
  <si>
    <t>Document successfully created; Document successfully merged; Run via form trigger as kemal.stafsus@gmail.com; Timestamp: Jul 7 2022 5:28 AM</t>
  </si>
  <si>
    <t>https://drive.google.com/open?id=10lfDDOOY7AZqdPBZv7t8YNw0znCtr9g9</t>
  </si>
  <si>
    <t>https://drive.google.com/uc?export=view&amp;id=10lfDDOOY7AZqdPBZv7t8YNw0znCtr9g9</t>
  </si>
  <si>
    <t>Agus Necholase, SS., MM.</t>
  </si>
  <si>
    <t>081382377511</t>
  </si>
  <si>
    <t xml:space="preserve">Bumi Indah City, Cluster Victoria Jl.Victoria 3 Blok VO No.35 Rt.08 Rw.22 Pasar Kemis Kab.Tangerang </t>
  </si>
  <si>
    <t>17-08-1982</t>
  </si>
  <si>
    <t>39 tahun, 11 bulan</t>
  </si>
  <si>
    <t>PTS - Universitas Gunadarma</t>
  </si>
  <si>
    <t>English Teacher, EF Karawaci</t>
  </si>
  <si>
    <t>General Manager, Empire Shisha Cafe, PIK</t>
  </si>
  <si>
    <t>English Teacher, Gandhi School Ancol, Jakarta Utara</t>
  </si>
  <si>
    <t>a.necholase@gmail.com</t>
  </si>
  <si>
    <t>1ehYFoWVIrgBevcElLSWaHPN1a9VZx4JZlysYtFCUdAM</t>
  </si>
  <si>
    <t>https://docs.google.com/document/d/1ehYFoWVIrgBevcElLSWaHPN1a9VZx4JZlysYtFCUdAM/edit?usp=drivesdk</t>
  </si>
  <si>
    <t>Document successfully created; Document successfully merged; Run via form trigger as kemal.stafsus@gmail.com; Timestamp: Jul 7 2022 7:07 AM</t>
  </si>
  <si>
    <t>https://drive.google.com/open?id=1YQ21k6LZwynczkrZeQKWQP52wvnynteK</t>
  </si>
  <si>
    <t>https://drive.google.com/uc?export=view&amp;id=1YQ21k6LZwynczkrZeQKWQP52wvnynteK</t>
  </si>
  <si>
    <t>Annisa</t>
  </si>
  <si>
    <t>+6285314192495</t>
  </si>
  <si>
    <t>3278024106960010/B9169770</t>
  </si>
  <si>
    <t>Kota Tasikmalaya</t>
  </si>
  <si>
    <t>01 Juni 1996</t>
  </si>
  <si>
    <t xml:space="preserve">ELTI Gramedia Tasikmalaya </t>
  </si>
  <si>
    <t>SMP IT Islahul Ummah Boarding School</t>
  </si>
  <si>
    <t>Rp. 1000.000</t>
  </si>
  <si>
    <t>Eye Level Tasikmalaya</t>
  </si>
  <si>
    <t>Rp. 4.500.000 - Rp. 5.500.000 (Negotiable)</t>
  </si>
  <si>
    <t>annisautami6991@gmail.com</t>
  </si>
  <si>
    <t>1B7vsNIm88_jNDJb38_IYywOflpeToJSgoyG4i-XEA3c</t>
  </si>
  <si>
    <t>https://docs.google.com/document/d/1B7vsNIm88_jNDJb38_IYywOflpeToJSgoyG4i-XEA3c/edit?usp=drivesdk</t>
  </si>
  <si>
    <t>Document successfully created; Document successfully merged; Run via form trigger as kemal.stafsus@gmail.com; Timestamp: Jul 7 2022 9:07 AM</t>
  </si>
  <si>
    <t>https://drive.google.com/open?id=1MvxsBQO16sx_TXX3zrtgR8SmoUvfcka_</t>
  </si>
  <si>
    <t>https://drive.google.com/uc?export=view&amp;id=1MvxsBQO16sx_TXX3zrtgR8SmoUvfcka_</t>
  </si>
  <si>
    <t xml:space="preserve">Mugiriyanto, S. Pd., M. Pd. </t>
  </si>
  <si>
    <t>08567417499</t>
  </si>
  <si>
    <t>3301013001790001</t>
  </si>
  <si>
    <t>Perumahan Villa Bintang Mas No. A. 19 Rt. 009 Rw. 005. Kelurahan Keranggan. Kecamatan Setu. Kota Tangerang Selatan. Propinsi Banten
Kode Pos 15312</t>
  </si>
  <si>
    <t>30-01-1979</t>
  </si>
  <si>
    <t>43 tahun 6 bulan</t>
  </si>
  <si>
    <t>Guru Bahasa Indonesia</t>
  </si>
  <si>
    <t>UMP (UNIVERSITAS MUHAMMADIYAH PURWOKERTO</t>
  </si>
  <si>
    <t xml:space="preserve">PBSI (Pendidikan Bahasa Sastra Indonesia dan Daerah) </t>
  </si>
  <si>
    <t>3, 24</t>
  </si>
  <si>
    <t xml:space="preserve">UNIGAL (UNIVERSITAS GALUH CIAMIS) </t>
  </si>
  <si>
    <t>Administrasi Pendidikan</t>
  </si>
  <si>
    <t xml:space="preserve">SMPIT/SMAIT GRANADA TANGERANG (TAHUN 2015 S.D. 2018) </t>
  </si>
  <si>
    <t xml:space="preserve">UNIVERSITAS MERCU BUANA JAKARTA (DOSEN HONOR) (2018 S.D. SEKARANG) </t>
  </si>
  <si>
    <t xml:space="preserve">UNIVERSITAS DIAN NUSANTARA (DOSEN HONOR) (2019 S.D. SEKARANG) </t>
  </si>
  <si>
    <t xml:space="preserve">BSI (BANK SYARIAH INDONESIA) </t>
  </si>
  <si>
    <t>mugiriyanto@gmail.com</t>
  </si>
  <si>
    <t>1G3rXyPaWas56dNpdEnBWO5G3O2ikodii37B18ergiBg</t>
  </si>
  <si>
    <t>https://docs.google.com/document/d/1G3rXyPaWas56dNpdEnBWO5G3O2ikodii37B18ergiBg/edit?usp=drivesdk</t>
  </si>
  <si>
    <t>Document successfully created; Document successfully merged; Run via form trigger as kemal.stafsus@gmail.com; Timestamp: Jul 7 2022 9:40 PM</t>
  </si>
  <si>
    <t>https://drive.google.com/open?id=1Jw0dRb4Z2fEtcrdMfUMXrVC3SfWbHjew</t>
  </si>
  <si>
    <t>https://drive.google.com/uc?export=view&amp;id=1Jw0dRb4Z2fEtcrdMfUMXrVC3SfWbHjew</t>
  </si>
  <si>
    <t>Arfierahman, S.Pd, M.Pd.</t>
  </si>
  <si>
    <t>081231371618</t>
  </si>
  <si>
    <t>1371111811880008</t>
  </si>
  <si>
    <t>Rumah: Komplek Graha Asri Jl. Cikopo Selatan No.62, Kec. Megamendung, Kab. Bogor
Kontrakan: Grand Cikarang City, Komplek Asoka, H.19/22, Karangraharja, Cikarang</t>
  </si>
  <si>
    <t>18-11-1988</t>
  </si>
  <si>
    <t xml:space="preserve">Universitas Negeri Padang </t>
  </si>
  <si>
    <t>Pendidika Bahasa</t>
  </si>
  <si>
    <t>Guru Pengajar Bahasa Inggris di Bimbel Bintang Pelajar</t>
  </si>
  <si>
    <t>range 2.000.000-5000.000an</t>
  </si>
  <si>
    <t>5.000.000 +</t>
  </si>
  <si>
    <t>arman18padank@gmail.com</t>
  </si>
  <si>
    <t>1xloGRWYy1Xv3HNLbi2w-IfJRjOI_PRTRb7w-rc4NG-0</t>
  </si>
  <si>
    <t>https://docs.google.com/document/d/1xloGRWYy1Xv3HNLbi2w-IfJRjOI_PRTRb7w-rc4NG-0/edit?usp=drivesdk</t>
  </si>
  <si>
    <t>Document successfully created; Document successfully merged; Run via form trigger as kemal.stafsus@gmail.com; Timestamp: Jul 7 2022 9:54 PM</t>
  </si>
  <si>
    <t>https://drive.google.com/open?id=1Edj7VdOjMX9BQXeZ7_m5kmzUvJIvNPyM</t>
  </si>
  <si>
    <t>https://drive.google.com/uc?export=view&amp;id=1Edj7VdOjMX9BQXeZ7_m5kmzUvJIvNPyM</t>
  </si>
  <si>
    <t>Annisa Fitri Nur Hanifah, S.Si</t>
  </si>
  <si>
    <t>088210137745</t>
  </si>
  <si>
    <t>3216076501990002</t>
  </si>
  <si>
    <t>Jl. SD Inpres, Cirendeu, Ciputat Timur, Tangerang Selatan</t>
  </si>
  <si>
    <t>25-01-1999</t>
  </si>
  <si>
    <t>Mathematics</t>
  </si>
  <si>
    <t>3.91</t>
  </si>
  <si>
    <t>Guru Homeschooling Pre-School
Guru Privat SD, SMP, SMA</t>
  </si>
  <si>
    <t>Guru Bimbel SMP dan SMA</t>
  </si>
  <si>
    <t>annisafitrinh@gmail.com</t>
  </si>
  <si>
    <t>1EJIEKc5qyz5ugs7clzg4kEm_hsfNkmfBJIkl6gMlZVg</t>
  </si>
  <si>
    <t>https://docs.google.com/document/d/1EJIEKc5qyz5ugs7clzg4kEm_hsfNkmfBJIkl6gMlZVg/edit?usp=drivesdk</t>
  </si>
  <si>
    <t>Document successfully created; Document successfully merged; Run via form trigger as kemal.stafsus@gmail.com; Timestamp: Jul 8 2022 3:46 AM</t>
  </si>
  <si>
    <t>https://drive.google.com/open?id=1pj0Lz3W0xJM5yMh2w8wLOb82lV0TMt4t</t>
  </si>
  <si>
    <t>https://drive.google.com/uc?export=view&amp;id=1pj0Lz3W0xJM5yMh2w8wLOb82lV0TMt4t</t>
  </si>
  <si>
    <t>Alvin Dior Al Ghifari, S.Si.</t>
  </si>
  <si>
    <t>081287058734</t>
  </si>
  <si>
    <t>3174061907950001</t>
  </si>
  <si>
    <t>Jl. Jaha No.54, RT 009 RW 001, Cilandak Timur, Pasar Minggu, Jakarta Selatan, 12560</t>
  </si>
  <si>
    <t>19-07-1995</t>
  </si>
  <si>
    <t>Universitas Islam Negeri Syarif Hidayatullah Jakarta</t>
  </si>
  <si>
    <t>Mengajar Les Privat SD, SMP, SMA</t>
  </si>
  <si>
    <t>200.000/sesi</t>
  </si>
  <si>
    <t>Guru IPA SDI Al-Achfas Dwi Matra</t>
  </si>
  <si>
    <t>alvindior@gmail.com</t>
  </si>
  <si>
    <t>1QgD-3gnEu9RZFVY6Kk4mZ-WmfHWZGndMq_xn1Yk3PHs</t>
  </si>
  <si>
    <t>https://docs.google.com/document/d/1QgD-3gnEu9RZFVY6Kk4mZ-WmfHWZGndMq_xn1Yk3PHs/edit?usp=drivesdk</t>
  </si>
  <si>
    <t>Document successfully created; Document successfully merged; Run via form trigger as kemal.stafsus@gmail.com; Timestamp: Jul 8 2022 6:51 AM</t>
  </si>
  <si>
    <t>https://drive.google.com/open?id=1eb-ygDMmHNiH7lcUxvtADji1Xfn_e7q0</t>
  </si>
  <si>
    <t>https://drive.google.com/uc?export=view&amp;id=1eb-ygDMmHNiH7lcUxvtADji1Xfn_e7q0</t>
  </si>
  <si>
    <t>Andrea Lestari Wibowo, S.S.</t>
  </si>
  <si>
    <t>085718988909</t>
  </si>
  <si>
    <t>Jl. Bunga 3 No. 46-B RT 004 RW 04, Kampung Baru, Jatibening Baru, Pondok Gede, Kota Bekasi 17412 - Jawa Barat</t>
  </si>
  <si>
    <t>06-02-1991</t>
  </si>
  <si>
    <t>Bahasa Inggris (English)</t>
  </si>
  <si>
    <t>S1 - Sastra Inggris (bidang minat penerjemahan)</t>
  </si>
  <si>
    <t>The University of Cambridge - Cambridge Language Assessment</t>
  </si>
  <si>
    <t>Level 5 Ofqual UK (Diploma) -  Cambridge CELTA</t>
  </si>
  <si>
    <t>Grade: Pass</t>
  </si>
  <si>
    <t>Posisi: ESL Teacher. Di: TBI - UniSadhuGuna</t>
  </si>
  <si>
    <t xml:space="preserve">Posisi: English Teacher. Di: The British Institute </t>
  </si>
  <si>
    <t>8.500.000-9.500.000</t>
  </si>
  <si>
    <t>ann.andrealw@gmail.com</t>
  </si>
  <si>
    <t>1rBAjHup8LARWxrzO6Wb2v5vO6aHOWokUUVzAZWtd51w</t>
  </si>
  <si>
    <t>https://docs.google.com/document/d/1rBAjHup8LARWxrzO6Wb2v5vO6aHOWokUUVzAZWtd51w/edit?usp=drivesdk</t>
  </si>
  <si>
    <t>Document successfully created; Document successfully merged; Run via form trigger as kemal.stafsus@gmail.com; Timestamp: Jul 8 2022 12:13 PM</t>
  </si>
  <si>
    <t>https://drive.google.com/open?id=1LnAGlG1edEDuJJ44SaLYpN50quhdLCJU</t>
  </si>
  <si>
    <t>https://drive.google.com/uc?export=view&amp;id=1LnAGlG1edEDuJJ44SaLYpN50quhdLCJU</t>
  </si>
  <si>
    <t>Kesya Adhalia Ganinduto S. Psi</t>
  </si>
  <si>
    <t>0817347498</t>
  </si>
  <si>
    <t>3174084704980003</t>
  </si>
  <si>
    <t>Jl. Kemang Timur V No. 34A Mampang Prapatan, Jakarta Selatan</t>
  </si>
  <si>
    <t>Melbourne</t>
  </si>
  <si>
    <t>07-04-1998</t>
  </si>
  <si>
    <t>University of Melbourne</t>
  </si>
  <si>
    <t>Bachelor of Arts</t>
  </si>
  <si>
    <t>WAM = 75.56/100</t>
  </si>
  <si>
    <t>Political Researcher</t>
  </si>
  <si>
    <t>kesyaadhalia@gmail.com</t>
  </si>
  <si>
    <t>1dZ8Fq64EPdN8IzCkaM-QgceYgy3cTkDnk038OMc-qso</t>
  </si>
  <si>
    <t>https://docs.google.com/document/d/1dZ8Fq64EPdN8IzCkaM-QgceYgy3cTkDnk038OMc-qso/edit?usp=drivesdk</t>
  </si>
  <si>
    <t>Document successfully created; Document successfully merged; Run via form trigger as kemal.stafsus@gmail.com; Timestamp: Jul 12 2022 8:55 PM</t>
  </si>
  <si>
    <t>https://drive.google.com/open?id=1kP8lV6YyE91z2u0lrrmLVw0pyTqBnYVK</t>
  </si>
  <si>
    <t>https://drive.google.com/uc?export=view&amp;id=1kP8lV6YyE91z2u0lrrmLVw0pyTqBnYVK</t>
  </si>
  <si>
    <t>Hanifa Diba Widjaya, S. Hum.</t>
  </si>
  <si>
    <t>087857062884</t>
  </si>
  <si>
    <t>3174066311001002</t>
  </si>
  <si>
    <t>Jl. Madrasah No. 55 Cilandak, Gandaria Selatan 12420</t>
  </si>
  <si>
    <t>23-11-2000</t>
  </si>
  <si>
    <t>21 tahun 8 bulan</t>
  </si>
  <si>
    <t>S1 Universitas Indonesia</t>
  </si>
  <si>
    <t xml:space="preserve">Pengajar Bimbingan Belajar BTA untuk mata pelajaran Bahasa Inggris </t>
  </si>
  <si>
    <t>BNI (ATM BNI KLN PIM-2)</t>
  </si>
  <si>
    <t>hanifadibaaa@gmail.com</t>
  </si>
  <si>
    <t>1YNW6aw3GlZHX-Uj7ngL9IAjyogxmFQ33_lWKYYTICjg</t>
  </si>
  <si>
    <t>https://docs.google.com/document/d/1YNW6aw3GlZHX-Uj7ngL9IAjyogxmFQ33_lWKYYTICjg/edit?usp=drivesdk</t>
  </si>
  <si>
    <t>Document successfully created; Document successfully merged; Run via form trigger as kemal.stafsus@gmail.com; Timestamp: Jul 12 2022 10:30 PM</t>
  </si>
  <si>
    <t>https://drive.google.com/open?id=1mfAYUPybrX1mOE9MhJa9IdGwGD5bnYcQ</t>
  </si>
  <si>
    <t>https://drive.google.com/uc?export=view&amp;id=1mfAYUPybrX1mOE9MhJa9IdGwGD5bnYcQ</t>
  </si>
  <si>
    <t>ADHIE LEGOWO, SP.d.</t>
  </si>
  <si>
    <t>3374131206920001</t>
  </si>
  <si>
    <t xml:space="preserve">jl putat nutug, putat nutug, ciseeng, kabupaten bogor </t>
  </si>
  <si>
    <t>12-06-1992</t>
  </si>
  <si>
    <t>Math cambridge</t>
  </si>
  <si>
    <t>PTN - Universitas Negeri Semarang</t>
  </si>
  <si>
    <t>Guru Bimbel Sinotif Matematika SMA</t>
  </si>
  <si>
    <t>Guru Math Cambridge FIWA</t>
  </si>
  <si>
    <t>adhielegowo@gmail.com</t>
  </si>
  <si>
    <t>1wILWM1_tYSXF2p6jcgFWlT2oIIMFijxEM9wl6BCMZ8k</t>
  </si>
  <si>
    <t>https://docs.google.com/document/d/1wILWM1_tYSXF2p6jcgFWlT2oIIMFijxEM9wl6BCMZ8k/edit?usp=drivesdk</t>
  </si>
  <si>
    <t>Document successfully created; Document successfully merged; Run via form trigger as kemal.stafsus@gmail.com; Timestamp: Jul 12 2022 11:53 PM</t>
  </si>
  <si>
    <t>https://drive.google.com/open?id=1Aobb_hesk-uK46aEx_d9LZPoWajkpTF5</t>
  </si>
  <si>
    <t>https://drive.google.com/uc?export=view&amp;id=1Aobb_hesk-uK46aEx_d9LZPoWajkpTF5</t>
  </si>
  <si>
    <t xml:space="preserve">Sony Kurniawan </t>
  </si>
  <si>
    <t>081280899656</t>
  </si>
  <si>
    <t>3173061107900012</t>
  </si>
  <si>
    <t xml:space="preserve">Jalan Kumbang Raya RT 2/1 Kelurahan Pegadungan Kalideres Jakarta Barat </t>
  </si>
  <si>
    <t>11-07-1990</t>
  </si>
  <si>
    <t>32 tahun 0 bulan</t>
  </si>
  <si>
    <t xml:space="preserve">Universitas Indraprasta PGRI </t>
  </si>
  <si>
    <t>Guru Bahasa Inggris SMP - SMA</t>
  </si>
  <si>
    <t xml:space="preserve">Kepala SMK Indonesia Global </t>
  </si>
  <si>
    <t xml:space="preserve">Homeroom Teacher Daarul Qur'an International School </t>
  </si>
  <si>
    <t>sonykurniawan161@gmail.com</t>
  </si>
  <si>
    <t>1hBmPDUdVLBJ1e8d-4aAWILuabGAu_X0C-TFernW3Txo</t>
  </si>
  <si>
    <t>https://docs.google.com/document/d/1hBmPDUdVLBJ1e8d-4aAWILuabGAu_X0C-TFernW3Txo/edit?usp=drivesdk</t>
  </si>
  <si>
    <t>Document successfully created; Document successfully merged; Run via form trigger as kemal.stafsus@gmail.com; Timestamp: Jul 13 2022 1:15 AM</t>
  </si>
  <si>
    <t>https://drive.google.com/open?id=197hyNbKO9ohXFZwlf5g44zCWA_KiPsU6</t>
  </si>
  <si>
    <t>https://drive.google.com/uc?export=view&amp;id=197hyNbKO9ohXFZwlf5g44zCWA_KiPsU6</t>
  </si>
  <si>
    <t>Hikmah Maesaroh, S.H</t>
  </si>
  <si>
    <t>0895320709303</t>
  </si>
  <si>
    <t>3301025203970002</t>
  </si>
  <si>
    <t>12 Maret 1997</t>
  </si>
  <si>
    <t>Arabic, diniyyah, Qur'an</t>
  </si>
  <si>
    <t>Ahwal Syakhsiyyah</t>
  </si>
  <si>
    <t>Guru Diniyyah, Muhafidzoh, Musyrifah di Pondok pesantren Minhajul Haq Purwakarta</t>
  </si>
  <si>
    <t>hikmahmaesaro@gmail.com</t>
  </si>
  <si>
    <t>1O8JpBeMIbXJLKjdeYcDnyTU8IWabfGDN-fwU7NHvM8Q</t>
  </si>
  <si>
    <t>https://docs.google.com/document/d/1O8JpBeMIbXJLKjdeYcDnyTU8IWabfGDN-fwU7NHvM8Q/edit?usp=drivesdk</t>
  </si>
  <si>
    <t>Document successfully created; Document successfully merged; Run via form trigger as kemal.stafsus@gmail.com; Timestamp: Jul 13 2022 11:29 PM</t>
  </si>
  <si>
    <t>https://drive.google.com/open?id=12sE9DyW8ZW3AMvcBX44pOvvureOoaxJR</t>
  </si>
  <si>
    <t>https://drive.google.com/uc?export=view&amp;id=12sE9DyW8ZW3AMvcBX44pOvvureOoaxJR</t>
  </si>
  <si>
    <t>Jalaluddin</t>
  </si>
  <si>
    <t>082339774724</t>
  </si>
  <si>
    <t>5203080808780009</t>
  </si>
  <si>
    <t>Labuhan lombok, lotim, NTB</t>
  </si>
  <si>
    <t>Labuhan Lombok</t>
  </si>
  <si>
    <t>08/08/1978</t>
  </si>
  <si>
    <t>Ketua Yayasan IQS</t>
  </si>
  <si>
    <t>Pembina Rumah Tahfidz</t>
  </si>
  <si>
    <t>Admin &amp; Teknisi Komputer di CV.BAURA</t>
  </si>
  <si>
    <t>ibrahimjalaluddin78@gmail.com</t>
  </si>
  <si>
    <t>1p7xjXR4juxt4CNrI5BvpKou4Q6BAuE5D1wCoqnLE5Ws</t>
  </si>
  <si>
    <t>https://docs.google.com/document/d/1p7xjXR4juxt4CNrI5BvpKou4Q6BAuE5D1wCoqnLE5Ws/edit?usp=drivesdk</t>
  </si>
  <si>
    <t>Document successfully created; Document successfully merged; Run via form trigger as kemal.stafsus@gmail.com; Timestamp: Jul 14 2022 12:05 AM</t>
  </si>
  <si>
    <t>https://drive.google.com/open?id=1nzgZ9VWc_B1kYAVfj5S-K7YBOAtaUqMN</t>
  </si>
  <si>
    <t>https://drive.google.com/uc?export=view&amp;id=1nzgZ9VWc_B1kYAVfj5S-K7YBOAtaUqMN</t>
  </si>
  <si>
    <t xml:space="preserve">Abubakar Shaban Omar </t>
  </si>
  <si>
    <t>TAE467180</t>
  </si>
  <si>
    <t xml:space="preserve">Sarijadi Bandung </t>
  </si>
  <si>
    <t xml:space="preserve">Kigoma (Tanzania) </t>
  </si>
  <si>
    <t>20/11/1990</t>
  </si>
  <si>
    <t xml:space="preserve">31 tahun 8 bulan </t>
  </si>
  <si>
    <t xml:space="preserve">Physics /Chemistry </t>
  </si>
  <si>
    <t xml:space="preserve">University Malaysia Sabah </t>
  </si>
  <si>
    <t xml:space="preserve">Electrical and electronics Engineering (honors) </t>
  </si>
  <si>
    <t xml:space="preserve">Fitrah Islamic world Academy </t>
  </si>
  <si>
    <t xml:space="preserve">International school Bandung </t>
  </si>
  <si>
    <t xml:space="preserve">Bank syariah Indonesia </t>
  </si>
  <si>
    <t>nidalislam007@gmail.com</t>
  </si>
  <si>
    <t>1ur89a6NLT93WggeiRP7vPu-G-_Po5BX3bS8_YeN_lds</t>
  </si>
  <si>
    <t>https://docs.google.com/document/d/1ur89a6NLT93WggeiRP7vPu-G-_Po5BX3bS8_YeN_lds/edit?usp=drivesdk</t>
  </si>
  <si>
    <t>Document successfully created; Document successfully merged; Run via form trigger as kemal.stafsus@gmail.com; Timestamp: Jul 14 2022 1:41 AM</t>
  </si>
  <si>
    <t>https://drive.google.com/open?id=1NBpxpJCZcQmhDfFrdENNmn_IpUbcUMlF</t>
  </si>
  <si>
    <t>https://drive.google.com/uc?export=view&amp;id=1NBpxpJCZcQmhDfFrdENNmn_IpUbcUMlF</t>
  </si>
  <si>
    <t>Agus Triyanto, S.Pd.I</t>
  </si>
  <si>
    <t>085811876682</t>
  </si>
  <si>
    <t>1806042708920004</t>
  </si>
  <si>
    <t>Beranda Ganesha 2. G 2 No 4 Perum Telaga Kahuripan Jampang Bogor</t>
  </si>
  <si>
    <t xml:space="preserve">Tanggamus Lampung </t>
  </si>
  <si>
    <t>27-08-1992</t>
  </si>
  <si>
    <t>Bahasa Arab (wali kelas 7 ME 1)</t>
  </si>
  <si>
    <t xml:space="preserve">Universitas Darussalam </t>
  </si>
  <si>
    <t>Pendidikan Agama Islam (PAI)</t>
  </si>
  <si>
    <t>Universitas Ibn Khaldun Bogor (on going)</t>
  </si>
  <si>
    <t>Pondok Darussalam Gontor</t>
  </si>
  <si>
    <t>(syarat pengambilan ijazah)</t>
  </si>
  <si>
    <t xml:space="preserve">SMP Nurussalam Depok  2 th </t>
  </si>
  <si>
    <t>Fitrah Islamic World Academy 4 th</t>
  </si>
  <si>
    <t>agustriyan27@gmail.com</t>
  </si>
  <si>
    <t>1dWg0W6Qn9J8vM4fxlxrjfRain_yGM55Jfu2YzNDZZD4</t>
  </si>
  <si>
    <t>https://docs.google.com/document/d/1dWg0W6Qn9J8vM4fxlxrjfRain_yGM55Jfu2YzNDZZD4/edit?usp=drivesdk</t>
  </si>
  <si>
    <t>Document successfully created; Document successfully merged; Run via form trigger as kemal.stafsus@gmail.com; Timestamp: Jul 14 2022 5:46 AM</t>
  </si>
  <si>
    <t>https://drive.google.com/open?id=1kDNcblUfPdndmshraXqBor4CmllqIqID</t>
  </si>
  <si>
    <t>https://drive.google.com/uc?export=view&amp;id=1kDNcblUfPdndmshraXqBor4CmllqIqID</t>
  </si>
  <si>
    <t>Rahmasari A.Md.Kep</t>
  </si>
  <si>
    <t>083866071872</t>
  </si>
  <si>
    <t>3311087010990001</t>
  </si>
  <si>
    <t>Sentul Bekonang 03/10 Mojolaban, Sukoharjo</t>
  </si>
  <si>
    <t>Sukoharjo</t>
  </si>
  <si>
    <t>30 Oktober 1999</t>
  </si>
  <si>
    <t>22 tahun 9 bulan</t>
  </si>
  <si>
    <t>Stikes Mamba’ul ‘Ulum Surakarta</t>
  </si>
  <si>
    <t>D3-Keperawatan</t>
  </si>
  <si>
    <t>Perawat di Ponpes Ibnu Abbas As Salafy Seagen</t>
  </si>
  <si>
    <t>rahmasa407@gmail.com</t>
  </si>
  <si>
    <t>1DT-GSqTx_4w5bP4cE6hYF-y5rlwW7XaS4s0b4TDXEQ8</t>
  </si>
  <si>
    <t>https://docs.google.com/document/d/1DT-GSqTx_4w5bP4cE6hYF-y5rlwW7XaS4s0b4TDXEQ8/edit?usp=drivesdk</t>
  </si>
  <si>
    <t>Document successfully created; Document successfully merged; Run via form trigger as kemal.stafsus@gmail.com; Timestamp: Jul 14 2022 11:22 AM</t>
  </si>
  <si>
    <t>https://drive.google.com/open?id=1O5wv03MF_vFEW3B6araHPiaNWW-f8OHG</t>
  </si>
  <si>
    <t>https://drive.google.com/uc?export=view&amp;id=1O5wv03MF_vFEW3B6araHPiaNWW-f8OHG</t>
  </si>
  <si>
    <t>Rizky Maulana Yusuf Amd.Kep</t>
  </si>
  <si>
    <t>089655752987</t>
  </si>
  <si>
    <t>3217012404990008</t>
  </si>
  <si>
    <t>jl. pasar panorama lembang no.54 rt/rw 03/03 bandung barat</t>
  </si>
  <si>
    <t>24-04-1999</t>
  </si>
  <si>
    <t>23 tahun 2 bulan</t>
  </si>
  <si>
    <t>Poltekes TNI AU Ciumbuleuit Bandung</t>
  </si>
  <si>
    <t>Wisma Isolasi Covid Universitas Indonesia</t>
  </si>
  <si>
    <t>Rumah Sakit Kementerian Pertahanan Suyoto Bintaro Jakarta Selatan</t>
  </si>
  <si>
    <t>Bintang Pelajar Islamic Boarding School Bogor</t>
  </si>
  <si>
    <t>ikimaulana05@gmail.com</t>
  </si>
  <si>
    <t>1YQEMJLK6EP5NOY5msCABOBSUksryCoLVrkDrRZA9thA</t>
  </si>
  <si>
    <t>https://docs.google.com/document/d/1YQEMJLK6EP5NOY5msCABOBSUksryCoLVrkDrRZA9thA/edit?usp=drivesdk</t>
  </si>
  <si>
    <t>Document successfully created; Document successfully merged; Run via form trigger as kemal.stafsus@gmail.com; Timestamp: Jul 14 2022 11:41 AM</t>
  </si>
  <si>
    <t>https://drive.google.com/open?id=1veCJ99AP2aBEnAAEbX6VSm83x396PHcZ</t>
  </si>
  <si>
    <t>https://drive.google.com/uc?export=view&amp;id=1veCJ99AP2aBEnAAEbX6VSm83x396PHcZ</t>
  </si>
  <si>
    <t xml:space="preserve">Muhammad Furqon </t>
  </si>
  <si>
    <t>085714935358</t>
  </si>
  <si>
    <t>3674041612020002</t>
  </si>
  <si>
    <t xml:space="preserve">Jl.sukadamai no20b, Ciputat,Tangerang selatan </t>
  </si>
  <si>
    <t>16-Desember - 2002</t>
  </si>
  <si>
    <t>19 tahun</t>
  </si>
  <si>
    <t xml:space="preserve">Musyrif/ guru al quran </t>
  </si>
  <si>
    <t xml:space="preserve">Bank syariah indonesia </t>
  </si>
  <si>
    <t>mm.adfurqan@gmail.com</t>
  </si>
  <si>
    <t>1z5ShSiCdwGfajjYOo-cElD2mzUStv-tBHeiBdmMXUJQ</t>
  </si>
  <si>
    <t>https://docs.google.com/document/d/1z5ShSiCdwGfajjYOo-cElD2mzUStv-tBHeiBdmMXUJQ/edit?usp=drivesdk</t>
  </si>
  <si>
    <t>Document successfully created; Document successfully merged; Run via form trigger as kemal.stafsus@gmail.com; Timestamp: Jul 14 2022 7:50 PM</t>
  </si>
  <si>
    <t>https://drive.google.com/open?id=1PSX7chej4ZPUuXFs0IwPF2FZSkckqYqe</t>
  </si>
  <si>
    <t>https://drive.google.com/uc?export=view&amp;id=1PSX7chej4ZPUuXFs0IwPF2FZSkckqYqe</t>
  </si>
  <si>
    <t>Fijri Al Chazar. Spd</t>
  </si>
  <si>
    <t>081290998689</t>
  </si>
  <si>
    <t>3671094405880008</t>
  </si>
  <si>
    <t>Jl. Rusa 1 no 3. Rt. 05 RW. 08 kecamatan Cibodas baru. Kelurahan cibodas kota Tangerang 15138</t>
  </si>
  <si>
    <t>05-05-1988</t>
  </si>
  <si>
    <t xml:space="preserve">Universitas Islam negeri Syarif Hidayatullah Jakarta </t>
  </si>
  <si>
    <t>salimsalma20201001@gmail.com</t>
  </si>
  <si>
    <t>1uRaGZSazrc49oesMBGL4bqINxbiwhdKnZ-BatQOjs28</t>
  </si>
  <si>
    <t>https://docs.google.com/document/d/1uRaGZSazrc49oesMBGL4bqINxbiwhdKnZ-BatQOjs28/edit?usp=drivesdk</t>
  </si>
  <si>
    <t>Document successfully created; Document successfully merged; Run via form trigger as kemal.stafsus@gmail.com; Timestamp: Jul 15 2022 4:58 AM</t>
  </si>
  <si>
    <t>https://drive.google.com/open?id=1cA5zn2Z3EQM9wOOHOg8h3RZUSWlLUvlr</t>
  </si>
  <si>
    <t>https://drive.google.com/uc?export=view&amp;id=1cA5zn2Z3EQM9wOOHOg8h3RZUSWlLUvlr</t>
  </si>
  <si>
    <t>Rini Susilawati, S.Pd</t>
  </si>
  <si>
    <t>081295578683</t>
  </si>
  <si>
    <t>3603225406920002</t>
  </si>
  <si>
    <t xml:space="preserve">Kp. Kebon Pala RT 03/05 Ds. Lengkong Kulon Kec. Pagedangan Kab. Tangerang </t>
  </si>
  <si>
    <t>14 Juni 1992</t>
  </si>
  <si>
    <t xml:space="preserve">PKn </t>
  </si>
  <si>
    <t xml:space="preserve">Universitas Pamulang </t>
  </si>
  <si>
    <t xml:space="preserve">Homeroom teacher G1 SDI Sinar Cendekia </t>
  </si>
  <si>
    <t xml:space="preserve">Subtitute teacher Kindergarten of Syafana Islamic School </t>
  </si>
  <si>
    <t xml:space="preserve">Homeroom teacher SDI Panji Nusantara </t>
  </si>
  <si>
    <t>rinisusilawati20.rs@gmail.com</t>
  </si>
  <si>
    <t>1jZRJI7rxm9i5b_FvYGOkJq0r4T1qVYRlOjJG85l5QfA</t>
  </si>
  <si>
    <t>https://docs.google.com/document/d/1jZRJI7rxm9i5b_FvYGOkJq0r4T1qVYRlOjJG85l5QfA/edit?usp=drivesdk</t>
  </si>
  <si>
    <t>Document successfully created; Document successfully merged; Run via form trigger as kemal.stafsus@gmail.com; Timestamp: Jul 15 2022 8:39 PM</t>
  </si>
  <si>
    <t>https://drive.google.com/open?id=1KVoP7zpES3lOiD9CnstDK8W6odXc7cSE</t>
  </si>
  <si>
    <t>https://drive.google.com/uc?export=view&amp;id=1KVoP7zpES3lOiD9CnstDK8W6odXc7cSE</t>
  </si>
  <si>
    <t>Muhammad Taufik Akbar R., S.P</t>
  </si>
  <si>
    <t>081385448144</t>
  </si>
  <si>
    <t>3674043107910011</t>
  </si>
  <si>
    <t>Jl. Suka Damai X, Cluster Al Fatih 3 No. 11 RT 004 RW 004, Serua Indah, Ciputat, Tangerang Selatan, Banten. 15414</t>
  </si>
  <si>
    <t>31-07-1991</t>
  </si>
  <si>
    <t xml:space="preserve">PPKN </t>
  </si>
  <si>
    <t>Strata-1 - Universitas Padjadjaran</t>
  </si>
  <si>
    <t xml:space="preserve">Agribisnis </t>
  </si>
  <si>
    <t>Guru Tematik SD Islam Abu Dzar</t>
  </si>
  <si>
    <t>Rp 3.600.000,-</t>
  </si>
  <si>
    <t>Social Media Specialist dan Manager Funnel Business - PT. Argha Bangun Bangsa (ESQ Menara 165)</t>
  </si>
  <si>
    <t>Rp 6.000.000,-</t>
  </si>
  <si>
    <t>Digital Specialist and Strategist - PT. Adskom Indonesia</t>
  </si>
  <si>
    <t>Rp 5.000.000,-</t>
  </si>
  <si>
    <t>muhammad.taufikakbar31@gmail.com</t>
  </si>
  <si>
    <t>1SIw_FJ0BYR_UhSiJHy12iyu08o99dUguHlnxxkdiRNM</t>
  </si>
  <si>
    <t>https://docs.google.com/document/d/1SIw_FJ0BYR_UhSiJHy12iyu08o99dUguHlnxxkdiRNM/edit?usp=drivesdk</t>
  </si>
  <si>
    <t>Document successfully created; Document successfully merged; Run via form trigger as kemal.stafsus@gmail.com; Timestamp: Jul 15 2022 9:22 PM</t>
  </si>
  <si>
    <t>https://drive.google.com/open?id=1WeHgXOznYeHB4VktAEG36ITHrdu-rhZD</t>
  </si>
  <si>
    <t>https://drive.google.com/uc?export=view&amp;id=1WeHgXOznYeHB4VktAEG36ITHrdu-rhZD</t>
  </si>
  <si>
    <t>Mulyadi Zaki S.Ag</t>
  </si>
  <si>
    <t>081297161799</t>
  </si>
  <si>
    <t>1306141708940003</t>
  </si>
  <si>
    <t>Jl Haji Saleh 3 no 57 RT 02 RW 02, Benda Baru, Pamulang, Tangerang Selatan</t>
  </si>
  <si>
    <t>Kab. Agam, Bukittinggi</t>
  </si>
  <si>
    <t>17-081994</t>
  </si>
  <si>
    <t>Ilmu al-Qur'an dan Tafsir</t>
  </si>
  <si>
    <t>3.13</t>
  </si>
  <si>
    <t>Servis Hardware Software Komputer</t>
  </si>
  <si>
    <t>Online Shop Jersey Bola</t>
  </si>
  <si>
    <t>0670310426</t>
  </si>
  <si>
    <t>mulyadizaki2@gmail.com</t>
  </si>
  <si>
    <t>13nsrOAh3b1p2tLCVDxsKy6wupcxTd5i7u5KW_2PgEv4</t>
  </si>
  <si>
    <t>https://docs.google.com/document/d/13nsrOAh3b1p2tLCVDxsKy6wupcxTd5i7u5KW_2PgEv4/edit?usp=drivesdk</t>
  </si>
  <si>
    <t>Document successfully created; Document successfully merged; Run via form trigger as kemal.stafsus@gmail.com; Timestamp: Jul 15 2022 10:59 PM</t>
  </si>
  <si>
    <t>https://drive.google.com/open?id=16ZxfReeeXsq_ogRim_B6nstpz5aDja54</t>
  </si>
  <si>
    <t>https://drive.google.com/uc?export=view&amp;id=16ZxfReeeXsq_ogRim_B6nstpz5aDja54</t>
  </si>
  <si>
    <t>dr. Naji Aldino</t>
  </si>
  <si>
    <t>5271010901830003</t>
  </si>
  <si>
    <t>Jl. Meninting X Gg. Ustad Abdul Wahab Pandai Emas Barat Kecamatan Sekarbela Kelurahan Karang Pule Mataram, NTB</t>
  </si>
  <si>
    <t>09-01-1983</t>
  </si>
  <si>
    <t>39 tahun 7 bulan</t>
  </si>
  <si>
    <t>Universitas Hang Tuah Surabaya</t>
  </si>
  <si>
    <t>Kedokteran Umuma</t>
  </si>
  <si>
    <t>Dosen Pengajar Univ. Islam Al Azhar Mataram</t>
  </si>
  <si>
    <t>Dokter Klinik Alumni Agung Mataram</t>
  </si>
  <si>
    <t xml:space="preserve">Dokter Klinik Gili Trawangan </t>
  </si>
  <si>
    <t>9.000.000 -10.000.000</t>
  </si>
  <si>
    <t>najialdino83@gmail.com</t>
  </si>
  <si>
    <t>1_h7MSvvqfLY0j8NS-gEAJ19fKunlVcQwFyeQoToTq7s</t>
  </si>
  <si>
    <t>https://docs.google.com/document/d/1_h7MSvvqfLY0j8NS-gEAJ19fKunlVcQwFyeQoToTq7s/edit?usp=drivesdk</t>
  </si>
  <si>
    <t>Document successfully created; Document successfully merged; Run via form trigger as kemal.stafsus@gmail.com; Timestamp: Jul 16 2022 3:10 AM</t>
  </si>
  <si>
    <t>https://drive.google.com/open?id=1mSzUfbItPojFJz-yRtkhp6073GlsYuYe</t>
  </si>
  <si>
    <t>https://drive.google.com/uc?export=view&amp;id=1mSzUfbItPojFJz-yRtkhp6073GlsYuYe</t>
  </si>
  <si>
    <t>Nur afifah al adawiyah</t>
  </si>
  <si>
    <t>085777447899</t>
  </si>
  <si>
    <t>Perumahan mustika media residence jalan salak 12 nmor 5 setu brkasi</t>
  </si>
  <si>
    <t xml:space="preserve">Bekasi </t>
  </si>
  <si>
    <t>21- Februari- 2002</t>
  </si>
  <si>
    <t>nurafifah212002@gmail.com</t>
  </si>
  <si>
    <t>1IS924h3IXrmSRjxs1Jm-5Ez6_WzfRyANAJev37xCEz0</t>
  </si>
  <si>
    <t>https://docs.google.com/document/d/1IS924h3IXrmSRjxs1Jm-5Ez6_WzfRyANAJev37xCEz0/edit?usp=drivesdk</t>
  </si>
  <si>
    <t>Document successfully created; Document successfully merged; Run via form trigger as kemal.stafsus@gmail.com; Timestamp: Jul 18 2022 7:07 AM</t>
  </si>
  <si>
    <t>https://drive.google.com/open?id=1XG76coqd_8BXcuk9ljBoRYuxpxku3XaQ</t>
  </si>
  <si>
    <t>https://drive.google.com/uc?export=view&amp;id=1XG76coqd_8BXcuk9ljBoRYuxpxku3XaQ</t>
  </si>
  <si>
    <t>Setiawan Bipa, S.Pd</t>
  </si>
  <si>
    <t>081238508471</t>
  </si>
  <si>
    <t>5272011709970002</t>
  </si>
  <si>
    <t>Jl.Nener Rt.06/02 Kel.Tanjung Kec.Rasanae Barat Kota Bima</t>
  </si>
  <si>
    <t>17 09 1997</t>
  </si>
  <si>
    <t>24 Tahun 10 Bulan</t>
  </si>
  <si>
    <t>Olahraga</t>
  </si>
  <si>
    <t>SD-SMP-SMA</t>
  </si>
  <si>
    <t>STKIP Taman Siswa Bima</t>
  </si>
  <si>
    <t>Penjaskesrek</t>
  </si>
  <si>
    <t>Karyawan swasta</t>
  </si>
  <si>
    <t>bipa.bp11@gmail.com</t>
  </si>
  <si>
    <t>156djVDNr4jvIhL3cWkKErzAWfmn-n09XTki8IVIp2j8</t>
  </si>
  <si>
    <t>https://docs.google.com/document/d/156djVDNr4jvIhL3cWkKErzAWfmn-n09XTki8IVIp2j8/edit?usp=drivesdk</t>
  </si>
  <si>
    <t>Document successfully created; Document successfully merged; Run via form trigger as kemal.stafsus@gmail.com; Timestamp: Jul 22 2022 4:16 AM</t>
  </si>
  <si>
    <t>https://drive.google.com/open?id=1G1dQlJ5ydRwaInENCTkzpMkN1kh1tShk</t>
  </si>
  <si>
    <t>https://drive.google.com/uc?export=view&amp;id=1G1dQlJ5ydRwaInENCTkzpMkN1kh1tShk</t>
  </si>
  <si>
    <t>Wahyu Prasetio, S.Pd</t>
  </si>
  <si>
    <t>085337007400</t>
  </si>
  <si>
    <t>5272011311920003</t>
  </si>
  <si>
    <t>13 November 1992</t>
  </si>
  <si>
    <t>30 tahun</t>
  </si>
  <si>
    <t>Karyawan</t>
  </si>
  <si>
    <t>prasetiowahyu828@gmail.com</t>
  </si>
  <si>
    <t>1SD-EA4DuDnfEny44bbYmUc_pKYlVvXoiGCfZBorQO3A</t>
  </si>
  <si>
    <t>https://docs.google.com/document/d/1SD-EA4DuDnfEny44bbYmUc_pKYlVvXoiGCfZBorQO3A/edit?usp=drivesdk</t>
  </si>
  <si>
    <t>Document successfully created; Document successfully merged; Run via form trigger as kemal.stafsus@gmail.com; Timestamp: Jul 22 2022 4:29 AM</t>
  </si>
  <si>
    <t>https://drive.google.com/open?id=1Kn-quoVpmEIahw_wVb_ZifTa4ykmnOGI</t>
  </si>
  <si>
    <t>https://drive.google.com/uc?export=view&amp;id=1Kn-quoVpmEIahw_wVb_ZifTa4ykmnOGI</t>
  </si>
  <si>
    <t xml:space="preserve">Muhamad Nashirul Haqqi.BA </t>
  </si>
  <si>
    <t>085211591574</t>
  </si>
  <si>
    <t>3274010507950002</t>
  </si>
  <si>
    <t xml:space="preserve">Pondok Kelapa, Duren Sawit, Jakarta Timur </t>
  </si>
  <si>
    <t>05 Juli 1995</t>
  </si>
  <si>
    <t xml:space="preserve">Pelajaran Diniyyah (Tauhid, Fiqh, dll) &amp; Bahasa Arab </t>
  </si>
  <si>
    <t>4,16 dari 5,00</t>
  </si>
  <si>
    <t>Guru SDIT Khoiru Ummah mapel Diniyyah</t>
  </si>
  <si>
    <t>Guru Qur'an di Rumah Qur'an Violet Indonesia</t>
  </si>
  <si>
    <t xml:space="preserve">Mengabdi di Ponpes Al Irsyad Tengaran menjadi Musyrif </t>
  </si>
  <si>
    <t>aboezaid95@gmail.com</t>
  </si>
  <si>
    <t>1pxpYF8yk6igR7tD4cMUYWHV4tMlKxCvT6Mc_Gp5Xzew</t>
  </si>
  <si>
    <t>https://docs.google.com/document/d/1pxpYF8yk6igR7tD4cMUYWHV4tMlKxCvT6Mc_Gp5Xzew/edit?usp=drivesdk</t>
  </si>
  <si>
    <t>Document successfully created; Document successfully merged; Run via form trigger as kemal.stafsus@gmail.com; Timestamp: Jul 22 2022 5:59 AM</t>
  </si>
  <si>
    <t>https://drive.google.com/open?id=1A4MdXdisLPGQKPge_n4wEc4z0-RtNu4B</t>
  </si>
  <si>
    <t>https://drive.google.com/uc?export=view&amp;id=1A4MdXdisLPGQKPge_n4wEc4z0-RtNu4B</t>
  </si>
  <si>
    <t>Zakaria, S.T.</t>
  </si>
  <si>
    <t>081317219008</t>
  </si>
  <si>
    <t>3275022301710021</t>
  </si>
  <si>
    <t>Perum Griya Persada Elok, Blok C No.2 Kel Mustika Jaya, Kec. Mustika Jaya. Kota Bekasi</t>
  </si>
  <si>
    <t>23-01-1971</t>
  </si>
  <si>
    <t>51 Tahun 6 Bulan</t>
  </si>
  <si>
    <t>FINANCE, Tata Usaha (Pendidikan)</t>
  </si>
  <si>
    <t>zakaria2301@gmail.com</t>
  </si>
  <si>
    <t>1Cdkk-YTzV6954tHlY5FfPbFzXNnXVT74aDYI9OJQ0gM</t>
  </si>
  <si>
    <t>https://docs.google.com/document/d/1Cdkk-YTzV6954tHlY5FfPbFzXNnXVT74aDYI9OJQ0gM/edit?usp=drivesdk</t>
  </si>
  <si>
    <t>Document successfully created; Document successfully merged; Run via form trigger as kemal.stafsus@gmail.com; Timestamp: Jul 22 2022 8:58 AM</t>
  </si>
  <si>
    <t>https://drive.google.com/open?id=11OhTgzxJE7WILlDa3XjuhByLYrcG9FNT</t>
  </si>
  <si>
    <t>https://drive.google.com/uc?export=view&amp;id=11OhTgzxJE7WILlDa3XjuhByLYrcG9FNT</t>
  </si>
  <si>
    <t>Amrin</t>
  </si>
  <si>
    <t>085339343923</t>
  </si>
  <si>
    <t>5206102209990002</t>
  </si>
  <si>
    <t>Desa tonggondoa. Kec. Palibelo. Kab. Bima. Prov. NTB</t>
  </si>
  <si>
    <t>22-09-1999</t>
  </si>
  <si>
    <t>4.500.000,-</t>
  </si>
  <si>
    <t>amrinpalu46@gmail.com</t>
  </si>
  <si>
    <t>1QqW6h2YNtJd4zQJKiW0DGqJ-hOLFYsRg2ZrKRntCB3c</t>
  </si>
  <si>
    <t>https://docs.google.com/document/d/1QqW6h2YNtJd4zQJKiW0DGqJ-hOLFYsRg2ZrKRntCB3c/edit?usp=drivesdk</t>
  </si>
  <si>
    <t>Document successfully created; Document successfully merged; Run via form trigger as kemal.stafsus@gmail.com; Timestamp: Jul 22 2022 9:15 AM</t>
  </si>
  <si>
    <t>https://drive.google.com/open?id=1HcZwZU959K6EaHmWfimyeQbrSp3Ju3E9</t>
  </si>
  <si>
    <t>https://drive.google.com/uc?export=view&amp;id=1HcZwZU959K6EaHmWfimyeQbrSp3Ju3E9</t>
  </si>
  <si>
    <t>Muhammad Nazaket</t>
  </si>
  <si>
    <t>+6281234617676</t>
  </si>
  <si>
    <t>3515081212790011/AF9866274</t>
  </si>
  <si>
    <t>Margonda Residence JI Margonda Raya Kota Depok Jawa Barat 16424</t>
  </si>
  <si>
    <t>Pakistan</t>
  </si>
  <si>
    <t>12-December-1979</t>
  </si>
  <si>
    <t>Anglia Ruskin University London, UK</t>
  </si>
  <si>
    <t>MBA</t>
  </si>
  <si>
    <t>University of the Punjab Lahore, Pakistan</t>
  </si>
  <si>
    <t>More then 10 years</t>
  </si>
  <si>
    <t>0182465516</t>
  </si>
  <si>
    <t>nazakat454@gmail.com</t>
  </si>
  <si>
    <t>1m2yptDZUAIImgQrF1rALEStVM8gFfG2ch_TFk6Ic7cU</t>
  </si>
  <si>
    <t>https://docs.google.com/document/d/1m2yptDZUAIImgQrF1rALEStVM8gFfG2ch_TFk6Ic7cU/edit?usp=drivesdk</t>
  </si>
  <si>
    <t>Document successfully created; Document successfully merged; Run via form trigger as kemal.stafsus@gmail.com; Timestamp: Jul 22 2022 10:32 AM</t>
  </si>
  <si>
    <t>https://drive.google.com/open?id=1zsAjlJajLsEVZKqy5yq2AamAnuJ06E9n</t>
  </si>
  <si>
    <t>https://drive.google.com/uc?export=view&amp;id=1zsAjlJajLsEVZKqy5yq2AamAnuJ06E9n</t>
  </si>
  <si>
    <t>Arawati, S.Pd.I, M.Pd</t>
  </si>
  <si>
    <t>081211090313</t>
  </si>
  <si>
    <t>7306084206840008</t>
  </si>
  <si>
    <t>Jl. Bidar IV A</t>
  </si>
  <si>
    <t>Air Sugihan</t>
  </si>
  <si>
    <t>02-06-1984</t>
  </si>
  <si>
    <t>38 Tahun 1 Bulan</t>
  </si>
  <si>
    <t>Universitas Islam Djakarta (Sebelumnya I'dad dan Takmili LIPIA)</t>
  </si>
  <si>
    <t>3.57</t>
  </si>
  <si>
    <t>Universitas Ibnu Khaldun (UIKA) Bogor</t>
  </si>
  <si>
    <t>Menyusun buku Belajar Mudah Membaca  Al-Quran Metode Al-Ihsan dan mengembangkan metode.</t>
  </si>
  <si>
    <t>arawati.301@gmail.com</t>
  </si>
  <si>
    <t>1x1uwV43JnfOoRPEX6wX86CmqIAlZuNObkFDAuk6qbsw</t>
  </si>
  <si>
    <t>https://docs.google.com/document/d/1x1uwV43JnfOoRPEX6wX86CmqIAlZuNObkFDAuk6qbsw/edit?usp=drivesdk</t>
  </si>
  <si>
    <t>Document successfully created; Document successfully merged; Run via form trigger as kemal.stafsus@gmail.com; Timestamp: Jul 22 2022 8:39 PM</t>
  </si>
  <si>
    <t>https://drive.google.com/open?id=1EZKONb8o1s6gSXOSEFGvWe2X_IX9qZv0</t>
  </si>
  <si>
    <t>https://drive.google.com/uc?export=view&amp;id=1EZKONb8o1s6gSXOSEFGvWe2X_IX9qZv0</t>
  </si>
  <si>
    <t>Fitri Marwahdiyanti, S. Pd</t>
  </si>
  <si>
    <t>085337144774</t>
  </si>
  <si>
    <t>5206036306901004</t>
  </si>
  <si>
    <t>Sementara di Lengkong Kulon, Kab. Tenggerang, Banten.</t>
  </si>
  <si>
    <t>23-06-1998</t>
  </si>
  <si>
    <t>23 tahun 1 bulan</t>
  </si>
  <si>
    <t>Tata Usaha (Pendidikan), Tim Admin (Non Kependidikan)</t>
  </si>
  <si>
    <t>Penjaskesrek (Olahraga)</t>
  </si>
  <si>
    <t>Pendidikan Teknologi Informasi</t>
  </si>
  <si>
    <t>Asisten Dosen</t>
  </si>
  <si>
    <t>Staff/Pegawai bagian Lab. Komputer</t>
  </si>
  <si>
    <t>fitri.marwahdiyanti23@gmail.com</t>
  </si>
  <si>
    <t>1zeMmktRAuOY6FvvLDFH6kr0mLdh0h8uYrI8CJoDS3DY</t>
  </si>
  <si>
    <t>https://docs.google.com/document/d/1zeMmktRAuOY6FvvLDFH6kr0mLdh0h8uYrI8CJoDS3DY/edit?usp=drivesdk</t>
  </si>
  <si>
    <t>Document successfully created; Document successfully merged; Run via form trigger as kemal.stafsus@gmail.com; Timestamp: Jul 22 2022 8:54 PM</t>
  </si>
  <si>
    <t>https://drive.google.com/open?id=1hqpWQooApYxpnjGrNOupGcKg_GEsNE11</t>
  </si>
  <si>
    <t>https://drive.google.com/uc?export=view&amp;id=1hqpWQooApYxpnjGrNOupGcKg_GEsNE11</t>
  </si>
  <si>
    <t>Ine Febrianti S.Pd</t>
  </si>
  <si>
    <t>085333910249</t>
  </si>
  <si>
    <t>5272056502990002</t>
  </si>
  <si>
    <t>Untuk sementara di Lengkong Kulon, Kabupaten Tangerang, Banten</t>
  </si>
  <si>
    <t>Kota Bima, NTB</t>
  </si>
  <si>
    <t>25-Februari-1999</t>
  </si>
  <si>
    <t>TU ADM - Weekly Progress Report</t>
  </si>
  <si>
    <t>S1 PTS - STKIP TAMAN SISWA BIMA</t>
  </si>
  <si>
    <t>Program Studi Bahasa Inggris (S1)</t>
  </si>
  <si>
    <t>Staff di Toko Buku Melati Kota Bima (2018-2020)</t>
  </si>
  <si>
    <t>TU ADM - (Weekly Progress Report)</t>
  </si>
  <si>
    <t>inefebrianti1999@gmail.com</t>
  </si>
  <si>
    <t>12QTMEXRwbuR-PvSgzTMHxHwR3rXPhGJ9aPxJmtUQ3Ro</t>
  </si>
  <si>
    <t>https://docs.google.com/document/d/12QTMEXRwbuR-PvSgzTMHxHwR3rXPhGJ9aPxJmtUQ3Ro/edit?usp=drivesdk</t>
  </si>
  <si>
    <t>Document successfully created; Document successfully merged; Run via form trigger as kemal.stafsus@gmail.com; Timestamp: Jul 23 2022 12:29 AM</t>
  </si>
  <si>
    <t>https://drive.google.com/open?id=1PCAZzrBO5iHYaNwbA69v5zW0LrE-Xkjc</t>
  </si>
  <si>
    <t>https://drive.google.com/uc?export=view&amp;id=1PCAZzrBO5iHYaNwbA69v5zW0LrE-Xkjc</t>
  </si>
  <si>
    <t>Jeihan Adam Islami S.S.I, M.A.</t>
  </si>
  <si>
    <t>081808146014</t>
  </si>
  <si>
    <t>3174090810890011</t>
  </si>
  <si>
    <t>Bukit Dago, Cluster Granada i6/05</t>
  </si>
  <si>
    <t>09-10-1989</t>
  </si>
  <si>
    <t xml:space="preserve">33 tahun </t>
  </si>
  <si>
    <t>UIN Syarif Hidayatullah</t>
  </si>
  <si>
    <t>Dirasat Islamiyah</t>
  </si>
  <si>
    <t>Hamad Bin Khalifa University- Qatar</t>
  </si>
  <si>
    <t>Fiqh</t>
  </si>
  <si>
    <t>English Coordinator at FIWA</t>
  </si>
  <si>
    <t>Qatar Foundation Student Housing</t>
  </si>
  <si>
    <t>2500 QAR : Rp. 10,000,000 (kurs rupiah)</t>
  </si>
  <si>
    <t>10 jt (bisa nego)</t>
  </si>
  <si>
    <t>adamjeihan@gmail.com</t>
  </si>
  <si>
    <t>138YvLPn1zhYjA0B1a_fCPgZwO7XKLkQbweOTHuDxqpI</t>
  </si>
  <si>
    <t>https://docs.google.com/document/d/138YvLPn1zhYjA0B1a_fCPgZwO7XKLkQbweOTHuDxqpI/edit?usp=drivesdk</t>
  </si>
  <si>
    <t>Document successfully created; Document successfully merged; Run via form trigger as kemal.stafsus@gmail.com; Timestamp: Jul 23 2022 3:19 AM</t>
  </si>
  <si>
    <t>https://drive.google.com/open?id=14HASMXZR50RaeLAKgRInME-6bzUhbMYD</t>
  </si>
  <si>
    <t>https://drive.google.com/uc?export=view&amp;id=14HASMXZR50RaeLAKgRInME-6bzUhbMYD</t>
  </si>
  <si>
    <t>Nurul Hikmah, S. Pd</t>
  </si>
  <si>
    <t>+6285338341353</t>
  </si>
  <si>
    <t>5206044101971004</t>
  </si>
  <si>
    <t>Bima, 01-01- 1997</t>
  </si>
  <si>
    <t>Guru dan administrasi sekolah</t>
  </si>
  <si>
    <t>1.000.000/ 3 bulan</t>
  </si>
  <si>
    <t>Tutor Bahasa Inggris</t>
  </si>
  <si>
    <t>300. 000</t>
  </si>
  <si>
    <t>Entry data dan edcod di BPS</t>
  </si>
  <si>
    <t>1. 500.000</t>
  </si>
  <si>
    <t>nhurulhikmah2517@gmail.com</t>
  </si>
  <si>
    <t>1tv9euoW1H5wSOoIZlUv9hASNZTooQCGPAE-zYZfoVbk</t>
  </si>
  <si>
    <t>https://docs.google.com/document/d/1tv9euoW1H5wSOoIZlUv9hASNZTooQCGPAE-zYZfoVbk/edit?usp=drivesdk</t>
  </si>
  <si>
    <t>Document successfully created; Document successfully merged; Run via form trigger as kemal.stafsus@gmail.com; Timestamp: Jul 23 2022 5:26 PM</t>
  </si>
  <si>
    <t>https://drive.google.com/open?id=1Xy16vj2DAgrebL3qDvpltIKptayA3Rxd</t>
  </si>
  <si>
    <t>https://drive.google.com/uc?export=view&amp;id=1Xy16vj2DAgrebL3qDvpltIKptayA3Rxd</t>
  </si>
  <si>
    <t xml:space="preserve">Akmal, Lc. </t>
  </si>
  <si>
    <t>081285113087</t>
  </si>
  <si>
    <t>3175043010950005</t>
  </si>
  <si>
    <t>Perumahan Ciruas Land,Jalan Raya Ciruas-Petir, Walantaka ( Cluster Gold, Blok C 06 no.08 ), KOTA SERANG, WALANTAKA, BANTEN, ID, 42183</t>
  </si>
  <si>
    <t>30-10-1995</t>
  </si>
  <si>
    <t>Fiqih</t>
  </si>
  <si>
    <t xml:space="preserve"> Al-Azhar Cairo University </t>
  </si>
  <si>
    <t xml:space="preserve">Syariah Islamiyah </t>
  </si>
  <si>
    <t>2015: menjadi guru pengganti dan musyrif di ma'had Islamic center bin baz
2021: guru fiqih ITBA 4
2022 : guru fiqih Al-Wildan 7 Serang</t>
  </si>
  <si>
    <t>attamimiakmal11@gmail.com</t>
  </si>
  <si>
    <t>1ZZXJkAVUr3Dk7zwqwnRlAp6MkX_QV_K-BmNPlM7n0u4</t>
  </si>
  <si>
    <t>https://docs.google.com/document/d/1ZZXJkAVUr3Dk7zwqwnRlAp6MkX_QV_K-BmNPlM7n0u4/edit?usp=drivesdk</t>
  </si>
  <si>
    <t>Document successfully created; Document successfully merged; Run via form trigger as kemal.stafsus@gmail.com; Timestamp: Jul 25 2022 1:37 AM</t>
  </si>
  <si>
    <t>https://drive.google.com/open?id=10VgCWoSU9KQQdoWauhu3d1jJ63i_9KuL</t>
  </si>
  <si>
    <t>https://drive.google.com/uc?export=view&amp;id=10VgCWoSU9KQQdoWauhu3d1jJ63i_9KuL</t>
  </si>
  <si>
    <t>Shabani Ally Ramadhani, B.Sc, M.Pd</t>
  </si>
  <si>
    <t>+6285693764096</t>
  </si>
  <si>
    <t>3201121906830005/AB764368</t>
  </si>
  <si>
    <t>Jl.Hj&gt; Mawi, Parung - Bogor</t>
  </si>
  <si>
    <t>Kondoa, Dodoma - Tanzania</t>
  </si>
  <si>
    <t>19 June 1983</t>
  </si>
  <si>
    <t>39 tahun 1 bulan</t>
  </si>
  <si>
    <t>Cambridge Mathematics</t>
  </si>
  <si>
    <t>International University of Africa, Khartoum - Sudan</t>
  </si>
  <si>
    <t>Computer Information System</t>
  </si>
  <si>
    <t>Institut PTIQ Jakarta</t>
  </si>
  <si>
    <t>Magister Managemen Pendidikan</t>
  </si>
  <si>
    <t>Guru Matematika Kelas 9, 8,7, Dosen(Aqidah)</t>
  </si>
  <si>
    <t>Guru Matematika &amp; English  Kelas 8,7</t>
  </si>
  <si>
    <t>Guru Matematika &amp; Tauhid Kelas 8,</t>
  </si>
  <si>
    <t>BSI(Ex-BSM)</t>
  </si>
  <si>
    <t>shahri8fsutt@gmail.com</t>
  </si>
  <si>
    <t>1w_TXOKBBbmPC1xzOp3VTm_8FP6BrIBVAxjsiQF9ew6Q</t>
  </si>
  <si>
    <t>https://docs.google.com/document/d/1w_TXOKBBbmPC1xzOp3VTm_8FP6BrIBVAxjsiQF9ew6Q/edit?usp=drivesdk</t>
  </si>
  <si>
    <t>Document successfully created; Document successfully merged; Run via form trigger as kemal.stafsus@gmail.com; Timestamp: Jul 26 2022 1:52 AM</t>
  </si>
  <si>
    <t>https://drive.google.com/open?id=1WSK0hz8BhhMssjTKzLAjIVa8HBF5bSvh</t>
  </si>
  <si>
    <t>https://drive.google.com/uc?export=view&amp;id=1WSK0hz8BhhMssjTKzLAjIVa8HBF5bSvh</t>
  </si>
  <si>
    <t xml:space="preserve">Tiara Ratih </t>
  </si>
  <si>
    <t>081226357367</t>
  </si>
  <si>
    <t>3172044707850009</t>
  </si>
  <si>
    <t>Jl.Kumpi Nidan, Bintara, Bekasi barat</t>
  </si>
  <si>
    <t>07-07-1985</t>
  </si>
  <si>
    <t>37 tahun 0 bulan</t>
  </si>
  <si>
    <t xml:space="preserve">Bahasa Inggris </t>
  </si>
  <si>
    <t>Admin staff</t>
  </si>
  <si>
    <t>tiararatih77@gmail.com</t>
  </si>
  <si>
    <t>1kZY9kAbdUIKPN1K1MbdrEBeeycg0J1qKOvhjEDo6SGo</t>
  </si>
  <si>
    <t>https://docs.google.com/document/d/1kZY9kAbdUIKPN1K1MbdrEBeeycg0J1qKOvhjEDo6SGo/edit?usp=drivesdk</t>
  </si>
  <si>
    <t>Document successfully created; Document successfully merged; Run via form trigger as kemal.stafsus@gmail.com; Timestamp: Jul 26 2022 1:53 AM</t>
  </si>
  <si>
    <t>https://drive.google.com/open?id=1tKKnFVrr0Tmcxsdi0hAKIKOA3PZp-YnO</t>
  </si>
  <si>
    <t>https://drive.google.com/uc?export=view&amp;id=1tKKnFVrr0Tmcxsdi0hAKIKOA3PZp-YnO</t>
  </si>
  <si>
    <t>Agus Haryono M.M</t>
  </si>
  <si>
    <t>082121056078</t>
  </si>
  <si>
    <t>3276020208860007</t>
  </si>
  <si>
    <t>Jl.Alinda Raya No.1 kaliabang Tengah Bekasi Utara-Kota Bekasi</t>
  </si>
  <si>
    <t>02-08-1986</t>
  </si>
  <si>
    <t>UNIVERSITAS PADJADJARAN BANDUNG</t>
  </si>
  <si>
    <t>AGROTEKNOLOGI</t>
  </si>
  <si>
    <t>STIE INDONESIA SCHOOL OF MANAGEMENT</t>
  </si>
  <si>
    <t>MANAGEMEN PENDIDIKAN</t>
  </si>
  <si>
    <t>UNIVERSITAS IBNU KHALDUN</t>
  </si>
  <si>
    <t>DOKTORAL PENDIDIKAN AGAMA ISLAM</t>
  </si>
  <si>
    <t>DIREKTUR PENDIDIKAN AISCHO 2</t>
  </si>
  <si>
    <t>agus.it.unpad@gmail.com</t>
  </si>
  <si>
    <t>1tNKVDFFIdBC6ffd-rc3Th8t17Qgtsq6m_NgzDDpas7Q</t>
  </si>
  <si>
    <t>https://docs.google.com/document/d/1tNKVDFFIdBC6ffd-rc3Th8t17Qgtsq6m_NgzDDpas7Q/edit?usp=drivesdk</t>
  </si>
  <si>
    <t>Document successfully created; Document successfully merged; Run via form trigger as kemal.stafsus@gmail.com; Timestamp: Jul 27 2022 8:40 PM</t>
  </si>
  <si>
    <t>https://drive.google.com/open?id=1PfFM5yGZqI6x_mxJiMHdSXED8X3i5U41</t>
  </si>
  <si>
    <t>https://drive.google.com/uc?export=view&amp;id=1PfFM5yGZqI6x_mxJiMHdSXED8X3i5U41</t>
  </si>
  <si>
    <t>FITRI MUTIARA SARI, S.H., M.Kn</t>
  </si>
  <si>
    <t>085716123300</t>
  </si>
  <si>
    <t>3278025805880011</t>
  </si>
  <si>
    <t>Villa Gunung Lestari, Jl. Lawu 1 C3/14 Ciputat - Tangerang Selatan</t>
  </si>
  <si>
    <t>18-05-1988</t>
  </si>
  <si>
    <t>UNIVERSITAS ANDALAS</t>
  </si>
  <si>
    <t>ILMU HUKUM</t>
  </si>
  <si>
    <t>UNIVERSITAS PELITA HARAPAN</t>
  </si>
  <si>
    <t>MAGISTER KENOTARIATAN</t>
  </si>
  <si>
    <t>IT PLANNING AND BUNDGETING BANK SYARIAH MANDIRI 2011-2021</t>
  </si>
  <si>
    <t>SESUAI KEPUTUSAN PRESDIR</t>
  </si>
  <si>
    <t>BANK SYARIAH INDONESIA</t>
  </si>
  <si>
    <t>fitrimutiara@ymail.com</t>
  </si>
  <si>
    <t>10yUEZbHl_Gte7BLGGzXof-3oBnNqJ5w6VXPjo0a-JrE</t>
  </si>
  <si>
    <t>https://docs.google.com/document/d/10yUEZbHl_Gte7BLGGzXof-3oBnNqJ5w6VXPjo0a-JrE/edit?usp=drivesdk</t>
  </si>
  <si>
    <t>Document successfully created; Document successfully merged; Run via form trigger as kemal.stafsus@gmail.com; Timestamp: Jul 28 2022 12:58 AM</t>
  </si>
  <si>
    <t>https://drive.google.com/open?id=1owOlIbgBREirbN98ms7v1JTQoHqb6Shi</t>
  </si>
  <si>
    <t>https://drive.google.com/uc?export=view&amp;id=1owOlIbgBREirbN98ms7v1JTQoHqb6Shi</t>
  </si>
  <si>
    <t>Kasropin Nugroho, S.Psi., M.Pd.</t>
  </si>
  <si>
    <t>085645906250</t>
  </si>
  <si>
    <t>3522122810920002</t>
  </si>
  <si>
    <t xml:space="preserve">Bojonegoro </t>
  </si>
  <si>
    <t>28-10-1992</t>
  </si>
  <si>
    <t>29 tahun 10 bulan</t>
  </si>
  <si>
    <t xml:space="preserve">Universitas Negeri Malang </t>
  </si>
  <si>
    <t xml:space="preserve">Psikologi </t>
  </si>
  <si>
    <t xml:space="preserve">Universitas Islam Negeri Maulana Malik Ibrahim Malang </t>
  </si>
  <si>
    <t xml:space="preserve">Manajemen Pendidikan Islam </t>
  </si>
  <si>
    <t xml:space="preserve">Guru BK </t>
  </si>
  <si>
    <t>kasropin.nugroho@gmail.com</t>
  </si>
  <si>
    <t>1tNXKx1UKcqfIoibWWi_dYPX5XWyvbn3tItRuArkFJkU</t>
  </si>
  <si>
    <t>https://docs.google.com/document/d/1tNXKx1UKcqfIoibWWi_dYPX5XWyvbn3tItRuArkFJkU/edit?usp=drivesdk</t>
  </si>
  <si>
    <t>Document successfully created; Document successfully merged; Run via form trigger as kemal.stafsus@gmail.com; Timestamp: Jul 28 2022 3:01 AM</t>
  </si>
  <si>
    <t>https://drive.google.com/open?id=1jLn8AAjQ_j6PO38nXFw0FZ8A1SGfQL_0</t>
  </si>
  <si>
    <t>https://drive.google.com/uc?export=view&amp;id=1jLn8AAjQ_j6PO38nXFw0FZ8A1SGfQL_0</t>
  </si>
  <si>
    <t>syaiful bahri</t>
  </si>
  <si>
    <t>089652643489</t>
  </si>
  <si>
    <t>Jl Layar 4 No 13a</t>
  </si>
  <si>
    <t>27-02-1969</t>
  </si>
  <si>
    <t>NON KEPENDIDIKAN (HR/Litbang/Finance/Legal/Marketing/IT) &amp; LAINNYA</t>
  </si>
  <si>
    <t>Medan English Institute</t>
  </si>
  <si>
    <t>syaiful102030@gmail.com</t>
  </si>
  <si>
    <t>1eK-AVVBJWq2yXvt73H0RNeB0cQGirqA04e6WUut7w6M</t>
  </si>
  <si>
    <t>https://docs.google.com/document/d/1eK-AVVBJWq2yXvt73H0RNeB0cQGirqA04e6WUut7w6M/edit?usp=drivesdk</t>
  </si>
  <si>
    <t>Document successfully created; Document successfully merged; Run via form trigger as kemal.stafsus@gmail.com; Timestamp: Jul 28 2022 4:14 AM</t>
  </si>
  <si>
    <t>https://drive.google.com/open?id=1g4GtWnXYuwI01HNW1-qDr-tKdcNP6FvZ</t>
  </si>
  <si>
    <t>https://drive.google.com/uc?export=view&amp;id=1g4GtWnXYuwI01HNW1-qDr-tKdcNP6FvZ</t>
  </si>
  <si>
    <t>Raodhatul Jannah, M.Pd</t>
  </si>
  <si>
    <t>085340482091</t>
  </si>
  <si>
    <t>7271026207910002</t>
  </si>
  <si>
    <t>Pakis Hills Residence, no. 10, jalan. Pakis, Pondokmiri 2, Rawakalong, Gunung Sindur, Kabupaten Bogor.</t>
  </si>
  <si>
    <t>Palu</t>
  </si>
  <si>
    <t>22-07-1991</t>
  </si>
  <si>
    <t>31 tahun 0 bulan</t>
  </si>
  <si>
    <t>Universitas Tadulako</t>
  </si>
  <si>
    <t>raodhatul18@gmail.com</t>
  </si>
  <si>
    <t>1vun1C78B3gqwuYGVwzA73X2PD4dWplO60lgaYSzbf3o</t>
  </si>
  <si>
    <t>https://docs.google.com/document/d/1vun1C78B3gqwuYGVwzA73X2PD4dWplO60lgaYSzbf3o/edit?usp=drivesdk</t>
  </si>
  <si>
    <t>Document successfully created; Document successfully merged; Run via form trigger as kemal.stafsus@gmail.com; Timestamp: Jul 28 2022 6:10 AM</t>
  </si>
  <si>
    <t>https://drive.google.com/open?id=1sd_1S39ty34NRCKW1lVtT2q8o21Wqfja</t>
  </si>
  <si>
    <t>https://drive.google.com/uc?export=view&amp;id=1sd_1S39ty34NRCKW1lVtT2q8o21Wqfja</t>
  </si>
  <si>
    <t>Ramadhan Saputra, Lc, M.Ed</t>
  </si>
  <si>
    <t>081284123211</t>
  </si>
  <si>
    <t>1219011105890003</t>
  </si>
  <si>
    <t>Jl. Cimandiri 8 No.20, Jatireja, Kec. Cikarang Timur, Kab. Bekasi, Jawa Barat</t>
  </si>
  <si>
    <t>Desa Medang</t>
  </si>
  <si>
    <t>11-05-1989</t>
  </si>
  <si>
    <t>Bahasa Arab/Diniyyah</t>
  </si>
  <si>
    <t>Universitas Al Iman, Yaman</t>
  </si>
  <si>
    <t>Ilmu Syari'ah dan Bahasa Arab</t>
  </si>
  <si>
    <t>Khartoum International Institute For Arabic Language (KIIFAL), Sudan</t>
  </si>
  <si>
    <t>An Nadzir Boarding School</t>
  </si>
  <si>
    <t xml:space="preserve">SMAIT Darul Qur'an </t>
  </si>
  <si>
    <t>Al Fityan School Medan</t>
  </si>
  <si>
    <t>rs.alyamani@gmail.com</t>
  </si>
  <si>
    <t>160ScWv5KzuQ3AI3bu_p1ab0i-1KqrQp9wEaM-14GLrs</t>
  </si>
  <si>
    <t>https://docs.google.com/document/d/160ScWv5KzuQ3AI3bu_p1ab0i-1KqrQp9wEaM-14GLrs/edit?usp=drivesdk</t>
  </si>
  <si>
    <t>Document successfully created; Document successfully merged; Run via form trigger as kemal.stafsus@gmail.com; Timestamp: Jul 28 2022 6:55 AM</t>
  </si>
  <si>
    <t>https://drive.google.com/open?id=1m-tUCWFvfnBQET58iG2x39rompdN9vUg</t>
  </si>
  <si>
    <t>https://drive.google.com/uc?export=view&amp;id=1m-tUCWFvfnBQET58iG2x39rompdN9vUg</t>
  </si>
  <si>
    <t xml:space="preserve">Amirah Salwa </t>
  </si>
  <si>
    <t>087886792002</t>
  </si>
  <si>
    <t>3173026009020005</t>
  </si>
  <si>
    <t>Jl. Sinyar 9 RT.12/RW.09 no 27a (Jakarta Pusat)</t>
  </si>
  <si>
    <t>20-09-2002</t>
  </si>
  <si>
    <t xml:space="preserve">Guru al-quran </t>
  </si>
  <si>
    <t xml:space="preserve">Thn 2019-2020 menjadi musyrifah dan guru tahfidz di Madinatul Quran 
Thn 2020-2022 menjadi musyrifah dan guru tahfidz di Nuraida Islamic Boarding School </t>
  </si>
  <si>
    <t>amrhsalwa@gmail.com</t>
  </si>
  <si>
    <t>1OcJMZ3mLbmTKHJRM44P_K1MhHJr9CPQALH_DBwJhhFw</t>
  </si>
  <si>
    <t>https://docs.google.com/document/d/1OcJMZ3mLbmTKHJRM44P_K1MhHJr9CPQALH_DBwJhhFw/edit?usp=drivesdk</t>
  </si>
  <si>
    <t>Document successfully created; Document successfully merged; Run via form trigger as kemal.stafsus@gmail.com; Timestamp: Jul 28 2022 7:21 AM</t>
  </si>
  <si>
    <t>https://drive.google.com/open?id=1XNRoBidnG3oXNPV8MuoNzNkfR4UL_Eb5</t>
  </si>
  <si>
    <t>https://drive.google.com/uc?export=view&amp;id=1XNRoBidnG3oXNPV8MuoNzNkfR4UL_Eb5</t>
  </si>
  <si>
    <t>Rizad Prasetyoi, S.Pd</t>
  </si>
  <si>
    <t>092271079800</t>
  </si>
  <si>
    <t>Jln. Papandayan No 14 Ds. Kauman Kec. Kauman Kab. Tulungagung Jawa Timur</t>
  </si>
  <si>
    <t>06 Maret 1991</t>
  </si>
  <si>
    <t>STKIP PGRI TULUNGAGUNG</t>
  </si>
  <si>
    <t>English Education</t>
  </si>
  <si>
    <t xml:space="preserve">Principal </t>
  </si>
  <si>
    <t>Guru Penggerak Daerah Terpencil</t>
  </si>
  <si>
    <t xml:space="preserve">Pemuda Penggerak Desa Halmahera Selatan Gerakan Desa Cerdas </t>
  </si>
  <si>
    <t>rizadprasetyo91@gmail.com</t>
  </si>
  <si>
    <t>1GZmaftkzGSn5FE75dfL2kgi8oPfdz7QcCDKp1k-U-uU</t>
  </si>
  <si>
    <t>https://docs.google.com/document/d/1GZmaftkzGSn5FE75dfL2kgi8oPfdz7QcCDKp1k-U-uU/edit?usp=drivesdk</t>
  </si>
  <si>
    <t>Document successfully created; Document successfully merged; Run via form trigger as kemal.stafsus@gmail.com; Timestamp: Jul 28 2022 11:32 PM</t>
  </si>
  <si>
    <t>https://drive.google.com/open?id=1dD7y434NRDJMkAHowpp-5UxKOalkAHne</t>
  </si>
  <si>
    <t>https://drive.google.com/uc?export=view&amp;id=1dD7y434NRDJMkAHowpp-5UxKOalkAHne</t>
  </si>
  <si>
    <t>MEGA PUTRI DAMAYANTI, S.IP.</t>
  </si>
  <si>
    <t>+6281584846355</t>
  </si>
  <si>
    <t>1871116009950008</t>
  </si>
  <si>
    <t>Jl. H. Nudin, Gang H. Muassan No. 34-B, Lebak Bulus, Cilandak, Jakarta Selatan, 12440.</t>
  </si>
  <si>
    <t>3.69 (Cumlaude)</t>
  </si>
  <si>
    <t>Guru Al Wildan Islamic School (sejak Oktober 2017)</t>
  </si>
  <si>
    <t>megaputri.work@gmail.com</t>
  </si>
  <si>
    <t>1wBvwWbC_eJ4X4X3CRiYQtMEImiOfORfIuW8J9hzRlq8</t>
  </si>
  <si>
    <t>https://docs.google.com/document/d/1wBvwWbC_eJ4X4X3CRiYQtMEImiOfORfIuW8J9hzRlq8/edit?usp=drivesdk</t>
  </si>
  <si>
    <t>Document successfully created; Document successfully merged; Run via form trigger as kemal.stafsus@gmail.com; Timestamp: Jul 29 2022 4:36 AM</t>
  </si>
  <si>
    <t>https://drive.google.com/open?id=1A0C6pNB08AfiOy-_hJ72oP4dYLzugm2O</t>
  </si>
  <si>
    <t>https://drive.google.com/uc?export=view&amp;id=1A0C6pNB08AfiOy-_hJ72oP4dYLzugm2O</t>
  </si>
  <si>
    <t>Ns. Ramadhani Yalesia Putri S,Kep</t>
  </si>
  <si>
    <t>085883224783</t>
  </si>
  <si>
    <t>3276044803940003</t>
  </si>
  <si>
    <t xml:space="preserve">Graha Cinere Country Jl Tabanan Blok M1 no 3 Krukut Limo Depok Jawa Barat </t>
  </si>
  <si>
    <t>SRAGEN</t>
  </si>
  <si>
    <t>08-03-1994</t>
  </si>
  <si>
    <t>28 tahun 4 bulan</t>
  </si>
  <si>
    <t xml:space="preserve">Universitas Pembangunan Nasional Veteran Jakarta </t>
  </si>
  <si>
    <t xml:space="preserve">S1 KEPERAWATAN </t>
  </si>
  <si>
    <t xml:space="preserve">Rs Puri Cinere </t>
  </si>
  <si>
    <t xml:space="preserve">Helix Laboratorium </t>
  </si>
  <si>
    <t>yalesiaramadhani@gmail.com</t>
  </si>
  <si>
    <t>1NwDqNvii860-TAQF83yLsn4plKU_BRwx28hIHyLIB1w</t>
  </si>
  <si>
    <t>https://docs.google.com/document/d/1NwDqNvii860-TAQF83yLsn4plKU_BRwx28hIHyLIB1w/edit?usp=drivesdk</t>
  </si>
  <si>
    <t>Document successfully created; Document successfully merged; Run via form trigger as kemal.stafsus@gmail.com; Timestamp: Jul 29 2022 5:39 AM</t>
  </si>
  <si>
    <t>https://drive.google.com/open?id=1o3Ijek7sE9mPhj9pheG-f1R0P255j4hb</t>
  </si>
  <si>
    <t>https://drive.google.com/uc?export=view&amp;id=1o3Ijek7sE9mPhj9pheG-f1R0P255j4hb</t>
  </si>
  <si>
    <t>Nasya Qatrunnada Ramadhani, BA</t>
  </si>
  <si>
    <t>082112452854</t>
  </si>
  <si>
    <t>1771074912990001</t>
  </si>
  <si>
    <t>Jalan Semeru no.25a, rt.04/rw 02, kel Padang Jati, kec. Ratu Samban, Kota Bengkulu</t>
  </si>
  <si>
    <t>09-12-1999</t>
  </si>
  <si>
    <t>22 tahun 7 bulan</t>
  </si>
  <si>
    <t>International University of Africa, Sudan</t>
  </si>
  <si>
    <t>Ulumul Qur'an dan Tafsir/ fak. Islamic Studies</t>
  </si>
  <si>
    <t>Ijazah belum disetarakan, predikat mumtaz/cumlaude</t>
  </si>
  <si>
    <t>Fresh graduate</t>
  </si>
  <si>
    <t>nasyzhar@gmail.com</t>
  </si>
  <si>
    <t>1ExEjuGjxoGzpiSU2JVOxlxzWENclP6_hb0cJhRMNbaA</t>
  </si>
  <si>
    <t>https://docs.google.com/document/d/1ExEjuGjxoGzpiSU2JVOxlxzWENclP6_hb0cJhRMNbaA/edit?usp=drivesdk</t>
  </si>
  <si>
    <t>Document successfully created; Document successfully merged; Run via form trigger as kemal.stafsus@gmail.com; Timestamp: Jul 29 2022 9:31 AM</t>
  </si>
  <si>
    <t>https://drive.google.com/open?id=1kXg-QjZR38ekT4JGsUPuYnj3Ko8mqTPI</t>
  </si>
  <si>
    <t>https://drive.google.com/uc?export=view&amp;id=1kXg-QjZR38ekT4JGsUPuYnj3Ko8mqTPI</t>
  </si>
  <si>
    <t>Yulina, S.T</t>
  </si>
  <si>
    <t>085240625088</t>
  </si>
  <si>
    <t>7403274907970001</t>
  </si>
  <si>
    <t>Jalan Mangkerey, Kec. Kambu, Kota Kendari</t>
  </si>
  <si>
    <t>Muna</t>
  </si>
  <si>
    <t>09-07-1997</t>
  </si>
  <si>
    <t>Universitas Halu Oleo</t>
  </si>
  <si>
    <t>Mentor Komputer Trysakty Education Center</t>
  </si>
  <si>
    <t>Staf Administrasi PT. Seribu Dinar Mulia</t>
  </si>
  <si>
    <t>Staf Sekretariat BAN-S/M Provinsi Sulawesi Tenggara</t>
  </si>
  <si>
    <t>yulinagw@gmail.com</t>
  </si>
  <si>
    <t>1tcSOv8AojxJxaIAh1cEFf6D17154ygxAGdn-C4ozySU</t>
  </si>
  <si>
    <t>https://docs.google.com/document/d/1tcSOv8AojxJxaIAh1cEFf6D17154ygxAGdn-C4ozySU/edit?usp=drivesdk</t>
  </si>
  <si>
    <t>Document successfully created; Document successfully merged; Run via form trigger as kemal.stafsus@gmail.com; Timestamp: Jul 29 2022 10:51 AM</t>
  </si>
  <si>
    <t>https://drive.google.com/open?id=1Yy0XSXnCwC7uJSAJX5m2jOIg6enjx6sG</t>
  </si>
  <si>
    <t>https://drive.google.com/uc?export=view&amp;id=1Yy0XSXnCwC7uJSAJX5m2jOIg6enjx6sG</t>
  </si>
  <si>
    <t>Sahida Sakur Saraswati, S.Psi.</t>
  </si>
  <si>
    <t>082312985558</t>
  </si>
  <si>
    <t>3275095911960018</t>
  </si>
  <si>
    <t>Petukangan Utara, Pesanggrahan, Jakarta Selatan</t>
  </si>
  <si>
    <t>19-11-1996</t>
  </si>
  <si>
    <t>25 tahub 8 bulan</t>
  </si>
  <si>
    <t>Guru BK PKBM Abu Dzar</t>
  </si>
  <si>
    <t>ssakur79@gmail.com</t>
  </si>
  <si>
    <t>1Ji_nVQpM9x1XYhqxGG9aEUCP5vFIc9ez4dKGcUVrRwc</t>
  </si>
  <si>
    <t>https://docs.google.com/document/d/1Ji_nVQpM9x1XYhqxGG9aEUCP5vFIc9ez4dKGcUVrRwc/edit?usp=drivesdk</t>
  </si>
  <si>
    <t>Document successfully created; Document successfully merged; Run via form trigger as kemal.stafsus@gmail.com; Timestamp: Jul 29 2022 6:31 PM</t>
  </si>
  <si>
    <t>https://drive.google.com/open?id=1hScMXH5rB41L6Ys7lEHv_qjrFw1s2kp5</t>
  </si>
  <si>
    <t>https://drive.google.com/uc?export=view&amp;id=1hScMXH5rB41L6Ys7lEHv_qjrFw1s2kp5</t>
  </si>
  <si>
    <t>NADHILAH NUR SHABRINA, SS.</t>
  </si>
  <si>
    <t>082179780853</t>
  </si>
  <si>
    <t>1901034110990001</t>
  </si>
  <si>
    <t>Sungailiat, Bangka</t>
  </si>
  <si>
    <t>01-10-1999</t>
  </si>
  <si>
    <t>Universitas Bangka Belitung</t>
  </si>
  <si>
    <t>English Tutor (2018 - 2019)</t>
  </si>
  <si>
    <t>50.000/sesi</t>
  </si>
  <si>
    <t>TOEFL Trainer (2021)</t>
  </si>
  <si>
    <t>English Teacher (2020-present)</t>
  </si>
  <si>
    <t>nadhilahnrs99@gmail.com</t>
  </si>
  <si>
    <t>1DeS9lEMGWiZM8DMo1KSCK1s0WwEOYooMTDEL6AptxvY</t>
  </si>
  <si>
    <t>https://docs.google.com/document/d/1DeS9lEMGWiZM8DMo1KSCK1s0WwEOYooMTDEL6AptxvY/edit?usp=drivesdk</t>
  </si>
  <si>
    <t>Document successfully created; Document successfully merged; Run via form trigger as kemal.stafsus@gmail.com; Timestamp: Jul 30 2022 4:02 AM</t>
  </si>
  <si>
    <t>https://drive.google.com/open?id=1dGM48Tzu3zHOD2kerJoYtiTrWJBdANly</t>
  </si>
  <si>
    <t>https://drive.google.com/uc?export=view&amp;id=1dGM48Tzu3zHOD2kerJoYtiTrWJBdANly</t>
  </si>
  <si>
    <t>Nur Sa'adah S.Hum</t>
  </si>
  <si>
    <t>088289798585</t>
  </si>
  <si>
    <t>3175095505950005</t>
  </si>
  <si>
    <t>Jl. Cibubur 2 Bulak Ringan 4, Jakarta Timur</t>
  </si>
  <si>
    <t>15-05-1995</t>
  </si>
  <si>
    <t>Tarjamah</t>
  </si>
  <si>
    <t>Guru mengaji</t>
  </si>
  <si>
    <t>0670304183</t>
  </si>
  <si>
    <t>nursaadah475@gmail.com</t>
  </si>
  <si>
    <t>1HEpBURMikvdLiHy3NubB7_fOTemTkJFl95HvOpVMMA0</t>
  </si>
  <si>
    <t>https://docs.google.com/document/d/1HEpBURMikvdLiHy3NubB7_fOTemTkJFl95HvOpVMMA0/edit?usp=drivesdk</t>
  </si>
  <si>
    <t>Document successfully created; Document successfully merged; Run via form trigger as kemal.stafsus@gmail.com; Timestamp: Jul 30 2022 8:02 PM</t>
  </si>
  <si>
    <t>https://drive.google.com/open?id=1idZYCMrwrqNX58hpgZaUGws03ZejgkAN</t>
  </si>
  <si>
    <t>https://drive.google.com/uc?export=view&amp;id=1idZYCMrwrqNX58hpgZaUGws03ZejgkAN</t>
  </si>
  <si>
    <t xml:space="preserve">Nabila Fatimah Az Zahra </t>
  </si>
  <si>
    <t>085726191138</t>
  </si>
  <si>
    <t>3275114311030001</t>
  </si>
  <si>
    <t>3 November 2003</t>
  </si>
  <si>
    <t>18 tahun 8 bulan</t>
  </si>
  <si>
    <t xml:space="preserve">Musyrifah </t>
  </si>
  <si>
    <t>nabilafat3@gmail.com</t>
  </si>
  <si>
    <t>1_BEBjYkfMZxfKrgepLU9Kcgo3J9QY9YhPPhXPZg7L9k</t>
  </si>
  <si>
    <t>https://docs.google.com/document/d/1_BEBjYkfMZxfKrgepLU9Kcgo3J9QY9YhPPhXPZg7L9k/edit?usp=drivesdk</t>
  </si>
  <si>
    <t>Document successfully created; Document successfully merged; Run via form trigger as kemal.stafsus@gmail.com; Timestamp: Aug 3 2022 6:25 AM</t>
  </si>
  <si>
    <t>https://drive.google.com/open?id=1aD8b8ctMjYpkx0k-rmnOHpdvbRSD-mBf</t>
  </si>
  <si>
    <t>https://drive.google.com/uc?export=view&amp;id=1aD8b8ctMjYpkx0k-rmnOHpdvbRSD-mBf</t>
  </si>
  <si>
    <t>Saepudin, S.S</t>
  </si>
  <si>
    <t>081355035163</t>
  </si>
  <si>
    <t>3603031207930013</t>
  </si>
  <si>
    <t>Jl. Bakti, RT. 003, RW. 05, Kelurahan Parigi, Kecamatan Pondok Aren, Tangerang Selatan, 15227</t>
  </si>
  <si>
    <t>Kabupaten Tangerang</t>
  </si>
  <si>
    <t>12-07-1993</t>
  </si>
  <si>
    <t>Lulusan PTS (Strata-1) - Universitas Al Azhar Indonesia</t>
  </si>
  <si>
    <t>Project Executive</t>
  </si>
  <si>
    <t xml:space="preserve">Sales and marketing communications </t>
  </si>
  <si>
    <t>Executive Partnership</t>
  </si>
  <si>
    <t>pudi.saepudin@gmail.com</t>
  </si>
  <si>
    <t>1ZxSFi6m3xr4pvOeH3ZQUjDPCNuNl_X_WEwiOUVxtAPA</t>
  </si>
  <si>
    <t>https://docs.google.com/document/d/1ZxSFi6m3xr4pvOeH3ZQUjDPCNuNl_X_WEwiOUVxtAPA/edit?usp=drivesdk</t>
  </si>
  <si>
    <t>Document successfully created; Document successfully merged; Run via form trigger as kemal.stafsus@gmail.com; Timestamp: Aug 4 2022 12:37 PM</t>
  </si>
  <si>
    <t>https://drive.google.com/open?id=17FYln0p_rSHQP6KG0gISGu-fkakxElF8</t>
  </si>
  <si>
    <t>https://drive.google.com/uc?export=view&amp;id=17FYln0p_rSHQP6KG0gISGu-fkakxElF8</t>
  </si>
  <si>
    <t>Nur Khosim, S.E</t>
  </si>
  <si>
    <t>0895411846945</t>
  </si>
  <si>
    <t>3172011110960001</t>
  </si>
  <si>
    <t>Gg. Damai,RT 01/06, no.27b, Jombang, Kec. Ciputat, Kota Tangerang Selatan, Banten 15414</t>
  </si>
  <si>
    <t>11-10-1996</t>
  </si>
  <si>
    <t>STEI SEBI</t>
  </si>
  <si>
    <t>Guru Al Qur'an SDIT AULADY</t>
  </si>
  <si>
    <t>Guru Al Qur'an SDIT BINTANG</t>
  </si>
  <si>
    <t>nurqosim2015@gmail.com</t>
  </si>
  <si>
    <t>13aRIY-dgnSQQ8pB9MJhBu3vvCcHiBFLeFDvF2oEPWRE</t>
  </si>
  <si>
    <t>https://docs.google.com/document/d/13aRIY-dgnSQQ8pB9MJhBu3vvCcHiBFLeFDvF2oEPWRE/edit?usp=drivesdk</t>
  </si>
  <si>
    <t>Document successfully created; Document successfully merged; Run via form trigger as kemal.stafsus@gmail.com; Timestamp: Aug 4 2022 6:57 PM</t>
  </si>
  <si>
    <t>https://drive.google.com/open?id=1l9v7SNElgNiMmVha-aLL6q8hFk0lpyuO</t>
  </si>
  <si>
    <t>https://drive.google.com/uc?export=view&amp;id=1l9v7SNElgNiMmVha-aLL6q8hFk0lpyuO</t>
  </si>
  <si>
    <t>Ahmad sayfudin</t>
  </si>
  <si>
    <t>083147306596</t>
  </si>
  <si>
    <t>1801211406960004</t>
  </si>
  <si>
    <t>Lampung selatan</t>
  </si>
  <si>
    <t>Sekolah Tinggi Ilmu Tarbiyah</t>
  </si>
  <si>
    <t>Pabrik</t>
  </si>
  <si>
    <t>ahmadsayfudin020@gmail.com</t>
  </si>
  <si>
    <t>1laWuQBSBJFcdBnTWI0n88bIh2JAo5I3Oy0OVa4ESWTM</t>
  </si>
  <si>
    <t>https://docs.google.com/document/d/1laWuQBSBJFcdBnTWI0n88bIh2JAo5I3Oy0OVa4ESWTM/edit?usp=drivesdk</t>
  </si>
  <si>
    <t>Document successfully created; Document successfully merged; Run via form trigger as kemal.stafsus@gmail.com; Timestamp: Aug 5 2022 11:18 PM</t>
  </si>
  <si>
    <t>https://drive.google.com/open?id=1waiAWg9JFfydyMxOpo6dpSSQCfgwFvcT</t>
  </si>
  <si>
    <t>https://drive.google.com/uc?export=view&amp;id=1waiAWg9JFfydyMxOpo6dpSSQCfgwFvcT</t>
  </si>
  <si>
    <t>Ahmad Jauhari Hasibuan S.Si</t>
  </si>
  <si>
    <t>087778480549</t>
  </si>
  <si>
    <t>3174061111980002</t>
  </si>
  <si>
    <t>Jalan Bukit Cinere, Gandul, Depok, Jawa Barat.</t>
  </si>
  <si>
    <t>11-11-1998</t>
  </si>
  <si>
    <t>23 Tahun 08 Bulan</t>
  </si>
  <si>
    <t>PT. Berlian Amal Perkasa (Rental Heavy Equipment &amp; Construction. ShareHolding : Mitsubishi Corp., Nikken Corp., PT. Guna Teguh Abadi, PT. Kawan Lama Sejahtera.)
- Marketing Staff</t>
  </si>
  <si>
    <t>7.500.000 (Take Home Pay) exclude : Tunjangan, Transport, BPJS, dll</t>
  </si>
  <si>
    <t>ahmadjauhari1998@gmail.com</t>
  </si>
  <si>
    <t>1MXfwcV7s4oLyUqkd6lrwNpGSdEn0_R4KsQFxBTiJq_U</t>
  </si>
  <si>
    <t>https://docs.google.com/document/d/1MXfwcV7s4oLyUqkd6lrwNpGSdEn0_R4KsQFxBTiJq_U/edit?usp=drivesdk</t>
  </si>
  <si>
    <t>Document successfully created; Document successfully merged; Run via form trigger as kemal.stafsus@gmail.com; Timestamp: Aug 6 2022 9:21 PM</t>
  </si>
  <si>
    <t>https://drive.google.com/open?id=1qKKYf7lGeqgNB-OrpOT6lnpqodEPFhDK</t>
  </si>
  <si>
    <t>https://drive.google.com/uc?export=view&amp;id=1qKKYf7lGeqgNB-OrpOT6lnpqodEPFhDK</t>
  </si>
  <si>
    <t>Nisrina Novelia S.S</t>
  </si>
  <si>
    <t>085842164303</t>
  </si>
  <si>
    <t>3603166111980002</t>
  </si>
  <si>
    <t xml:space="preserve">Perum Grand Permata Sepatan Blok B no 01 </t>
  </si>
  <si>
    <t>21 November 1998</t>
  </si>
  <si>
    <t xml:space="preserve">23 tahun 9 bulan </t>
  </si>
  <si>
    <t xml:space="preserve">Math, English, Science </t>
  </si>
  <si>
    <t xml:space="preserve">Universitas Gunadarma </t>
  </si>
  <si>
    <t xml:space="preserve">Sastra Inggris </t>
  </si>
  <si>
    <t>Guru Privat Bahasa Inggris SD dan SMP</t>
  </si>
  <si>
    <t xml:space="preserve">4.000 .000 </t>
  </si>
  <si>
    <t>nisrinanovelia@gmail.com</t>
  </si>
  <si>
    <t>1uR7W412YO_l07YF6I-4xma9YTtKZzFdtcwexVWH69AQ</t>
  </si>
  <si>
    <t>https://docs.google.com/document/d/1uR7W412YO_l07YF6I-4xma9YTtKZzFdtcwexVWH69AQ/edit?usp=drivesdk</t>
  </si>
  <si>
    <t>Document successfully created; Document successfully merged; Run via form trigger as kemal.stafsus@gmail.com; Timestamp: Aug 9 2022 11:12 AM</t>
  </si>
  <si>
    <t>https://drive.google.com/open?id=187oy-gjxVPm-OvMSa5Zds1V37HnV6EHm</t>
  </si>
  <si>
    <t>https://drive.google.com/uc?export=view&amp;id=187oy-gjxVPm-OvMSa5Zds1V37HnV6EHm</t>
  </si>
  <si>
    <t>Nikita Arsy Rachmawati</t>
  </si>
  <si>
    <t>087874984357</t>
  </si>
  <si>
    <t>3603124110970003</t>
  </si>
  <si>
    <t>Vila Tangerang Elok A26 no 10, Kutajaya, Pasarkemis, Kab. Tangerang</t>
  </si>
  <si>
    <t>01-10-1997</t>
  </si>
  <si>
    <t>Science/Math/English</t>
  </si>
  <si>
    <t>Ilmu dan Teknologi Pangan</t>
  </si>
  <si>
    <t>Ilmu Pangan</t>
  </si>
  <si>
    <t>Teaching Assistant</t>
  </si>
  <si>
    <t>0390407757</t>
  </si>
  <si>
    <t>nikita.arsy@gmail.com</t>
  </si>
  <si>
    <t>1iK3JHKxZmUh_xQasXAz9Z9MtkvKTqjgFi0jPUALG8t4</t>
  </si>
  <si>
    <t>https://docs.google.com/document/d/1iK3JHKxZmUh_xQasXAz9Z9MtkvKTqjgFi0jPUALG8t4/edit?usp=drivesdk</t>
  </si>
  <si>
    <t>Document successfully created; Document successfully merged; Run via form trigger as kemal.stafsus@gmail.com; Timestamp: Aug 11 2022 7:56 AM</t>
  </si>
  <si>
    <t>https://drive.google.com/open?id=13ouVNcDtdIztXPBLNzvSx6oykLTxT1_S</t>
  </si>
  <si>
    <t>https://drive.google.com/uc?export=view&amp;id=13ouVNcDtdIztXPBLNzvSx6oykLTxT1_S</t>
  </si>
  <si>
    <t>Raniah Besari Sejati</t>
  </si>
  <si>
    <t>088296305663</t>
  </si>
  <si>
    <t>3528044801010001</t>
  </si>
  <si>
    <t xml:space="preserve">Perum dasana indah blok ss2 no.17 </t>
  </si>
  <si>
    <t>08-01-2001</t>
  </si>
  <si>
    <t xml:space="preserve">21 tahun 8 bulan </t>
  </si>
  <si>
    <t>Pernah mengajar/mengabdi sebagai guru PAUD di ponpes Imam Bukhari Surakarta</t>
  </si>
  <si>
    <t>raniahbesaris692@gmail.con</t>
  </si>
  <si>
    <t>1Na0zgoL7_6LCj2ykMSpYznP4XlIuSoBrXzSkSXQvUaE</t>
  </si>
  <si>
    <t>https://docs.google.com/document/d/1Na0zgoL7_6LCj2ykMSpYznP4XlIuSoBrXzSkSXQvUaE/edit?usp=drivesdk</t>
  </si>
  <si>
    <t>Document successfully created; Document successfully merged; Run via form trigger as kemal.stafsus@gmail.com; Timestamp: Aug 15 2022 10:49 PM</t>
  </si>
  <si>
    <t>https://drive.google.com/open?id=1XKbr7AHPc_I05KRUUv71oV8MZm0DeFEm</t>
  </si>
  <si>
    <t>https://drive.google.com/uc?export=view&amp;id=1XKbr7AHPc_I05KRUUv71oV8MZm0DeFEm</t>
  </si>
  <si>
    <t xml:space="preserve">Raniah Besari Sejati </t>
  </si>
  <si>
    <t>Perum dasana indah blok ss2 no.17</t>
  </si>
  <si>
    <t>08 - 01 - 2001</t>
  </si>
  <si>
    <t>Mengabdi/mengajar sebagai guru PAUD dan musyrifah sakan di Ponpes Imam Bukhari Surakarta</t>
  </si>
  <si>
    <t>raniahbesaris692@gmail.com</t>
  </si>
  <si>
    <t>1QVhPbkdAIk3sYHnYVjkbP3qZPA1EZ98Z3sHWT6FIZWg</t>
  </si>
  <si>
    <t>https://docs.google.com/document/d/1QVhPbkdAIk3sYHnYVjkbP3qZPA1EZ98Z3sHWT6FIZWg/edit?usp=drivesdk</t>
  </si>
  <si>
    <t>Document successfully created; Document successfully merged; Run via form trigger as kemal.stafsus@gmail.com; Timestamp: Aug 15 2022 11:41 PM</t>
  </si>
  <si>
    <t>https://drive.google.com/open?id=1OnrLIcHW2Z3A3RHrDZ3JTZMbiiyT-NwF</t>
  </si>
  <si>
    <t>https://drive.google.com/uc?export=view&amp;id=1OnrLIcHW2Z3A3RHrDZ3JTZMbiiyT-NwF</t>
  </si>
  <si>
    <t xml:space="preserve">Eva Astuti </t>
  </si>
  <si>
    <t>085893174481</t>
  </si>
  <si>
    <t>31730855701750003</t>
  </si>
  <si>
    <t xml:space="preserve">Jl ciater Mekarjaya Serpong Tangerang Selatan </t>
  </si>
  <si>
    <t>17 01 1975</t>
  </si>
  <si>
    <t>47tahun</t>
  </si>
  <si>
    <t xml:space="preserve">Kindergarten </t>
  </si>
  <si>
    <t xml:space="preserve">Universitas Islam At Tahiriyah Jakarta </t>
  </si>
  <si>
    <t xml:space="preserve">Ilmu Hukum </t>
  </si>
  <si>
    <t>2.12</t>
  </si>
  <si>
    <t xml:space="preserve">Bank syariah mandiri </t>
  </si>
  <si>
    <t>yanphayomhui@gmail.com</t>
  </si>
  <si>
    <t>1mzmkL73v8MpZjTSEu22GwJ8gmVVqpO5njxl4xu0xrDo</t>
  </si>
  <si>
    <t>https://docs.google.com/document/d/1mzmkL73v8MpZjTSEu22GwJ8gmVVqpO5njxl4xu0xrDo/edit?usp=drivesdk</t>
  </si>
  <si>
    <t>Document successfully created; Document successfully merged; Run via form trigger as kemal.stafsus@gmail.com; Timestamp: Aug 19 2022 3:07 AM</t>
  </si>
  <si>
    <t>https://drive.google.com/open?id=1ckG5flDRVQFbyuTELO6oqKPmhzzpC-Nq</t>
  </si>
  <si>
    <t>https://drive.google.com/uc?export=view&amp;id=1ckG5flDRVQFbyuTELO6oqKPmhzzpC-Nq</t>
  </si>
  <si>
    <t>Silvia Wahyuni, S.Si., M.Sc</t>
  </si>
  <si>
    <t>082176475465</t>
  </si>
  <si>
    <t>1501085203970002</t>
  </si>
  <si>
    <t>Desa Koto Patah, Semerap, Kerinci, Jambi</t>
  </si>
  <si>
    <t>Sungai Penuh</t>
  </si>
  <si>
    <t>12-03-1997</t>
  </si>
  <si>
    <t xml:space="preserve">25 tahun 5 bulan </t>
  </si>
  <si>
    <t>Universitas Jambi</t>
  </si>
  <si>
    <t xml:space="preserve">Universitas Gadjah Mada </t>
  </si>
  <si>
    <t>Freelance di Bimbingan Belajar Ganesha Operation (GO) Sungai Penuh, Jambi</t>
  </si>
  <si>
    <t xml:space="preserve">50.000/Pertemuan </t>
  </si>
  <si>
    <t>Tutor Online di Universitas Terbuka</t>
  </si>
  <si>
    <t xml:space="preserve">200.000/Pertemuan </t>
  </si>
  <si>
    <t>011701049690508</t>
  </si>
  <si>
    <t>silviawahyuni1@gmail.com</t>
  </si>
  <si>
    <t>1lqPNxNsDkaK75VSZ3F7laSdPgZ1UcVhhqCzZVIaEA68</t>
  </si>
  <si>
    <t>https://docs.google.com/document/d/1lqPNxNsDkaK75VSZ3F7laSdPgZ1UcVhhqCzZVIaEA68/edit?usp=drivesdk</t>
  </si>
  <si>
    <t>Document successfully created; Document successfully merged; Run via form trigger as kemal.stafsus@gmail.com; Timestamp: Aug 20 2022 6:39 AM</t>
  </si>
  <si>
    <t>https://drive.google.com/open?id=1IDDlHe6iD_CAlJQopb5FZqS36vg4NVti</t>
  </si>
  <si>
    <t>https://drive.google.com/uc?export=view&amp;id=1IDDlHe6iD_CAlJQopb5FZqS36vg4NVti</t>
  </si>
  <si>
    <t>S2</t>
  </si>
  <si>
    <t>Freelance Pengajar di Ganesha Operation (GO) Sungai Penuh, Jambi</t>
  </si>
  <si>
    <t xml:space="preserve">50.000/pertemuan </t>
  </si>
  <si>
    <t xml:space="preserve">Tutor Online Universitas Terbuka </t>
  </si>
  <si>
    <t xml:space="preserve">200.000/pertemuan </t>
  </si>
  <si>
    <t>silviawahyuni1@gmai.com</t>
  </si>
  <si>
    <t>1oRySeikvrFniwE6WqaoHByou5FF8nQfAwCjwwnRjXEw</t>
  </si>
  <si>
    <t>https://docs.google.com/document/d/1oRySeikvrFniwE6WqaoHByou5FF8nQfAwCjwwnRjXEw/edit?usp=drivesdk</t>
  </si>
  <si>
    <t>Document successfully created; Document successfully merged; Run via form trigger as kemal.stafsus@gmail.com; Timestamp: Aug 20 2022 9:06 AM</t>
  </si>
  <si>
    <t>https://drive.google.com/open?id=1HjVxBJKGl6M_WiAyoRmT_Vc5NwvZI59O</t>
  </si>
  <si>
    <t>https://drive.google.com/uc?export=view&amp;id=1HjVxBJKGl6M_WiAyoRmT_Vc5NwvZI59O</t>
  </si>
  <si>
    <t>Katitah Kersaning Gusti, M.Pd.</t>
  </si>
  <si>
    <t>083873166400</t>
  </si>
  <si>
    <t>3174044101961001</t>
  </si>
  <si>
    <t>Jl. Pepaya Raya. No 41. Gg H. Main. RT 3 RW 5. Kel Jagakarsa. Kec Jagakarsa. Jak Sel. 12620</t>
  </si>
  <si>
    <t>01-01-1996</t>
  </si>
  <si>
    <t>Guru Bahasa Inggris Jakarta Taipei School</t>
  </si>
  <si>
    <t>kk.gusti@gmail.com</t>
  </si>
  <si>
    <t>1sTLv-oumlQh9lqpVDzvfmrLk-meqYs5twI0SCjLU5zs</t>
  </si>
  <si>
    <t>https://docs.google.com/document/d/1sTLv-oumlQh9lqpVDzvfmrLk-meqYs5twI0SCjLU5zs/edit?usp=drivesdk</t>
  </si>
  <si>
    <t>Document successfully created; Document successfully merged; Run via form trigger as kemal.stafsus@gmail.com; Timestamp: Aug 20 2022 10:07 AM</t>
  </si>
  <si>
    <t>https://drive.google.com/open?id=1KiP0_pINZLq27b6E5a1jIqyYDWkmpgAL</t>
  </si>
  <si>
    <t>https://drive.google.com/uc?export=view&amp;id=1KiP0_pINZLq27b6E5a1jIqyYDWkmpgAL</t>
  </si>
  <si>
    <t>Khairuddin</t>
  </si>
  <si>
    <t>085289394219</t>
  </si>
  <si>
    <t>3174040702930005</t>
  </si>
  <si>
    <t>Jl pelabuhan ratu 1 rt 007 rw 015</t>
  </si>
  <si>
    <t>07-02-1993</t>
  </si>
  <si>
    <t>PTS INTERNATIONAL ISLAMIC EDUCATION</t>
  </si>
  <si>
    <t>Guru tahfidz selama 7 tahun dan Guru TPQ selama 1 tahun</t>
  </si>
  <si>
    <t>Bsi</t>
  </si>
  <si>
    <t>khairuddin7293@gmail.com</t>
  </si>
  <si>
    <t>114PMmRYQ6ZWnfbPpmjN8m7GJn9dk30CObO_shYzLBTQ</t>
  </si>
  <si>
    <t>https://docs.google.com/document/d/114PMmRYQ6ZWnfbPpmjN8m7GJn9dk30CObO_shYzLBTQ/edit?usp=drivesdk</t>
  </si>
  <si>
    <t>Document successfully created; Document successfully merged; Run via form trigger as kemal.stafsus@gmail.com; Timestamp: Aug 21 2022 6:27 PM</t>
  </si>
  <si>
    <t>https://drive.google.com/open?id=1HK47fVuOrJo7HfiPLEhac1YXGka6hBh8</t>
  </si>
  <si>
    <t>https://drive.google.com/uc?export=view&amp;id=1HK47fVuOrJo7HfiPLEhac1YXGka6hBh8</t>
  </si>
  <si>
    <t>Nurmilah Fadilah</t>
  </si>
  <si>
    <t>Jalan H Jali RT/RW 05/02 No. 140 Kelurahan Kunciran Jaya, Kecamatan Pinang, Kota Tangerang, Provinsi Banten, Kode Pos: 15144</t>
  </si>
  <si>
    <t>23 tahun 0 bulan</t>
  </si>
  <si>
    <t>Bimbel Biruni sebagai mentor Bahasa Indonesia SMP dan mentor SD</t>
  </si>
  <si>
    <t>nurmilahf06@gmail.com</t>
  </si>
  <si>
    <t>1pbylcKTX14tN2Pq1zh_gIXdxNQPc_Zxe4LfEpASFsjY</t>
  </si>
  <si>
    <t>https://docs.google.com/document/d/1pbylcKTX14tN2Pq1zh_gIXdxNQPc_Zxe4LfEpASFsjY/edit?usp=drivesdk</t>
  </si>
  <si>
    <t>Document successfully created; Document successfully merged; Run via form trigger as kemal.stafsus@gmail.com; Timestamp: Aug 23 2022 1:19 AM</t>
  </si>
  <si>
    <t>https://drive.google.com/open?id=14aI-U0MrSbc7WWvzEo4ddU_gtS752Bb8</t>
  </si>
  <si>
    <t>https://drive.google.com/uc?export=view&amp;id=14aI-U0MrSbc7WWvzEo4ddU_gtS752Bb8</t>
  </si>
  <si>
    <t>Diah Lukitasari, S.Pt</t>
  </si>
  <si>
    <t>081326349166</t>
  </si>
  <si>
    <t>3374156012720006</t>
  </si>
  <si>
    <t>Perum Green Garden Blok A1 No. 5 Kalisuren, Tajurhalang, Kab. Bogor 16320 Jawa Barat</t>
  </si>
  <si>
    <t>20-12-1972</t>
  </si>
  <si>
    <t>49 tahun 8 bulan</t>
  </si>
  <si>
    <t>Universitas Diponegoro (UNDIP) Semarang</t>
  </si>
  <si>
    <t>Peternakan Berakta IV Mengajar dan Bersertifikasi Pendidik</t>
  </si>
  <si>
    <t>ummulialukita27@gmail.com</t>
  </si>
  <si>
    <t>1xeP7s6B4EcA7RfX4D5DrNTm8uMPevQWk1ZO8l0ypJzI</t>
  </si>
  <si>
    <t>https://docs.google.com/document/d/1xeP7s6B4EcA7RfX4D5DrNTm8uMPevQWk1ZO8l0ypJzI/edit?usp=drivesdk</t>
  </si>
  <si>
    <t>Document successfully created; Document successfully merged; Run via form trigger as kemal.stafsus@gmail.com; Timestamp: Aug 23 2022 4:30 AM</t>
  </si>
  <si>
    <t>https://drive.google.com/open?id=16n8dikctdUFgoMEfnMJfJ1YupDUabHuv</t>
  </si>
  <si>
    <t>https://drive.google.com/uc?export=view&amp;id=16n8dikctdUFgoMEfnMJfJ1YupDUabHuv</t>
  </si>
  <si>
    <t>Khairuddin LC</t>
  </si>
  <si>
    <t>Desa ntonggu düşün weo rt 006 rw 002 kec palibelo kab bima NTB</t>
  </si>
  <si>
    <t xml:space="preserve">Internasional islamic education istanbul </t>
  </si>
  <si>
    <t>8 tahun menjadi guru tahfidz</t>
  </si>
  <si>
    <t>1_mIf6oVQS4Ubb37r2kvD-RZa8hWcxTHO-7mhD6pvJ9M</t>
  </si>
  <si>
    <t>https://docs.google.com/document/d/1_mIf6oVQS4Ubb37r2kvD-RZa8hWcxTHO-7mhD6pvJ9M/edit?usp=drivesdk</t>
  </si>
  <si>
    <t>Document successfully created; Document successfully merged; Run via form trigger as kemal.stafsus@gmail.com; Timestamp: Aug 23 2022 11:23 AM</t>
  </si>
  <si>
    <t>https://drive.google.com/open?id=1xhHWNM9NTkFJWbYHcFDURDi1PiUwVBoK</t>
  </si>
  <si>
    <t>https://drive.google.com/uc?export=view&amp;id=1xhHWNM9NTkFJWbYHcFDURDi1PiUwVBoK</t>
  </si>
  <si>
    <t>ABDUL HADI WAKID LC</t>
  </si>
  <si>
    <t>081282494824</t>
  </si>
  <si>
    <t>3523160404960008</t>
  </si>
  <si>
    <t>Alamat:
Kp. Caringin, Ds. Sindanggalih kec. Karangtengah kab. Garut-Jawa Barat
Rt.03 Rw. 05
Kode pos 44184</t>
  </si>
  <si>
    <t>TUBAN</t>
  </si>
  <si>
    <t>04-04-1996</t>
  </si>
  <si>
    <t>26 Tahun 5 Bulan</t>
  </si>
  <si>
    <t>Aqidah(Tauhid) , fikih ,Hadist</t>
  </si>
  <si>
    <t xml:space="preserve">Universitas Islam Madinah </t>
  </si>
  <si>
    <t xml:space="preserve">Dakwah wa Ussuluddin </t>
  </si>
  <si>
    <t xml:space="preserve">Sekertasis kesiswaan SMP Al-Irsyad Tenggaran </t>
  </si>
  <si>
    <t>Guru di alwildan islamic school 1</t>
  </si>
  <si>
    <t xml:space="preserve">Panitia penyelenggran haji di Makkah tahun 2022 </t>
  </si>
  <si>
    <t>hadiwakid040444@gmail.com</t>
  </si>
  <si>
    <t>1L1cCDzbfOBUAsNaZ_JVBZIWpxkzFmTp2sOekqA6C13I</t>
  </si>
  <si>
    <t>https://docs.google.com/document/d/1L1cCDzbfOBUAsNaZ_JVBZIWpxkzFmTp2sOekqA6C13I/edit?usp=drivesdk</t>
  </si>
  <si>
    <t>Document successfully created; Document successfully merged; Run via form trigger as kemal.stafsus@gmail.com; Timestamp: Aug 30 2022 3:26 AM</t>
  </si>
  <si>
    <t>https://drive.google.com/open?id=1vzWrRwR5xOWcBJUnqz3IvfWLjCHClLY5</t>
  </si>
  <si>
    <t>https://drive.google.com/uc?export=view&amp;id=1vzWrRwR5xOWcBJUnqz3IvfWLjCHClLY5</t>
  </si>
  <si>
    <t xml:space="preserve">26 tahun 5 bulan </t>
  </si>
  <si>
    <t>Tauhid (aqidah) , fikih, hadist.</t>
  </si>
  <si>
    <t xml:space="preserve">Dakwah Wa Ussuluddin </t>
  </si>
  <si>
    <t xml:space="preserve">Sekertaris kesiswaan di pondok pesntten islam Al-Irsyad tenggaran </t>
  </si>
  <si>
    <t xml:space="preserve">Guru di Al-Wildan islamic school </t>
  </si>
  <si>
    <t xml:space="preserve">Panitian Ibadah Haji indonesia di Makkah tahun 2022 </t>
  </si>
  <si>
    <t>1JgYAQq1PZxLfwKpTIyI9ap1UJ5JKUweLNLDh3quVOMs</t>
  </si>
  <si>
    <t>https://docs.google.com/document/d/1JgYAQq1PZxLfwKpTIyI9ap1UJ5JKUweLNLDh3quVOMs/edit?usp=drivesdk</t>
  </si>
  <si>
    <t>Document successfully created; Document successfully merged; Run via form trigger as kemal.stafsus@gmail.com; Timestamp: Aug 30 2022 3:36 AM</t>
  </si>
  <si>
    <t>https://drive.google.com/open?id=1wQ-5wWLxuTaJnC71tm7naUw8uWV6d-kS</t>
  </si>
  <si>
    <t>https://drive.google.com/uc?export=view&amp;id=1wQ-5wWLxuTaJnC71tm7naUw8uWV6d-kS</t>
  </si>
  <si>
    <t>Meti Anggraeni, S.Pd</t>
  </si>
  <si>
    <t>087729099734</t>
  </si>
  <si>
    <t>3209156710940003</t>
  </si>
  <si>
    <t>Serpong Garden Village a5/06</t>
  </si>
  <si>
    <t>28-10-1994</t>
  </si>
  <si>
    <t>UIN Syarifhidayatullah Jakarta</t>
  </si>
  <si>
    <t xml:space="preserve">
Guru Bahasa Inggris SMP Dharma Karya UT</t>
  </si>
  <si>
    <t xml:space="preserve">
Guru Bahasa Inggris Alzahra Indonesia</t>
  </si>
  <si>
    <t>Guru Bahasa Inggris di Khalifa IMS</t>
  </si>
  <si>
    <t>Cimb Niaga Syariah</t>
  </si>
  <si>
    <t>meti.a2810@gmail.com</t>
  </si>
  <si>
    <t>1o50OvMFk_1ZWH3_HAZGriyhTus2lSwjADIJKK9I1tTI</t>
  </si>
  <si>
    <t>https://docs.google.com/document/d/1o50OvMFk_1ZWH3_HAZGriyhTus2lSwjADIJKK9I1tTI/edit?usp=drivesdk</t>
  </si>
  <si>
    <t>Document successfully created; Document successfully merged; Run via form trigger as kemal.stafsus@gmail.com; Timestamp: Aug 30 2022 6:00 AM</t>
  </si>
  <si>
    <t>https://drive.google.com/open?id=1c9UIdC9GscFfgd2tbJcCMZWXyIMIXZ4f</t>
  </si>
  <si>
    <t>https://drive.google.com/uc?export=view&amp;id=1c9UIdC9GscFfgd2tbJcCMZWXyIMIXZ4f</t>
  </si>
  <si>
    <t>Neng Iin Widiyanisa, S. Ag</t>
  </si>
  <si>
    <t>085872207397</t>
  </si>
  <si>
    <t>3202305709970004</t>
  </si>
  <si>
    <t>Kp. Cicondong, Citamiang, Kadudampit, Sukabumi, Jawa Barat</t>
  </si>
  <si>
    <t>17 September 1997</t>
  </si>
  <si>
    <t>24 tahun 11 Bulan</t>
  </si>
  <si>
    <t>Guru Tahfidz</t>
  </si>
  <si>
    <t>STIU Al-Hikmah Mampang Jakarta</t>
  </si>
  <si>
    <t>Ilmu Al-Qur'an dan Tafsir</t>
  </si>
  <si>
    <t>Guru Al-Qur'an dan Guru PAI di Pesantren terpadu Darul Qur'an Mulia (2016-2022)</t>
  </si>
  <si>
    <t>nengiin97@gmail.com</t>
  </si>
  <si>
    <t>1_7KtodBV6wUC2rfCMurK1SgOU10lcSziH3vSPY6KDeQ</t>
  </si>
  <si>
    <t>https://docs.google.com/document/d/1_7KtodBV6wUC2rfCMurK1SgOU10lcSziH3vSPY6KDeQ/edit?usp=drivesdk</t>
  </si>
  <si>
    <t>Document successfully created; Document successfully merged; Run via form trigger as kemal.stafsus@gmail.com; Timestamp: Aug 30 2022 10:19 PM</t>
  </si>
  <si>
    <t>https://drive.google.com/open?id=1Jk_hbjiKBslZLdN8pkvZ5Nh89WoSCiOP</t>
  </si>
  <si>
    <t>https://drive.google.com/uc?export=view&amp;id=1Jk_hbjiKBslZLdN8pkvZ5Nh89WoSCiOP</t>
  </si>
  <si>
    <t>Anindia putri</t>
  </si>
  <si>
    <t>08996633875</t>
  </si>
  <si>
    <t>5271025505030003</t>
  </si>
  <si>
    <t>Jl kelapa tiga perumahan grand amaris anfield, kekalik jaya, Nusa Tenggara Barat</t>
  </si>
  <si>
    <t>15-05-2003</t>
  </si>
  <si>
    <t>19 tahun 3 bulan</t>
  </si>
  <si>
    <t>ITBA - GURU PPL</t>
  </si>
  <si>
    <t>anindiaputri855@gmail.com</t>
  </si>
  <si>
    <t>1aq4ZYoSnonURqBHluwybk2RTUbiAo-tZPpty9uTRAoY</t>
  </si>
  <si>
    <t>https://docs.google.com/document/d/1aq4ZYoSnonURqBHluwybk2RTUbiAo-tZPpty9uTRAoY/edit?usp=drivesdk</t>
  </si>
  <si>
    <t>Document successfully created; Document successfully merged; Run via form trigger as kemal.stafsus@gmail.com; Timestamp: Aug 30 2022 11:28 PM</t>
  </si>
  <si>
    <t>https://drive.google.com/open?id=1t1bOp4Jb-GilnJB562ZuEX-pVf9YV1wb</t>
  </si>
  <si>
    <t>https://drive.google.com/uc?export=view&amp;id=1t1bOp4Jb-GilnJB562ZuEX-pVf9YV1wb</t>
  </si>
  <si>
    <t>Asrama guru</t>
  </si>
  <si>
    <t>anindiaputri855@gmail.con</t>
  </si>
  <si>
    <t>1xwz_kLODllHMEAYRFRBsrmnmBHENlAPMsSF3bpCxIIk</t>
  </si>
  <si>
    <t>https://docs.google.com/document/d/1xwz_kLODllHMEAYRFRBsrmnmBHENlAPMsSF3bpCxIIk/edit?usp=drivesdk</t>
  </si>
  <si>
    <t>Document successfully created; Document successfully merged; Run via form trigger as kemal.stafsus@gmail.com; Timestamp: Sep 1 2022 11:19 PM</t>
  </si>
  <si>
    <t>https://drive.google.com/open?id=16Y8NbRadEhZm0ZvYDh4LXgIc3hlgX8jl</t>
  </si>
  <si>
    <t>https://drive.google.com/uc?export=view&amp;id=16Y8NbRadEhZm0ZvYDh4LXgIc3hlgX8jl</t>
  </si>
  <si>
    <t>Khairat Lismaniah</t>
  </si>
  <si>
    <t>081382112078</t>
  </si>
  <si>
    <t>3313116209880005</t>
  </si>
  <si>
    <t>Tajurhalang, bogor (sewa)</t>
  </si>
  <si>
    <t>Padangpanjang</t>
  </si>
  <si>
    <t>22 september 1988</t>
  </si>
  <si>
    <t>33 tahun 11 bulan</t>
  </si>
  <si>
    <t>Al azhar</t>
  </si>
  <si>
    <t>HS saja</t>
  </si>
  <si>
    <t>Sekitar 375.000</t>
  </si>
  <si>
    <t>BSI Bank Syariah Indonesia</t>
  </si>
  <si>
    <t>bintuapriey@gmail.com</t>
  </si>
  <si>
    <t>1M_cp_o0aszrFEoSODPtngpuEhDhqNXjiw8FJIBGNoms</t>
  </si>
  <si>
    <t>https://docs.google.com/document/d/1M_cp_o0aszrFEoSODPtngpuEhDhqNXjiw8FJIBGNoms/edit?usp=drivesdk</t>
  </si>
  <si>
    <t>Document successfully created; Document successfully merged; Run via form trigger as kemal.stafsus@gmail.com; Timestamp: Sep 2 2022 11:04 PM</t>
  </si>
  <si>
    <t>https://drive.google.com/open?id=1VnGK2EqxcrSMieD2zHBYAD4AGiLpMjjL</t>
  </si>
  <si>
    <t>https://drive.google.com/uc?export=view&amp;id=1VnGK2EqxcrSMieD2zHBYAD4AGiLpMjjL</t>
  </si>
  <si>
    <t>Muhamad Islahul Azmi, Lc</t>
  </si>
  <si>
    <t>087880939524</t>
  </si>
  <si>
    <t>5202021407960003</t>
  </si>
  <si>
    <t>Jl. Katelia No.5, RT.009/RW.005, Jatibening Baru, Kec. Pd. Gede, Kota Bks, Jawa Barat 17412</t>
  </si>
  <si>
    <t>Lombok Tengah</t>
  </si>
  <si>
    <t>14-07-1996</t>
  </si>
  <si>
    <t>26 Tahun 1 bulan</t>
  </si>
  <si>
    <t>Syari'ah Islamiyyah</t>
  </si>
  <si>
    <t>azmiislahul96@gmail.com</t>
  </si>
  <si>
    <t>1swGkMss59A1QHJlz086ZCgFE6QmvRJxgs4p9YUOXG7w</t>
  </si>
  <si>
    <t>https://docs.google.com/document/d/1swGkMss59A1QHJlz086ZCgFE6QmvRJxgs4p9YUOXG7w/edit?usp=drivesdk</t>
  </si>
  <si>
    <t>Document successfully created; Document successfully merged; Run via form trigger as kemal.stafsus@gmail.com; Timestamp: Sep 2 2022 11:56 PM</t>
  </si>
  <si>
    <t>https://drive.google.com/open?id=1KRwB8q3TU0w5j5Fm4DwuqgFefAAQuwKY</t>
  </si>
  <si>
    <t>https://drive.google.com/uc?export=view&amp;id=1KRwB8q3TU0w5j5Fm4DwuqgFefAAQuwKY</t>
  </si>
  <si>
    <t>Aditya Bernardi,S.Psi</t>
  </si>
  <si>
    <t>081223080812</t>
  </si>
  <si>
    <t>3674032502850001</t>
  </si>
  <si>
    <t>medina residence C7, Jl H sawil, Jombang, Ciputat</t>
  </si>
  <si>
    <t>25 -  02 - 1985</t>
  </si>
  <si>
    <t>37 tahun 6 bulan</t>
  </si>
  <si>
    <t>UPI-YAI Jakarta</t>
  </si>
  <si>
    <t>S1 Psikologi</t>
  </si>
  <si>
    <t>Sekolah khusus Spectrum - guru dan wali kelas</t>
  </si>
  <si>
    <t>BPIBS Bogor - sebagai guru Bimbingan konseling</t>
  </si>
  <si>
    <t>fasilitator program Aqil baligh di flexi school bintaro</t>
  </si>
  <si>
    <t>bernarditya411@gmail.com</t>
  </si>
  <si>
    <t>1x4VGmnyVtOigrWHcO_wcM4MAnw-TlTz1Rx0dQr6aUFY</t>
  </si>
  <si>
    <t>https://docs.google.com/document/d/1x4VGmnyVtOigrWHcO_wcM4MAnw-TlTz1Rx0dQr6aUFY/edit?usp=drivesdk</t>
  </si>
  <si>
    <t>Document successfully created; Document successfully merged; Run via form trigger as kemal.stafsus@gmail.com; Timestamp: Sep 3 2022 12:05 AM</t>
  </si>
  <si>
    <t>https://drive.google.com/open?id=1lYx9zZGop4wAuk-L130EthmzCwkNSwrw</t>
  </si>
  <si>
    <t>https://drive.google.com/uc?export=view&amp;id=1lYx9zZGop4wAuk-L130EthmzCwkNSwrw</t>
  </si>
  <si>
    <t>Reksa Saputra, s.Pd</t>
  </si>
  <si>
    <t>08989935691</t>
  </si>
  <si>
    <t>3209071406980001</t>
  </si>
  <si>
    <t>desa tangkil, kecamatan caringin, kabupaten bogor</t>
  </si>
  <si>
    <t>kuningan</t>
  </si>
  <si>
    <t>14 juni 1998</t>
  </si>
  <si>
    <t>matematika</t>
  </si>
  <si>
    <t>Universitas Swadaya Gunung Jati Cirebon</t>
  </si>
  <si>
    <t>guru matematika di MILBoS International, wakasek kesiswaan, pembina olimpiade matematika, pembina karya ilmiah remaja, tim pengembang kurikulum.</t>
  </si>
  <si>
    <t>reksasaputra51@gmail.com</t>
  </si>
  <si>
    <t>1ZN-tAwVx8pNWSAmdx52M9NQIurCiMyfYkPA873QM9Q8</t>
  </si>
  <si>
    <t>https://docs.google.com/document/d/1ZN-tAwVx8pNWSAmdx52M9NQIurCiMyfYkPA873QM9Q8/edit?usp=drivesdk</t>
  </si>
  <si>
    <t>Document successfully created; Document successfully merged; Run via form trigger as kemal.stafsus@gmail.com; Timestamp: Sep 3 2022 5:30 AM</t>
  </si>
  <si>
    <t>https://drive.google.com/open?id=1eGYkJ-Q2yNXyFFRn-BNm6-d7-onSNWqp</t>
  </si>
  <si>
    <t>https://drive.google.com/uc?export=view&amp;id=1eGYkJ-Q2yNXyFFRn-BNm6-d7-onSNWqp</t>
  </si>
  <si>
    <t>Syam Hadinugraha, M.Pd</t>
  </si>
  <si>
    <t>081214689491</t>
  </si>
  <si>
    <t>3273251909880003</t>
  </si>
  <si>
    <t>Jalan Kp. Tengah, Rt 01 Rw 06 No 35, Putat Nutug, Ciseeng, Kab. Bogor</t>
  </si>
  <si>
    <t>19-09-1988</t>
  </si>
  <si>
    <t>Science/Biology</t>
  </si>
  <si>
    <t>Pendidikan IPA</t>
  </si>
  <si>
    <t>Guru Biology, Cambridge Exam Officer</t>
  </si>
  <si>
    <t>Guru Biology</t>
  </si>
  <si>
    <t>Guru IPA, Manajer Operasional</t>
  </si>
  <si>
    <t>syamhadinugraha@fiwa.sch.id</t>
  </si>
  <si>
    <t>1TyaVw3YOgs3j6BivNLCmClqgVQKJroc9eX2W9T_1PCA</t>
  </si>
  <si>
    <t>https://docs.google.com/document/d/1TyaVw3YOgs3j6BivNLCmClqgVQKJroc9eX2W9T_1PCA/edit?usp=drivesdk</t>
  </si>
  <si>
    <t>Document successfully created; Document successfully merged; Run via form trigger as kemal.stafsus@gmail.com; Timestamp: Sep 3 2022 5:37 AM</t>
  </si>
  <si>
    <t>https://drive.google.com/open?id=1lPIVeIktgdE0Ad4jf4kKFptrZhM9oXTe</t>
  </si>
  <si>
    <t>https://drive.google.com/uc?export=view&amp;id=1lPIVeIktgdE0Ad4jf4kKFptrZhM9oXTe</t>
  </si>
  <si>
    <t>Rojih Fikri</t>
  </si>
  <si>
    <t>085310104712</t>
  </si>
  <si>
    <t>3318210403870002</t>
  </si>
  <si>
    <t>Jatiasih, Bekasi</t>
  </si>
  <si>
    <t>Pati, Jawa Tengah</t>
  </si>
  <si>
    <t>04-03-1987</t>
  </si>
  <si>
    <t>35 Tahun 5 Bulan</t>
  </si>
  <si>
    <t>Al Quran, B. Arab dan 'Ulum Syar'iyyah</t>
  </si>
  <si>
    <t xml:space="preserve">LIPIA </t>
  </si>
  <si>
    <t>4,51 dari 5.0</t>
  </si>
  <si>
    <t>Kordinator Tahsin &amp; Tahfizh di 2 Lembaga, Guru Ulum Syar'iyyah</t>
  </si>
  <si>
    <t>kordinator Tahsin &amp; Tahfizh</t>
  </si>
  <si>
    <t>khutbah jum'at, isi kajian</t>
  </si>
  <si>
    <t>fikrirojih@gmail.comq</t>
  </si>
  <si>
    <t>1iDW0NxGiknTYURLX_AZ5KToLp7sZFOVwpZ20g2GxUJU</t>
  </si>
  <si>
    <t>https://docs.google.com/document/d/1iDW0NxGiknTYURLX_AZ5KToLp7sZFOVwpZ20g2GxUJU/edit?usp=drivesdk</t>
  </si>
  <si>
    <t>Document successfully created; Document successfully merged; Run via form trigger as kemal.stafsus@gmail.com; Timestamp: Sep 3 2022 10:23 AM</t>
  </si>
  <si>
    <t>https://drive.google.com/open?id=19_1pJqeP3Z7srDtlC21OSUneBlLgp9Ig</t>
  </si>
  <si>
    <t>https://drive.google.com/uc?export=view&amp;id=19_1pJqeP3Z7srDtlC21OSUneBlLgp9Ig</t>
  </si>
  <si>
    <t>Muhammad Alpasa</t>
  </si>
  <si>
    <t>085692678728</t>
  </si>
  <si>
    <t>3172010912990002</t>
  </si>
  <si>
    <t>Pesanggrahan, Jakarta selatan</t>
  </si>
  <si>
    <t>Jakarta utara</t>
  </si>
  <si>
    <t xml:space="preserve">Musyrif Al-Qur'an </t>
  </si>
  <si>
    <t>Musyrif dan guru Qur'an</t>
  </si>
  <si>
    <t>Duta promosi</t>
  </si>
  <si>
    <t xml:space="preserve">Musrif dan guru Qur'an </t>
  </si>
  <si>
    <t>muhammadalpasa7@gmail.com</t>
  </si>
  <si>
    <t>1k0npuKlSDG3vqrr0OkiJDBEUiJIDFAOZMQACXFOcuJE</t>
  </si>
  <si>
    <t>https://docs.google.com/document/d/1k0npuKlSDG3vqrr0OkiJDBEUiJIDFAOZMQACXFOcuJE/edit?usp=drivesdk</t>
  </si>
  <si>
    <t>Document successfully created; Document successfully merged; Run via form trigger as kemal.stafsus@gmail.com; Timestamp: Sep 3 2022 8:30 PM</t>
  </si>
  <si>
    <t>https://drive.google.com/open?id=11zG5NLV1H_PXK-do8U0IiUEy1n7su4Q3</t>
  </si>
  <si>
    <t>https://drive.google.com/uc?export=view&amp;id=11zG5NLV1H_PXK-do8U0IiUEy1n7su4Q3</t>
  </si>
  <si>
    <t>Fika Hilman</t>
  </si>
  <si>
    <t>081931550825</t>
  </si>
  <si>
    <t>3603083103990003</t>
  </si>
  <si>
    <t>Cimanggis, Depok</t>
  </si>
  <si>
    <t>31-03-1999</t>
  </si>
  <si>
    <t>Ma'had ustman bin affan,jaktim</t>
  </si>
  <si>
    <t>Stiu di A-Hikmah</t>
  </si>
  <si>
    <t>3:68</t>
  </si>
  <si>
    <t>Baitul qur'an depok</t>
  </si>
  <si>
    <t>YSP(yatim seribu pulau),bekasi</t>
  </si>
  <si>
    <t>Darul qur'a n anayyirah,depok</t>
  </si>
  <si>
    <t>hilmanf863@gmail.com</t>
  </si>
  <si>
    <t>1aU7N2VS1ycjT2ZrgEfsXkrSjTbAuehStMH8R2vLrvjc</t>
  </si>
  <si>
    <t>https://docs.google.com/document/d/1aU7N2VS1ycjT2ZrgEfsXkrSjTbAuehStMH8R2vLrvjc/edit?usp=drivesdk</t>
  </si>
  <si>
    <t>Document successfully created; Document successfully merged; Run via form trigger as kemal.stafsus@gmail.com; Timestamp: Sep 3 2022 8:47 PM</t>
  </si>
  <si>
    <t>https://drive.google.com/open?id=1eCczXwv_GGFBL42x8YT74x2bFcDLVWp9</t>
  </si>
  <si>
    <t>https://drive.google.com/uc?export=view&amp;id=1eCczXwv_GGFBL42x8YT74x2bFcDLVWp9</t>
  </si>
  <si>
    <t>Tito Sumandono, S.P., M.P.</t>
  </si>
  <si>
    <t>081253345624</t>
  </si>
  <si>
    <t>6472033110830004</t>
  </si>
  <si>
    <t>Perum Bukit Mekar Wangi Blok C No. 27 Kota Bogor</t>
  </si>
  <si>
    <t>Tanjung Karanh</t>
  </si>
  <si>
    <t>31-10-1983</t>
  </si>
  <si>
    <t>38 tahun 11 bulan</t>
  </si>
  <si>
    <t>IPB</t>
  </si>
  <si>
    <t>Ilmu Tanah</t>
  </si>
  <si>
    <t>2.67</t>
  </si>
  <si>
    <t xml:space="preserve">Universitas Mulawarman </t>
  </si>
  <si>
    <t>Ilmu Kehutanan</t>
  </si>
  <si>
    <t>Rp 7.200.000,- ditambah fasilitas makan dan tempat tinggal</t>
  </si>
  <si>
    <t>Rp 12.000.000,- sd Rp 15.0000.000,-</t>
  </si>
  <si>
    <t>titosmd83@gmail.com</t>
  </si>
  <si>
    <t>1r9vvpU6IwgSEVJ4JiqmHJ5x5MALGRAeX3B6NFa6zviU</t>
  </si>
  <si>
    <t>https://docs.google.com/document/d/1r9vvpU6IwgSEVJ4JiqmHJ5x5MALGRAeX3B6NFa6zviU/edit?usp=drivesdk</t>
  </si>
  <si>
    <t>Document successfully created; Document successfully merged; Run via form trigger as kemal.stafsus@gmail.com; Timestamp: Sep 5 2022 7:03 PM</t>
  </si>
  <si>
    <t>https://drive.google.com/open?id=1lRxUEbDW8iy2M8ttb3x7dEMpLUKsbNp0</t>
  </si>
  <si>
    <t>https://drive.google.com/uc?export=view&amp;id=1lRxUEbDW8iy2M8ttb3x7dEMpLUKsbNp0</t>
  </si>
  <si>
    <t>RISMAN SALEH</t>
  </si>
  <si>
    <t>0895384060720</t>
  </si>
  <si>
    <t>3276051111910001</t>
  </si>
  <si>
    <t>jl. raya bogor km. 32 gg. masjid al- ishlah rt 006/006 cisalak, sukmajaya kota depok</t>
  </si>
  <si>
    <t>bogor</t>
  </si>
  <si>
    <t>11-11-1991</t>
  </si>
  <si>
    <t>30 tahun  10 bulan</t>
  </si>
  <si>
    <t>PTS-INSTITUT STIAMI</t>
  </si>
  <si>
    <t>Komputer Administrasi Pajak</t>
  </si>
  <si>
    <t>Quality insurrance - CV. BIMA EKARAYA</t>
  </si>
  <si>
    <t>Customer Service Officer - PT. MATAHARI DEPT STORE</t>
  </si>
  <si>
    <t>Accounting Administration - PT. FEDERAL INTERNATIONAL FINANCE</t>
  </si>
  <si>
    <t>rismansaleh11@gmail.com</t>
  </si>
  <si>
    <t>1ZgT0e0yCaZ21XV5W7AV_qTjUE9Ua1grQ0KyPuRLfKEA</t>
  </si>
  <si>
    <t>https://docs.google.com/document/d/1ZgT0e0yCaZ21XV5W7AV_qTjUE9Ua1grQ0KyPuRLfKEA/edit?usp=drivesdk</t>
  </si>
  <si>
    <t>Document successfully created; Document successfully merged; Run via form trigger as kemal.stafsus@gmail.com; Timestamp: Sep 6 2022 3:54 AM</t>
  </si>
  <si>
    <t>https://drive.google.com/open?id=1VjRWspUpaq4hKcblpSVZtsGQx1s64HNs</t>
  </si>
  <si>
    <t>https://drive.google.com/uc?export=view&amp;id=1VjRWspUpaq4hKcblpSVZtsGQx1s64HNs</t>
  </si>
  <si>
    <t>Erwin (Asisten Kepala kariyawan)</t>
  </si>
  <si>
    <t>082339467751</t>
  </si>
  <si>
    <t>5271052307800004</t>
  </si>
  <si>
    <t>Jl.Layar 2B nmor 17 Perum Kelapa dua</t>
  </si>
  <si>
    <t xml:space="preserve">Dompu </t>
  </si>
  <si>
    <t>23- 7 -1980</t>
  </si>
  <si>
    <t>42- 08 - 2022</t>
  </si>
  <si>
    <t>BRi</t>
  </si>
  <si>
    <t>Erwinputrayadhy46@gmail.com</t>
  </si>
  <si>
    <t>1LOG4wiBmI_c6dm3zm3NUBcQHX9SAWJt0YDbzJaoWchM</t>
  </si>
  <si>
    <t>https://docs.google.com/document/d/1LOG4wiBmI_c6dm3zm3NUBcQHX9SAWJt0YDbzJaoWchM/edit?usp=drivesdk</t>
  </si>
  <si>
    <t>Document successfully created; Document successfully merged; Run via form trigger as kemal.stafsus@gmail.com; Timestamp: Sep 6 2022 4:48 AM</t>
  </si>
  <si>
    <t>https://drive.google.com/open?id=1v6O5Da9dWXkjh-Y2EySuBjj1onziuB-f</t>
  </si>
  <si>
    <t>https://drive.google.com/uc?export=view&amp;id=1v6O5Da9dWXkjh-Y2EySuBjj1onziuB-f</t>
  </si>
  <si>
    <t xml:space="preserve">DELLA FAKHMATUL IZZAH </t>
  </si>
  <si>
    <t>081997221440</t>
  </si>
  <si>
    <t>5204055211020001</t>
  </si>
  <si>
    <t xml:space="preserve">jalan Sinai Raya ( asrama ITBA ) </t>
  </si>
  <si>
    <t xml:space="preserve">Labuan Mapin, Sumbawa, Nusa Tenggara Barat </t>
  </si>
  <si>
    <t>12 November 2002</t>
  </si>
  <si>
    <t>19 tahun 9 bulan</t>
  </si>
  <si>
    <t>dellaizzah12112002@gmail.com</t>
  </si>
  <si>
    <t>1NKDX7ChjsG5lA0YQncsSgI74_rDXvOCPZA5YMlDWwMU</t>
  </si>
  <si>
    <t>https://docs.google.com/document/d/1NKDX7ChjsG5lA0YQncsSgI74_rDXvOCPZA5YMlDWwMU/edit?usp=drivesdk</t>
  </si>
  <si>
    <t>Document successfully created; Document successfully merged; Run via form trigger as kemal.stafsus@gmail.com; Timestamp: Sep 10 2022 10:40 AM</t>
  </si>
  <si>
    <t>https://drive.google.com/open?id=1i6tgFViKc7f-I7bnyTg9WYCdo8AtCJXB</t>
  </si>
  <si>
    <t>https://drive.google.com/uc?export=view&amp;id=1i6tgFViKc7f-I7bnyTg9WYCdo8AtCJXB</t>
  </si>
  <si>
    <t xml:space="preserve">Farah Zulfah Rosyidah </t>
  </si>
  <si>
    <t>085591220625</t>
  </si>
  <si>
    <t>Villa wanasari blok b2 no2 cibitung Bekasi</t>
  </si>
  <si>
    <t>05 02 1999</t>
  </si>
  <si>
    <t>MATH ENGLISH SCIENCE</t>
  </si>
  <si>
    <t>UHAMKA</t>
  </si>
  <si>
    <t>Guru SD</t>
  </si>
  <si>
    <t>farah_zulfah@alwildan.sch.id</t>
  </si>
  <si>
    <t>1QiSl47TJbnJfQgnFO9Fod4e5lVpw-ezYTymw5_aLtQs</t>
  </si>
  <si>
    <t>https://docs.google.com/document/d/1QiSl47TJbnJfQgnFO9Fod4e5lVpw-ezYTymw5_aLtQs/edit?usp=drivesdk</t>
  </si>
  <si>
    <t>Document successfully created; Document successfully merged; Run via form trigger as kemal.stafsus@gmail.com; Timestamp: Sep 13 2022 9:05 AM</t>
  </si>
  <si>
    <t>https://drive.google.com/open?id=1pEfMLABwaCuD-WqSWdBWcssuuxwmBLWH</t>
  </si>
  <si>
    <t>https://drive.google.com/uc?export=view&amp;id=1pEfMLABwaCuD-WqSWdBWcssuuxwmBLWH</t>
  </si>
  <si>
    <t>Ahmad Parvez Rabbaanee</t>
  </si>
  <si>
    <t>+6281315262577</t>
  </si>
  <si>
    <t>C7314074</t>
  </si>
  <si>
    <t>Jln Hayam Wuruk No. 19 RT. 14 RW. 01 Kebon Kelapa, Kecamatan Gambir Jakarta Pusat, DKI Jakarta 10120</t>
  </si>
  <si>
    <t>21-Oktober-2003</t>
  </si>
  <si>
    <t>18 tahun 9 bulan</t>
  </si>
  <si>
    <t>Pengalaman bekerja di kedai kopi 
menjadi seorang bartender selama 6 bulan</t>
  </si>
  <si>
    <t>Pernah bekerja dengan perusahaan aki mobil Tangerang selama 3 bulan sebagai karyawan bagian pengadaan barang. yg mengecek aki keluar masuk ke dalam toko ( stock barang ) kemudian juga merangkap operasional pemasangan aki mobil sesuai tempat customer</t>
  </si>
  <si>
    <t>Gaji bulanan 750.000 + bonus tambahan 50.000 setiap 1 aki-nya jika dapat pemesanan aki diatas jam 21.00</t>
  </si>
  <si>
    <t>Sebagai Musyrif di Al Wildan IIBS BSD City</t>
  </si>
  <si>
    <t>aprham.baaneeshaba@gmail.com</t>
  </si>
  <si>
    <t>1Umyso_mCNMndvoRaAZTUo0c7Ltz3nr9pcaQWvhOoNAc</t>
  </si>
  <si>
    <t>https://docs.google.com/document/d/1Umyso_mCNMndvoRaAZTUo0c7Ltz3nr9pcaQWvhOoNAc/edit?usp=drivesdk</t>
  </si>
  <si>
    <t>Document successfully created; Document successfully merged; Run via form trigger as kemal.stafsus@gmail.com; Timestamp: Sep 20 2022 10:33 AM</t>
  </si>
  <si>
    <t>https://drive.google.com/open?id=1KR28Cs4S_Hrfk3QvEQjth9YZB3PJdZsR</t>
  </si>
  <si>
    <t>https://drive.google.com/uc?export=view&amp;id=1KR28Cs4S_Hrfk3QvEQjth9YZB3PJdZsR</t>
  </si>
  <si>
    <t>Paspor : C7314074 / KTP : 1671062110030003</t>
  </si>
  <si>
    <t xml:space="preserve">Pengalaman bekerja di kedai kopi 
Menjadi seorang Barista selama 6 bulan. </t>
  </si>
  <si>
    <t xml:space="preserve">Pernah bekerja dengan perusahaan aki mobil Tangerang selama 3 bulan sebagai karyawan bagian pengadaan barang. yang bertugas mengecek aki yang keluar masuk toko 
( stock barang ).
Sekaligus merangkap bagian operasional pemasangan aki mobil sesuai tempat pemesanan customer. </t>
  </si>
  <si>
    <t>750.000 + Bonus 50.000 setiap 1 aki, jika mendapatkan pemesanan aki diatas jam 21.00</t>
  </si>
  <si>
    <t>Musyrif Al Wildan IIBS BSD City</t>
  </si>
  <si>
    <t>1oFWXSZ4B6HvUUxteOB04jgH7CsrdJHG0kfkRP3nTOzk</t>
  </si>
  <si>
    <t>https://docs.google.com/document/d/1oFWXSZ4B6HvUUxteOB04jgH7CsrdJHG0kfkRP3nTOzk/edit?usp=drivesdk</t>
  </si>
  <si>
    <t>Document successfully created; Document successfully merged; Run via form trigger as kemal.stafsus@gmail.com; Timestamp: Sep 20 2022 11:19 AM</t>
  </si>
  <si>
    <t>https://drive.google.com/open?id=1aSQmkT9gXGJIxyhgy0NK0PAj5nRCvyTr</t>
  </si>
  <si>
    <t>https://drive.google.com/uc?export=view&amp;id=1aSQmkT9gXGJIxyhgy0NK0PAj5nRCvyTr</t>
  </si>
  <si>
    <t>MARDIANA, S.Si</t>
  </si>
  <si>
    <t>085297001333</t>
  </si>
  <si>
    <t>1271044306850001</t>
  </si>
  <si>
    <t>Greenland Housing. Blok F1. No. 10. Kelurahan : Teluk Tering. Kecamatan : Batam Kota. Batam Centre.</t>
  </si>
  <si>
    <t>03-06-1985</t>
  </si>
  <si>
    <t>37 tahun 3 bulan</t>
  </si>
  <si>
    <t xml:space="preserve">Math, Science, English </t>
  </si>
  <si>
    <t>Universitas Sumatera Utara</t>
  </si>
  <si>
    <t xml:space="preserve">FMIPA Matematika </t>
  </si>
  <si>
    <t xml:space="preserve">Guru Math SD di SD Alkahfi Islamic School Batam </t>
  </si>
  <si>
    <t xml:space="preserve">Guru di learning course Kuttab Al'ilmi Learning Centre Batam </t>
  </si>
  <si>
    <t xml:space="preserve">Guru Private di Batam </t>
  </si>
  <si>
    <t>3.500.000 - 5.000.000</t>
  </si>
  <si>
    <t>99travel1211@gmail.com</t>
  </si>
  <si>
    <t>1qHEfxZCOCQGkJOaXisXqi1-LXuAa8JVDQC0aAQYi7Bg</t>
  </si>
  <si>
    <t>https://docs.google.com/document/d/1qHEfxZCOCQGkJOaXisXqi1-LXuAa8JVDQC0aAQYi7Bg/edit?usp=drivesdk</t>
  </si>
  <si>
    <t>Document successfully created; Document successfully merged; Run via form trigger as kemal.stafsus@gmail.com; Timestamp: Sep 23 2022 4:33 AM</t>
  </si>
  <si>
    <t>https://drive.google.com/open?id=1GYaFX4A_dzwf41iDNsBVfh0BfBn5bqH_</t>
  </si>
  <si>
    <t>https://drive.google.com/uc?export=view&amp;id=1GYaFX4A_dzwf41iDNsBVfh0BfBn5bqH_</t>
  </si>
  <si>
    <t>Muhammad Nicova Kresnada Kamil Putra S.Pd</t>
  </si>
  <si>
    <t>085782440660</t>
  </si>
  <si>
    <t>3175071911930004</t>
  </si>
  <si>
    <t>Jln Medang Indah 1 Blok C VI A no 21, kelurahan medang, kecamatan Pagedangan, Kabupaten Tangerang</t>
  </si>
  <si>
    <t>19-November-1993</t>
  </si>
  <si>
    <t>28 tahun 10 bulan</t>
  </si>
  <si>
    <t>S1 Universitas Negeri Jakarta</t>
  </si>
  <si>
    <t>Guru IPA Al Fityan Islamic School Tangerang</t>
  </si>
  <si>
    <t>Biology CIE A Level Teacher at SMAN Unggulan M.H. Thamrin</t>
  </si>
  <si>
    <t>nicovakresnada@gmail.com</t>
  </si>
  <si>
    <t>1Fz1zneAK1Ku8DjxkliEkxosrPL37cQpCbe-9nrlZ69I</t>
  </si>
  <si>
    <t>https://docs.google.com/document/d/1Fz1zneAK1Ku8DjxkliEkxosrPL37cQpCbe-9nrlZ69I/edit?usp=drivesdk</t>
  </si>
  <si>
    <t>Document successfully created; Document successfully merged; Run via form trigger as kemal.stafsus@gmail.com; Timestamp: Sep 24 2022 12:13 AM</t>
  </si>
  <si>
    <t>https://drive.google.com/open?id=1lhoPJHQPinnlsEuEqXeEWlSCsoSNP4jD</t>
  </si>
  <si>
    <t>https://drive.google.com/uc?export=view&amp;id=1lhoPJHQPinnlsEuEqXeEWlSCsoSNP4jD</t>
  </si>
  <si>
    <t>DIAN MEGASARI</t>
  </si>
  <si>
    <t>082116532617</t>
  </si>
  <si>
    <t>1371044404830014</t>
  </si>
  <si>
    <t>PERUM KOMPAS INDAH,JALAN PANDAN BLOK C9 NO. 2, TAMBUN SELATAN, KAB. BEKASI</t>
  </si>
  <si>
    <t>PADANG</t>
  </si>
  <si>
    <t>04-04-1983</t>
  </si>
  <si>
    <t>QURAN DAN PAI</t>
  </si>
  <si>
    <t xml:space="preserve">GURU IMAN - KUTTAB AL FATIH DEPOK </t>
  </si>
  <si>
    <t>tidak mengajukan</t>
  </si>
  <si>
    <t>dian.runa42@gmail.com</t>
  </si>
  <si>
    <t>1JXiVOJLDF2NNkuYNhERUVxlgTPpZTt1YJ-ZCKJgG-D4</t>
  </si>
  <si>
    <t>https://docs.google.com/document/d/1JXiVOJLDF2NNkuYNhERUVxlgTPpZTt1YJ-ZCKJgG-D4/edit?usp=drivesdk</t>
  </si>
  <si>
    <t>Document successfully created; Document successfully merged; Run via form trigger as kemal.stafsus@gmail.com; Timestamp: Sep 24 2022 9:22 AM</t>
  </si>
  <si>
    <t>https://drive.google.com/open?id=1ZXnShxez6E856BZWJDXg-raQfEY-_1VV</t>
  </si>
  <si>
    <t>https://drive.google.com/uc?export=view&amp;id=1ZXnShxez6E856BZWJDXg-raQfEY-_1VV</t>
  </si>
  <si>
    <t>FARHAN HISYAM, S.S (sarjana sastra)</t>
  </si>
  <si>
    <t>082147518345</t>
  </si>
  <si>
    <t>5272020608980003</t>
  </si>
  <si>
    <t>Jakarta Selatan Cilandak Karangtengah Lebak Bulus</t>
  </si>
  <si>
    <t>Kota Bima Nusa Tenggara Barat</t>
  </si>
  <si>
    <t>06-08-1998</t>
  </si>
  <si>
    <t>24 tahun - Agustus</t>
  </si>
  <si>
    <t>UNIVERSITAS BUMIGORA MATARAM</t>
  </si>
  <si>
    <t>Penjaga toko clothingan</t>
  </si>
  <si>
    <t>0461356418</t>
  </si>
  <si>
    <t>machienining@gmail.com</t>
  </si>
  <si>
    <t>1u0oY6jBedRzA1Fp_Zj3UWCSaSotkg9slBjKf5Xivo7s</t>
  </si>
  <si>
    <t>https://docs.google.com/document/d/1u0oY6jBedRzA1Fp_Zj3UWCSaSotkg9slBjKf5Xivo7s/edit?usp=drivesdk</t>
  </si>
  <si>
    <t>Document successfully created; Document successfully merged; Run via form trigger as kemal.stafsus@gmail.com; Timestamp: Sep 25 2022 11:24 PM</t>
  </si>
  <si>
    <t>https://drive.google.com/open?id=1BjPlOVfTVxo-a7TWaj8y-RrMkqu6iTSl</t>
  </si>
  <si>
    <t>https://drive.google.com/uc?export=view&amp;id=1BjPlOVfTVxo-a7TWaj8y-RrMkqu6iTSl</t>
  </si>
  <si>
    <t>Dahniar Saraswati, S.Si</t>
  </si>
  <si>
    <t>085802852507</t>
  </si>
  <si>
    <t>3374066808950002</t>
  </si>
  <si>
    <t xml:space="preserve">Jl Palem Raya Blok C16 No 15, Perum Kompas Indah, Tambun Selatan, Kab. Bekasi
</t>
  </si>
  <si>
    <t>Kota Semarang</t>
  </si>
  <si>
    <t>28 Agustus 1995</t>
  </si>
  <si>
    <t>Biology and Science Teacher</t>
  </si>
  <si>
    <t>S1 - Universitas Diponegoro</t>
  </si>
  <si>
    <t>On going - Institut Pertanian Bogor</t>
  </si>
  <si>
    <t xml:space="preserve">Biology and Science Teacher di Bintang Pelajar islamic Boarding School </t>
  </si>
  <si>
    <t>Biology and Science Teacher di BKB Nurul FIkri</t>
  </si>
  <si>
    <t>4.300.000 - 6.000.000</t>
  </si>
  <si>
    <t>BSI ex BNI Syariah</t>
  </si>
  <si>
    <t>dahniarsaraswati@apps.ipb.ac.id</t>
  </si>
  <si>
    <t>1RxbH-89GbA-aK8GaAR7j-6VAmEuy8w04QiisTOczB7E</t>
  </si>
  <si>
    <t>https://docs.google.com/document/d/1RxbH-89GbA-aK8GaAR7j-6VAmEuy8w04QiisTOczB7E/edit?usp=drivesdk</t>
  </si>
  <si>
    <t>Document successfully created; Document successfully merged; Run via form trigger as kemal.stafsus@gmail.com; Timestamp: Sep 27 2022 12:02 AM</t>
  </si>
  <si>
    <t>https://drive.google.com/open?id=11Okphhc0KXDZ2EIPZmwxWTA-ZAg3k2Zo</t>
  </si>
  <si>
    <t>https://drive.google.com/uc?export=view&amp;id=11Okphhc0KXDZ2EIPZmwxWTA-ZAg3k2Zo</t>
  </si>
  <si>
    <t>Muhammad Faikar Mufid</t>
  </si>
  <si>
    <t>089513919547</t>
  </si>
  <si>
    <t>3275030203030016</t>
  </si>
  <si>
    <t>jl. Betawi, Cluster Sudimara Jombang no.09</t>
  </si>
  <si>
    <t>02-03-2003</t>
  </si>
  <si>
    <t>19 tahun 6 bulan</t>
  </si>
  <si>
    <t>agama islam</t>
  </si>
  <si>
    <t>Guru agama</t>
  </si>
  <si>
    <t>3.000.000-5.000.000</t>
  </si>
  <si>
    <t>0479092038</t>
  </si>
  <si>
    <t>muhammadfaikarmufid@gmail.com</t>
  </si>
  <si>
    <t>1zyOHs3Y7jyEcvC-VoenIgmP1VWn9Z2ELNt5ak_L5xl8</t>
  </si>
  <si>
    <t>https://docs.google.com/document/d/1zyOHs3Y7jyEcvC-VoenIgmP1VWn9Z2ELNt5ak_L5xl8/edit?usp=drivesdk</t>
  </si>
  <si>
    <t>Document successfully created; Document successfully merged; Run via form trigger as kemal.stafsus@gmail.com; Timestamp: Sep 27 2022 1:49 AM</t>
  </si>
  <si>
    <t>https://drive.google.com/open?id=1Cdusz2vCMUBHTlTJR0jMedgJP2uGJcap</t>
  </si>
  <si>
    <t>https://drive.google.com/uc?export=view&amp;id=1Cdusz2vCMUBHTlTJR0jMedgJP2uGJcap</t>
  </si>
  <si>
    <t>Turmaningsih Surya Pratama, M.Si</t>
  </si>
  <si>
    <t>085642148861</t>
  </si>
  <si>
    <t>3313126601890001</t>
  </si>
  <si>
    <t>Perumahan Medang Lestari, RW 13 / RT 03, BLOK A3/B2, Medang, Pagedangan, Gading Serpong, Tangerang</t>
  </si>
  <si>
    <t>26 Januari 1989</t>
  </si>
  <si>
    <t>33 tahun 9 bulan</t>
  </si>
  <si>
    <t>Biology/ English / Math</t>
  </si>
  <si>
    <t>Universitas Negeri Sebelas Maret Surakarta</t>
  </si>
  <si>
    <t>D IV Kesehatan dan Keselamatan Kerja</t>
  </si>
  <si>
    <t>Ilmu Lingkungan3.75</t>
  </si>
  <si>
    <t xml:space="preserve">Dosen </t>
  </si>
  <si>
    <t>turmaningsih@gmail.com</t>
  </si>
  <si>
    <t>1seoIfRYmm4SRwAZgp-ibOoPTievjQLpw9zHew8wdlHo</t>
  </si>
  <si>
    <t>https://docs.google.com/document/d/1seoIfRYmm4SRwAZgp-ibOoPTievjQLpw9zHew8wdlHo/edit?usp=drivesdk</t>
  </si>
  <si>
    <t>Document successfully created; Document successfully merged; Run via form trigger as kemal.stafsus@gmail.com; Timestamp: Sep 27 2022 2:26 AM</t>
  </si>
  <si>
    <t>https://drive.google.com/open?id=1jutE-RsYDgqw1XpbKO4SvlDQmViWWqTT</t>
  </si>
  <si>
    <t>https://drive.google.com/uc?export=view&amp;id=1jutE-RsYDgqw1XpbKO4SvlDQmViWWqTT</t>
  </si>
  <si>
    <t>Indra Bayu Muktyas, M.Si.</t>
  </si>
  <si>
    <t>087781751842</t>
  </si>
  <si>
    <t>3324120504890004</t>
  </si>
  <si>
    <t>Cluster Mutiara Tigaraksa Blok A5 No.1 RT.013 RW.005 Desa Jambe Kec. Jambe Kab. Tangerang</t>
  </si>
  <si>
    <t>Kab. Kendal</t>
  </si>
  <si>
    <t>05-04-1989</t>
  </si>
  <si>
    <t>UNNES</t>
  </si>
  <si>
    <t>UI</t>
  </si>
  <si>
    <t>Pengajar Matematika</t>
  </si>
  <si>
    <t>recobayu@gmail.com</t>
  </si>
  <si>
    <t>1BhO1EOCCAMoPAd1PiQRKYmixnSnmzT4Ji4odXnDFTx8</t>
  </si>
  <si>
    <t>https://docs.google.com/document/d/1BhO1EOCCAMoPAd1PiQRKYmixnSnmzT4Ji4odXnDFTx8/edit?usp=drivesdk</t>
  </si>
  <si>
    <t>Document successfully created; Document successfully merged; Run via form trigger as kemal.stafsus@gmail.com; Timestamp: Sep 28 2022 9:23 AM</t>
  </si>
  <si>
    <t>https://drive.google.com/open?id=17yGuik912m3RLARlFIplbeZ7uKkI7C8h</t>
  </si>
  <si>
    <t>https://drive.google.com/uc?export=view&amp;id=17yGuik912m3RLARlFIplbeZ7uKkI7C8h</t>
  </si>
  <si>
    <t>M Taufik Rahman</t>
  </si>
  <si>
    <t>087886034767</t>
  </si>
  <si>
    <t>3173011506880024</t>
  </si>
  <si>
    <t>Jl. Awaludin 1, RT 01/RW 017, No. 16B</t>
  </si>
  <si>
    <t>15 Juni 1988</t>
  </si>
  <si>
    <t>34 tahun 3 bulan</t>
  </si>
  <si>
    <t>STIE UniSadhuGuna</t>
  </si>
  <si>
    <t>Store Head di Indomarco Prismatama</t>
  </si>
  <si>
    <t>4.100.000 ( thn 2015 )</t>
  </si>
  <si>
    <t xml:space="preserve">Senior Cordinator Student Recruitment Admission </t>
  </si>
  <si>
    <t>6.500.000-7.000.000</t>
  </si>
  <si>
    <t>rachmanmuhammadtaufik@gmail.com</t>
  </si>
  <si>
    <t>1RH9lGLTgNXQsU-ChkHkHnjxPVlHsHdSincfBnCTONk4</t>
  </si>
  <si>
    <t>https://docs.google.com/document/d/1RH9lGLTgNXQsU-ChkHkHnjxPVlHsHdSincfBnCTONk4/edit?usp=drivesdk</t>
  </si>
  <si>
    <t>Document successfully created; Document successfully merged; Run via form trigger as kemal.stafsus@gmail.com; Timestamp: Sep 28 2022 10:32 AM</t>
  </si>
  <si>
    <t>https://drive.google.com/open?id=137mRQKKzebiI-bs-WG-VDcwf1wFPBKAE</t>
  </si>
  <si>
    <t>https://drive.google.com/uc?export=view&amp;id=137mRQKKzebiI-bs-WG-VDcwf1wFPBKAE</t>
  </si>
  <si>
    <t>Muhammad Fadhli Dzil Ikram Harsanto, ST.</t>
  </si>
  <si>
    <t>085777514295</t>
  </si>
  <si>
    <t>3173082606950001</t>
  </si>
  <si>
    <t>Srengseng, Kembangan, Jakarta Barat</t>
  </si>
  <si>
    <t>26-06-1995</t>
  </si>
  <si>
    <t>Guru Mata Pelajaran, Tata Usaha (Pendidikan), Admin Call Center Boarding, Public Relations / Humas, Tim Admin (Non Kependidikan), Internship</t>
  </si>
  <si>
    <t>Matematika, Kimia</t>
  </si>
  <si>
    <t>Universitas Gadjah Mada</t>
  </si>
  <si>
    <t>mfharsanto@gmail.com</t>
  </si>
  <si>
    <t>1Mgx_ics3Gl520AURL9WwarUya9uO2I49Mkkiek_r72A</t>
  </si>
  <si>
    <t>https://docs.google.com/document/d/1Mgx_ics3Gl520AURL9WwarUya9uO2I49Mkkiek_r72A/edit?usp=drivesdk</t>
  </si>
  <si>
    <t>Document successfully created; Document successfully merged; Run via form trigger as kemal.stafsus@gmail.com; Timestamp: Sep 28 2022 7:21 PM</t>
  </si>
  <si>
    <t>https://drive.google.com/open?id=10i3nD9AAj7vl1GuU8J1Y31cG6GBw68Gk</t>
  </si>
  <si>
    <t>https://drive.google.com/uc?export=view&amp;id=10i3nD9AAj7vl1GuU8J1Y31cG6GBw68Gk</t>
  </si>
  <si>
    <t>Fitria Nur Annisa, S.Pd</t>
  </si>
  <si>
    <t>3271045305940001</t>
  </si>
  <si>
    <t>Jl. Kp. Pahlawan RT 06/ RW 17 No. 11, Cilendek Barat, Bogor Barat, Kota Bogor 16112</t>
  </si>
  <si>
    <t xml:space="preserve">Universitas Pendidikan Indonesia (UPI) </t>
  </si>
  <si>
    <t>Madania School</t>
  </si>
  <si>
    <t>Alwildan Islamic School 1 Gading Serpong</t>
  </si>
  <si>
    <t>part time 200.000/jam, total seminggu 5jp. THP 4.000.000</t>
  </si>
  <si>
    <t>fitria.nurannisa94@gmail.com</t>
  </si>
  <si>
    <t>14ZYnP6ZK3pcrfg_gcbvCxndAAqD-AE36W9MiZ8AYg0k</t>
  </si>
  <si>
    <t>https://docs.google.com/document/d/14ZYnP6ZK3pcrfg_gcbvCxndAAqD-AE36W9MiZ8AYg0k/edit?usp=drivesdk</t>
  </si>
  <si>
    <t>Document successfully created; Document successfully merged; Run via form trigger as kemal.stafsus@gmail.com; Timestamp: Sep 30 2022 4:51 AM</t>
  </si>
  <si>
    <t>https://drive.google.com/open?id=1IjKjDyqpoJH3pTcv318xLa3v-H43QDea</t>
  </si>
  <si>
    <t>https://drive.google.com/uc?export=view&amp;id=1IjKjDyqpoJH3pTcv318xLa3v-H43QDea</t>
  </si>
  <si>
    <t>Neneng Yuliawati,S.pd.</t>
  </si>
  <si>
    <t>087871651759</t>
  </si>
  <si>
    <t>3604155501900005</t>
  </si>
  <si>
    <t>Kp.Babojong RT/02 RW.04, Desa Koper, Cikande, Serang</t>
  </si>
  <si>
    <t>32 tahun 9 bulan</t>
  </si>
  <si>
    <t>English, Math and Science</t>
  </si>
  <si>
    <t>PTS-UNIS</t>
  </si>
  <si>
    <t>Compliance dan HR - Recruitment</t>
  </si>
  <si>
    <t>100.000-200.000</t>
  </si>
  <si>
    <t>negotiable</t>
  </si>
  <si>
    <t>neng.yuliawati15@yahoo.com</t>
  </si>
  <si>
    <t>1YvsXqA_ApMyI38vXTucM6Y6lyCZPeH7Rf2TFPHjckc0</t>
  </si>
  <si>
    <t>https://docs.google.com/document/d/1YvsXqA_ApMyI38vXTucM6Y6lyCZPeH7Rf2TFPHjckc0/edit?usp=drivesdk</t>
  </si>
  <si>
    <t>Document successfully created; Document successfully merged; Run via form trigger as kemal.stafsus@gmail.com; Timestamp: Oct 1 2022 10:40 AM</t>
  </si>
  <si>
    <t>https://drive.google.com/open?id=17-vgpOBos9Uufm2F1V9b1DcZrMwUNzTq</t>
  </si>
  <si>
    <t>https://drive.google.com/uc?export=view&amp;id=17-vgpOBos9Uufm2F1V9b1DcZrMwUNzTq</t>
  </si>
  <si>
    <t>Ade Faridah, M.Pd</t>
  </si>
  <si>
    <t>089628259739</t>
  </si>
  <si>
    <t>3672056407930002</t>
  </si>
  <si>
    <t>Cilegon - Banten</t>
  </si>
  <si>
    <t xml:space="preserve">Universitas Islam Negeri Syarif Hidayatullah Jakarta </t>
  </si>
  <si>
    <t xml:space="preserve">Master Teacher Assessment Biology </t>
  </si>
  <si>
    <t>Guru Biologi - Bintang Pelajar</t>
  </si>
  <si>
    <t>Solver Roboguru</t>
  </si>
  <si>
    <t>4.500.000 - 6.000.000</t>
  </si>
  <si>
    <t>faridahade@gmail.com</t>
  </si>
  <si>
    <t>1wD-_qNpXkr1_nCFdVEzr4BXqqIJd6D6GIPU4lJJBdUo</t>
  </si>
  <si>
    <t>https://docs.google.com/document/d/1wD-_qNpXkr1_nCFdVEzr4BXqqIJd6D6GIPU4lJJBdUo/edit?usp=drivesdk</t>
  </si>
  <si>
    <t>Document successfully created; Document successfully merged; Run via form trigger as kemal.stafsus@gmail.com; Timestamp: Oct 2 2022 9:02 AM</t>
  </si>
  <si>
    <t>https://drive.google.com/open?id=13fBSspLwSx3UHq6gobXBpCg_dm2_IJXM</t>
  </si>
  <si>
    <t>https://drive.google.com/uc?export=view&amp;id=13fBSspLwSx3UHq6gobXBpCg_dm2_IJXM</t>
  </si>
  <si>
    <t>Istikomah, S.Pd.I, M.Pd.</t>
  </si>
  <si>
    <t>081221294145</t>
  </si>
  <si>
    <t>3209275101900008</t>
  </si>
  <si>
    <t>Bukit Orchid BE.01/06, Citra Indah Jonggol, Kab. Bogor</t>
  </si>
  <si>
    <t>11-01-1990</t>
  </si>
  <si>
    <t>Math Teacher</t>
  </si>
  <si>
    <t xml:space="preserve">IAIN Syekh Nurjati </t>
  </si>
  <si>
    <t>Tadris Matematika</t>
  </si>
  <si>
    <t>SMP YAKPI Ulumuddin Cirebon sebagai guru kelas dan guru bidang studi matematika</t>
  </si>
  <si>
    <t>Bimbel Alpha Beta Gamma sebagai admin dan guru mengajar</t>
  </si>
  <si>
    <t>Sekolah Pilar Indonesia, sebagai guru kelas dan guru bidang studi matematika di jenjang SMP dan kelas 10 SMA</t>
  </si>
  <si>
    <t>istiqomah.elrahman1990@gmail.com</t>
  </si>
  <si>
    <t>1SwIcVtcpBBd1fTz3NEGqLHxqFpwFCJPfkd0BaYWpLZY</t>
  </si>
  <si>
    <t>https://docs.google.com/document/d/1SwIcVtcpBBd1fTz3NEGqLHxqFpwFCJPfkd0BaYWpLZY/edit?usp=drivesdk</t>
  </si>
  <si>
    <t>Document successfully created; Document successfully merged; Run via form trigger as kemal.stafsus@gmail.com; Timestamp: Oct 2 2022 9:20 AM</t>
  </si>
  <si>
    <t>https://drive.google.com/open?id=19nUhwNTXf7Jdcly8k6EzswWarv8l1ntJ</t>
  </si>
  <si>
    <t>https://drive.google.com/uc?export=view&amp;id=19nUhwNTXf7Jdcly8k6EzswWarv8l1ntJ</t>
  </si>
  <si>
    <t>Ahmad Aidul Adha S.Pd</t>
  </si>
  <si>
    <t>081215026443</t>
  </si>
  <si>
    <t>5203162804960003</t>
  </si>
  <si>
    <t>Lombok Timur NTB</t>
  </si>
  <si>
    <t>Selong</t>
  </si>
  <si>
    <t>28 - April - 1996</t>
  </si>
  <si>
    <t xml:space="preserve">PAI Bahasa Inggris </t>
  </si>
  <si>
    <t xml:space="preserve">Universitas Muhammadiyah Yogyakarta </t>
  </si>
  <si>
    <t>Guru Bahasa Arab SD Ambarketawang 1 Yogyakarta</t>
  </si>
  <si>
    <t xml:space="preserve">Commis Chef Vox Cinema Riyadh Saudi Arabia </t>
  </si>
  <si>
    <t>Guru Les Bahasa Arab SMP IT Abu Hurairah Mataram</t>
  </si>
  <si>
    <t>0552407370</t>
  </si>
  <si>
    <t>ahmadaidul04@gmail.com</t>
  </si>
  <si>
    <t>1QlRFSpD6ChAcDulsWSHLCvooChSwUmjRuLdEVIZw04Y</t>
  </si>
  <si>
    <t>https://docs.google.com/document/d/1QlRFSpD6ChAcDulsWSHLCvooChSwUmjRuLdEVIZw04Y/edit?usp=drivesdk</t>
  </si>
  <si>
    <t>Document successfully created; Document successfully merged; Run via form trigger as kemal.stafsus@gmail.com; Timestamp: Oct 2 2022 10:08 AM</t>
  </si>
  <si>
    <t>https://drive.google.com/open?id=15A06_6E8Z1fyH0Zq5dsgfSRWgBCgBrWm</t>
  </si>
  <si>
    <t>https://drive.google.com/uc?export=view&amp;id=15A06_6E8Z1fyH0Zq5dsgfSRWgBCgBrWm</t>
  </si>
  <si>
    <t>Siti Rochimah Hasibuan, M. Eng</t>
  </si>
  <si>
    <t>082111518964</t>
  </si>
  <si>
    <t>3674066806950003</t>
  </si>
  <si>
    <t>Jln Benda Barat 11, no 04, rt 04/rw09, Pamulang 2, Tangerang Selatan, banten</t>
  </si>
  <si>
    <t>28-06-1995</t>
  </si>
  <si>
    <t>Institut Teknologi Indonesia</t>
  </si>
  <si>
    <t>Teknik Elektro</t>
  </si>
  <si>
    <t>2.97</t>
  </si>
  <si>
    <t>Magister Teknik Elektro</t>
  </si>
  <si>
    <t>mengajar di gontor putri 3 selama 1 tahun (2013)</t>
  </si>
  <si>
    <t>Mengajar TPA di masjid dekat rumah</t>
  </si>
  <si>
    <t>100.000,-</t>
  </si>
  <si>
    <t>sitirochimahhasibuan2@gmail.com</t>
  </si>
  <si>
    <t>1lVjqXuwgjDxIEiXg2de3toQoWVKUP_8UFcsM2JubyOM</t>
  </si>
  <si>
    <t>https://docs.google.com/document/d/1lVjqXuwgjDxIEiXg2de3toQoWVKUP_8UFcsM2JubyOM/edit?usp=drivesdk</t>
  </si>
  <si>
    <t>Document successfully created; Document successfully merged; Run via form trigger as kemal.stafsus@gmail.com; Timestamp: Oct 2 2022 11:18 AM</t>
  </si>
  <si>
    <t>https://drive.google.com/open?id=1t28lkMXt2aTp4wUxAbujWsJDE_PnFScZ</t>
  </si>
  <si>
    <t>https://drive.google.com/uc?export=view&amp;id=1t28lkMXt2aTp4wUxAbujWsJDE_PnFScZ</t>
  </si>
  <si>
    <t>Shafiya Fadhila, S.Pd.</t>
  </si>
  <si>
    <t>081902420049</t>
  </si>
  <si>
    <t>3275014702000015</t>
  </si>
  <si>
    <t xml:space="preserve">Jl.KH Agus Salim Gg. Alkautsar No.1
RT/RW 001/007 Kode Pos 17112
Kec. Bekasi Timur, Kel. Bekasi Jaya 
Kota Bekasi </t>
  </si>
  <si>
    <t>7-2-2000</t>
  </si>
  <si>
    <t xml:space="preserve">PTN - Universitas Singaperbangsa Karawang </t>
  </si>
  <si>
    <t xml:space="preserve"> Guru Les Private Matematika (Gurulesaku ID)</t>
  </si>
  <si>
    <t>Guru Matematika SD, SMP, SMA dan Guru IPA SMP di Bimbel Danish Educa</t>
  </si>
  <si>
    <t>shafiyafadhila7@gmail.com</t>
  </si>
  <si>
    <t>1SJmblHVdWZJbE2zisx8MkjIlfmVBecOT-0sl-wzxj5Q</t>
  </si>
  <si>
    <t>https://docs.google.com/document/d/1SJmblHVdWZJbE2zisx8MkjIlfmVBecOT-0sl-wzxj5Q/edit?usp=drivesdk</t>
  </si>
  <si>
    <t>Document successfully created; Document successfully merged; Run via form trigger as kemal.stafsus@gmail.com; Timestamp: Oct 3 2022 10:27 AM</t>
  </si>
  <si>
    <t>https://drive.google.com/open?id=15-4ZzIiYkyFblN6b3r__bHyOlQ_zm_IO</t>
  </si>
  <si>
    <t>https://drive.google.com/uc?export=view&amp;id=15-4ZzIiYkyFblN6b3r__bHyOlQ_zm_IO</t>
  </si>
  <si>
    <t>NIKMAL HAYATI TRUCIA, SE.</t>
  </si>
  <si>
    <t>081296905650</t>
  </si>
  <si>
    <t>3275024808740032</t>
  </si>
  <si>
    <t>GRIYA PERSADA ELOK BLOK C NO 2 RT 05/16 KEL. MUSTIKA JAYA KEC. MUSTIKA JAYA - BEKASI</t>
  </si>
  <si>
    <t>08-08-1974</t>
  </si>
  <si>
    <t>48 TH 1 BULAN 25 hari</t>
  </si>
  <si>
    <t>SEKOLAH TINGGI ILMU EKONOMI INDONESIA ( STEI - JAKARTA)</t>
  </si>
  <si>
    <t>AKUNTANSI</t>
  </si>
  <si>
    <t>PT SUPRA RAMANDHA PERMAI (RESIGN 1996)</t>
  </si>
  <si>
    <t>PT BANK CENTRAL ASIA, TBK (RESIGN DES 2010)</t>
  </si>
  <si>
    <t>nikmal0874@gmail.com</t>
  </si>
  <si>
    <t>1KETjVlzi9h4QYSf4LvJCFz8Iw7kyYALjbP7BmK8ZMqo</t>
  </si>
  <si>
    <t>https://docs.google.com/document/d/1KETjVlzi9h4QYSf4LvJCFz8Iw7kyYALjbP7BmK8ZMqo/edit?usp=drivesdk</t>
  </si>
  <si>
    <t>Document successfully created; Document successfully merged; Run via form trigger as kemal.stafsus@gmail.com; Timestamp: Oct 4 2022 4:04 AM</t>
  </si>
  <si>
    <t>https://drive.google.com/open?id=1A1_ULc-hrpUS413ZgrLgOKiMxtZ5Meoq</t>
  </si>
  <si>
    <t>https://drive.google.com/uc?export=view&amp;id=1A1_ULc-hrpUS413ZgrLgOKiMxtZ5Meoq</t>
  </si>
  <si>
    <t>Martika Fitria Damayanti, M.Pd.</t>
  </si>
  <si>
    <t>Puri Nirwana 1 Jl. Mendut Blok G-18, Kec. Cibinong, Kab. Bogor, Jawa Barat.</t>
  </si>
  <si>
    <t>28 thn 7 bulan</t>
  </si>
  <si>
    <t>B.Inggris</t>
  </si>
  <si>
    <t>Pengembangan Kurikulum</t>
  </si>
  <si>
    <t>Guru B.Inggris, SMP Citra Negara</t>
  </si>
  <si>
    <t>Radian Edu Solution</t>
  </si>
  <si>
    <t>1Qu3BE-5sQ3ra1bB5swtqDLMbjmxDitmWZ87sKJMYVOQ</t>
  </si>
  <si>
    <t>https://docs.google.com/document/d/1Qu3BE-5sQ3ra1bB5swtqDLMbjmxDitmWZ87sKJMYVOQ/edit?usp=drivesdk</t>
  </si>
  <si>
    <t>Document successfully created; Document successfully merged; Run via form trigger as kemal.stafsus@gmail.com; Timestamp: Oct 4 2022 10:52 PM</t>
  </si>
  <si>
    <t>https://drive.google.com/open?id=1dpwtMjUFhvqXYu3EURa13IppAv8Zn6Mi</t>
  </si>
  <si>
    <t>https://drive.google.com/uc?export=view&amp;id=1dpwtMjUFhvqXYu3EURa13IppAv8Zn6Mi</t>
  </si>
  <si>
    <t>Aisyah Amin, S.Si, MPFis</t>
  </si>
  <si>
    <t>085271478025</t>
  </si>
  <si>
    <t>1402045612880001</t>
  </si>
  <si>
    <t xml:space="preserve">Jln Komarudin 1 no 5a RT 16 RW 05 kelurahan penggilingan kecamatan Cakung Jakarta timur </t>
  </si>
  <si>
    <t xml:space="preserve">Air molek </t>
  </si>
  <si>
    <t>16-12-1988</t>
  </si>
  <si>
    <t xml:space="preserve">Fisika </t>
  </si>
  <si>
    <t xml:space="preserve">Universitas Andalas </t>
  </si>
  <si>
    <t>2.81</t>
  </si>
  <si>
    <t>Magister Pengajaran Fisika</t>
  </si>
  <si>
    <t xml:space="preserve">Dosen Universitas Halim Sanusi Bandung </t>
  </si>
  <si>
    <t>Dosen Institut Teknologi Nasional Bandung</t>
  </si>
  <si>
    <t xml:space="preserve">Asisten Dosen Institut Teknologi Bandung </t>
  </si>
  <si>
    <t>aisyahmuhendra55@gmail.com</t>
  </si>
  <si>
    <t>1BqyNZ6Rm9luoXBwpxwuaK-3e9wHCoUTADZvs9KyyH10</t>
  </si>
  <si>
    <t>https://docs.google.com/document/d/1BqyNZ6Rm9luoXBwpxwuaK-3e9wHCoUTADZvs9KyyH10/edit?usp=drivesdk</t>
  </si>
  <si>
    <t>Document successfully created; Document successfully merged; Run via form trigger as kemal.stafsus@gmail.com; Timestamp: Oct 8 2022 11:30 PM</t>
  </si>
  <si>
    <t>https://drive.google.com/open?id=15SEFvCkH3wYTIa-ruzTI1YJiDAmZkYRc</t>
  </si>
  <si>
    <t>https://drive.google.com/uc?export=view&amp;id=15SEFvCkH3wYTIa-ruzTI1YJiDAmZkYRc</t>
  </si>
  <si>
    <t>Amaturrahim Bsh</t>
  </si>
  <si>
    <t>+6285794313913</t>
  </si>
  <si>
    <t>3209214802000005</t>
  </si>
  <si>
    <t>Jalan masjid otista raya nm. 12 kecamatan. Jatinegara bidaracina</t>
  </si>
  <si>
    <t>8-2-2000</t>
  </si>
  <si>
    <t>22 thn 8 bulan</t>
  </si>
  <si>
    <t>Arabic- nahwu</t>
  </si>
  <si>
    <t>4.77</t>
  </si>
  <si>
    <t>amatulrahim8@gmail.com</t>
  </si>
  <si>
    <t>10pebc3WIm-N9QuE7Kzy5E8JzE8wuoIOm3VE5SaMEiP4</t>
  </si>
  <si>
    <t>https://docs.google.com/document/d/10pebc3WIm-N9QuE7Kzy5E8JzE8wuoIOm3VE5SaMEiP4/edit?usp=drivesdk</t>
  </si>
  <si>
    <t>Document successfully created; Document successfully merged; Run via form trigger as kemal.stafsus@gmail.com; Timestamp: Oct 8 2022 11:57 PM</t>
  </si>
  <si>
    <t>https://drive.google.com/open?id=1_qsPgWQwevye7b4lFdkZr9Eap5f9ZC59</t>
  </si>
  <si>
    <t>https://drive.google.com/uc?export=view&amp;id=1_qsPgWQwevye7b4lFdkZr9Eap5f9ZC59</t>
  </si>
  <si>
    <t>Jalan masjid otista raya nm. 12 bidaracina kec. Jatinegara</t>
  </si>
  <si>
    <t>2-8-2000</t>
  </si>
  <si>
    <t>Arabic- nahwu- sharf</t>
  </si>
  <si>
    <t xml:space="preserve">Lipia (Jakarat) </t>
  </si>
  <si>
    <t>Shariah</t>
  </si>
  <si>
    <t>1SGV6dHvCQYzYKaqQNusKy7wO5B_iMonIltOvxIMl1y8</t>
  </si>
  <si>
    <t>https://docs.google.com/document/d/1SGV6dHvCQYzYKaqQNusKy7wO5B_iMonIltOvxIMl1y8/edit?usp=drivesdk</t>
  </si>
  <si>
    <t>Document successfully created; Document successfully merged; Run via form trigger as kemal.stafsus@gmail.com; Timestamp: Oct 9 2022 12:04 AM</t>
  </si>
  <si>
    <t>https://drive.google.com/open?id=1yc13K2IYK9E5K1oCsvgjo4s3VBFLn2we</t>
  </si>
  <si>
    <t>https://drive.google.com/uc?export=view&amp;id=1yc13K2IYK9E5K1oCsvgjo4s3VBFLn2we</t>
  </si>
  <si>
    <t>Dona Mahisa, S.Sos</t>
  </si>
  <si>
    <t>087717799647</t>
  </si>
  <si>
    <t>3202385706980004</t>
  </si>
  <si>
    <t xml:space="preserve">Jl. Sangkuriang Bar.II Cimahi </t>
  </si>
  <si>
    <t>17-06-19998</t>
  </si>
  <si>
    <t>24 Tahun 3 Bulan</t>
  </si>
  <si>
    <t>Bimbingan Konseling Islam</t>
  </si>
  <si>
    <t>SDM Yayasan Lidzikri Kota Bandung</t>
  </si>
  <si>
    <t>donamahisa70@gmail.com</t>
  </si>
  <si>
    <t>1RSYTfCcSYQq1Rb_Pz6clwVGnYCGeSiWC00hBpVSw5sU</t>
  </si>
  <si>
    <t>https://docs.google.com/document/d/1RSYTfCcSYQq1Rb_Pz6clwVGnYCGeSiWC00hBpVSw5sU/edit?usp=drivesdk</t>
  </si>
  <si>
    <t>Document successfully created; Document successfully merged; Run via form trigger as kemal.stafsus@gmail.com; Timestamp: Oct 9 2022 9:53 PM</t>
  </si>
  <si>
    <t>https://drive.google.com/open?id=1pfWINEgyl2MefXFrTJcNfixW0ry-4xfN</t>
  </si>
  <si>
    <t>https://drive.google.com/uc?export=view&amp;id=1pfWINEgyl2MefXFrTJcNfixW0ry-4xfN</t>
  </si>
  <si>
    <t>Durahim</t>
  </si>
  <si>
    <t>082324578100</t>
  </si>
  <si>
    <t>3327130709990012</t>
  </si>
  <si>
    <t>Masjid dan Islamic Center Al-Ukhuwah BSD City, Tanggerang Banten</t>
  </si>
  <si>
    <t>7 September 1999</t>
  </si>
  <si>
    <t>SMA Negeri 2 Pemalang</t>
  </si>
  <si>
    <t>Sedangkan melanjutkan ke S1 Teknik Informatika</t>
  </si>
  <si>
    <t>Staf Administrasi dan SA PT. Sina Matra Bengkelindo</t>
  </si>
  <si>
    <t>durahim08@gmail.com</t>
  </si>
  <si>
    <t>1lZQVg4bby0eGYoh8pNnGWH_csOGF0aPy5mKtpFTSWA4</t>
  </si>
  <si>
    <t>https://docs.google.com/document/d/1lZQVg4bby0eGYoh8pNnGWH_csOGF0aPy5mKtpFTSWA4/edit?usp=drivesdk</t>
  </si>
  <si>
    <t>Document successfully created; Document successfully merged; Run via form trigger as kemal.stafsus@gmail.com; Timestamp: Oct 15 2022 7:57 PM</t>
  </si>
  <si>
    <t>https://drive.google.com/open?id=1UVjUUpgx3zB3t7U9fUXItb72Rt38pgXK</t>
  </si>
  <si>
    <t>https://drive.google.com/uc?export=view&amp;id=1UVjUUpgx3zB3t7U9fUXItb72Rt38pgXK</t>
  </si>
  <si>
    <t>Putri Mega Pratiwi, A.Md</t>
  </si>
  <si>
    <t>085156326566</t>
  </si>
  <si>
    <t>3306115804010002</t>
  </si>
  <si>
    <t>Jl Malabar Ujung No.7, RT.05/RW.01, Babakan, Kecamatan Bogor Tengah, Kota Bogor, Jawa Barat. 16128</t>
  </si>
  <si>
    <t>Purworejo</t>
  </si>
  <si>
    <t>18-04-2001</t>
  </si>
  <si>
    <t>Al-Wildan 8 Parung</t>
  </si>
  <si>
    <t>D3 - Komunikasi</t>
  </si>
  <si>
    <t>Public Relation Intern - Kementerian Perindustrian RI</t>
  </si>
  <si>
    <t>013601041487505</t>
  </si>
  <si>
    <t>putrimegapratiwi18@gmail.com</t>
  </si>
  <si>
    <t>1buX8VBWeeKPbSnwRdML02oYG6owZF-XEsG6xBoXm69M</t>
  </si>
  <si>
    <t>https://docs.google.com/document/d/1buX8VBWeeKPbSnwRdML02oYG6owZF-XEsG6xBoXm69M/edit?usp=drivesdk</t>
  </si>
  <si>
    <t>Document successfully created; Document successfully merged; Run via form trigger as kemal.stafsus@gmail.com; Timestamp: Oct 16 2022 3:24 AM</t>
  </si>
  <si>
    <t>https://drive.google.com/open?id=1EX1mvWSYfTN-G2Ej74uxIt_-4ZjmAvpO</t>
  </si>
  <si>
    <t>https://drive.google.com/uc?export=view&amp;id=1EX1mvWSYfTN-G2Ej74uxIt_-4ZjmAvpO</t>
  </si>
  <si>
    <t>RIZKY RAIHAN DZULKARNAEN, S.M.</t>
  </si>
  <si>
    <t>081380057032</t>
  </si>
  <si>
    <t>3674011603000006</t>
  </si>
  <si>
    <t>Jl. Setia Warga Kp.Ciater Rt/Rw:005/003, Kel. Rawa Mekar Jaya, Kec. Serpong, Kota Tangerang Selatan, Prov. Banten 15310</t>
  </si>
  <si>
    <t>Strata-1 - Universitas Pamulang</t>
  </si>
  <si>
    <t>rizkyraihan163@gmail.com</t>
  </si>
  <si>
    <t>1k6HJgaffkQdZi2_ziTAaq_qo_3yY9rylYx4B-O0Ql18</t>
  </si>
  <si>
    <t>https://docs.google.com/document/d/1k6HJgaffkQdZi2_ziTAaq_qo_3yY9rylYx4B-O0Ql18/edit?usp=drivesdk</t>
  </si>
  <si>
    <t>Document successfully created; Document successfully merged; Run via form trigger as kemal.stafsus@gmail.com; Timestamp: Oct 16 2022 6:58 AM</t>
  </si>
  <si>
    <t>https://drive.google.com/open?id=1qxNpLfhsbdgW-tVXUX6cPiGFgYQPNC-w</t>
  </si>
  <si>
    <t>https://drive.google.com/uc?export=view&amp;id=1qxNpLfhsbdgW-tVXUX6cPiGFgYQPNC-w</t>
  </si>
  <si>
    <t>Ns. Muhammad Siswandi, S.Kep</t>
  </si>
  <si>
    <t>087762206230</t>
  </si>
  <si>
    <t>5203201505940001</t>
  </si>
  <si>
    <t>15-05-1994</t>
  </si>
  <si>
    <t>Universitas ngudi waluyo</t>
  </si>
  <si>
    <t>S1 profesi</t>
  </si>
  <si>
    <t>RSI Namira Pancor</t>
  </si>
  <si>
    <t>pppa darul quran</t>
  </si>
  <si>
    <t>wandiarrasyid15@gmail.com</t>
  </si>
  <si>
    <t>1AYxDgRm3nkl9S4x7qjOZuZ5KravOlgrQE4-GJuhvU-U</t>
  </si>
  <si>
    <t>https://docs.google.com/document/d/1AYxDgRm3nkl9S4x7qjOZuZ5KravOlgrQE4-GJuhvU-U/edit?usp=drivesdk</t>
  </si>
  <si>
    <t>Document successfully created; Document successfully merged; Run via form trigger as kemal.stafsus@gmail.com; Timestamp: Oct 16 2022 8:56 AM</t>
  </si>
  <si>
    <t>https://drive.google.com/open?id=1a5aGz6paIC1zI5TW1GNMCkHx2eUS55ZS</t>
  </si>
  <si>
    <t>https://drive.google.com/uc?export=view&amp;id=1a5aGz6paIC1zI5TW1GNMCkHx2eUS55ZS</t>
  </si>
  <si>
    <t>ERRO</t>
  </si>
  <si>
    <t>085885529184</t>
  </si>
  <si>
    <t>3671132408780009</t>
  </si>
  <si>
    <t>Jl.haji thosin 002/007 no:39,sudimara-selatan, ciledug,tangerang kota,banten 15151</t>
  </si>
  <si>
    <t>Al-Wildan 16 Ciledug</t>
  </si>
  <si>
    <t>SECURITY MANDARIN HOTEL (1999-2000)</t>
  </si>
  <si>
    <t>Security HERO SWALAYAN (2000-2004)</t>
  </si>
  <si>
    <t xml:space="preserve">Staff fruits &amp; vegetables </t>
  </si>
  <si>
    <t>umarahmad021@gmail.com</t>
  </si>
  <si>
    <t>1OqFO04N0wT0zFn1MMJJjmfNc3meQfMYmciFPAaI6FiM</t>
  </si>
  <si>
    <t>https://docs.google.com/document/d/1OqFO04N0wT0zFn1MMJJjmfNc3meQfMYmciFPAaI6FiM/edit?usp=drivesdk</t>
  </si>
  <si>
    <t>Document successfully created; Document successfully merged; Run via form trigger as kemal.stafsus@gmail.com; Timestamp: Oct 16 2022 9:19 AM</t>
  </si>
  <si>
    <t>https://drive.google.com/open?id=1U9FkTqdZjtB4T1t1hgzYz4UGvFOkazH7</t>
  </si>
  <si>
    <t>https://drive.google.com/uc?export=view&amp;id=1U9FkTqdZjtB4T1t1hgzYz4UGvFOkazH7</t>
  </si>
  <si>
    <t>Jihan Putri Utami, S.Psi</t>
  </si>
  <si>
    <t>081291002753</t>
  </si>
  <si>
    <t>3202164801980005</t>
  </si>
  <si>
    <t>Kp Caringin, RT 04/RW 04 Des. Nyangkowek, Kec. Cicurug, Kab. Sukabumi, Jawa Barat 43359</t>
  </si>
  <si>
    <t>08-01-1998</t>
  </si>
  <si>
    <t>Guru Bimbingan Konseling, Tim HR</t>
  </si>
  <si>
    <t>UNIVERSITAS YARSI, JAKARTA CEMPAKA PUTIH</t>
  </si>
  <si>
    <t>PSIKOLOGI</t>
  </si>
  <si>
    <t>Guru Bimbingan Konseling, SMP-SMA Tahfidz PUTRI AL-Fitrah 1 Boarding School</t>
  </si>
  <si>
    <t>Guru Bimbingan Konseling, SMP Negeri 1 Cidahu</t>
  </si>
  <si>
    <t>jihanputriutami8@gmail.com</t>
  </si>
  <si>
    <t>17DtBa6peI9zvJNTYy9dApUZNBrXk9gdsTmXtuXumkS8</t>
  </si>
  <si>
    <t>https://docs.google.com/document/d/17DtBa6peI9zvJNTYy9dApUZNBrXk9gdsTmXtuXumkS8/edit?usp=drivesdk</t>
  </si>
  <si>
    <t>Document successfully created; Document successfully merged; Run via form trigger as kemal.stafsus@gmail.com; Timestamp: Oct 17 2022 6:26 AM</t>
  </si>
  <si>
    <t>https://drive.google.com/open?id=1zNySSFic3L-AZCp8Y4sjVAVfmU0_eEeK</t>
  </si>
  <si>
    <t>https://drive.google.com/uc?export=view&amp;id=1zNySSFic3L-AZCp8Y4sjVAVfmU0_eEeK</t>
  </si>
  <si>
    <t>Yudhistira Novita Handayani, S.Si.</t>
  </si>
  <si>
    <t>082282606961</t>
  </si>
  <si>
    <t>1809016911990001</t>
  </si>
  <si>
    <t>Tambun Selatan, Bekasi</t>
  </si>
  <si>
    <t>Pesawaran</t>
  </si>
  <si>
    <t>29-11-1999</t>
  </si>
  <si>
    <t>Fisika, Kimia, Matematika, Bahasa Inggris</t>
  </si>
  <si>
    <t>Universitas Lampung</t>
  </si>
  <si>
    <t>novitayudhistira11@gmail.com</t>
  </si>
  <si>
    <t>13ASl5VpbiRrMaS8ow8GJZhYLEP3dLFKAyykN82X9hu0</t>
  </si>
  <si>
    <t>https://docs.google.com/document/d/13ASl5VpbiRrMaS8ow8GJZhYLEP3dLFKAyykN82X9hu0/edit?usp=drivesdk</t>
  </si>
  <si>
    <t>Document successfully created; Document successfully merged; Run via form trigger as kemal.stafsus@gmail.com; Timestamp: Oct 17 2022 8:10 PM</t>
  </si>
  <si>
    <t>https://drive.google.com/open?id=1m85_rOlSLvlLEy_Fvk1YFEmU7dz2Z_Di</t>
  </si>
  <si>
    <t>https://drive.google.com/uc?export=view&amp;id=1m85_rOlSLvlLEy_Fvk1YFEmU7dz2Z_Di</t>
  </si>
  <si>
    <t>Rizki Eka Shintya, S.Pd.</t>
  </si>
  <si>
    <t>085609903616</t>
  </si>
  <si>
    <t>1807096010990005</t>
  </si>
  <si>
    <t>Lampung Timur</t>
  </si>
  <si>
    <t>20-10-1999</t>
  </si>
  <si>
    <t xml:space="preserve">Science dan Biologi </t>
  </si>
  <si>
    <t xml:space="preserve">Universitas Lampung </t>
  </si>
  <si>
    <t>Menjadi guru IPA, Fisika dan MTK di bimbingan belajar sejak 2019</t>
  </si>
  <si>
    <t>rizkiekashintya@gmail.com</t>
  </si>
  <si>
    <t>1DtFm0RPxdY5kELXJARfCyQJ2dPUnHI3dcVOtma7ruNc</t>
  </si>
  <si>
    <t>https://docs.google.com/document/d/1DtFm0RPxdY5kELXJARfCyQJ2dPUnHI3dcVOtma7ruNc/edit?usp=drivesdk</t>
  </si>
  <si>
    <t>Document successfully created; Document successfully merged; Run via form trigger as kemal.stafsus@gmail.com; Timestamp: Oct 17 2022 9:52 PM</t>
  </si>
  <si>
    <t>https://drive.google.com/open?id=1FdIE28Dc5WKEM28ljjBIXnSXxSFzeZQv</t>
  </si>
  <si>
    <t>https://drive.google.com/uc?export=view&amp;id=1FdIE28Dc5WKEM28ljjBIXnSXxSFzeZQv</t>
  </si>
  <si>
    <t>Nadyra Kalsumi, A.Md.</t>
  </si>
  <si>
    <t>085715564855</t>
  </si>
  <si>
    <t>3171084303020002</t>
  </si>
  <si>
    <t>Jl. Mardani Raya Gang B No. 49B, RT.07/RW.05, Kelurahan Cempaka Putih Barat, Kecamatan Cempaka Putih, Jakarta Pusat, DKI Jakarta 10520.</t>
  </si>
  <si>
    <t>03-03-2002</t>
  </si>
  <si>
    <t>20 tahun 9 bulan</t>
  </si>
  <si>
    <t>London School of Public Relation (LSPR)</t>
  </si>
  <si>
    <t>Social Media Specialist Intern</t>
  </si>
  <si>
    <t>2.000.000,-</t>
  </si>
  <si>
    <t>0020097167</t>
  </si>
  <si>
    <t>nadyrakls03@gmail.com</t>
  </si>
  <si>
    <t>1Irv4Pgwj5UI5iZEJmW16UPHqA7gjsgb37WhmmIIboCU</t>
  </si>
  <si>
    <t>https://docs.google.com/document/d/1Irv4Pgwj5UI5iZEJmW16UPHqA7gjsgb37WhmmIIboCU/edit?usp=drivesdk</t>
  </si>
  <si>
    <t>Document successfully created; Document successfully merged; Run via form trigger as kemal.stafsus@gmail.com; Timestamp: Oct 18 2022 3:34 AM</t>
  </si>
  <si>
    <t>https://drive.google.com/open?id=1ND5QvCorhtbnGEFeX_pFKMJu2-lGd4xz</t>
  </si>
  <si>
    <t>https://drive.google.com/uc?export=view&amp;id=1ND5QvCorhtbnGEFeX_pFKMJu2-lGd4xz</t>
  </si>
  <si>
    <t>Felisha Ramadhila A.md</t>
  </si>
  <si>
    <t>082289061118</t>
  </si>
  <si>
    <t>3271046611010004</t>
  </si>
  <si>
    <t>jl.cilendek indah VI no 10, perum.cilendek indah green garden, cilendek barat, bogor barat, kota bogor, 16112.</t>
  </si>
  <si>
    <t>26-11-2001</t>
  </si>
  <si>
    <t xml:space="preserve">Sekolah Vokasi IPB University </t>
  </si>
  <si>
    <t>BCA (FELISHA RAMADHILA)</t>
  </si>
  <si>
    <t>felisharama13@gmail.com</t>
  </si>
  <si>
    <t>164AYyJsDZ6cvNsntSURDQyZty4ULjYKf75BfJkgcEsg</t>
  </si>
  <si>
    <t>https://docs.google.com/document/d/164AYyJsDZ6cvNsntSURDQyZty4ULjYKf75BfJkgcEsg/edit?usp=drivesdk</t>
  </si>
  <si>
    <t>Document successfully created; Document successfully merged; Run via form trigger as kemal.stafsus@gmail.com; Timestamp: Oct 20 2022 5:16 AM</t>
  </si>
  <si>
    <t>https://drive.google.com/open?id=1SnKpZYcYgrp6clKFN4AF2L0Bf9D68V0_</t>
  </si>
  <si>
    <t>https://drive.google.com/uc?export=view&amp;id=1SnKpZYcYgrp6clKFN4AF2L0Bf9D68V0_</t>
  </si>
  <si>
    <t xml:space="preserve">Rina Novita </t>
  </si>
  <si>
    <t>082113079995</t>
  </si>
  <si>
    <t>3174056509740002</t>
  </si>
  <si>
    <t xml:space="preserve">Jalan kano raya no 23 kelapa dua kabupaten Tangerang </t>
  </si>
  <si>
    <t xml:space="preserve">Padang panjang </t>
  </si>
  <si>
    <t>25 September 1974</t>
  </si>
  <si>
    <t xml:space="preserve">48 thn 1 bulan </t>
  </si>
  <si>
    <t>Driver Transjakarta 2007-2013</t>
  </si>
  <si>
    <t>Bawa taksi online ( grab ) 2016-2020</t>
  </si>
  <si>
    <t xml:space="preserve">UMR Tanggerang </t>
  </si>
  <si>
    <t xml:space="preserve">Muamalat  an Rina Novita </t>
  </si>
  <si>
    <t>novitarina333@gmail.com</t>
  </si>
  <si>
    <t>1U7A22Vd_WFifxQTy0N226WR824hPZenjHj_5-SZWI40</t>
  </si>
  <si>
    <t>https://docs.google.com/document/d/1U7A22Vd_WFifxQTy0N226WR824hPZenjHj_5-SZWI40/edit?usp=drivesdk</t>
  </si>
  <si>
    <t>Document successfully created; Document successfully merged; Run via form trigger as kemal.stafsus@gmail.com; Timestamp: Oct 31 2022 10:19 PM</t>
  </si>
  <si>
    <t>https://drive.google.com/open?id=18JQ6ZPUD8d48Fm_ER5HNTS7ql5mijihZ</t>
  </si>
  <si>
    <t>https://drive.google.com/uc?export=view&amp;id=18JQ6ZPUD8d48Fm_ER5HNTS7ql5mijihZ</t>
  </si>
  <si>
    <t>Belinda Putri Aulia, S.Mat</t>
  </si>
  <si>
    <t>088218285569</t>
  </si>
  <si>
    <t>3212154408970006</t>
  </si>
  <si>
    <t>Indramayu</t>
  </si>
  <si>
    <t>04-08-1997</t>
  </si>
  <si>
    <t>S1 - UNIVERSITAS PENDIDIKAN INDONESIA</t>
  </si>
  <si>
    <t>Guru Matematika untuk kelas X, XI, XII (program UTBK dan Kedinasan), Humas, HRD</t>
  </si>
  <si>
    <t>0382257927</t>
  </si>
  <si>
    <t>belindaputriaulia@gmail.com</t>
  </si>
  <si>
    <t>1sMII6v3ix5Ch2fgj1u0NtnfezevFT_QV-Xq_M5FzHds</t>
  </si>
  <si>
    <t>https://docs.google.com/document/d/1sMII6v3ix5Ch2fgj1u0NtnfezevFT_QV-Xq_M5FzHds/edit?usp=drivesdk</t>
  </si>
  <si>
    <t>Document successfully created; Document successfully merged; Run via form trigger as kemal.stafsus@gmail.com; Timestamp: Nov 11 2022 3:11 AM</t>
  </si>
  <si>
    <t>https://drive.google.com/open?id=12sAUxFm6MgcjS2oPkAuqV0Uc8LAopBFS</t>
  </si>
  <si>
    <t>https://drive.google.com/uc?export=view&amp;id=12sAUxFm6MgcjS2oPkAuqV0Uc8LAopBFS</t>
  </si>
  <si>
    <t>Erwan</t>
  </si>
  <si>
    <t>085695656800</t>
  </si>
  <si>
    <t>3671132408880002</t>
  </si>
  <si>
    <t>Kp. Paninggilan Jl. MasjidRayano. 03 Rt/Rw002/007 Larangan Selatan, Larangan</t>
  </si>
  <si>
    <t>Kota Tanger6</t>
  </si>
  <si>
    <t>24-08-1988</t>
  </si>
  <si>
    <t>SMK Negeri 43 Jakarta</t>
  </si>
  <si>
    <t>erwan240888@gmail.com</t>
  </si>
  <si>
    <t>1BDdAYzHlqaTzsb6O2ZQkdvcNMx-VZ0JQUvrh46pfd0g</t>
  </si>
  <si>
    <t>https://docs.google.com/document/d/1BDdAYzHlqaTzsb6O2ZQkdvcNMx-VZ0JQUvrh46pfd0g/edit?usp=drivesdk</t>
  </si>
  <si>
    <t>Document successfully created; Document successfully merged; Run via form trigger as kemal.stafsus@gmail.com; Timestamp: Nov 13 2022 10:04 PM</t>
  </si>
  <si>
    <t>https://drive.google.com/open?id=1ZtENaiWjpCQVmdnr6uB7_Frih_5Sl_JZ</t>
  </si>
  <si>
    <t>https://drive.google.com/uc?export=view&amp;id=1ZtENaiWjpCQVmdnr6uB7_Frih_5Sl_JZ</t>
  </si>
  <si>
    <t>Samanan</t>
  </si>
  <si>
    <t>082114596415</t>
  </si>
  <si>
    <t>3674031004890004</t>
  </si>
  <si>
    <t>JL. Wisma Tajur, Gg. H. Sadelih RT 008/ RW 003 No : 20, Kel. Pondok Kacang Barat, Kec. Pondok Aren, Tangsel 15226</t>
  </si>
  <si>
    <t>10-04-1989</t>
  </si>
  <si>
    <t xml:space="preserve">Akuntansi S1 </t>
  </si>
  <si>
    <t>Indomaret : MD</t>
  </si>
  <si>
    <t>Alfamart : MD</t>
  </si>
  <si>
    <t>PT. Hero Supermarket TBK. ( Divisi PDC Giant ) : Meat Butcher</t>
  </si>
  <si>
    <t>10.samanan@gmail.com</t>
  </si>
  <si>
    <t>1a8qPe195DKRWn-e5DnJwSOhDfuPUkTR6rvKrNHa5nPU</t>
  </si>
  <si>
    <t>https://docs.google.com/document/d/1a8qPe195DKRWn-e5DnJwSOhDfuPUkTR6rvKrNHa5nPU/edit?usp=drivesdk</t>
  </si>
  <si>
    <t>Document successfully created; Document successfully merged; Run via form trigger as kemal.stafsus@gmail.com; Timestamp: Nov 13 2022 10:12 PM</t>
  </si>
  <si>
    <t>https://drive.google.com/open?id=1Gd5apNXSHlOVwQLX5A1-9MYxyS7eJpz8</t>
  </si>
  <si>
    <t>https://drive.google.com/uc?export=view&amp;id=1Gd5apNXSHlOVwQLX5A1-9MYxyS7eJpz8</t>
  </si>
  <si>
    <t>Hafash Ubaidillah</t>
  </si>
  <si>
    <t>08111791297</t>
  </si>
  <si>
    <t>3217061212970002</t>
  </si>
  <si>
    <t>Jalan Kelapa Hybrida 12, GB 7 No. 25, Kecamatan Kelapa Dua, Kabupaten Tangerang Selatan, Banten.</t>
  </si>
  <si>
    <t>12-12-1997</t>
  </si>
  <si>
    <t>Universitas Al Azhar Kairo</t>
  </si>
  <si>
    <t>Mentor bimbingan belajar Dar El Fachry Mesir</t>
  </si>
  <si>
    <t>BTPN</t>
  </si>
  <si>
    <t>hafash.ubaidillah@gmail.com</t>
  </si>
  <si>
    <t>1nFO7Ypp5hPMoZ0c-VTuz1QcZ-QJAu22ARQLz_Kr-85o</t>
  </si>
  <si>
    <t>https://docs.google.com/document/d/1nFO7Ypp5hPMoZ0c-VTuz1QcZ-QJAu22ARQLz_Kr-85o/edit?usp=drivesdk</t>
  </si>
  <si>
    <t>Document successfully created; Document successfully merged; Run via form trigger as kemal.stafsus@gmail.com; Timestamp: Nov 14 2022 11:28 PM</t>
  </si>
  <si>
    <t>https://drive.google.com/open?id=1DoVc5Jk9NKbsjmQKC0hXw_SHYrYXU35R</t>
  </si>
  <si>
    <t>https://drive.google.com/uc?export=view&amp;id=1DoVc5Jk9NKbsjmQKC0hXw_SHYrYXU35R</t>
  </si>
  <si>
    <t>Hermawan, S. Psi</t>
  </si>
  <si>
    <t>085236619169</t>
  </si>
  <si>
    <t>1971052304910003</t>
  </si>
  <si>
    <t>Malang - Jawa Timur</t>
  </si>
  <si>
    <t>23-04-1991</t>
  </si>
  <si>
    <t>31 tahun 8 Bulan</t>
  </si>
  <si>
    <t>Guru Wali Kelas</t>
  </si>
  <si>
    <t>S1 - Universitas Muhammadiyah Malang</t>
  </si>
  <si>
    <t>Guru Wali Kelas Sekolah Dasar</t>
  </si>
  <si>
    <t>awanhermawan234@gmail.com</t>
  </si>
  <si>
    <t>1Zo3VB4genmsIacAhQ-6zIhxsOZVp08xZ8hEOQHExEQE</t>
  </si>
  <si>
    <t>https://docs.google.com/document/d/1Zo3VB4genmsIacAhQ-6zIhxsOZVp08xZ8hEOQHExEQE/edit?usp=drivesdk</t>
  </si>
  <si>
    <t>Document successfully created; Document successfully merged; Run via form trigger as kemal.stafsus@gmail.com; Timestamp: Dec 6 2022 4:47 AM</t>
  </si>
  <si>
    <t>https://drive.google.com/open?id=1-Fv-Dka_ocOdkLHmxX3mGyD9rA44S1b6</t>
  </si>
  <si>
    <t>https://drive.google.com/uc?export=view&amp;id=1-Fv-Dka_ocOdkLHmxX3mGyD9rA44S1b6</t>
  </si>
  <si>
    <t>Titis witri pramesti, SE</t>
  </si>
  <si>
    <t>08988016282</t>
  </si>
  <si>
    <t>3201135602910003</t>
  </si>
  <si>
    <t>jl pendawa lima rt 02/05 kel ragajaya kec bojonggede kab bogor</t>
  </si>
  <si>
    <t>jakarta</t>
  </si>
  <si>
    <t>16-02-1991</t>
  </si>
  <si>
    <t>31 tahun 10 bulan</t>
  </si>
  <si>
    <t>math SMP/ekonomi SMA</t>
  </si>
  <si>
    <t>Al-Wildan 6 Depok</t>
  </si>
  <si>
    <t>Universitas bakrie</t>
  </si>
  <si>
    <t>akuntasi</t>
  </si>
  <si>
    <t>alwafi ibs</t>
  </si>
  <si>
    <t>tiswitri@gmail.com</t>
  </si>
  <si>
    <t>1lHJR6pQLlEbg1TRg8TdcR1oZxYLBsD0LsKYMH0PUCsw</t>
  </si>
  <si>
    <t>https://docs.google.com/document/d/1lHJR6pQLlEbg1TRg8TdcR1oZxYLBsD0LsKYMH0PUCsw/edit?usp=drivesdk</t>
  </si>
  <si>
    <t>Document successfully created; Document successfully merged; Run via form trigger as kemal.stafsus@gmail.com; Timestamp: Dec 10 2022 1:51 AM</t>
  </si>
  <si>
    <t>https://drive.google.com/open?id=1VpMK3gLRRifiLO_f339fqYFXoGRmWzfC</t>
  </si>
  <si>
    <t>https://drive.google.com/uc?export=view&amp;id=1VpMK3gLRRifiLO_f339fqYFXoGRmWzfC</t>
  </si>
  <si>
    <t>Dena Ramadhani, S.IK.</t>
  </si>
  <si>
    <t>081283958828</t>
  </si>
  <si>
    <t>3275036803920011</t>
  </si>
  <si>
    <t>Jl. Tenggilis Gg. Rahmah No.36, Mustika Jaya, Kota Bekasi.</t>
  </si>
  <si>
    <t>28-03-1992</t>
  </si>
  <si>
    <t>PTS - Universitas Sahid Jakarta</t>
  </si>
  <si>
    <t>Rabbaanii Islamic School (Full-time teacher)</t>
  </si>
  <si>
    <t>Nabawi Islamic School (Full-time teacher)</t>
  </si>
  <si>
    <t>Umma Indoneaia (Community Development Supervisor)</t>
  </si>
  <si>
    <t>ramadhanidena418@gmail.com</t>
  </si>
  <si>
    <t>1Ozmky4FCI5R4OeaAzvDrJJkSEYgr0RSy6oUDH3mYmNc</t>
  </si>
  <si>
    <t>https://docs.google.com/document/d/1Ozmky4FCI5R4OeaAzvDrJJkSEYgr0RSy6oUDH3mYmNc/edit?usp=drivesdk</t>
  </si>
  <si>
    <t>Document successfully created; Document successfully merged; Run via form trigger as kemal.stafsus@gmail.com; Timestamp: Dec 23 2022 1:48 AM</t>
  </si>
  <si>
    <t>https://drive.google.com/open?id=1F00mB45hGJnXwZQpgFIEgWiqikm9sCsO</t>
  </si>
  <si>
    <t>https://drive.google.com/uc?export=view&amp;id=1F00mB45hGJnXwZQpgFIEgWiqikm9sCsO</t>
  </si>
  <si>
    <t>syamil atsigah BA</t>
  </si>
  <si>
    <t>081212088983</t>
  </si>
  <si>
    <t>5203073108960004</t>
  </si>
  <si>
    <t>Pancor</t>
  </si>
  <si>
    <t xml:space="preserve">Pancor </t>
  </si>
  <si>
    <t>26thn3bln</t>
  </si>
  <si>
    <t>Guru Mata Pelajaran, ITBA - MUSYRIF/AH PPL</t>
  </si>
  <si>
    <t>Bahasa arab</t>
  </si>
  <si>
    <t>Islamic university of madinah</t>
  </si>
  <si>
    <t>Fakultas hadits</t>
  </si>
  <si>
    <t>Pernah mengajar dipondok anas bin malik lombok hanya satu semester saja</t>
  </si>
  <si>
    <t>Syamil atsigah</t>
  </si>
  <si>
    <t>syamilthegah66@gmail.com</t>
  </si>
  <si>
    <t>1BEn_NHq79JnSBs9DJaCRo8dlYYFycaE9qADFCrnVFqI</t>
  </si>
  <si>
    <t>https://docs.google.com/document/d/1BEn_NHq79JnSBs9DJaCRo8dlYYFycaE9qADFCrnVFqI/edit?usp=drivesdk</t>
  </si>
  <si>
    <t>Document successfully created; Document successfully merged; Run via form trigger as kemal.stafsus@gmail.com; Timestamp: Dec 29 2022 10:01 AM</t>
  </si>
  <si>
    <t>https://drive.google.com/open?id=1GiCZdVS7elNcV8AALfnZaG8c6D51MDyd</t>
  </si>
  <si>
    <t>https://drive.google.com/uc?export=view&amp;id=1GiCZdVS7elNcV8AALfnZaG8c6D51MDyd</t>
  </si>
  <si>
    <t>Arum Andita,S.I.Kom</t>
  </si>
  <si>
    <t>085693819881</t>
  </si>
  <si>
    <t>3674015402910004</t>
  </si>
  <si>
    <t xml:space="preserve">jl pondok serut 2 nomor 9 pondok </t>
  </si>
  <si>
    <t>14-02-1991</t>
  </si>
  <si>
    <t>31tahun8bulan</t>
  </si>
  <si>
    <t>mathematics</t>
  </si>
  <si>
    <t>Universitas Bhayangkara Jakarta Raya</t>
  </si>
  <si>
    <t>Stella Maris School</t>
  </si>
  <si>
    <t>9,200,000</t>
  </si>
  <si>
    <t>Seld Employed Mathematic Private Tutor</t>
  </si>
  <si>
    <t>15,000,000</t>
  </si>
  <si>
    <t>11,000,000</t>
  </si>
  <si>
    <t>arumandita14@gmail.com</t>
  </si>
  <si>
    <t>17dvIQxRlUNTEqN1X-Auidma9xPElPn9wEZ9ZSMJE0fs</t>
  </si>
  <si>
    <t>https://docs.google.com/document/d/17dvIQxRlUNTEqN1X-Auidma9xPElPn9wEZ9ZSMJE0fs/edit?usp=drivesdk</t>
  </si>
  <si>
    <t>Document successfully created; Document successfully merged; Run via form trigger as kemal.stafsus@gmail.com; Timestamp: Dec 31 2022 1:12 AM</t>
  </si>
  <si>
    <t>https://drive.google.com/open?id=1IUKrzOB84vTNADOgrEenx6hSB03iwfuj</t>
  </si>
  <si>
    <t>https://drive.google.com/uc?export=view&amp;id=1IUKrzOB84vTNADOgrEenx6hSB03iwfuj</t>
  </si>
  <si>
    <t>Mifthahul Damara Putra</t>
  </si>
  <si>
    <t>081291479361</t>
  </si>
  <si>
    <t>3201020611990011</t>
  </si>
  <si>
    <t>Perumahan Pamulang permai 1 Jl Flamboyan raya B26 no 10, pamulang barat, Tangerang selatan, Banten</t>
  </si>
  <si>
    <t>06-11-1999</t>
  </si>
  <si>
    <t>23 Tahun 1 bulan</t>
  </si>
  <si>
    <t>Diniyah, Arabic, Alquran</t>
  </si>
  <si>
    <t>3.57 (sementara)</t>
  </si>
  <si>
    <t>Musyrif dan Guru Al Wildan 1 Serpong (2018-2019)</t>
  </si>
  <si>
    <t>Musyrif dan Staf kesantrian Alwildan 3 (2019-2020)</t>
  </si>
  <si>
    <t>Chaperon TV nasional RCTI (2021-2022)</t>
  </si>
  <si>
    <t>putradaroesman99@gmail.com</t>
  </si>
  <si>
    <t>13Hal9T14HTbZWE4Seat45KCDia_St-s-k1SJHhEuOso</t>
  </si>
  <si>
    <t>https://docs.google.com/document/d/13Hal9T14HTbZWE4Seat45KCDia_St-s-k1SJHhEuOso/edit?usp=drivesdk</t>
  </si>
  <si>
    <t>Document successfully created; Document successfully merged; Run via form trigger as kemal.stafsus@gmail.com; Timestamp: Dec 31 2022 6:50 AM</t>
  </si>
  <si>
    <t>https://drive.google.com/open?id=1wRgoyc6Up3f8BoiOx4fanwTJGJV7JKRe</t>
  </si>
  <si>
    <t>https://drive.google.com/uc?export=view&amp;id=1wRgoyc6Up3f8BoiOx4fanwTJGJV7JKRe</t>
  </si>
  <si>
    <t>Syiwaprabu Sasrabhirawa, Lc.</t>
  </si>
  <si>
    <t>08561419000</t>
  </si>
  <si>
    <t>3172060212920001</t>
  </si>
  <si>
    <t>Sudimara Pinang, Tangerang Kota</t>
  </si>
  <si>
    <t>02-12-1992</t>
  </si>
  <si>
    <t>3.65/5</t>
  </si>
  <si>
    <t>Guru Mapel Mustholah Hadits dan Balaghoh di Pesantren Al-Wafi Parung</t>
  </si>
  <si>
    <t>Guru Mapel Akidah, Fikih, Akhlak dan Bahasa Inggris di Kuttab Al-Ashlein</t>
  </si>
  <si>
    <t>sywprabu@gmail.com</t>
  </si>
  <si>
    <t>10WBj0Fv-H-zMVTMU8INGYBQOmJDcqFlBB-Ubh-XLtSA</t>
  </si>
  <si>
    <t>https://docs.google.com/document/d/10WBj0Fv-H-zMVTMU8INGYBQOmJDcqFlBB-Ubh-XLtSA/edit?usp=drivesdk</t>
  </si>
  <si>
    <t>Document successfully created; Document successfully merged; Run via form trigger as kemal.stafsus@gmail.com; Timestamp: Jan 3 2023 5:37 PM</t>
  </si>
  <si>
    <t>https://drive.google.com/open?id=1XhTjFF62ZdEojSfnjSXdrVvzDRAJzras</t>
  </si>
  <si>
    <t>https://drive.google.com/uc?export=view&amp;id=1XhTjFF62ZdEojSfnjSXdrVvzDRAJzras</t>
  </si>
  <si>
    <t>Nazmi syavira musti mawaddah S.H</t>
  </si>
  <si>
    <t>085819855364</t>
  </si>
  <si>
    <t>3603286310990001</t>
  </si>
  <si>
    <t>Jl. Arafah XI H4 no 25</t>
  </si>
  <si>
    <t>23 10 1999</t>
  </si>
  <si>
    <t>23 th 2 bulan</t>
  </si>
  <si>
    <t>Ma'had Aisyah binti Abu Bakr Li Ad-Dakwah</t>
  </si>
  <si>
    <t>Hukum Syari'ah</t>
  </si>
  <si>
    <t>Rp. 4.686.000</t>
  </si>
  <si>
    <t>Rp. 7.000.000</t>
  </si>
  <si>
    <t>nazmimawaddah39@gmail.com</t>
  </si>
  <si>
    <t>1ezuNEgrV2eEmlsqgwluBIxZyEInj9GaEqvJYuGtif5c</t>
  </si>
  <si>
    <t>https://docs.google.com/document/d/1ezuNEgrV2eEmlsqgwluBIxZyEInj9GaEqvJYuGtif5c/edit?usp=drivesdk</t>
  </si>
  <si>
    <t>Document successfully created; Document successfully merged; Run via form trigger as kemal.stafsus@gmail.com; Timestamp: Jan 4 2023 12:07 AM</t>
  </si>
  <si>
    <t>https://drive.google.com/open?id=12Ovuz35IgJzfcwl9S6GQapwX6_fAheNO</t>
  </si>
  <si>
    <t>https://drive.google.com/uc?export=view&amp;id=12Ovuz35IgJzfcwl9S6GQapwX6_fAheNO</t>
  </si>
  <si>
    <t>Jl. H. Kuncin No. 35, Sudimara Pinang</t>
  </si>
  <si>
    <t>Al-Wafi - Musyrif &amp; Guru</t>
  </si>
  <si>
    <t>Kuttab Al-Ashlein - Guru</t>
  </si>
  <si>
    <t>1KMonfiPOsD4pn0gKitDhO3_6nCkvuFGwk1LQLblwaBI</t>
  </si>
  <si>
    <t>https://docs.google.com/document/d/1KMonfiPOsD4pn0gKitDhO3_6nCkvuFGwk1LQLblwaBI/edit?usp=drivesdk</t>
  </si>
  <si>
    <t>Document successfully created; Document successfully merged; Run via form trigger as kemal.stafsus@gmail.com; Timestamp: Jan 15 2023 9:35 PM</t>
  </si>
  <si>
    <t>https://drive.google.com/open?id=1FL_AgHo9ZFbk7kiOIdlQJM9tItAJSHq4</t>
  </si>
  <si>
    <t>https://drive.google.com/uc?export=view&amp;id=1FL_AgHo9ZFbk7kiOIdlQJM9tItAJSHq4</t>
  </si>
  <si>
    <t>DWI DIAN PRATIWI SS</t>
  </si>
  <si>
    <t>081294744014</t>
  </si>
  <si>
    <t>3276057105860005</t>
  </si>
  <si>
    <t>Jl. Karang Jaya 6a. Jatipadang. Pasar Minggu</t>
  </si>
  <si>
    <t>31-05-1986</t>
  </si>
  <si>
    <t>36 tahun 6 bulan</t>
  </si>
  <si>
    <t>Binus University</t>
  </si>
  <si>
    <t>Kindergarten Teacher (K2 Teacher)</t>
  </si>
  <si>
    <t>gadispratiwi86@gmail.com</t>
  </si>
  <si>
    <t>1hTtpTvU1u47jI3EswE6LuG5es1ikUgqdlgqr3e3C_T8</t>
  </si>
  <si>
    <t>https://docs.google.com/document/d/1hTtpTvU1u47jI3EswE6LuG5es1ikUgqdlgqr3e3C_T8/edit?usp=drivesdk</t>
  </si>
  <si>
    <t>Document successfully created; Document successfully merged; Run via form trigger as kemal.stafsus@gmail.com; Timestamp: Jan 15 2023 10:37 PM</t>
  </si>
  <si>
    <t>https://drive.google.com/open?id=1RAcS-ILKA5OD_q9LxNZjhpM-C3rzzxXR</t>
  </si>
  <si>
    <t>https://drive.google.com/uc?export=view&amp;id=1RAcS-ILKA5OD_q9LxNZjhpM-C3rzzxXR</t>
  </si>
  <si>
    <t>Aldy Kusnadi, S.S</t>
  </si>
  <si>
    <t>085711664484</t>
  </si>
  <si>
    <t>3216060809960016</t>
  </si>
  <si>
    <t>Jl. Smp 135 No.1, Kel. Pondok Bambu, Kec. Duren Sawit, Kota Jakarta Timur, DKI Jakarta</t>
  </si>
  <si>
    <t>8 September 1996</t>
  </si>
  <si>
    <t>S-1 Universitas Gunadarma</t>
  </si>
  <si>
    <t>Guru Bahasa Inggris di PT. Bintang Pelajar dari Juli 2019 - Mei 2020</t>
  </si>
  <si>
    <t>Guru Bahasa Inggris jenjang SD-SMP di Quba Islamic School Bekasi dari Januari 2021 - Sekarang</t>
  </si>
  <si>
    <t>aldykusnadi96@gmail.com</t>
  </si>
  <si>
    <t>1lFWds_RZVhiYT9Db0t785u0EzmwrMhPJ_JWNVf-uZx8</t>
  </si>
  <si>
    <t>https://docs.google.com/document/d/1lFWds_RZVhiYT9Db0t785u0EzmwrMhPJ_JWNVf-uZx8/edit?usp=drivesdk</t>
  </si>
  <si>
    <t>Document successfully created; Document successfully merged; Run via form trigger as kemal.stafsus@gmail.com; Timestamp: Jan 15 2023 10:41 PM</t>
  </si>
  <si>
    <t>https://drive.google.com/open?id=1G7_qnZ7dlXPv4mZSJY0sNQxGVKvpvBVE</t>
  </si>
  <si>
    <t>https://drive.google.com/uc?export=view&amp;id=1G7_qnZ7dlXPv4mZSJY0sNQxGVKvpvBVE</t>
  </si>
  <si>
    <t>Hamzah Abdurrohman Alfajri, S.I.P, Al-Hafidz</t>
  </si>
  <si>
    <t>081297233512</t>
  </si>
  <si>
    <t>3175020107990001</t>
  </si>
  <si>
    <t>Jl. Kelurahan 1A Duren Sawit Jakarta Timur</t>
  </si>
  <si>
    <t>01-07-1999</t>
  </si>
  <si>
    <t>23 Tahun 6 Bulan</t>
  </si>
  <si>
    <t>Indonesia Open University</t>
  </si>
  <si>
    <t xml:space="preserve">Ilmu Pemerintahan </t>
  </si>
  <si>
    <t>Kepala Tahfidz 
Dan 
Kepala Asrama
Di Jakarta Islamic Boarding School</t>
  </si>
  <si>
    <t>Muhaffidz di Al-Andalus Boarding School</t>
  </si>
  <si>
    <t>abdhamzah36@gmail.com</t>
  </si>
  <si>
    <t>1oRz1KX_zW7CuxntjmEpxCI0VWu0Sbe4x-ciFf0KBV9k</t>
  </si>
  <si>
    <t>https://docs.google.com/document/d/1oRz1KX_zW7CuxntjmEpxCI0VWu0Sbe4x-ciFf0KBV9k/edit?usp=drivesdk</t>
  </si>
  <si>
    <t>Document successfully created; Document successfully merged; Run via form trigger as kemal.stafsus@gmail.com; Timestamp: Jan 16 2023 12:08 AM</t>
  </si>
  <si>
    <t>https://drive.google.com/open?id=1VW91_Fn9YySn1g6DBh2-gzmnvDqjakYm</t>
  </si>
  <si>
    <t>https://drive.google.com/uc?export=view&amp;id=1VW91_Fn9YySn1g6DBh2-gzmnvDqjakYm</t>
  </si>
  <si>
    <t>Muhammad Suhada S.E</t>
  </si>
  <si>
    <t>081804246449</t>
  </si>
  <si>
    <t>6371041306970003</t>
  </si>
  <si>
    <t>depok</t>
  </si>
  <si>
    <t>banjarmasin</t>
  </si>
  <si>
    <t>sekolah tinggi ekonomi islam SEBI</t>
  </si>
  <si>
    <t>hukum ekonomi syariah</t>
  </si>
  <si>
    <t>mengajar</t>
  </si>
  <si>
    <t>muhammad suhada</t>
  </si>
  <si>
    <t>muhammadsyuhada909@gmail.com</t>
  </si>
  <si>
    <t>17kSw5WbZ246LUy1t6Tuvidw156Mu4komvyx1cbF-7hc</t>
  </si>
  <si>
    <t>https://docs.google.com/document/d/17kSw5WbZ246LUy1t6Tuvidw156Mu4komvyx1cbF-7hc/edit?usp=drivesdk</t>
  </si>
  <si>
    <t>Document successfully created; Document successfully merged; Run via form trigger as kemal.stafsus@gmail.com; Timestamp: Jan 16 2023 12:47 AM</t>
  </si>
  <si>
    <t>https://drive.google.com/open?id=1wajA2Cd84H1R7C62nJpFTnVvvyi5zmYO</t>
  </si>
  <si>
    <t>https://drive.google.com/uc?export=view&amp;id=1wajA2Cd84H1R7C62nJpFTnVvvyi5zmYO</t>
  </si>
  <si>
    <t>Siti Barokah, S.Pd</t>
  </si>
  <si>
    <t>082138525800</t>
  </si>
  <si>
    <t>3329145208990005</t>
  </si>
  <si>
    <t>10-08-1999</t>
  </si>
  <si>
    <t>Guru IPA Biologi</t>
  </si>
  <si>
    <t>IAIN SYEKH NURJATI CIREBON</t>
  </si>
  <si>
    <t>Tadris IPA BIOLOGI</t>
  </si>
  <si>
    <t>Asisten praktikum</t>
  </si>
  <si>
    <t>Guru les IPA BIOLOGI</t>
  </si>
  <si>
    <t>barokahsiti830@gmail.com</t>
  </si>
  <si>
    <t>1k_Hdmalj5eh50nZdOsfVWPqYhmIHCqqz5FWcCNftANc</t>
  </si>
  <si>
    <t>https://docs.google.com/document/d/1k_Hdmalj5eh50nZdOsfVWPqYhmIHCqqz5FWcCNftANc/edit?usp=drivesdk</t>
  </si>
  <si>
    <t>Document successfully created; Document successfully merged; Run via form trigger as kemal.stafsus@gmail.com; Timestamp: Jan 16 2023 8:58 AM</t>
  </si>
  <si>
    <t>https://drive.google.com/open?id=1qtjGH2zQq6SjSxUEAQN4WNCfPVdBqFnv</t>
  </si>
  <si>
    <t>https://drive.google.com/uc?export=view&amp;id=1qtjGH2zQq6SjSxUEAQN4WNCfPVdBqFnv</t>
  </si>
  <si>
    <t>Putri Anggra Sari,  S. Ag</t>
  </si>
  <si>
    <t>082124921453</t>
  </si>
  <si>
    <t>Jln Bidar 3 No. 4</t>
  </si>
  <si>
    <t>22 Tahu 8 bulan</t>
  </si>
  <si>
    <t>STAI ASY SYUKRIYYAH TANGERANG</t>
  </si>
  <si>
    <t>Guru Kindergarten Al wildan 1 2019-2020</t>
  </si>
  <si>
    <t>Musyrifah Al wildan 1 2021-2022</t>
  </si>
  <si>
    <t xml:space="preserve">Guru SMP - SMA alwildan 1 </t>
  </si>
  <si>
    <t>1MMz5Vymxf6MzoD2zs7wcXyHg3wNDxV3LbYxxnndmVP8</t>
  </si>
  <si>
    <t>https://docs.google.com/document/d/1MMz5Vymxf6MzoD2zs7wcXyHg3wNDxV3LbYxxnndmVP8/edit?usp=drivesdk</t>
  </si>
  <si>
    <t>Document successfully created; Document successfully merged; Run via form trigger as kemal.stafsus@gmail.com; Timestamp: Jan 17 2023 1:11 AM</t>
  </si>
  <si>
    <t>https://drive.google.com/open?id=1T6EdUQNHz7XjHPR344u4__8ZLBOwFw-d</t>
  </si>
  <si>
    <t>https://drive.google.com/uc?export=view&amp;id=1T6EdUQNHz7XjHPR344u4__8ZLBOwFw-d</t>
  </si>
  <si>
    <t>4 Mei 2000</t>
  </si>
  <si>
    <t>Asy Syukriyyah Tangerang</t>
  </si>
  <si>
    <t>ILMU AL QURAN DAN TAFSIR</t>
  </si>
  <si>
    <t>Guru Kindergarten Al Wildan 1 tahun 2019-2020</t>
  </si>
  <si>
    <t>Musyrifah Al Wildan 1 tahun 2021-2022</t>
  </si>
  <si>
    <t xml:space="preserve">Guru SMP-SMA Al Wildan 1 </t>
  </si>
  <si>
    <t>188j58W5CLFopF9aatJQZu_6OyJSlOK_KMenkdPvLMM4</t>
  </si>
  <si>
    <t>https://docs.google.com/document/d/188j58W5CLFopF9aatJQZu_6OyJSlOK_KMenkdPvLMM4/edit?usp=drivesdk</t>
  </si>
  <si>
    <t>Document successfully created; Document successfully merged; Run via form trigger as kemal.stafsus@gmail.com; Timestamp: Jan 17 2023 2:16 AM</t>
  </si>
  <si>
    <t>https://drive.google.com/open?id=16J_vXdJhOSsqjGi09YzjNR0q9jBda2_s</t>
  </si>
  <si>
    <t>https://drive.google.com/uc?export=view&amp;id=16J_vXdJhOSsqjGi09YzjNR0q9jBda2_s</t>
  </si>
  <si>
    <t>Riziq Ilham Nurfahmi, M.Si</t>
  </si>
  <si>
    <t>085381999968</t>
  </si>
  <si>
    <t>1703090802970001</t>
  </si>
  <si>
    <t>Jl. Sawah Baru No.66, RT.03/RW.09, Balungbangjaya, Kec. Bogor Bar., Kota Bogor, Jawa Barat 16116</t>
  </si>
  <si>
    <t>08-02-1997</t>
  </si>
  <si>
    <t>25 Tahun 11 Bulan</t>
  </si>
  <si>
    <t>Universitas Bengkulu</t>
  </si>
  <si>
    <t>Tutor Bimbel</t>
  </si>
  <si>
    <t>700.000-800.000</t>
  </si>
  <si>
    <t>Research Assistant</t>
  </si>
  <si>
    <t>riziqilham23@gmail.com</t>
  </si>
  <si>
    <t>1OT8PdHfCAc5igp-rA97bDWaN-MbX-wC9NVyPSnQpuf0</t>
  </si>
  <si>
    <t>https://docs.google.com/document/d/1OT8PdHfCAc5igp-rA97bDWaN-MbX-wC9NVyPSnQpuf0/edit?usp=drivesdk</t>
  </si>
  <si>
    <t>Document successfully created; Document successfully merged; Run via form trigger as kemal.stafsus@gmail.com; Timestamp: Jan 25 2023 12:01 AM</t>
  </si>
  <si>
    <t>https://drive.google.com/open?id=18KaYrs-Ih4nqNnna2SmB2C2KvYmn6LWX</t>
  </si>
  <si>
    <t>https://drive.google.com/uc?export=view&amp;id=18KaYrs-Ih4nqNnna2SmB2C2KvYmn6LWX</t>
  </si>
  <si>
    <t>Eliza Rahmi</t>
  </si>
  <si>
    <t>081332202757</t>
  </si>
  <si>
    <t>1271034912760002</t>
  </si>
  <si>
    <t>Villa Makati Elok , Desa Gunung Malang . Kabupaten Tenjolaya . Bogor - Jawa Barat</t>
  </si>
  <si>
    <t>09 -12 - 1976</t>
  </si>
  <si>
    <t>46 Tahun 2 Bulan</t>
  </si>
  <si>
    <t>Marketing  Obstetry and Gynecology For PT Schering Indnesia</t>
  </si>
  <si>
    <t>Area Manager indonesia west ( Marketing For Radiology PT Bayer Indonesia )</t>
  </si>
  <si>
    <t>HRD GA Ponpes UBK , Ka Dapur dan Laundry , Litbang Pondok Pesantren Umar Bin Khotob</t>
  </si>
  <si>
    <t>7.500.000,-</t>
  </si>
  <si>
    <t>cms_medan@yahoo.co.id</t>
  </si>
  <si>
    <t>1Q9mPxnwvYMJ2J6vs604fim3xCbm5tL77FDz2-p_7ecA</t>
  </si>
  <si>
    <t>https://docs.google.com/document/d/1Q9mPxnwvYMJ2J6vs604fim3xCbm5tL77FDz2-p_7ecA/edit?usp=drivesdk</t>
  </si>
  <si>
    <t>Document successfully created; Document successfully merged; Run via form trigger as kemal.stafsus@gmail.com; Timestamp: Jan 25 2023 12:22 AM</t>
  </si>
  <si>
    <t>https://drive.google.com/open?id=1TXpSh9ZkhZgMA5-pI4VMj-YRLcchbNVm</t>
  </si>
  <si>
    <t>https://drive.google.com/uc?export=view&amp;id=1TXpSh9ZkhZgMA5-pI4VMj-YRLcchbNVm</t>
  </si>
  <si>
    <t>Lita Tri Lestari, M.Pd.</t>
  </si>
  <si>
    <t>087876339811</t>
  </si>
  <si>
    <t>3604235412940001</t>
  </si>
  <si>
    <t>Kp. Cirogol Ds. Cikeusal Kec. Cikeusal Kab. Serang Banten</t>
  </si>
  <si>
    <t>14-12-1994</t>
  </si>
  <si>
    <t>Teacher Training di SMAN 2 Kota Serang</t>
  </si>
  <si>
    <t>&lt;1.000.000</t>
  </si>
  <si>
    <t>litatrilestariofficial@gmail.com</t>
  </si>
  <si>
    <t>1A1GDIFsgV9tL7gRAKUAenaVsXQxfUkh779bblCfYMrQ</t>
  </si>
  <si>
    <t>https://docs.google.com/document/d/1A1GDIFsgV9tL7gRAKUAenaVsXQxfUkh779bblCfYMrQ/edit?usp=drivesdk</t>
  </si>
  <si>
    <t>Document successfully created; Document successfully merged; Run via form trigger as kemal.stafsus@gmail.com; Timestamp: Jan 27 2023 6:47 AM</t>
  </si>
  <si>
    <t>https://drive.google.com/open?id=1uE4mfLtN2JG7AppnkBHGE1Prk7a-ZwcY</t>
  </si>
  <si>
    <t>https://drive.google.com/uc?export=view&amp;id=1uE4mfLtN2JG7AppnkBHGE1Prk7a-ZwcY</t>
  </si>
  <si>
    <t>Mohammad Anshori, S.S</t>
  </si>
  <si>
    <t>085781594685</t>
  </si>
  <si>
    <t>3271020408930005</t>
  </si>
  <si>
    <t>Perum Puri Arraya 2, Blok DJ 04 Cibatok Kecamatan Cibungbulang, Kabupaten Bogor</t>
  </si>
  <si>
    <t>04-08-1993</t>
  </si>
  <si>
    <t>29 tahun 5 bulan</t>
  </si>
  <si>
    <t>STIBA Malang</t>
  </si>
  <si>
    <t>English Literature</t>
  </si>
  <si>
    <t xml:space="preserve">TOEFL Tutor (remote) </t>
  </si>
  <si>
    <t>SMP-SMA Tahfizh Al Basyir</t>
  </si>
  <si>
    <t>anshori4893@gmail.com</t>
  </si>
  <si>
    <t>12tRdpTrPADXqMfAqKJe8yOqbxazEnvsLSIMiPsRbXNM</t>
  </si>
  <si>
    <t>https://docs.google.com/document/d/12tRdpTrPADXqMfAqKJe8yOqbxazEnvsLSIMiPsRbXNM/edit?usp=drivesdk</t>
  </si>
  <si>
    <t>Document successfully created; Document successfully merged; Run via form trigger as kemal.stafsus@gmail.com; Timestamp: Jan 29 2023 9:42 PM</t>
  </si>
  <si>
    <t>https://drive.google.com/open?id=11Wp7jpOxcBgfEpqSLzYCBsekzH6RkTHS</t>
  </si>
  <si>
    <t>https://drive.google.com/uc?export=view&amp;id=11Wp7jpOxcBgfEpqSLzYCBsekzH6RkTHS</t>
  </si>
  <si>
    <t>Ria Anggraeni, S.Pd., MT.</t>
  </si>
  <si>
    <t>085722695848</t>
  </si>
  <si>
    <t>3329036201900009/ A8797670</t>
  </si>
  <si>
    <t>Perum Telaga Kahuripan, Cluster Griya Ganesha Blok F3 No 3, Kemang, Parung, Kab. Bogor</t>
  </si>
  <si>
    <t>22-01-1990</t>
  </si>
  <si>
    <t>Pendidikan Ilmu Komputer</t>
  </si>
  <si>
    <t>Informatika</t>
  </si>
  <si>
    <t>Dosen Prodi Pendidikan Ilmu Komputer, Universitas Pendidikan Indonesia</t>
  </si>
  <si>
    <t>Dosen Universitas Pasundan</t>
  </si>
  <si>
    <t>Instruktur Pelatihan Dapodik Kemenristek Dikti</t>
  </si>
  <si>
    <t>riasahirin@gmail.com</t>
  </si>
  <si>
    <t>15YmNT-8Y_OEGuu26x_8yMQBBweAJ9_HmPgsEuRJ9OlU</t>
  </si>
  <si>
    <t>https://docs.google.com/document/d/15YmNT-8Y_OEGuu26x_8yMQBBweAJ9_HmPgsEuRJ9OlU/edit?usp=drivesdk</t>
  </si>
  <si>
    <t>Document successfully created; Document successfully merged; Run via form trigger as kemal.stafsus@gmail.com; Timestamp: Feb 9 2023 6:35 AM</t>
  </si>
  <si>
    <t>https://drive.google.com/open?id=1kKOX535kPtkMcW4xBszQThQqnl7Zo3XI</t>
  </si>
  <si>
    <t>https://drive.google.com/uc?export=view&amp;id=1kKOX535kPtkMcW4xBszQThQqnl7Zo3XI</t>
  </si>
  <si>
    <t>Nurwahidah,M.Pd</t>
  </si>
  <si>
    <t>08119994282</t>
  </si>
  <si>
    <t>3674035806880002</t>
  </si>
  <si>
    <t>Perumahan Griya Pipit Bintaro Jaya Blok A2 No.21 A, Pondok Kacang Timur, Pondok Aren, Tangerang Selatan</t>
  </si>
  <si>
    <t>Bima, NTB</t>
  </si>
  <si>
    <t>18-06-1988</t>
  </si>
  <si>
    <t>English, Science,, Math</t>
  </si>
  <si>
    <t>UIN Syarif HIdayatullah Jakarta</t>
  </si>
  <si>
    <t>SMAN 51 Jakarta (2011-2012)</t>
  </si>
  <si>
    <t>LadyBird Preschool Giriloka BSD (2013-2014)</t>
  </si>
  <si>
    <t>bimaniz165@gmail.com</t>
  </si>
  <si>
    <t>1Drwa3-FnJW5kIXEUINuKYk-XOCcdY97w0zXCfXGAsZ4</t>
  </si>
  <si>
    <t>https://docs.google.com/document/d/1Drwa3-FnJW5kIXEUINuKYk-XOCcdY97w0zXCfXGAsZ4/edit?usp=drivesdk</t>
  </si>
  <si>
    <t>Document successfully created; Document successfully merged; Run via form trigger as kemal.stafsus@gmail.com; Timestamp: Feb 9 2023 11:57 AM</t>
  </si>
  <si>
    <t>https://drive.google.com/open?id=13yELCxDKe9rZVEQEiOqTfBochFJHNUJj</t>
  </si>
  <si>
    <t>https://drive.google.com/uc?export=view&amp;id=13yELCxDKe9rZVEQEiOqTfBochFJHNUJj</t>
  </si>
  <si>
    <t>Siti Nur Hardiani, S.Pd.</t>
  </si>
  <si>
    <t>089516078628</t>
  </si>
  <si>
    <t>Kp. Leuwi Malang RT. 007 RW. 001 No. 38 Desa Sukaresmi Kab. Bekasi, Cikarang Selatan, Jawa Barat</t>
  </si>
  <si>
    <t>31-08-1991</t>
  </si>
  <si>
    <t>Guru Bahasa Inggris di SMA IIBS</t>
  </si>
  <si>
    <t>hadiani31@gmail.com</t>
  </si>
  <si>
    <t>1Cjq9aF5DiRstghRVtgtYmpX4DcphIGiCjUD7vB4Bz4g</t>
  </si>
  <si>
    <t>https://docs.google.com/document/d/1Cjq9aF5DiRstghRVtgtYmpX4DcphIGiCjUD7vB4Bz4g/edit?usp=drivesdk</t>
  </si>
  <si>
    <t>Document successfully created; Document successfully merged; Run via form trigger as kemal.stafsus@gmail.com; Timestamp: Feb 9 2023 10:06 PM</t>
  </si>
  <si>
    <t>https://drive.google.com/open?id=16dfB0I8l7xzaxWZu-Y0OEWc5NsOtbP1n</t>
  </si>
  <si>
    <t>https://drive.google.com/uc?export=view&amp;id=16dfB0I8l7xzaxWZu-Y0OEWc5NsOtbP1n</t>
  </si>
  <si>
    <t>Julia Eviana S.Pd</t>
  </si>
  <si>
    <t>085894305306</t>
  </si>
  <si>
    <t>3602146107970003</t>
  </si>
  <si>
    <t>Rangkasbitung</t>
  </si>
  <si>
    <t>21-07-1997</t>
  </si>
  <si>
    <t>Universitas Muhammadiyah Prof. Dr. Hamka (UHAMKA)</t>
  </si>
  <si>
    <t xml:space="preserve">Bivambel - Guru Bahasa Inggris </t>
  </si>
  <si>
    <t>Fun English - Guru Bahasa Inggris</t>
  </si>
  <si>
    <t>julia.eviana21@gmail.com</t>
  </si>
  <si>
    <t>1AY9QDKls2DJ8oey3WGz3UhaH3V76xp6qcvPSSVthqDo</t>
  </si>
  <si>
    <t>https://docs.google.com/document/d/1AY9QDKls2DJ8oey3WGz3UhaH3V76xp6qcvPSSVthqDo/edit?usp=drivesdk</t>
  </si>
  <si>
    <t>Document successfully created; Document successfully merged; Run via form trigger as kemal.stafsus@gmail.com; Timestamp: Feb 15 2023 12:33 AM</t>
  </si>
  <si>
    <t>https://drive.google.com/open?id=1xzAG27wxDx8kdWQMdkzUKRcSJf4-0hRG</t>
  </si>
  <si>
    <t>https://drive.google.com/uc?export=view&amp;id=1xzAG27wxDx8kdWQMdkzUKRcSJf4-0hRG</t>
  </si>
  <si>
    <t>Riska Fitriyatul Mar'ati, S.Pd</t>
  </si>
  <si>
    <t>088287009294</t>
  </si>
  <si>
    <t>1809014101980004</t>
  </si>
  <si>
    <t>Kalideres, Jakarta Barat.</t>
  </si>
  <si>
    <t xml:space="preserve">Purwosari </t>
  </si>
  <si>
    <t>28 Januari 1998</t>
  </si>
  <si>
    <t>25 tahun 22 hari</t>
  </si>
  <si>
    <t xml:space="preserve">Lulusan PTS(Strata-1)- Universitas Bandar Lampung </t>
  </si>
  <si>
    <t xml:space="preserve">Private English Tutor for Chinese Family </t>
  </si>
  <si>
    <t xml:space="preserve">Internship as a staff in college English Laboratory </t>
  </si>
  <si>
    <t xml:space="preserve">Internship as a staff in Human Resources Department in college </t>
  </si>
  <si>
    <t>4.500.000-5.000.000</t>
  </si>
  <si>
    <t>riskafm.1998@gmail.com</t>
  </si>
  <si>
    <t>1ZkO7Nri3O4dhwaT0YTfJFpWU8T7Si7nfqZf4h3fEieU</t>
  </si>
  <si>
    <t>https://docs.google.com/document/d/1ZkO7Nri3O4dhwaT0YTfJFpWU8T7Si7nfqZf4h3fEieU/edit?usp=drivesdk</t>
  </si>
  <si>
    <t>Document successfully created; Document successfully merged; Run via form trigger as kemal.stafsus@gmail.com; Timestamp: Feb 19 2023 4:06 AM</t>
  </si>
  <si>
    <t>https://drive.google.com/open?id=1M56y5mU3zLARHiW0BH3-N76wpvcBAWLn</t>
  </si>
  <si>
    <t>https://drive.google.com/uc?export=view&amp;id=1M56y5mU3zLARHiW0BH3-N76wpvcBAWLn</t>
  </si>
  <si>
    <t>M. Arif Rahman S.Tp</t>
  </si>
  <si>
    <t>082291788837</t>
  </si>
  <si>
    <t>5272012911930001</t>
  </si>
  <si>
    <t>Jln. H Nudin Lb.Bulus cilandak no 72 jakarta selatan</t>
  </si>
  <si>
    <t>20-11-1993</t>
  </si>
  <si>
    <t>UIT Univ Indonesia Timur</t>
  </si>
  <si>
    <t>Teknologi pertanian</t>
  </si>
  <si>
    <t xml:space="preserve">1 tahun jadi guru tahsin di SDN 34 kota bima dan 3 tahun menjadi guru di Al wildan 9 dompu </t>
  </si>
  <si>
    <t>arifrahman201191@gmail.com</t>
  </si>
  <si>
    <t>1H8z2UthCnMn0abUU1chbYcnYZ8kGzEpQzTSl0bNkCgE</t>
  </si>
  <si>
    <t>https://docs.google.com/document/d/1H8z2UthCnMn0abUU1chbYcnYZ8kGzEpQzTSl0bNkCgE/edit?usp=drivesdk</t>
  </si>
  <si>
    <t>Document successfully created; Document successfully merged; Run via form trigger as kemal.stafsus@gmail.com; Timestamp: Mar 16 2023 8:01 PM</t>
  </si>
  <si>
    <t>https://drive.google.com/open?id=1SJ7_fUyNA3Lx2zkxrxgNxDIaMcC9yj-2</t>
  </si>
  <si>
    <t>https://drive.google.com/uc?export=view&amp;id=1SJ7_fUyNA3Lx2zkxrxgNxDIaMcC9yj-2</t>
  </si>
  <si>
    <t>M. ARIF RAHMAN, S.TP</t>
  </si>
  <si>
    <t>5272012011930001</t>
  </si>
  <si>
    <t>Jln. H Nudin LB. Bulus Cilandak no.72 Jakarta Selatan</t>
  </si>
  <si>
    <t>20 November 1993</t>
  </si>
  <si>
    <t>29 Tahun 4 Bulan</t>
  </si>
  <si>
    <t>Hafal AL Qur'an</t>
  </si>
  <si>
    <t>1sThW2bPPIEBB7AbeUnRmKlS0Kfgcqxa2YZZtudDFC_g</t>
  </si>
  <si>
    <t>https://docs.google.com/document/d/1sThW2bPPIEBB7AbeUnRmKlS0Kfgcqxa2YZZtudDFC_g/edit?usp=drivesdk</t>
  </si>
  <si>
    <t>Document successfully created; Document successfully merged; Run via form trigger as kemal.stafsus@gmail.com; Timestamp: Mar 17 2023 5:38 AM</t>
  </si>
  <si>
    <t>https://drive.google.com/open?id=1XeNxr2RCGcYZGqVWNsZR_tWseFWRg-cd</t>
  </si>
  <si>
    <t>https://drive.google.com/uc?export=view&amp;id=1XeNxr2RCGcYZGqVWNsZR_tWseFWRg-cd</t>
  </si>
  <si>
    <t>Ahmad Faiq, S.Sos,</t>
  </si>
  <si>
    <t>082134872117</t>
  </si>
  <si>
    <t>3319040810000002</t>
  </si>
  <si>
    <t xml:space="preserve">STIBA ARRAAYAH SUKABUMI
Jl. Perintis Kemerdekaan RT 01 RW0 05, Kp, Cimenteng, Sukamulya, Kec. Cikembar, Kabupaten Sukabumi, Jawa Barat </t>
  </si>
  <si>
    <t>Demak</t>
  </si>
  <si>
    <t>08-10-2000</t>
  </si>
  <si>
    <t>22 tahun 5 bulan</t>
  </si>
  <si>
    <t>STIBA Ar-Raayah Sukabumi</t>
  </si>
  <si>
    <t xml:space="preserve">Komunikasi Penyiaran Islam </t>
  </si>
  <si>
    <t>SD Islam Nurussunnah Semarang (tahun 2017/2018)</t>
  </si>
  <si>
    <t>Pondok Nurul Qur'an Purwodadi (tahun 2020/2021)</t>
  </si>
  <si>
    <t>ahmadfaiq8102000@gmail.com</t>
  </si>
  <si>
    <t>1FOP_UP9qygBZJy8UrtQG16t41QrRMHCGK-PGfzCQMbw</t>
  </si>
  <si>
    <t>https://docs.google.com/document/d/1FOP_UP9qygBZJy8UrtQG16t41QrRMHCGK-PGfzCQMbw/edit?usp=drivesdk</t>
  </si>
  <si>
    <t>Document successfully created; Document successfully merged; Run via form trigger as kemal.stafsus@gmail.com; Timestamp: Mar 29 2023 10:05 PM</t>
  </si>
  <si>
    <t>https://drive.google.com/open?id=1TK2n9WtdHxCMk-R5a9ncptG_PClLvy5Z</t>
  </si>
  <si>
    <t>https://drive.google.com/uc?export=view&amp;id=1TK2n9WtdHxCMk-R5a9ncptG_PClLvy5Z</t>
  </si>
  <si>
    <t>Balqis Ananda Putri, S.Si.</t>
  </si>
  <si>
    <t>082186813947</t>
  </si>
  <si>
    <t>3175034603950001</t>
  </si>
  <si>
    <t>Perum Griya Kenari Mas, Cileungsi-Bogor</t>
  </si>
  <si>
    <t>06-03-1995</t>
  </si>
  <si>
    <t>28 tahun 24 hari</t>
  </si>
  <si>
    <t>Biologi FMIPA</t>
  </si>
  <si>
    <t>Guru Tahfizh kelas 10
Guru Bahasa Inggris kelas 10, 11 dan 12
Guru Biologi kelas 10, 11 dan 12
Guru Informatika kelas 10</t>
  </si>
  <si>
    <t>6.300.000 (negotiable)</t>
  </si>
  <si>
    <t>pbalqisananda@gmail.com</t>
  </si>
  <si>
    <t>1Gn-kLU8gAB7O9JNpVITHnZ2KD59MUFBPG9x-SIRFjQk</t>
  </si>
  <si>
    <t>https://docs.google.com/document/d/1Gn-kLU8gAB7O9JNpVITHnZ2KD59MUFBPG9x-SIRFjQk/edit?usp=drivesdk</t>
  </si>
  <si>
    <t>Document successfully created; Document successfully merged; Run via form trigger as kemal.stafsus@gmail.com; Timestamp: Mar 29 2023 11:18 PM</t>
  </si>
  <si>
    <t>https://drive.google.com/open?id=17Ex11xQEq-RWXmSRirIcnhNYMCuzIQpS</t>
  </si>
  <si>
    <t>https://drive.google.com/uc?export=view&amp;id=17Ex11xQEq-RWXmSRirIcnhNYMCuzIQpS</t>
  </si>
  <si>
    <t xml:space="preserve">Diki Wardiansyah, M.Pd. </t>
  </si>
  <si>
    <t>081310939364</t>
  </si>
  <si>
    <t xml:space="preserve">Jalan Raya Serang KM. 35, Desa Pasir Gintung, Kec. Jayanti, Kab. Tangerang, Banten, 15610. </t>
  </si>
  <si>
    <t>28-07-1990</t>
  </si>
  <si>
    <t xml:space="preserve">32 tahun 8 bulan </t>
  </si>
  <si>
    <t>Guru Mata Pelajaran, Tim HR</t>
  </si>
  <si>
    <t>UNTIRTA</t>
  </si>
  <si>
    <t xml:space="preserve">UNINDRA PGRI Jakarta </t>
  </si>
  <si>
    <t xml:space="preserve">Pendidikan MIPA </t>
  </si>
  <si>
    <t xml:space="preserve">Guru Matematika Kurikulum Nasional dan Kurikulum Internasional CFS-MSU Daar el-Qolam </t>
  </si>
  <si>
    <t>Rp.8.240.000</t>
  </si>
  <si>
    <t>dikiwr05@gmail.com</t>
  </si>
  <si>
    <t>1zMJbdhN4dFkCT48YsFT2-NaEnYwml_scwjnGQbPlH94</t>
  </si>
  <si>
    <t>https://docs.google.com/document/d/1zMJbdhN4dFkCT48YsFT2-NaEnYwml_scwjnGQbPlH94/edit?usp=drivesdk</t>
  </si>
  <si>
    <t>Document successfully created; Document successfully merged; Run via form trigger as kemal.stafsus@gmail.com; Timestamp: Mar 30 2023 1:55 AM</t>
  </si>
  <si>
    <t>https://drive.google.com/open?id=1COGCGLhUoBrCNKGlWU-QP0tX0giE_SUD</t>
  </si>
  <si>
    <t>https://drive.google.com/uc?export=view&amp;id=1COGCGLhUoBrCNKGlWU-QP0tX0giE_SUD</t>
  </si>
  <si>
    <t>Fikrial Nurfaizin, S.H.</t>
  </si>
  <si>
    <t>089673081388</t>
  </si>
  <si>
    <t>3603190207990006</t>
  </si>
  <si>
    <t xml:space="preserve">Tangerang Banten </t>
  </si>
  <si>
    <t xml:space="preserve">Tegal </t>
  </si>
  <si>
    <t>02-07-99</t>
  </si>
  <si>
    <t xml:space="preserve">23 tahun 8 bulan </t>
  </si>
  <si>
    <t xml:space="preserve">Fiqih, Tauhid, Nahwu, Shorof </t>
  </si>
  <si>
    <t xml:space="preserve">Ahwal syakhshiyyah </t>
  </si>
  <si>
    <t xml:space="preserve">Guru Diniyyah &amp; B. Arab </t>
  </si>
  <si>
    <t xml:space="preserve">Privat Tahsin Al-Qur'an </t>
  </si>
  <si>
    <t>6.999.000 - 7.999.000</t>
  </si>
  <si>
    <t>nurfaizinfikrial@gmail.com</t>
  </si>
  <si>
    <t>198WuFshB9HNbk0llqje01WUkMKckAQeQru6Cpl8NkOg</t>
  </si>
  <si>
    <t>https://docs.google.com/document/d/198WuFshB9HNbk0llqje01WUkMKckAQeQru6Cpl8NkOg/edit?usp=drivesdk</t>
  </si>
  <si>
    <t>Document successfully created; Document successfully merged; Run via form trigger as kemal.stafsus@gmail.com; Timestamp: Mar 30 2023 2:12 AM</t>
  </si>
  <si>
    <t>https://drive.google.com/open?id=1y_B41_w0Q5AMFmtJ6zlUUMpPSiOA0_ma</t>
  </si>
  <si>
    <t>https://drive.google.com/uc?export=view&amp;id=1y_B41_w0Q5AMFmtJ6zlUUMpPSiOA0_ma</t>
  </si>
  <si>
    <t>Nisa Hayati, S.Pd.</t>
  </si>
  <si>
    <t>081398498822</t>
  </si>
  <si>
    <t>3601144605000002</t>
  </si>
  <si>
    <t>Kp. Kahuripan RT 002 RW 001 Desa Parigi Kecamatan Saketi Kabupaten Pandeglang Provinsi Banten</t>
  </si>
  <si>
    <t>06-05-2000</t>
  </si>
  <si>
    <t>Biologi/IPA</t>
  </si>
  <si>
    <t>SMAN 12 Pandeglang</t>
  </si>
  <si>
    <t>SMP Labschool Jakarta</t>
  </si>
  <si>
    <t>SMP Labschool Kebayoran</t>
  </si>
  <si>
    <t>0983565712</t>
  </si>
  <si>
    <t>nisahay06@gmail.com</t>
  </si>
  <si>
    <t>1E64b0KQgu6aiqI5U992lKL_4jbaEXe2-nY-PoNRTjmM</t>
  </si>
  <si>
    <t>https://docs.google.com/document/d/1E64b0KQgu6aiqI5U992lKL_4jbaEXe2-nY-PoNRTjmM/edit?usp=drivesdk</t>
  </si>
  <si>
    <t>Document successfully created; Document successfully merged; Run via form trigger as kemal.stafsus@gmail.com; Timestamp: Mar 30 2023 11:39 AM</t>
  </si>
  <si>
    <t>https://drive.google.com/open?id=1mg5tVwjkV0yI3ox0h1EyI5iONZKvWyV9</t>
  </si>
  <si>
    <t>https://drive.google.com/uc?export=view&amp;id=1mg5tVwjkV0yI3ox0h1EyI5iONZKvWyV9</t>
  </si>
  <si>
    <t>Dody Setiawan, S.Pd.</t>
  </si>
  <si>
    <t>081299761940</t>
  </si>
  <si>
    <t>3174010509980002</t>
  </si>
  <si>
    <t>Jalan keselamatan RT 13 RW 01 No. 09A</t>
  </si>
  <si>
    <t>05-09-1998</t>
  </si>
  <si>
    <t>Ekonomi-Cambridge</t>
  </si>
  <si>
    <t>SMA Labschool Cirendeu
1. Guru ekonomi dan kewirausahaan
2. Pembina OSN Ekonomi
3. Pembina lomba bidang-bidang ekonomi
4. Peneliti
5. Tim akreditasi bagian standar proses pembelajaran
6. Pembina rohani islam
7. Penegak kedisiplinan
8. Ketua ujian sekolah
9. Wali kelas
10. Guru piket</t>
  </si>
  <si>
    <t xml:space="preserve">6.500.000 (belum termasuk tugas tambahan di luar tugas pokok mengajar) </t>
  </si>
  <si>
    <t>SMA Prestasi Prima
 SMA Labschool Cirendeu
1. Guru ekonomi dan kewirausahaan
2. Pembina OSN Ekonomi
3. Pembina lomba bidang-bidang ekonomi
4. Peneliti
5. Tim akreditasi bagian mutu guru
6. Komite sekolah penggerak
7. Wali kelas
8. Guru piket</t>
  </si>
  <si>
    <t xml:space="preserve">3.900.000 (belum termasuk tugas tambahan di luar tugas pokok mengajar) </t>
  </si>
  <si>
    <t xml:space="preserve">9.000.000 (bisa dinegosiasikan sesuai dengan ketentuan lembaga) </t>
  </si>
  <si>
    <t>dodysetiawan59@guru.sma.belajar.id</t>
  </si>
  <si>
    <t>1pgb94rXq70B42p7JOf6u1cnSgk4LU7g7_FRDfuZo8lE</t>
  </si>
  <si>
    <t>https://docs.google.com/document/d/1pgb94rXq70B42p7JOf6u1cnSgk4LU7g7_FRDfuZo8lE/edit?usp=drivesdk</t>
  </si>
  <si>
    <t>Document successfully created; Document successfully merged; Run via form trigger as kemal.stafsus@gmail.com; Timestamp: Mar 31 2023 11:07 AM</t>
  </si>
  <si>
    <t>https://drive.google.com/open?id=1zeUQ2puWPoSZbSivrI_bQx_HxRw3bZx1</t>
  </si>
  <si>
    <t>https://drive.google.com/uc?export=view&amp;id=1zeUQ2puWPoSZbSivrI_bQx_HxRw3bZx1</t>
  </si>
  <si>
    <t>Faiz Fadhli Muhamad Lubis, Lc.</t>
  </si>
  <si>
    <t>+6281295971105</t>
  </si>
  <si>
    <t>3175100107961003</t>
  </si>
  <si>
    <t>Jl. Gunuk Ciliwung No.71 (depan kebon salak), RT.9/RW.5, tj barat, jagakarsa  Kota Jakarta Selatan, Daerah Khusus Ibukota Jakarta 12530 (Kontrakan Mama Azzam (dekat pemancingan))</t>
  </si>
  <si>
    <t>jakarta selatan</t>
  </si>
  <si>
    <t>01-07-1996</t>
  </si>
  <si>
    <t>Al Quran/Diniyyah</t>
  </si>
  <si>
    <t>S-1 LIPIA</t>
  </si>
  <si>
    <t>4,30 dari 5,00</t>
  </si>
  <si>
    <t>Guru Al Quran dan Ketua Div Litbang (2017-2023)</t>
  </si>
  <si>
    <t>faizzanky96@gmail.com</t>
  </si>
  <si>
    <t>1NAZZgHCMQwoSrml9450VxFJQeEyDh1NyMWBFlJTnjw8</t>
  </si>
  <si>
    <t>https://docs.google.com/document/d/1NAZZgHCMQwoSrml9450VxFJQeEyDh1NyMWBFlJTnjw8/edit?usp=drivesdk</t>
  </si>
  <si>
    <t>Document successfully created; Document successfully merged; Run via form trigger as kemal.stafsus@gmail.com; Timestamp: Apr 6 2023 3:53 AM</t>
  </si>
  <si>
    <t>https://drive.google.com/open?id=1XGdBPXeq9X8znyHh7EA6PZrxbC-PWtcT</t>
  </si>
  <si>
    <t>https://drive.google.com/uc?export=view&amp;id=1XGdBPXeq9X8znyHh7EA6PZrxbC-PWtcT</t>
  </si>
  <si>
    <t>Danang Duwi Julian S.Pd</t>
  </si>
  <si>
    <t>3327020107960006</t>
  </si>
  <si>
    <t xml:space="preserve">Mahad Alwafi Islamic Boarding School Campus B </t>
  </si>
  <si>
    <t xml:space="preserve">Pemalang </t>
  </si>
  <si>
    <t>01 07 1996</t>
  </si>
  <si>
    <t xml:space="preserve">STIBA AR-RAAYAH SUKABUMI </t>
  </si>
  <si>
    <t xml:space="preserve">UIN RMS Surakarta </t>
  </si>
  <si>
    <t>Proses menulis tesis</t>
  </si>
  <si>
    <t xml:space="preserve">Guru Bahasa Arab </t>
  </si>
  <si>
    <t>Musyrif dan Bagian bahasa</t>
  </si>
  <si>
    <t xml:space="preserve">Guru dan tenaga administrasi </t>
  </si>
  <si>
    <t>alfaroeqjulian212@gmail.com</t>
  </si>
  <si>
    <t>11Y5O5p_R-gyUKJMl8GZj_y4aFABIFRIkhzmg9daOQJ0</t>
  </si>
  <si>
    <t>https://docs.google.com/document/d/11Y5O5p_R-gyUKJMl8GZj_y4aFABIFRIkhzmg9daOQJ0/edit?usp=drivesdk</t>
  </si>
  <si>
    <t>Document successfully created; Document successfully merged; Run via form trigger as kemal.stafsus@gmail.com; Timestamp: Apr 14 2023 3:12 AM</t>
  </si>
  <si>
    <t>https://drive.google.com/open?id=1fDm7upElFErbn1CGpjYfawLgfeSTjSbD</t>
  </si>
  <si>
    <t>https://drive.google.com/uc?export=view&amp;id=1fDm7upElFErbn1CGpjYfawLgfeSTjSbD</t>
  </si>
  <si>
    <t>Ahmad Hafiz, B.A</t>
  </si>
  <si>
    <t>Jl.BAKTI IX NO. 10 C</t>
  </si>
  <si>
    <t xml:space="preserve">PEKANBARU </t>
  </si>
  <si>
    <t xml:space="preserve">Syari'ah </t>
  </si>
  <si>
    <t>Wali kelas
Guru Mapel Diniyyah
Kesantrian</t>
  </si>
  <si>
    <t>ahmadhafiz290596@gmail.com</t>
  </si>
  <si>
    <t>13R-6ye8Cp68dPqs_NXIdkOq-3LJiAbImPXhsGUcD-Xo</t>
  </si>
  <si>
    <t>https://docs.google.com/document/d/13R-6ye8Cp68dPqs_NXIdkOq-3LJiAbImPXhsGUcD-Xo/edit?usp=drivesdk</t>
  </si>
  <si>
    <t>Document successfully created; Document successfully merged; Run via form trigger as kemal.stafsus@gmail.com; Timestamp: Apr 17 2023 2:10 AM</t>
  </si>
  <si>
    <t>https://drive.google.com/open?id=1WOVyxwunShcWMREEXQf1nuq0wBUPHC_3</t>
  </si>
  <si>
    <t>https://drive.google.com/uc?export=view&amp;id=1WOVyxwunShcWMREEXQf1nuq0wBUPHC_3</t>
  </si>
  <si>
    <t>Muhammad Fadhil Andzar, S.Hub.Int.</t>
  </si>
  <si>
    <t>081290516096</t>
  </si>
  <si>
    <t>3275081109970014</t>
  </si>
  <si>
    <t>Perum Bukit Kencana Jl. Bahagia VII Blok R#24, Kel. Jatimakmur, Kec. PondokGede, Kota Bekasi 17413</t>
  </si>
  <si>
    <t>11-09-1997</t>
  </si>
  <si>
    <t>Universitas Bina Nusantara (BINUS)</t>
  </si>
  <si>
    <t>Hubungan Internasional</t>
  </si>
  <si>
    <t>Guru B. Inggris dengan jabatan Kasie Ekstrakurikuler</t>
  </si>
  <si>
    <t>fadzar97@gmail.com</t>
  </si>
  <si>
    <t>1t49y1S2c12CVN84BygP_NETnz6zpo7NB2NbrcBfGk_I</t>
  </si>
  <si>
    <t>https://docs.google.com/document/d/1t49y1S2c12CVN84BygP_NETnz6zpo7NB2NbrcBfGk_I/edit?usp=drivesdk</t>
  </si>
  <si>
    <t>Document successfully created; Document successfully merged; Run via form trigger as kemal.stafsus@gmail.com; Timestamp: Apr 17 2023 2:28 AM</t>
  </si>
  <si>
    <t>https://drive.google.com/open?id=1jGna-SirjYQqrlD_PStJKkN-qj-Ru97p</t>
  </si>
  <si>
    <t>https://drive.google.com/uc?export=view&amp;id=1jGna-SirjYQqrlD_PStJKkN-qj-Ru97p</t>
  </si>
  <si>
    <t>May Aro Putra Zega, S.Pd</t>
  </si>
  <si>
    <t>082163481935</t>
  </si>
  <si>
    <t>1205231905970001</t>
  </si>
  <si>
    <t>Cilembu, Pamulihan, kab. Sumedang. JABAR</t>
  </si>
  <si>
    <t>Pangkalan Brandan</t>
  </si>
  <si>
    <t>19-05-1997</t>
  </si>
  <si>
    <t>B.Arab/diniyah</t>
  </si>
  <si>
    <t>Strata 1 - STAI As-Sunnah Deli Serdang</t>
  </si>
  <si>
    <t>Musyrif, guru tahfidz dan bahasa Arab</t>
  </si>
  <si>
    <t>Koordinator tahfidz dan guru bahasa Arab dan diniyah</t>
  </si>
  <si>
    <t>Guru bahasa Arab dan Diniyah</t>
  </si>
  <si>
    <t>mayaroputrazega97@gmail.com</t>
  </si>
  <si>
    <t>1f7UTD8yS8mQKdWLz9J3uXgPyWb6ZJorbB3i29H1xyb8</t>
  </si>
  <si>
    <t>https://docs.google.com/document/d/1f7UTD8yS8mQKdWLz9J3uXgPyWb6ZJorbB3i29H1xyb8/edit?usp=drivesdk</t>
  </si>
  <si>
    <t>Document successfully created; Document successfully merged; Run via form trigger as kemal.stafsus@gmail.com; Timestamp: Apr 17 2023 2:41 AM</t>
  </si>
  <si>
    <t>https://drive.google.com/open?id=1AgOZsgcgRmbeIVFYE0cKgmdEKEKi-YQm</t>
  </si>
  <si>
    <t>https://drive.google.com/uc?export=view&amp;id=1AgOZsgcgRmbeIVFYE0cKgmdEKEKi-YQm</t>
  </si>
  <si>
    <t>Angga Puja Asiandu, S.Si., M.Sc</t>
  </si>
  <si>
    <t>081540867762</t>
  </si>
  <si>
    <t>3275051708970005</t>
  </si>
  <si>
    <t>Jl. Pratu Suhir, Rt.06 Rw.02, Pagar Alam Utara, Kota Pagar Alam, Sumatera Selatan</t>
  </si>
  <si>
    <t>17-08-1997</t>
  </si>
  <si>
    <t>Biology Cambridge</t>
  </si>
  <si>
    <t>Universitas Sriwijaya</t>
  </si>
  <si>
    <t>Magister Biologi</t>
  </si>
  <si>
    <t>Ignatius Global School</t>
  </si>
  <si>
    <t>041701029210500</t>
  </si>
  <si>
    <t>anggahasiandu@gmail.com</t>
  </si>
  <si>
    <t>1v3cGbVm0mSrJukiauStL9mrr8wAowyXdXQ0gufvgtHQ</t>
  </si>
  <si>
    <t>https://docs.google.com/document/d/1v3cGbVm0mSrJukiauStL9mrr8wAowyXdXQ0gufvgtHQ/edit?usp=drivesdk</t>
  </si>
  <si>
    <t>Document successfully created; Document successfully merged; Run via form trigger as kemal.stafsus@gmail.com; Timestamp: Apr 18 2023 2:58 AM</t>
  </si>
  <si>
    <t>https://drive.google.com/open?id=1NhbaZ9RbvtPddmHU27HOFwrMU914bLju</t>
  </si>
  <si>
    <t>https://drive.google.com/uc?export=view&amp;id=1NhbaZ9RbvtPddmHU27HOFwrMU914bLju</t>
  </si>
  <si>
    <t>Wirza Mawddah. S.H.</t>
  </si>
  <si>
    <t>087865039238</t>
  </si>
  <si>
    <t>5201144301990001</t>
  </si>
  <si>
    <t>Purwakarta Jawa Barat</t>
  </si>
  <si>
    <t>Lombok Barat</t>
  </si>
  <si>
    <t>03-01-1999</t>
  </si>
  <si>
    <t>PAI (Fiqih, adab dll)</t>
  </si>
  <si>
    <t>Ahwal Syakhsiyyah / HKI</t>
  </si>
  <si>
    <t>Guru diniyah di MTs Minhajul Haq Purwakarta</t>
  </si>
  <si>
    <t>wirza03@gmail.com</t>
  </si>
  <si>
    <t>1YPh4W8SNBols5kZhD6MiO7k6R9ktmKu4q3cc1pSjUv4</t>
  </si>
  <si>
    <t>https://docs.google.com/document/d/1YPh4W8SNBols5kZhD6MiO7k6R9ktmKu4q3cc1pSjUv4/edit?usp=drivesdk</t>
  </si>
  <si>
    <t>Document successfully created; Document successfully merged; Run via form trigger as kemal.stafsus@gmail.com; Timestamp: Apr 20 2023 2:45 AM</t>
  </si>
  <si>
    <t>https://drive.google.com/open?id=1oillOvyG6C2LbBN_weB7UKdnUo4u-aIJ</t>
  </si>
  <si>
    <t>https://drive.google.com/uc?export=view&amp;id=1oillOvyG6C2LbBN_weB7UKdnUo4u-aIJ</t>
  </si>
  <si>
    <t>Moch Iqbal Ridwan, S.Pd</t>
  </si>
  <si>
    <t>085172425299</t>
  </si>
  <si>
    <t>3278021207950006</t>
  </si>
  <si>
    <t>Jalan Pemancingan, RT.4/RW.5, Cisauk (Kontrakan Saripullah)
CISAUK, KAB. TANGERANG, BANTEN, ID, 15340</t>
  </si>
  <si>
    <t>12-07-1995</t>
  </si>
  <si>
    <t>Sunday English -  English Tutor</t>
  </si>
  <si>
    <t>Bright English Learning - English Tutor</t>
  </si>
  <si>
    <t>Coding Bee Academy - ECA Coding Teacher</t>
  </si>
  <si>
    <t>m.iqbalridwan60@gmail.com</t>
  </si>
  <si>
    <t>1NocqywkjKMvxiCJLJTsxFXDm2iukZohv1ZI2slGAXIk</t>
  </si>
  <si>
    <t>https://docs.google.com/document/d/1NocqywkjKMvxiCJLJTsxFXDm2iukZohv1ZI2slGAXIk/edit?usp=drivesdk</t>
  </si>
  <si>
    <t>Document successfully created; Document successfully merged; Run via form trigger as kemal.stafsus@gmail.com; Timestamp: Apr 23 2023 11:33 PM</t>
  </si>
  <si>
    <t>https://drive.google.com/open?id=1Mkrd0zuPZgD4KIcnoF_LgtDitFmxuZHD</t>
  </si>
  <si>
    <t>https://drive.google.com/uc?export=view&amp;id=1Mkrd0zuPZgD4KIcnoF_LgtDitFmxuZHD</t>
  </si>
  <si>
    <t>Wafico Lailatul Fadhila</t>
  </si>
  <si>
    <t>087745972231</t>
  </si>
  <si>
    <t>3671136808030001</t>
  </si>
  <si>
    <t>Jln. Inpres XI No.53a RT003/05 Gaga, Larangan, KOTA TANGERANG-BANTEN</t>
  </si>
  <si>
    <t>28-08-2003</t>
  </si>
  <si>
    <t>19 tahun 8 bulan</t>
  </si>
  <si>
    <t>Internship</t>
  </si>
  <si>
    <t>dhilafadhilaa28@gmail.com</t>
  </si>
  <si>
    <t>1E_c4iqQL26mtuWNVvuKeCcb2U3HQm3HG__I2UmfT1Vc</t>
  </si>
  <si>
    <t>https://docs.google.com/document/d/1E_c4iqQL26mtuWNVvuKeCcb2U3HQm3HG__I2UmfT1Vc/edit?usp=drivesdk</t>
  </si>
  <si>
    <t>Document successfully created; Document successfully merged; Run via form trigger as kemal.stafsus@gmail.com; Timestamp: May 14 2023 3:34 AM</t>
  </si>
  <si>
    <t>https://drive.google.com/open?id=1DO8-V8cyOoz_LrmlEG7N7fHKGTWpuLJR</t>
  </si>
  <si>
    <t>https://drive.google.com/uc?export=view&amp;id=1DO8-V8cyOoz_LrmlEG7N7fHKGTWpuLJR</t>
  </si>
  <si>
    <t>Ahmad Dzawil Faza, SEI., M.Si</t>
  </si>
  <si>
    <t>085643516541</t>
  </si>
  <si>
    <t>3315171506880008</t>
  </si>
  <si>
    <t xml:space="preserve">Perumahan Telaga Kahuripan Gugus Candraloka Blok DD 12 No.12 Rt.007/010 Desa Tegal Kec. Kemang Kab. Bogor </t>
  </si>
  <si>
    <t>15-06-1988</t>
  </si>
  <si>
    <t>34 tahun 11 bulan</t>
  </si>
  <si>
    <t>Ekonomi/ IPS Cambridge</t>
  </si>
  <si>
    <t>Sekolah Tinggi Ekonomi Islam (STEI) SEBI</t>
  </si>
  <si>
    <t>Perbankan Syariah</t>
  </si>
  <si>
    <t>Institut Teknologi dan Bisnis Ahmad Dahlan Jakarta</t>
  </si>
  <si>
    <t>Keuangan Syariah</t>
  </si>
  <si>
    <t>Guru Sosial (Al Wafi IBS) (Juli 2019- Desember 2022)</t>
  </si>
  <si>
    <t>Guru Sosial (FIWA) (Sept 2017-Juli 2019)</t>
  </si>
  <si>
    <t>adzifany@yahoo.com</t>
  </si>
  <si>
    <t>1ytoWo3PkJ5Av-p_NArN7DYFTsT8yIMRYYFvFL4WiLcE</t>
  </si>
  <si>
    <t>https://docs.google.com/document/d/1ytoWo3PkJ5Av-p_NArN7DYFTsT8yIMRYYFvFL4WiLcE/edit?usp=drivesdk</t>
  </si>
  <si>
    <t>Document successfully created; Document successfully merged; Run via form trigger as kemal.stafsus@gmail.com; Timestamp: May 21 2023 10:06 PM</t>
  </si>
  <si>
    <t>https://drive.google.com/open?id=1H8JLLbNFcKEa-_lsKWZKWRW-DJmrB6hp</t>
  </si>
  <si>
    <t>https://drive.google.com/uc?export=view&amp;id=1H8JLLbNFcKEa-_lsKWZKWRW-DJmrB6hp</t>
  </si>
  <si>
    <t>Adhietya Febryan Herlambang, S.Pd.</t>
  </si>
  <si>
    <t>089637098324</t>
  </si>
  <si>
    <t>3276060302990004</t>
  </si>
  <si>
    <t>Jl. Swadaya VIII No. 42, RT. 001/RW. 001, Tanah Baru, Beji, Depok, Jawa Barat, 16426.</t>
  </si>
  <si>
    <t>03-02-1999</t>
  </si>
  <si>
    <t>24 tahun 3 bulan</t>
  </si>
  <si>
    <t>PPKN</t>
  </si>
  <si>
    <t xml:space="preserve">UNIVERSITAS NEGERI JAKARTA </t>
  </si>
  <si>
    <t xml:space="preserve">Pendidikan Pancasila dan Kewarganegaraan </t>
  </si>
  <si>
    <t>SMA Negeri 44 Jakarta Timur - Guru PKM mata pelajaran PPKN</t>
  </si>
  <si>
    <t>adhietyaherlambang@gmail.com</t>
  </si>
  <si>
    <t>14GDLYNFyOKeA2IfXGQYewBGriZCrE42nnPP3G2WXqnc</t>
  </si>
  <si>
    <t>https://docs.google.com/document/d/14GDLYNFyOKeA2IfXGQYewBGriZCrE42nnPP3G2WXqnc/edit?usp=drivesdk</t>
  </si>
  <si>
    <t>Document successfully created; Document successfully merged; Run via form trigger as kemal.stafsus@gmail.com; Timestamp: May 21 2023 10:31 PM</t>
  </si>
  <si>
    <t>https://drive.google.com/open?id=1dl-fjD66Q2PNuitN52Hf9VD88CE8pajQ</t>
  </si>
  <si>
    <t>https://drive.google.com/uc?export=view&amp;id=1dl-fjD66Q2PNuitN52Hf9VD88CE8pajQ</t>
  </si>
  <si>
    <t>Indah Juniasari T., S.Pd</t>
  </si>
  <si>
    <t>089602575290</t>
  </si>
  <si>
    <t>3173056406960005</t>
  </si>
  <si>
    <t>Jl. Pengayoman Selatan I, RT. 005/04 NO. 91, Buaran Indah, Tangerang, Kota Tangerang  Banten</t>
  </si>
  <si>
    <t>24-06-1996</t>
  </si>
  <si>
    <t>Pendidikan bahasa dan sastra Inggris</t>
  </si>
  <si>
    <t>SMAIT Nurul Fikri</t>
  </si>
  <si>
    <t>Insan Cendekia Madani Islamic Senior High School</t>
  </si>
  <si>
    <t>132955.indahjuniasari@gmail.com</t>
  </si>
  <si>
    <t>1xowiWKEGo1JnHiqeLhpZJ-okPmdZNYa5Lgdg4Fcfu4g</t>
  </si>
  <si>
    <t>https://docs.google.com/document/d/1xowiWKEGo1JnHiqeLhpZJ-okPmdZNYa5Lgdg4Fcfu4g/edit?usp=drivesdk</t>
  </si>
  <si>
    <t>Document successfully created; Document successfully merged; Run via form trigger as kemal.stafsus@gmail.com; Timestamp: May 21 2023 10:36 PM</t>
  </si>
  <si>
    <t>https://drive.google.com/open?id=1XnBMGPtPYcFdRyAW0aJ8lURT9mxajHMc</t>
  </si>
  <si>
    <t>https://drive.google.com/uc?export=view&amp;id=1XnBMGPtPYcFdRyAW0aJ8lURT9mxajHMc</t>
  </si>
  <si>
    <t>Lutfiah Amaliyah S.Pd</t>
  </si>
  <si>
    <t>082268864142</t>
  </si>
  <si>
    <t>1401145206000001</t>
  </si>
  <si>
    <t>Kampar</t>
  </si>
  <si>
    <t>12-06-2000</t>
  </si>
  <si>
    <t>22 tahun  11 bulan</t>
  </si>
  <si>
    <t>STIBA ARRAAYAH Sukabumi</t>
  </si>
  <si>
    <t>lutfiahmansur12@gmail.com</t>
  </si>
  <si>
    <t>1wny-hmUPZVDJN_k31VhtzfONwWix85k7Gx4VxNTTKVM</t>
  </si>
  <si>
    <t>https://docs.google.com/document/d/1wny-hmUPZVDJN_k31VhtzfONwWix85k7Gx4VxNTTKVM/edit?usp=drivesdk</t>
  </si>
  <si>
    <t>Document successfully created; Document successfully merged; Run via form trigger as kemal.stafsus@gmail.com; Timestamp: May 21 2023 10:55 PM</t>
  </si>
  <si>
    <t>https://drive.google.com/open?id=1o-7O8zz0k9Lso3LO1q9hAy4RXTM8Y75I</t>
  </si>
  <si>
    <t>https://drive.google.com/uc?export=view&amp;id=1o-7O8zz0k9Lso3LO1q9hAy4RXTM8Y75I</t>
  </si>
  <si>
    <t>Astri Ariyani, S.Si., M.Si.</t>
  </si>
  <si>
    <t>082157865172</t>
  </si>
  <si>
    <t>3174024401900002</t>
  </si>
  <si>
    <t>Jl. Dr. Setiabudi, Gg. Manggis 3, RT 002 RW 004, Pondok Kacang Timur, Pondok Aren, Tangerang Selatan 15226</t>
  </si>
  <si>
    <t>Karanganyar</t>
  </si>
  <si>
    <t>04 - Januari - 1990</t>
  </si>
  <si>
    <t>33 tahun 4 bulan</t>
  </si>
  <si>
    <t>Biology/IPA Cambridge</t>
  </si>
  <si>
    <t>Universitas Sebelas Maret</t>
  </si>
  <si>
    <t>Science Teacher at SMP Ar Rahman Islamic School (2020 - 2022)</t>
  </si>
  <si>
    <t>Rp. 3.500.000,00</t>
  </si>
  <si>
    <t>Packaging Supervisor at PT Pharos Indonesia (2012 - 2013)</t>
  </si>
  <si>
    <t>Rp. 2.500.000,00</t>
  </si>
  <si>
    <t>Admin Trade Marketing at Femina Group (2011 - 2012)</t>
  </si>
  <si>
    <t>Rp. 6.500.000,00</t>
  </si>
  <si>
    <t>as3ary@gmail.com</t>
  </si>
  <si>
    <t>1WCYlui-PhPX4tWZyjM_SkuHi04Q0qLRFvcZzQNfBMCI</t>
  </si>
  <si>
    <t>https://docs.google.com/document/d/1WCYlui-PhPX4tWZyjM_SkuHi04Q0qLRFvcZzQNfBMCI/edit?usp=drivesdk</t>
  </si>
  <si>
    <t>Document successfully created; Document successfully merged; Run via form trigger as kemal.stafsus@gmail.com; Timestamp: May 21 2023 11:53 PM</t>
  </si>
  <si>
    <t>https://drive.google.com/open?id=1s3wZRfKMO66n8-km36T_5eftErrwbhGQ</t>
  </si>
  <si>
    <t>https://drive.google.com/uc?export=view&amp;id=1s3wZRfKMO66n8-km36T_5eftErrwbhGQ</t>
  </si>
  <si>
    <t>08-09-1996</t>
  </si>
  <si>
    <t>PT Bintang Pelajar, Guru Bahasa Inggris SMP-SMA. March 2019 - May 2020</t>
  </si>
  <si>
    <t>Guru English SD-SMP di Quba Islamic School dari Januari 2021 - sekarang</t>
  </si>
  <si>
    <t>1gHreO_XdEhfAfz4JP7YfHFnP3adaB8FdlgYCqF3RRL0</t>
  </si>
  <si>
    <t>https://docs.google.com/document/d/1gHreO_XdEhfAfz4JP7YfHFnP3adaB8FdlgYCqF3RRL0/edit?usp=drivesdk</t>
  </si>
  <si>
    <t>Document successfully created; Document successfully merged; Run via form trigger as kemal.stafsus@gmail.com; Timestamp: May 21 2023 11:56 PM</t>
  </si>
  <si>
    <t>https://drive.google.com/open?id=1nSQ7zOdy81b8EK2BAV06Y23FIhEpxu8G</t>
  </si>
  <si>
    <t>https://drive.google.com/uc?export=view&amp;id=1nSQ7zOdy81b8EK2BAV06Y23FIhEpxu8G</t>
  </si>
  <si>
    <t>Mokhamad Fauji Fajarudin, M.Pd.</t>
  </si>
  <si>
    <t>081381220761</t>
  </si>
  <si>
    <t>3208132302880002</t>
  </si>
  <si>
    <t>Puri Serpong 1 Blok E 3 no. 28 Setu Tangerang Selatan</t>
  </si>
  <si>
    <t>23-02-1988</t>
  </si>
  <si>
    <t>35 Tahun 2 Bulan</t>
  </si>
  <si>
    <t>Fisika/IPA Cambridge</t>
  </si>
  <si>
    <t>Pendidikan IPA Konsentrasi Fisika</t>
  </si>
  <si>
    <t>Dosen Program Studi Pendidikan Fisika sekaligus Ketua Lembaga Penjaminan Mutu Internal (LPMI) STKIP Surya</t>
  </si>
  <si>
    <t>Guru Fisika Jagat Arsy WCBS</t>
  </si>
  <si>
    <t>Tutor Fisika Lembaga Bimbel Tridaya</t>
  </si>
  <si>
    <t>fajarsensei@gmail.com</t>
  </si>
  <si>
    <t>1vu5fqYV75LcGz1-DRoDRyzNs2HK2-gYbWOHWYMxwszg</t>
  </si>
  <si>
    <t>https://docs.google.com/document/d/1vu5fqYV75LcGz1-DRoDRyzNs2HK2-gYbWOHWYMxwszg/edit?usp=drivesdk</t>
  </si>
  <si>
    <t>Document successfully created; Document successfully merged; Run via form trigger as kemal.stafsus@gmail.com; Timestamp: May 22 2023 12:36 AM</t>
  </si>
  <si>
    <t>https://drive.google.com/open?id=1uHs1lMs8dEgXbzWOJDtSGmZq9p3qe2Kw</t>
  </si>
  <si>
    <t>https://drive.google.com/uc?export=view&amp;id=1uHs1lMs8dEgXbzWOJDtSGmZq9p3qe2Kw</t>
  </si>
  <si>
    <t>Aldini Alvionnita, S.Pd</t>
  </si>
  <si>
    <t>085322087375</t>
  </si>
  <si>
    <t>3602184207990002</t>
  </si>
  <si>
    <t>Kp.Tungku, Ds.Pasarkeong, Kec.Cibadak, Kab.Lebak, Banten</t>
  </si>
  <si>
    <t>Lebak</t>
  </si>
  <si>
    <t>02-07-1999</t>
  </si>
  <si>
    <t>Ekonomi/IPS Cambridge</t>
  </si>
  <si>
    <t>Tutor Ekonomi Online - Anak Bimbing Riris (ABR)</t>
  </si>
  <si>
    <t>Pengajar Freelance - Ganesha Operation Rangkasbitung</t>
  </si>
  <si>
    <t>aldinialvionita@gmail.com</t>
  </si>
  <si>
    <t>1vobbkptmaYhq_mJ-GYAzTd1KStaIfnSKLhIEknB8bAA</t>
  </si>
  <si>
    <t>https://docs.google.com/document/d/1vobbkptmaYhq_mJ-GYAzTd1KStaIfnSKLhIEknB8bAA/edit?usp=drivesdk</t>
  </si>
  <si>
    <t>Document successfully created; Document successfully merged; Run via form trigger as kemal.stafsus@gmail.com; Timestamp: May 22 2023 4:28 AM</t>
  </si>
  <si>
    <t>https://drive.google.com/open?id=11RLcRcsI_saeWl38_I-5tDTE-HdepNje</t>
  </si>
  <si>
    <t>https://drive.google.com/uc?export=view&amp;id=11RLcRcsI_saeWl38_I-5tDTE-HdepNje</t>
  </si>
  <si>
    <t>Dwi Puji Hayati, S.Pd., M.Sc.</t>
  </si>
  <si>
    <t>085875741975</t>
  </si>
  <si>
    <t>3325135705960004</t>
  </si>
  <si>
    <t>Batang</t>
  </si>
  <si>
    <t>17-05-1996</t>
  </si>
  <si>
    <t>SMA Islam Al Azhar 30 Salatiga</t>
  </si>
  <si>
    <t>SMA ABBS Surakarta</t>
  </si>
  <si>
    <t>SMPN 3 Bandar</t>
  </si>
  <si>
    <t>Dwi Puji Hayati</t>
  </si>
  <si>
    <t>dwipujihayati96@gmail.com</t>
  </si>
  <si>
    <t>1ML5VUmYEbdKoykJRyQCL72p9ZtWUB0_ZCtpnxvRbnvg</t>
  </si>
  <si>
    <t>https://docs.google.com/document/d/1ML5VUmYEbdKoykJRyQCL72p9ZtWUB0_ZCtpnxvRbnvg/edit?usp=drivesdk</t>
  </si>
  <si>
    <t>Document successfully created; Document successfully merged; Run via form trigger as kemal.stafsus@gmail.com; Timestamp: May 23 2023 6:46 PM</t>
  </si>
  <si>
    <t>https://drive.google.com/open?id=1kTwoOswy1NSdZ9vw2IoWIKnKLEbSBzmP</t>
  </si>
  <si>
    <t>https://drive.google.com/uc?export=view&amp;id=1kTwoOswy1NSdZ9vw2IoWIKnKLEbSBzmP</t>
  </si>
  <si>
    <t>Muhammad Vega Satria, B.A.</t>
  </si>
  <si>
    <t>+6281288533502</t>
  </si>
  <si>
    <t>1173020302940001</t>
  </si>
  <si>
    <t>Jl. Tengku Di Blang, Gang Permata, No. 29, Kelurahan Gampong Mulia
Kec. Kuta Alam, Kota Banda Aceh, Provinsi Aceh</t>
  </si>
  <si>
    <t>Kota Lhokseumawe</t>
  </si>
  <si>
    <t>03-02-1994</t>
  </si>
  <si>
    <t>Kepala Sekolah, Guru Mata Pelajaran</t>
  </si>
  <si>
    <t>Al-Qur'an &amp; Native Arabic</t>
  </si>
  <si>
    <t>Al-Wildan 21 Aceh</t>
  </si>
  <si>
    <t>Hadits &amp; Ilmu Sunnah</t>
  </si>
  <si>
    <t>Darul Lughah Al-Arabiyah - Banda Aceh</t>
  </si>
  <si>
    <t>&lt;&gt; 1.500.000</t>
  </si>
  <si>
    <t>SMA Imam Nawawi - Banda Aceh</t>
  </si>
  <si>
    <t>muhammadvegasatria@gmail.com</t>
  </si>
  <si>
    <t>17DspEX5UWFTDAWcAfSY4RFDbI9mQLRPiz5Y84j-0KSw</t>
  </si>
  <si>
    <t>https://docs.google.com/document/d/17DspEX5UWFTDAWcAfSY4RFDbI9mQLRPiz5Y84j-0KSw/edit?usp=drivesdk</t>
  </si>
  <si>
    <t>Document successfully created; Document successfully merged; Run via form trigger as kemal.stafsus@gmail.com; Timestamp: May 29 2023 10:35 AM</t>
  </si>
  <si>
    <t>https://drive.google.com/open?id=1oK8aeSmn9dDDlGg5lwqChM5JnIKsMcxx</t>
  </si>
  <si>
    <t>https://drive.google.com/uc?export=view&amp;id=1oK8aeSmn9dDDlGg5lwqChM5JnIKsMcxx</t>
  </si>
  <si>
    <t>Dr(C) Agus Haryono, S.P.,M.M.</t>
  </si>
  <si>
    <t>JL.RAYA ALINDA RAYA NO.1 KALIABANG TENGAH-BEKASI UTARA</t>
  </si>
  <si>
    <t>2 AGUSTUS 1986</t>
  </si>
  <si>
    <t>36 TAHUN 10 BULAN</t>
  </si>
  <si>
    <t>Management, Tim Litbang, Tim Pusat Penelitian Kurikulum</t>
  </si>
  <si>
    <t>MAGISTER MANAJEMEN</t>
  </si>
  <si>
    <t>UNIVERSITAS IBN KHALDUN BOGOR (MASIH AKTIF TUGAS AKHIR)</t>
  </si>
  <si>
    <t>DOKTOR PENDIDIKAN AGAMA ISLAM</t>
  </si>
  <si>
    <t>DIREKTUR LITBANG</t>
  </si>
  <si>
    <t>DIREKTUR PENDIDIKAN</t>
  </si>
  <si>
    <t>1MwuUe2dUhrXEEwPx1DeO9v3optlXV5DvSnXrZo48Ba0</t>
  </si>
  <si>
    <t>https://docs.google.com/document/d/1MwuUe2dUhrXEEwPx1DeO9v3optlXV5DvSnXrZo48Ba0/edit?usp=drivesdk</t>
  </si>
  <si>
    <t>Document successfully created; Document successfully merged; Run via form trigger as kemal.stafsus@gmail.com; Timestamp: Jun 16 2023 11:17 AM</t>
  </si>
  <si>
    <t>https://drive.google.com/open?id=16ybcSKDL_izplI_c3o44ah9h0lDaxw82</t>
  </si>
  <si>
    <t>https://drive.google.com/uc?export=view&amp;id=16ybcSKDL_izplI_c3o44ah9h0lDaxw82</t>
  </si>
  <si>
    <t>Fachrul Azmi BIS</t>
  </si>
  <si>
    <t>08119194593</t>
  </si>
  <si>
    <t>3674062808940002</t>
  </si>
  <si>
    <t>perum serpong garden 1, Cisauk, Kab. Tangerang</t>
  </si>
  <si>
    <t>28 Agustus 1994</t>
  </si>
  <si>
    <t>bahasa inggris</t>
  </si>
  <si>
    <t>IPU New Zealand</t>
  </si>
  <si>
    <t>International Studies</t>
  </si>
  <si>
    <t>PT. Zahra Prima Indonesia</t>
  </si>
  <si>
    <t>Kiora Kopi</t>
  </si>
  <si>
    <t>KBRI Wellington, New Zealand</t>
  </si>
  <si>
    <t>5000 NZD</t>
  </si>
  <si>
    <t>0650007917</t>
  </si>
  <si>
    <t>BCA syariah</t>
  </si>
  <si>
    <t>fachrulisme@gmail.com</t>
  </si>
  <si>
    <t>1DGTl6I32DLw4k9ep7T_mtNQeUZyGgUY3QDJMGK6FqjQ</t>
  </si>
  <si>
    <t>https://docs.google.com/document/d/1DGTl6I32DLw4k9ep7T_mtNQeUZyGgUY3QDJMGK6FqjQ/edit?usp=drivesdk</t>
  </si>
  <si>
    <t>Document successfully created; Document successfully merged; Run via form trigger as kemal.stafsus@gmail.com; Timestamp: Jun 30 2023 12:14 AM</t>
  </si>
  <si>
    <t>https://drive.google.com/open?id=1k1c9KwfJKIJRcHD48YggIOgqMbNQCz36</t>
  </si>
  <si>
    <t>https://drive.google.com/uc?export=view&amp;id=1k1c9KwfJKIJRcHD48YggIOgqMbNQCz36</t>
  </si>
  <si>
    <t>Wahyu S Adam, M.Pd</t>
  </si>
  <si>
    <t>085210697457</t>
  </si>
  <si>
    <t>7172041202960001</t>
  </si>
  <si>
    <t>Gorontalo</t>
  </si>
  <si>
    <t>MAGISTER PENDIDIKAN BAHASA ARAB</t>
  </si>
  <si>
    <t>Fitrah Islamic World Academy Bogor</t>
  </si>
  <si>
    <t>Akademi Alkhayr Selangor Malaysia</t>
  </si>
  <si>
    <t>wahyusadam12@gmail.com</t>
  </si>
  <si>
    <t>1WZfE25XeowtgbpO5cMSA_qKopckQ4mkEqTpLAhOuce4</t>
  </si>
  <si>
    <t>https://docs.google.com/document/d/1WZfE25XeowtgbpO5cMSA_qKopckQ4mkEqTpLAhOuce4/edit?usp=drivesdk</t>
  </si>
  <si>
    <t>Document successfully created; Document successfully merged; Run via form trigger as kemal.stafsus@gmail.com; Timestamp: Jun 30 2023 2:07 AM</t>
  </si>
  <si>
    <t>https://drive.google.com/open?id=128KjfpXneIN6_arbUfXHjDsYrcJnhh6N</t>
  </si>
  <si>
    <t>https://drive.google.com/uc?export=view&amp;id=128KjfpXneIN6_arbUfXHjDsYrcJnhh6N</t>
  </si>
  <si>
    <t>Juwita nurramdhania</t>
  </si>
  <si>
    <t>087711304284</t>
  </si>
  <si>
    <t>3174014503930004</t>
  </si>
  <si>
    <t xml:space="preserve">Jln palem V rt02 rw01 no5A cibinong sukahti kab bogor </t>
  </si>
  <si>
    <t>05031993</t>
  </si>
  <si>
    <t>Guru PAI</t>
  </si>
  <si>
    <t>Sekolah tinggi agama islam Al-Aqidah Al-Hasyimiyyah</t>
  </si>
  <si>
    <t xml:space="preserve">SMPIT Anugrah Insani </t>
  </si>
  <si>
    <t xml:space="preserve">MI Plus Andalusia Quranic School </t>
  </si>
  <si>
    <t>ramdhania2@gmail.com</t>
  </si>
  <si>
    <t>1YhdkU40FIiaPuMPmuisccZO4AiFwhOLF_gkXiqrcpmc</t>
  </si>
  <si>
    <t>https://docs.google.com/document/d/1YhdkU40FIiaPuMPmuisccZO4AiFwhOLF_gkXiqrcpmc/edit?usp=drivesdk</t>
  </si>
  <si>
    <t>Document successfully created; Document successfully merged; Run via form trigger as kemal.stafsus@gmail.com; Timestamp: Jun 30 2023 2:13 AM</t>
  </si>
  <si>
    <t>https://drive.google.com/open?id=1pRekUXJuCddEBmy3Sl8QPpu8JmR7NR1_</t>
  </si>
  <si>
    <t>https://drive.google.com/uc?export=view&amp;id=1pRekUXJuCddEBmy3Sl8QPpu8JmR7NR1_</t>
  </si>
  <si>
    <t>Ratu Najmah Nabilah S.Pd.,</t>
  </si>
  <si>
    <t>085693465798</t>
  </si>
  <si>
    <t>3603225401990001</t>
  </si>
  <si>
    <t>14-01-1999</t>
  </si>
  <si>
    <t>24tahun 5 bulan</t>
  </si>
  <si>
    <t>S1 UIN SULTAN MAULANA HASANUDDIN BANTEN</t>
  </si>
  <si>
    <t xml:space="preserve">Staff TU </t>
  </si>
  <si>
    <t>5.000.000 ( menyesuaikan dengan gaji standar alwildan)</t>
  </si>
  <si>
    <t>ratunajmah675@gmail.com</t>
  </si>
  <si>
    <t>1VMf8Py_c0TUOpEfa8ycKzuJ2pKW53Y0zDecafKS78SU</t>
  </si>
  <si>
    <t>https://docs.google.com/document/d/1VMf8Py_c0TUOpEfa8ycKzuJ2pKW53Y0zDecafKS78SU/edit?usp=drivesdk</t>
  </si>
  <si>
    <t>Document successfully created; Document successfully merged; Run via form trigger as kemal.stafsus@gmail.com; Timestamp: Jun 30 2023 2:37 AM</t>
  </si>
  <si>
    <t>https://drive.google.com/open?id=1XLLVnyu5bIPTje7mYXjPNFgZOrIZqOWk</t>
  </si>
  <si>
    <t>https://drive.google.com/uc?export=view&amp;id=1XLLVnyu5bIPTje7mYXjPNFgZOrIZqOWk</t>
  </si>
  <si>
    <t>Aidah Fauziah, BA</t>
  </si>
  <si>
    <t>+6285717626047</t>
  </si>
  <si>
    <t>3217135712960001</t>
  </si>
  <si>
    <t>17-12-1996</t>
  </si>
  <si>
    <t>26 tahun 6 bulan</t>
  </si>
  <si>
    <t xml:space="preserve">PAI/Arabic </t>
  </si>
  <si>
    <t>4.54</t>
  </si>
  <si>
    <t xml:space="preserve">Musyrifah, SMP Akhwat Daarut Tauhiid Islamic Boarding School </t>
  </si>
  <si>
    <t>Guru Bahasa Arab, Al-Wildan 10</t>
  </si>
  <si>
    <t>aidahfauziah25@gmail.com</t>
  </si>
  <si>
    <t>1m_T2PXjRiSDr9Gn5GN5sFVxppYGJiP7q6QnJBKYbNpA</t>
  </si>
  <si>
    <t>https://docs.google.com/document/d/1m_T2PXjRiSDr9Gn5GN5sFVxppYGJiP7q6QnJBKYbNpA/edit?usp=drivesdk</t>
  </si>
  <si>
    <t>Document successfully created; Document successfully merged; Run via form trigger as kemal.stafsus@gmail.com; Timestamp: Jun 30 2023 3:08 AM</t>
  </si>
  <si>
    <t>https://drive.google.com/open?id=1y7-EKQB00Ag-B7FEoSKdU-N1dUMiqUwZ</t>
  </si>
  <si>
    <t>https://drive.google.com/uc?export=view&amp;id=1y7-EKQB00Ag-B7FEoSKdU-N1dUMiqUwZ</t>
  </si>
  <si>
    <t>Nurhayati Butarbutar, S.Pd</t>
  </si>
  <si>
    <t>082118096946</t>
  </si>
  <si>
    <t>1212235206950001</t>
  </si>
  <si>
    <t>Cilembu, Pamulihan, kab. Sumedang, Jawa Barat</t>
  </si>
  <si>
    <t>Toba Samosir</t>
  </si>
  <si>
    <t>12-06-1995</t>
  </si>
  <si>
    <t xml:space="preserve">28 tahun </t>
  </si>
  <si>
    <t>PAI, Arabic</t>
  </si>
  <si>
    <t>STAI AS SUNNAH, DELI SERDANG SUMATERA UTARA</t>
  </si>
  <si>
    <t>SMPIT Azzahra Aceh Tenggara</t>
  </si>
  <si>
    <t>Yayasan Kampung Santri</t>
  </si>
  <si>
    <t>nuhabebe31956@gmail.com</t>
  </si>
  <si>
    <t>10EPH85v8ihsAOqEZC3azh-zcmTFt5aX9YrSxZO3zZsA</t>
  </si>
  <si>
    <t>https://docs.google.com/document/d/10EPH85v8ihsAOqEZC3azh-zcmTFt5aX9YrSxZO3zZsA/edit?usp=drivesdk</t>
  </si>
  <si>
    <t>Document successfully created; Document successfully merged; Run via form trigger as kemal.stafsus@gmail.com; Timestamp: Jun 30 2023 4:40 AM</t>
  </si>
  <si>
    <t>https://drive.google.com/open?id=1fwJDL20RcQZ0vMtNUYU6SP97pjtnzkdP</t>
  </si>
  <si>
    <t>https://drive.google.com/uc?export=view&amp;id=1fwJDL20RcQZ0vMtNUYU6SP97pjtnzkdP</t>
  </si>
  <si>
    <t xml:space="preserve">Ratih Kusuma Wardhani, S.Pd. </t>
  </si>
  <si>
    <t>087878240475</t>
  </si>
  <si>
    <t>3211024312010001</t>
  </si>
  <si>
    <t>Jl. SMP 160 RT. 003 RW. 005 Kelurahan Ceger Kecamatan Cipayung, Jakarta Timur.</t>
  </si>
  <si>
    <t>3 Desember 2001</t>
  </si>
  <si>
    <t>Biologi/ IPA Cambrige</t>
  </si>
  <si>
    <t>Universitas Muhammadiyah Prof. Dr. HAMKA</t>
  </si>
  <si>
    <t>3.93</t>
  </si>
  <si>
    <t>Guru privat Biologi dan Kimia</t>
  </si>
  <si>
    <t>Guru Infal Man 6 Jakarta</t>
  </si>
  <si>
    <t>1.500.000 - 2.500.000</t>
  </si>
  <si>
    <t>Seabank</t>
  </si>
  <si>
    <t>ratihkusumawardhani58@gmail.com</t>
  </si>
  <si>
    <t>15EL5WCIu3BHzuX5EawFeDKkahyUmxWNoXXIO1oaYWPA</t>
  </si>
  <si>
    <t>https://docs.google.com/document/d/15EL5WCIu3BHzuX5EawFeDKkahyUmxWNoXXIO1oaYWPA/edit?usp=drivesdk</t>
  </si>
  <si>
    <t>Document successfully created; Document successfully merged; Run via form trigger as kemal.stafsus@gmail.com; Timestamp: Jun 30 2023 4:56 AM</t>
  </si>
  <si>
    <t>https://drive.google.com/open?id=14UTLoS7jHYnrl30t2J1Q8AkLOmsyZRo8</t>
  </si>
  <si>
    <t>https://drive.google.com/uc?export=view&amp;id=14UTLoS7jHYnrl30t2J1Q8AkLOmsyZRo8</t>
  </si>
  <si>
    <t>عمره فيصل الله جابو الطيب</t>
  </si>
  <si>
    <t>082127076411</t>
  </si>
  <si>
    <t>09598172</t>
  </si>
  <si>
    <t>𝙹𝚕. 𝙱𝚒𝚍𝚊𝚛. 𝙺𝚎𝚕𝚊𝚙𝚊 𝚍𝚞𝚊. 𝚃𝚊𝚗𝚐𝚊𝚛𝚊𝚗𝚐 𝚜𝚎𝚕𝚊𝚝𝚊𝚗</t>
  </si>
  <si>
    <t>Hassahisa. Sudan</t>
  </si>
  <si>
    <t>01-01- 1985</t>
  </si>
  <si>
    <t>mohamed.el-mostafa@mediu.ws</t>
  </si>
  <si>
    <t>1tWz2dKBB1YDSZ_eWEbODuf3mT7AaO6hgC4tMP8qQGzI</t>
  </si>
  <si>
    <t>https://docs.google.com/document/d/1tWz2dKBB1YDSZ_eWEbODuf3mT7AaO6hgC4tMP8qQGzI/edit?usp=drivesdk</t>
  </si>
  <si>
    <t>Document successfully created; Document successfully merged; Run via form trigger as kemal.stafsus@gmail.com; Timestamp: Jun 30 2023 10:54 PM</t>
  </si>
  <si>
    <t>https://drive.google.com/open?id=1SLyASnlYrOUmTUzpkWfxKkh0sQSwVHKs</t>
  </si>
  <si>
    <t>https://drive.google.com/uc?export=view&amp;id=1SLyASnlYrOUmTUzpkWfxKkh0sQSwVHKs</t>
  </si>
  <si>
    <t>Dahlia Trianisantika S.S</t>
  </si>
  <si>
    <t>081212840334</t>
  </si>
  <si>
    <t>3216064406960014</t>
  </si>
  <si>
    <t>JL. RASAMALA BLOK C 36 NO 5, RT.03, RW. 08, PERUM. KOMPAS INDAH, KEL. MEKARSARI, KEC. TAMBUN SELATAN, KAB. BEKASI, 17510, JAWA BARAT.</t>
  </si>
  <si>
    <t>04-06-1996</t>
  </si>
  <si>
    <t xml:space="preserve">SEKOLAH TINGGI BAHASA ASING JIA </t>
  </si>
  <si>
    <t>SASTRA INGGRIS</t>
  </si>
  <si>
    <t>FREELANCE INTERPRETER</t>
  </si>
  <si>
    <t>ENGLISH TRAINER</t>
  </si>
  <si>
    <t>dahliatrianisantika@gmail.com</t>
  </si>
  <si>
    <t>10Ub9UqH6hV1empySAs597AxNVNh2ApsKjnVdg-Uqk_w</t>
  </si>
  <si>
    <t>https://docs.google.com/document/d/10Ub9UqH6hV1empySAs597AxNVNh2ApsKjnVdg-Uqk_w/edit?usp=drivesdk</t>
  </si>
  <si>
    <t>Document successfully created; Document successfully merged; Run via form trigger as kemal.stafsus@gmail.com; Timestamp: Jul 1 2023 9:54 AM</t>
  </si>
  <si>
    <t>https://drive.google.com/open?id=15c6Dt96ue2M-JMOmPv7FSqyb7bnme7hy</t>
  </si>
  <si>
    <t>https://drive.google.com/uc?export=view&amp;id=15c6Dt96ue2M-JMOmPv7FSqyb7bnme7hy</t>
  </si>
  <si>
    <t>Unaisah Abdat, S.Li</t>
  </si>
  <si>
    <t>081319484806</t>
  </si>
  <si>
    <t>3174045812971002</t>
  </si>
  <si>
    <t>Jl. Poltangan III no. 28 Pasar Minggu, Jakarta Selatan</t>
  </si>
  <si>
    <t>18-12-1997</t>
  </si>
  <si>
    <t>Bahasa dan Kebudayaan Arab</t>
  </si>
  <si>
    <t>Guru full time bahasa Arab untuk jenjang SMP dan SMA di sekolah At Taj</t>
  </si>
  <si>
    <t>Guru freelance bahasa Arab untuk jenjang Ma'had</t>
  </si>
  <si>
    <t>abdatunaisah@gmail.com</t>
  </si>
  <si>
    <t>1G2DiDw7tfnCG54fJjVCvHyc1xMfbifi_c0524w3lejw</t>
  </si>
  <si>
    <t>https://docs.google.com/document/d/1G2DiDw7tfnCG54fJjVCvHyc1xMfbifi_c0524w3lejw/edit?usp=drivesdk</t>
  </si>
  <si>
    <t>Document successfully created; Document successfully merged; Run via form trigger as kemal.stafsus@gmail.com; Timestamp: Jul 2 2023 12:18 AM</t>
  </si>
  <si>
    <t>https://drive.google.com/open?id=1tbzfChEG_HLvtEpe7MCMNs9lrpcVy0XV</t>
  </si>
  <si>
    <t>https://drive.google.com/uc?export=view&amp;id=1tbzfChEG_HLvtEpe7MCMNs9lrpcVy0XV</t>
  </si>
  <si>
    <t>M. Ramjil Afrizal S.Pd</t>
  </si>
  <si>
    <t>087804441618</t>
  </si>
  <si>
    <t>3602010203990007</t>
  </si>
  <si>
    <t>Jl. Palembang No 56, Buaran serpong kost Harlan, Serpong, Tangerang Selatan</t>
  </si>
  <si>
    <t>07 Februari 1999</t>
  </si>
  <si>
    <t>24 Tahun 4 Bulan</t>
  </si>
  <si>
    <t>Pendidikan Pancasila dan Kewarganegaraan</t>
  </si>
  <si>
    <t>(PPKn S1) Universitas Pamulang</t>
  </si>
  <si>
    <t>PT.Sigma Reseach (Lembaga Survey)</t>
  </si>
  <si>
    <t>Rumah Demokrasi</t>
  </si>
  <si>
    <t>ramzilsuper99@gmail.com</t>
  </si>
  <si>
    <t>151Prt1s3O7-StMwsegAj6oOGd_Gn7WyFvWKTQ9DRGV8</t>
  </si>
  <si>
    <t>https://docs.google.com/document/d/151Prt1s3O7-StMwsegAj6oOGd_Gn7WyFvWKTQ9DRGV8/edit?usp=drivesdk</t>
  </si>
  <si>
    <t>Document successfully created; Document successfully merged; Run via form trigger as kemal.stafsus@gmail.com; Timestamp: Jul 2 2023 3:49 AM</t>
  </si>
  <si>
    <t>https://drive.google.com/open?id=1L5NtkqhbAiiAvTTuD5xg9O1tXebm84ta</t>
  </si>
  <si>
    <t>https://drive.google.com/uc?export=view&amp;id=1L5NtkqhbAiiAvTTuD5xg9O1tXebm84ta</t>
  </si>
  <si>
    <t>Umainah Abdat</t>
  </si>
  <si>
    <t>081295098810</t>
  </si>
  <si>
    <t>3174046401991001</t>
  </si>
  <si>
    <t>Jl. Poltangan III no. 28 kec. Ps. Minggu. Kel. Pejaten timur. Jaksel. 12510</t>
  </si>
  <si>
    <t>24-01-1999</t>
  </si>
  <si>
    <t>Guru Tahsin/Tahfidz/al-qur'an.</t>
  </si>
  <si>
    <t>PTN - Universitas Terbuka</t>
  </si>
  <si>
    <t>FE (Manajemen)</t>
  </si>
  <si>
    <t>Guru SD &amp; SMP/A</t>
  </si>
  <si>
    <t>SDIT Al-Khair</t>
  </si>
  <si>
    <t>TPA Al-a'raaf</t>
  </si>
  <si>
    <t>Tidak tentu (300-700)</t>
  </si>
  <si>
    <t>umainahabdat@gmail.com</t>
  </si>
  <si>
    <t>1pr6Ab7W0kYvfpeE-TAgzByWl2f1hpoTl4ktLQajVMaE</t>
  </si>
  <si>
    <t>https://docs.google.com/document/d/1pr6Ab7W0kYvfpeE-TAgzByWl2f1hpoTl4ktLQajVMaE/edit?usp=drivesdk</t>
  </si>
  <si>
    <t>Document successfully created; Document successfully merged; Run via form trigger as kemal.stafsus@gmail.com; Timestamp: Jul 2 2023 8:56 AM</t>
  </si>
  <si>
    <t>https://drive.google.com/open?id=1fakajvS-eiIWg7ctJFdTwWAii92giK7z</t>
  </si>
  <si>
    <t>https://drive.google.com/uc?export=view&amp;id=1fakajvS-eiIWg7ctJFdTwWAii92giK7z</t>
  </si>
  <si>
    <t xml:space="preserve">Mohammad Mahdi Ibnu Hamid </t>
  </si>
  <si>
    <t>082211200067</t>
  </si>
  <si>
    <t>1810032807980002</t>
  </si>
  <si>
    <t xml:space="preserve">Lampung </t>
  </si>
  <si>
    <t xml:space="preserve">Pringsewu </t>
  </si>
  <si>
    <t>28-07-1998</t>
  </si>
  <si>
    <t xml:space="preserve">25 tahun </t>
  </si>
  <si>
    <t xml:space="preserve">STAI Ali bin Abi Thalib Surabaya </t>
  </si>
  <si>
    <t>Ma'had Asy-syifa Bandar Lampung</t>
  </si>
  <si>
    <t xml:space="preserve">Ma'had Ibad Ar Rahman </t>
  </si>
  <si>
    <t>ibnuhamid34@gmail.com</t>
  </si>
  <si>
    <t>1hsHD5zwPLb9wQl9emUolokFco1kM8jaXAgGH5umk_Ck</t>
  </si>
  <si>
    <t>https://docs.google.com/document/d/1hsHD5zwPLb9wQl9emUolokFco1kM8jaXAgGH5umk_Ck/edit?usp=drivesdk</t>
  </si>
  <si>
    <t>Document successfully created; Document successfully merged; Run via form trigger as kemal.stafsus@gmail.com; Timestamp: Jul 4 2023 12:02 AM</t>
  </si>
  <si>
    <t>https://drive.google.com/open?id=19LJWfSc8rCqi2OF_aRhAyH4kyyrPyjKP</t>
  </si>
  <si>
    <t>https://drive.google.com/uc?export=view&amp;id=19LJWfSc8rCqi2OF_aRhAyH4kyyrPyjKP</t>
  </si>
  <si>
    <t xml:space="preserve">Adip Umar </t>
  </si>
  <si>
    <t>081357764955</t>
  </si>
  <si>
    <t>3504010606030004</t>
  </si>
  <si>
    <t xml:space="preserve">Tulungagung </t>
  </si>
  <si>
    <t>06-06-2003</t>
  </si>
  <si>
    <t>20 th + 1 bulan</t>
  </si>
  <si>
    <t xml:space="preserve">Mas'ul Tahfidz Al Irsyad Tulungagung </t>
  </si>
  <si>
    <t>adibkaraman01@gmail.com</t>
  </si>
  <si>
    <t>1HGgQYiDbo8v5iFALlVVrfbwX2fKQ63AySv0hkuZKrmk</t>
  </si>
  <si>
    <t>https://docs.google.com/document/d/1HGgQYiDbo8v5iFALlVVrfbwX2fKQ63AySv0hkuZKrmk/edit?usp=drivesdk</t>
  </si>
  <si>
    <t>Document successfully created; Document successfully merged; Run via form trigger as kemal.stafsus@gmail.com; Timestamp: Jul 4 2023 12:20 AM</t>
  </si>
  <si>
    <t>https://drive.google.com/open?id=1YXy3XsibxVUk1C9eBFxZxsw8mNq9fEVk</t>
  </si>
  <si>
    <t>https://drive.google.com/uc?export=view&amp;id=1YXy3XsibxVUk1C9eBFxZxsw8mNq9fEVk</t>
  </si>
  <si>
    <t>Muhammad Haikal Umarella, S.IP.,M.Pd</t>
  </si>
  <si>
    <t>085254351721</t>
  </si>
  <si>
    <t>8101141007860004</t>
  </si>
  <si>
    <t xml:space="preserve">Ciledug. Tangerang </t>
  </si>
  <si>
    <t xml:space="preserve">Ambon </t>
  </si>
  <si>
    <t>10-07-1986</t>
  </si>
  <si>
    <t>36tahun 6bulan</t>
  </si>
  <si>
    <t>Pkn</t>
  </si>
  <si>
    <t xml:space="preserve">Universitas Darussalam Ambon </t>
  </si>
  <si>
    <t>3Tahun</t>
  </si>
  <si>
    <t>ekalumarella10@gmail.com</t>
  </si>
  <si>
    <t>1PeyrfZK6aYIhpg5xU1BXYWfKZBuOBHdYbUbyxpKmG1c</t>
  </si>
  <si>
    <t>https://docs.google.com/document/d/1PeyrfZK6aYIhpg5xU1BXYWfKZBuOBHdYbUbyxpKmG1c/edit?usp=drivesdk</t>
  </si>
  <si>
    <t>Document successfully created; Document successfully merged; Run via form trigger as kemal.stafsus@gmail.com; Timestamp: Jul 4 2023 12:43 AM</t>
  </si>
  <si>
    <t>https://drive.google.com/open?id=1kPy0xmXt6Qx5tWgQGNNO3NgfhLxobsMh</t>
  </si>
  <si>
    <t>https://drive.google.com/uc?export=view&amp;id=1kPy0xmXt6Qx5tWgQGNNO3NgfhLxobsMh</t>
  </si>
  <si>
    <t>Uci Cahlia, S.Si., M.Si.</t>
  </si>
  <si>
    <t>082285789934</t>
  </si>
  <si>
    <t>Jl. M. Amin Fauzi, Gandus, Palembang, Sumatera Selatan</t>
  </si>
  <si>
    <t>Banyuasin</t>
  </si>
  <si>
    <t>20-05-1997</t>
  </si>
  <si>
    <t>Biologi Cambridge</t>
  </si>
  <si>
    <t>Biologi (MIPA)</t>
  </si>
  <si>
    <t>3.87 (Cum Laude)</t>
  </si>
  <si>
    <t>3.92</t>
  </si>
  <si>
    <t xml:space="preserve">Tentor Bimbel Biologi dan Bahasa Inggris </t>
  </si>
  <si>
    <t>ucicahlia@gmail.com</t>
  </si>
  <si>
    <t>1h-tyAzUTNX-PBN9U4NS547CTnI7Ir1Z7uRB6OmkoOnc</t>
  </si>
  <si>
    <t>https://docs.google.com/document/d/1h-tyAzUTNX-PBN9U4NS547CTnI7Ir1Z7uRB6OmkoOnc/edit?usp=drivesdk</t>
  </si>
  <si>
    <t>Document successfully created; Document successfully merged; Run via form trigger as kemal.stafsus@gmail.com; Timestamp: Jul 4 2023 12:46 AM</t>
  </si>
  <si>
    <t>https://drive.google.com/open?id=1Bi2uyXDZQ5gb4BvmHAcPFwO85m9NHcEo</t>
  </si>
  <si>
    <t>https://drive.google.com/uc?export=view&amp;id=1Bi2uyXDZQ5gb4BvmHAcPFwO85m9NHcEo</t>
  </si>
  <si>
    <t>Muhammad naji ansori</t>
  </si>
  <si>
    <t>087871564784</t>
  </si>
  <si>
    <t>5271022807000001</t>
  </si>
  <si>
    <t>28/07/2000</t>
  </si>
  <si>
    <t>Musrif - imam bukhari dompu</t>
  </si>
  <si>
    <t>Musyrif - abu hurairah diniyyah</t>
  </si>
  <si>
    <t>najiansori28@gmail.com</t>
  </si>
  <si>
    <t>1JvWobLbdyaSDY0zw01kWxpxA2nFvsXGyhxl-VhZqsm8</t>
  </si>
  <si>
    <t>https://docs.google.com/document/d/1JvWobLbdyaSDY0zw01kWxpxA2nFvsXGyhxl-VhZqsm8/edit?usp=drivesdk</t>
  </si>
  <si>
    <t>Document successfully created; Document successfully merged; Run via form trigger as kemal.stafsus@gmail.com; Timestamp: Jul 4 2023 12:51 AM</t>
  </si>
  <si>
    <t>https://drive.google.com/open?id=1bzp-kFGZsVSstq9k0vXaX8HS5bOW2-rs</t>
  </si>
  <si>
    <t>https://drive.google.com/uc?export=view&amp;id=1bzp-kFGZsVSstq9k0vXaX8HS5bOW2-rs</t>
  </si>
  <si>
    <t>Andi Dwi Priyono, S.Pd.</t>
  </si>
  <si>
    <t>081398218979</t>
  </si>
  <si>
    <t>3501041402900004</t>
  </si>
  <si>
    <t>Griya Ganesha blok f3 no 32 Kahuripan, Kab. Bogor</t>
  </si>
  <si>
    <t xml:space="preserve">Pacitan </t>
  </si>
  <si>
    <t>14-02-1990</t>
  </si>
  <si>
    <t>PTS (Strata-1) - Universitas Ahmad Dahlan</t>
  </si>
  <si>
    <t>Prateeptham Foundation School Thailand</t>
  </si>
  <si>
    <t>Darul Uloom School Thailand</t>
  </si>
  <si>
    <t>FIWA Bogor</t>
  </si>
  <si>
    <t>andipriyono97@yahoo.com</t>
  </si>
  <si>
    <t>16bsGStaY2mToUTbNHz7SVakfXCQKQpZ-qKeoQ4hSQXo</t>
  </si>
  <si>
    <t>https://docs.google.com/document/d/16bsGStaY2mToUTbNHz7SVakfXCQKQpZ-qKeoQ4hSQXo/edit?usp=drivesdk</t>
  </si>
  <si>
    <t>Document successfully created; Document successfully merged; Run via form trigger as kemal.stafsus@gmail.com; Timestamp: Jul 4 2023 1:42 AM</t>
  </si>
  <si>
    <t>https://drive.google.com/open?id=1KMBfBkN-1pXMfCBlwN_-pcjqQriSw5G3</t>
  </si>
  <si>
    <t>https://drive.google.com/uc?export=view&amp;id=1KMBfBkN-1pXMfCBlwN_-pcjqQriSw5G3</t>
  </si>
  <si>
    <t xml:space="preserve">Zulkarnaen, MA. </t>
  </si>
  <si>
    <t>Sawangan Hill 2 Blok B B7, Jalan raya curug, Bojongsari, Depok</t>
  </si>
  <si>
    <t xml:space="preserve">31-12-1990 </t>
  </si>
  <si>
    <t>Diniyyah/PAI</t>
  </si>
  <si>
    <t xml:space="preserve">Shofwa university </t>
  </si>
  <si>
    <t>Ulumul Quran</t>
  </si>
  <si>
    <t>Guru di pesantren Al Andalus Jonggol</t>
  </si>
  <si>
    <t xml:space="preserve">Guru di Pesantren MINHAJUS SHAHABAH </t>
  </si>
  <si>
    <t xml:space="preserve">Guru di Al Wafi Islamic Boarding School </t>
  </si>
  <si>
    <t>1vaFkJUaukjWuq5PilcCkDNCoo2FYyBPH5gHmTtNLM38</t>
  </si>
  <si>
    <t>https://docs.google.com/document/d/1vaFkJUaukjWuq5PilcCkDNCoo2FYyBPH5gHmTtNLM38/edit?usp=drivesdk</t>
  </si>
  <si>
    <t>Document successfully created; Document successfully merged; Run via form trigger as kemal.stafsus@gmail.com; Timestamp: Jul 4 2023 2:02 AM</t>
  </si>
  <si>
    <t>https://drive.google.com/open?id=1IKBLV-0qTeBj4DJoG5xmI96kZv8B1SXB</t>
  </si>
  <si>
    <t>https://drive.google.com/uc?export=view&amp;id=1IKBLV-0qTeBj4DJoG5xmI96kZv8B1SXB</t>
  </si>
  <si>
    <t>Annisya Salma Syacfira,S.Pd</t>
  </si>
  <si>
    <t>085777896154</t>
  </si>
  <si>
    <t>3671016712990003</t>
  </si>
  <si>
    <t>Perumahan Legok Indah. Blok B19/No.3. Kel. Babakan, Kec. Legok. Kab. Tangerang 15820</t>
  </si>
  <si>
    <t>23tahun 7bulan</t>
  </si>
  <si>
    <t xml:space="preserve">Community Growth Associate - EGN Singapore </t>
  </si>
  <si>
    <t xml:space="preserve">Community Growth Assistant- EGN Singapore </t>
  </si>
  <si>
    <t xml:space="preserve">English Online Tutor - EnglishVit </t>
  </si>
  <si>
    <t>0585379636</t>
  </si>
  <si>
    <t>annisyasyachfira.27@gmail.com</t>
  </si>
  <si>
    <t>1xS0bzF3-z7kP-hsOPhVf1QERIWEy27Zr0ezm_PV-A90</t>
  </si>
  <si>
    <t>https://docs.google.com/document/d/1xS0bzF3-z7kP-hsOPhVf1QERIWEy27Zr0ezm_PV-A90/edit?usp=drivesdk</t>
  </si>
  <si>
    <t>Document successfully created; Document successfully merged; Run via form trigger as kemal.stafsus@gmail.com; Timestamp: Jul 4 2023 6:09 AM</t>
  </si>
  <si>
    <t>https://drive.google.com/open?id=1mGMnHU1RAosDY3Pm1jD4CU1bEjnorIcm</t>
  </si>
  <si>
    <t>https://drive.google.com/uc?export=view&amp;id=1mGMnHU1RAosDY3Pm1jD4CU1bEjnorIcm</t>
  </si>
  <si>
    <t>Andrea Lestari Wibowo S.S</t>
  </si>
  <si>
    <t xml:space="preserve">
Jl. Bunga 3 No. 46B RT 004 RW 04 Kampung Baru, Jatibening Baru, Pondok Gede, Kota Bekasi 17412</t>
  </si>
  <si>
    <t>EFL/ESOL Tutor 2016-2021 (The British Institute - UniSadhuGuna)</t>
  </si>
  <si>
    <t>8.500.000-9.000.000</t>
  </si>
  <si>
    <t>andrea.lw@outlook.com</t>
  </si>
  <si>
    <t>19jT2pKZx-Gp-_G5nqKMltzBn-X15t_40tSlSrIhDeO0</t>
  </si>
  <si>
    <t>https://docs.google.com/document/d/19jT2pKZx-Gp-_G5nqKMltzBn-X15t_40tSlSrIhDeO0/edit?usp=drivesdk</t>
  </si>
  <si>
    <t>Document successfully created; Document successfully merged; Run via form trigger as kemal.stafsus@gmail.com; Timestamp: Jul 4 2023 12:40 PM</t>
  </si>
  <si>
    <t>https://drive.google.com/open?id=1pjhq8r5R21SOTzfv4Gd6ss8ax8YuwY4S</t>
  </si>
  <si>
    <t>https://drive.google.com/uc?export=view&amp;id=1pjhq8r5R21SOTzfv4Gd6ss8ax8YuwY4S</t>
  </si>
  <si>
    <t>Ima Siti Maryam, S.Pd.</t>
  </si>
  <si>
    <t>085220722830</t>
  </si>
  <si>
    <t>3206226003970002</t>
  </si>
  <si>
    <t>Jl. Pasar Kaler no 106 RT/RW 008/002 Desa Margaluyu Kec. Manonjaya Kab. Tasikmalaya</t>
  </si>
  <si>
    <t>20-03-1997</t>
  </si>
  <si>
    <t>English, math, science</t>
  </si>
  <si>
    <t>PTS (Strata-1) Universitas Galuh Ciamis</t>
  </si>
  <si>
    <t>imamaryam.09@gmail.com</t>
  </si>
  <si>
    <t>1uG9eorTlSap3fvDwtOYoNC7fLYDHLmwUcMYKWR4r1YE</t>
  </si>
  <si>
    <t>https://docs.google.com/document/d/1uG9eorTlSap3fvDwtOYoNC7fLYDHLmwUcMYKWR4r1YE/edit?usp=drivesdk</t>
  </si>
  <si>
    <t>Document successfully created; Document successfully merged; Run via form trigger as kemal.stafsus@gmail.com; Timestamp: Jul 4 2023 8:25 PM</t>
  </si>
  <si>
    <t>https://drive.google.com/open?id=1t79rtoX9MJzRSefjtHVmafRVKTDFVkUT</t>
  </si>
  <si>
    <t>https://drive.google.com/uc?export=view&amp;id=1t79rtoX9MJzRSefjtHVmafRVKTDFVkUT</t>
  </si>
  <si>
    <t>Putri Bairukha Jannati, B.A</t>
  </si>
  <si>
    <t>087784379943</t>
  </si>
  <si>
    <t>3201034305980002</t>
  </si>
  <si>
    <t>Cikuda, Bojong Nangka, Gunung Putri-Kab. Bogor.</t>
  </si>
  <si>
    <t>03-05-1998</t>
  </si>
  <si>
    <t>Al-Quran &amp; Arabic Basic</t>
  </si>
  <si>
    <t>S1-LIPIA Jakarta</t>
  </si>
  <si>
    <t>Mengajar Tahsin Al-Quran Private Online</t>
  </si>
  <si>
    <t>Per orang 108.000</t>
  </si>
  <si>
    <t>Guru Tahfidz Al-Qur'an di sekolah At-Tajj</t>
  </si>
  <si>
    <t>5.000.000 &gt;</t>
  </si>
  <si>
    <t>bayprds@gmail.com</t>
  </si>
  <si>
    <t>11q9nRZOsKd1ccLGRONIqgbP6d1ERZHnqoQpyPHmcXww</t>
  </si>
  <si>
    <t>https://docs.google.com/document/d/11q9nRZOsKd1ccLGRONIqgbP6d1ERZHnqoQpyPHmcXww/edit?usp=drivesdk</t>
  </si>
  <si>
    <t>Document successfully created; Document successfully merged; Run via form trigger as kemal.stafsus@gmail.com; Timestamp: Jul 5 2023 3:20 AM</t>
  </si>
  <si>
    <t>https://drive.google.com/open?id=1ECbuVBMfgQD0-P6W4Y5i5OO0xR-oSMOj</t>
  </si>
  <si>
    <t>https://drive.google.com/uc?export=view&amp;id=1ECbuVBMfgQD0-P6W4Y5i5OO0xR-oSMOj</t>
  </si>
  <si>
    <t>Fenny Rachmawati, S.Pd.</t>
  </si>
  <si>
    <t>089638355798</t>
  </si>
  <si>
    <t>3216064810980009</t>
  </si>
  <si>
    <t>Mahkota Indah Blok GC 4 No 6 Rt 003/030, Mangunjaya, Tambun Selatan, Bekasi.</t>
  </si>
  <si>
    <t>08-10-1998</t>
  </si>
  <si>
    <t xml:space="preserve">24 tahun 9 bulan </t>
  </si>
  <si>
    <t>Guru Matematika dan Wali Kelas di SMPIT Al Fath Jalen</t>
  </si>
  <si>
    <t>2.000.000-2.500.000</t>
  </si>
  <si>
    <t>fennyrachmawati08@gmail.com</t>
  </si>
  <si>
    <t>1pMGGM_-1-Pg4_MSLBDfDIbjvau77MziFogXGR5oNSVI</t>
  </si>
  <si>
    <t>https://docs.google.com/document/d/1pMGGM_-1-Pg4_MSLBDfDIbjvau77MziFogXGR5oNSVI/edit?usp=drivesdk</t>
  </si>
  <si>
    <t>Document successfully created; Document successfully merged; Run via form trigger as kemal.stafsus@gmail.com; Timestamp: Jul 5 2023 8:07 AM</t>
  </si>
  <si>
    <t>https://drive.google.com/open?id=1q7C8BUPCVulYAsOlOwh6Sj4zv8te4yrS</t>
  </si>
  <si>
    <t>https://drive.google.com/uc?export=view&amp;id=1q7C8BUPCVulYAsOlOwh6Sj4zv8te4yrS</t>
  </si>
  <si>
    <t>DESI ASMARA DELIMA</t>
  </si>
  <si>
    <t>082285100605</t>
  </si>
  <si>
    <t>1404124712980001</t>
  </si>
  <si>
    <t>Soren Besar (Riau)</t>
  </si>
  <si>
    <t>07 Desember 1998</t>
  </si>
  <si>
    <t>24 Tahun 7 bulan</t>
  </si>
  <si>
    <t>Lughoh ( Sastra Arab)</t>
  </si>
  <si>
    <t xml:space="preserve">Mentor Tahsin private </t>
  </si>
  <si>
    <t xml:space="preserve">Guru Tahsin di MQM </t>
  </si>
  <si>
    <t xml:space="preserve">Pengajar Tahfidz di MISBA </t>
  </si>
  <si>
    <t>desiasmaradelima@gmail.com</t>
  </si>
  <si>
    <t>1yjWkqf8G6XXcteERt3nQjKCfAalbG_LErK06-ecgl0c</t>
  </si>
  <si>
    <t>https://docs.google.com/document/d/1yjWkqf8G6XXcteERt3nQjKCfAalbG_LErK06-ecgl0c/edit?usp=drivesdk</t>
  </si>
  <si>
    <t>Document successfully created; Document successfully merged; Run via form trigger as kemal.stafsus@gmail.com; Timestamp: Jul 5 2023 10:34 PM</t>
  </si>
  <si>
    <t>https://drive.google.com/open?id=1yzg-GignQT0JSHUe2JS7WlR935BdwiwO</t>
  </si>
  <si>
    <t>https://drive.google.com/uc?export=view&amp;id=1yzg-GignQT0JSHUe2JS7WlR935BdwiwO</t>
  </si>
  <si>
    <t>Muhammad Najwah, S.Kom</t>
  </si>
  <si>
    <t>082112867138</t>
  </si>
  <si>
    <t>5206160911951002</t>
  </si>
  <si>
    <t>Jl. Flamboyan No 27 RT 13 RW 06 Pesanggrahan Jakarta Selatan</t>
  </si>
  <si>
    <t>Parado Rato</t>
  </si>
  <si>
    <t>09 November 1995</t>
  </si>
  <si>
    <t>28 Tahun</t>
  </si>
  <si>
    <t>STMIK ERESHA</t>
  </si>
  <si>
    <t>SISTEM INFORMASI</t>
  </si>
  <si>
    <t>SPV PT. Tri Karya Cemerlang</t>
  </si>
  <si>
    <t>Marketing Indihome</t>
  </si>
  <si>
    <t>muhammadnajwah@gmail.com</t>
  </si>
  <si>
    <t>1fTCW5H1WV5uyRz-4HoguQd900uLBcZh-nLZqP14a3SA</t>
  </si>
  <si>
    <t>https://docs.google.com/document/d/1fTCW5H1WV5uyRz-4HoguQd900uLBcZh-nLZqP14a3SA/edit?usp=drivesdk</t>
  </si>
  <si>
    <t>https://drive.google.com/open?id=1mLxGfYdOkWvwmUz1-7SvW3b3cII1RLql</t>
  </si>
  <si>
    <t>https://drive.google.com/uc?export=view&amp;id=1mLxGfYdOkWvwmUz1-7SvW3b3cII1RLql</t>
  </si>
  <si>
    <t>Maitsa Hanifa Setyadi, S. Hum.</t>
  </si>
  <si>
    <t>081294057603</t>
  </si>
  <si>
    <t>3174016212990002</t>
  </si>
  <si>
    <t>Vila Mahkota Pesona, E5/11, Bojong Kulur, Kabupaten Bogor</t>
  </si>
  <si>
    <t>22-12-1999</t>
  </si>
  <si>
    <t>Sejarah</t>
  </si>
  <si>
    <t>Ilmu Sejarah</t>
  </si>
  <si>
    <t>Universiti Malaya (on-going)</t>
  </si>
  <si>
    <t>Souhteast Asian History</t>
  </si>
  <si>
    <t>Freelance Teacher Persiapan UTBK/SIMAK Sejarah - Akses Guru (2019-sekarang)</t>
  </si>
  <si>
    <t>180.000-200.000/sesi (2 jam)</t>
  </si>
  <si>
    <t>Academic Assistant - Buana Writing and Training Center (2022 Internship-2023 Freelance)</t>
  </si>
  <si>
    <t>2.500.000/bulan (internship), 250.000-750.000/project (freelance)</t>
  </si>
  <si>
    <t>maitsahs@gmail.com</t>
  </si>
  <si>
    <t>1EHAQb5zjyRZObVGa2_XT7RBQaStC9mGUxz43KcUXqjc</t>
  </si>
  <si>
    <t>https://docs.google.com/document/d/1EHAQb5zjyRZObVGa2_XT7RBQaStC9mGUxz43KcUXqjc/edit?usp=drivesdk</t>
  </si>
  <si>
    <t>Document successfully created; Document successfully merged; Run via form trigger as kemal.stafsus@gmail.com; Timestamp: Jul 6 2023 8:42 AM</t>
  </si>
  <si>
    <t>https://drive.google.com/open?id=1_z08pwHcsbH8l8UvaSnujZBO45EnA4jg</t>
  </si>
  <si>
    <t>https://drive.google.com/uc?export=view&amp;id=1_z08pwHcsbH8l8UvaSnujZBO45EnA4jg</t>
  </si>
  <si>
    <t>IKHWANUL MUSLIM, S.Pd</t>
  </si>
  <si>
    <t>085275470126</t>
  </si>
  <si>
    <t>1218110308950003</t>
  </si>
  <si>
    <t xml:space="preserve">Bekasi Timur </t>
  </si>
  <si>
    <t xml:space="preserve">Adolina </t>
  </si>
  <si>
    <t>03-Agustus-1995</t>
  </si>
  <si>
    <t>Arabic dan PAI</t>
  </si>
  <si>
    <t xml:space="preserve">STAI AS-SUNNAH DELI SERDANG </t>
  </si>
  <si>
    <t>Dai yayasan Arrisalah Al Khairiyah Medan</t>
  </si>
  <si>
    <t xml:space="preserve">Guru B.Arab dan PAI di pesantren Al Kautsar Simalungun </t>
  </si>
  <si>
    <t>Guru B.Arab dan PAI di FIWA</t>
  </si>
  <si>
    <t>ikhwanulmuslim635@gmail.com</t>
  </si>
  <si>
    <t>19TNqZH8lXbNR8aAptZROMH8rwHmBEca15HKAu6CBQAc</t>
  </si>
  <si>
    <t>https://docs.google.com/document/d/19TNqZH8lXbNR8aAptZROMH8rwHmBEca15HKAu6CBQAc/edit?usp=drivesdk</t>
  </si>
  <si>
    <t>Document successfully created; Document successfully merged; Run via form trigger as kemal.stafsus@gmail.com; Timestamp: Jul 6 2023 10:57 AM</t>
  </si>
  <si>
    <t>https://drive.google.com/open?id=13eutnshG06C0P-3rL9FVlikQHOcb-uh8</t>
  </si>
  <si>
    <t>https://drive.google.com/uc?export=view&amp;id=13eutnshG06C0P-3rL9FVlikQHOcb-uh8</t>
  </si>
  <si>
    <t>Abdurrahman Hanif, BA.</t>
  </si>
  <si>
    <t>081315619879</t>
  </si>
  <si>
    <t>3275010901000019</t>
  </si>
  <si>
    <t xml:space="preserve">Perumahan wisma jaya rt8 rw18 blok cc18 nomor1 duren jaya Bekasi timur </t>
  </si>
  <si>
    <t>09-01-2000</t>
  </si>
  <si>
    <t>23, 6 bulan</t>
  </si>
  <si>
    <t>Guru Arabic dan PAI</t>
  </si>
  <si>
    <t>5.000.000 (UMK Bekasi)</t>
  </si>
  <si>
    <t>abdhanif998@gmail.com</t>
  </si>
  <si>
    <t>1C_anSynNXwMU2UTDBBMSSwmUVup-i0GJYF3UMTjGtVo</t>
  </si>
  <si>
    <t>https://docs.google.com/document/d/1C_anSynNXwMU2UTDBBMSSwmUVup-i0GJYF3UMTjGtVo/edit?usp=drivesdk</t>
  </si>
  <si>
    <t>Document successfully created; Document successfully merged; Run via form trigger as kemal.stafsus@gmail.com; Timestamp: Jul 6 2023 11:32 AM</t>
  </si>
  <si>
    <t>https://drive.google.com/open?id=1C27RARxGfMM6iLrbbS9d1wvhjAAUrdvm</t>
  </si>
  <si>
    <t>https://drive.google.com/uc?export=view&amp;id=1C27RARxGfMM6iLrbbS9d1wvhjAAUrdvm</t>
  </si>
  <si>
    <t>Afwan Harir, B.Sh</t>
  </si>
  <si>
    <t>087743184105</t>
  </si>
  <si>
    <t>5203090509950001</t>
  </si>
  <si>
    <t xml:space="preserve">Jln. Matraman Dalam III, RT/ RW: 013/007, Pegangsaan, Menteng, Jakarta Pusat </t>
  </si>
  <si>
    <t>Aikmel</t>
  </si>
  <si>
    <t>05 September 1995</t>
  </si>
  <si>
    <t>27 Tahun 9 bulan</t>
  </si>
  <si>
    <t xml:space="preserve">Diniyah </t>
  </si>
  <si>
    <t>LIPIA JAKARTA (Universitas Imam Muhammad bin Su'ud)</t>
  </si>
  <si>
    <t xml:space="preserve">Fakultas Syari'ah </t>
  </si>
  <si>
    <t>4.86</t>
  </si>
  <si>
    <t>afone.harir@gmail.com</t>
  </si>
  <si>
    <t>14p6ouvE5jp3Of4zDl3U8uVjNACX1sAriVCPyUrOGHbU</t>
  </si>
  <si>
    <t>https://docs.google.com/document/d/14p6ouvE5jp3Of4zDl3U8uVjNACX1sAriVCPyUrOGHbU/edit?usp=drivesdk</t>
  </si>
  <si>
    <t>Document successfully created; Document successfully merged; Run via form trigger as kemal.stafsus@gmail.com; Timestamp: Jul 6 2023 8:57 PM</t>
  </si>
  <si>
    <t>https://drive.google.com/open?id=1BBEmYFFmoyOa85bNDh7_UVaRDSRTA-SP</t>
  </si>
  <si>
    <t>https://drive.google.com/uc?export=view&amp;id=1BBEmYFFmoyOa85bNDh7_UVaRDSRTA-SP</t>
  </si>
  <si>
    <t>Aditia Yidhistira Tri sapoetra</t>
  </si>
  <si>
    <t>081390664323</t>
  </si>
  <si>
    <t>3301061503990003</t>
  </si>
  <si>
    <t xml:space="preserve">Jl. Layar 2b no 15 RT/RW : 07/07 Kelapa dua, Tangerang, Banten </t>
  </si>
  <si>
    <t>15-03-2000</t>
  </si>
  <si>
    <t xml:space="preserve">Guru, musyrif halaqah dan musyrif </t>
  </si>
  <si>
    <t>900.000 tempat tinggal dan makan 3x sehari</t>
  </si>
  <si>
    <t>Guru dan musyrif halaqah</t>
  </si>
  <si>
    <t>1.000.000 tempat tinggal dan makan 3x sehari</t>
  </si>
  <si>
    <t>aditiayudhistira925@gmail.com</t>
  </si>
  <si>
    <t>1suwP6xxbxJo-GivCbf7JjY7QgZr98kFa26sMIcw3c2Q</t>
  </si>
  <si>
    <t>https://docs.google.com/document/d/1suwP6xxbxJo-GivCbf7JjY7QgZr98kFa26sMIcw3c2Q/edit?usp=drivesdk</t>
  </si>
  <si>
    <t>Document successfully created; Document successfully merged; Run via form trigger as kemal.stafsus@gmail.com; Timestamp: Jul 7 2023 12:54 AM</t>
  </si>
  <si>
    <t>https://drive.google.com/open?id=1OEXoHdUxHRb7UIUFHzLYxoPZTk5O2edE</t>
  </si>
  <si>
    <t>https://drive.google.com/uc?export=view&amp;id=1OEXoHdUxHRb7UIUFHzLYxoPZTk5O2edE</t>
  </si>
  <si>
    <t>Siti robiah</t>
  </si>
  <si>
    <t>085773545227</t>
  </si>
  <si>
    <t>Serang walantaka</t>
  </si>
  <si>
    <t>Serang,walantaka</t>
  </si>
  <si>
    <t>04-03-1994</t>
  </si>
  <si>
    <t>29 thn 5 bln</t>
  </si>
  <si>
    <t>Ma'had alwafa D2</t>
  </si>
  <si>
    <t>Al wildan 7 serang</t>
  </si>
  <si>
    <t>Yang sudah di tentukan pihak sekolah</t>
  </si>
  <si>
    <t>ummusyuraih@gmail.com</t>
  </si>
  <si>
    <t>1RQyQqmll-hMqD6sl4zBwp7V8Iw0jUQYEYX8wHrKH3ag</t>
  </si>
  <si>
    <t>https://docs.google.com/document/d/1RQyQqmll-hMqD6sl4zBwp7V8Iw0jUQYEYX8wHrKH3ag/edit?usp=drivesdk</t>
  </si>
  <si>
    <t>Document successfully created; Document successfully merged; Run via form trigger as kemal.stafsus@gmail.com; Timestamp: Jul 7 2023 1:37 AM</t>
  </si>
  <si>
    <t>https://drive.google.com/open?id=1CtDzQFXAyzYRLps4oT5fGPXsFOQGsTfm</t>
  </si>
  <si>
    <t>https://drive.google.com/uc?export=view&amp;id=1CtDzQFXAyzYRLps4oT5fGPXsFOQGsTfm</t>
  </si>
  <si>
    <t>Muadz Abdul Aziz, S.Pd</t>
  </si>
  <si>
    <t>087886966961</t>
  </si>
  <si>
    <t>3275011505970037</t>
  </si>
  <si>
    <t>Jl Wijaya Kusuma Raya Block C.23 No.01 RT/RW 07/14, Kelurahan Duren Jaya, Kecamatan Bekasi Timur, Kota Bekasi</t>
  </si>
  <si>
    <t>15-05-1997</t>
  </si>
  <si>
    <t>PAI &amp; Arabic</t>
  </si>
  <si>
    <t>Guru Hadits &amp; Bahasa Arab</t>
  </si>
  <si>
    <t>muadzaa97@gmail.com</t>
  </si>
  <si>
    <t>1xHoC_WX-K6q9h_fITH_qEibZNYvWu-Ifwdc1_Evkd68</t>
  </si>
  <si>
    <t>https://docs.google.com/document/d/1xHoC_WX-K6q9h_fITH_qEibZNYvWu-Ifwdc1_Evkd68/edit?usp=drivesdk</t>
  </si>
  <si>
    <t>Document successfully created; Document successfully merged; Run via form trigger as kemal.stafsus@gmail.com; Timestamp: Jul 7 2023 5:53 AM</t>
  </si>
  <si>
    <t>https://drive.google.com/open?id=14wHfNTuoLKl7EWsqoaTeqw8ehy-4ol5V</t>
  </si>
  <si>
    <t>https://drive.google.com/uc?export=view&amp;id=14wHfNTuoLKl7EWsqoaTeqw8ehy-4ol5V</t>
  </si>
  <si>
    <t>DANI AJRIAN, Lc</t>
  </si>
  <si>
    <t>082210610623</t>
  </si>
  <si>
    <t>3322062805920001</t>
  </si>
  <si>
    <t>Griya Asri, Jl. Garuda 1, Bakti Jaya, Pamulang, Tangerang Selatan</t>
  </si>
  <si>
    <t xml:space="preserve">Kabupaten Semarang </t>
  </si>
  <si>
    <t>28-05-1992</t>
  </si>
  <si>
    <t>31 tahun, 1 bulan</t>
  </si>
  <si>
    <t>Universitas Islam Madinah, Arab Saudi</t>
  </si>
  <si>
    <t>Syari’ah</t>
  </si>
  <si>
    <t>4,78 (dari 5)</t>
  </si>
  <si>
    <t>Guru Diniyyah (Ponpes Tahfidz Quran Ibnu Mas’ud) Jambu, Kab. Semarang, Jawa Tengah</t>
  </si>
  <si>
    <t>Guru Diniyyah di STIM (Sekolah Tahfidz Ibnu Mas’ud) Kelapa Dua, Kab Tangerang, Banten</t>
  </si>
  <si>
    <t>daniajrian@gmail.com</t>
  </si>
  <si>
    <t>1sb0m-z5_Ws1Sp4ZzfPod0zNdAh-6me9jGI_s84ZIkTw</t>
  </si>
  <si>
    <t>https://docs.google.com/document/d/1sb0m-z5_Ws1Sp4ZzfPod0zNdAh-6me9jGI_s84ZIkTw/edit?usp=drivesdk</t>
  </si>
  <si>
    <t>Document successfully created; Document successfully merged; Run via form trigger as kemal.stafsus@gmail.com; Timestamp: Jul 7 2023 8:48 AM</t>
  </si>
  <si>
    <t>https://drive.google.com/open?id=1Qx3g8AxXlYcmTc_BkMii_ynvg5_s4UfF</t>
  </si>
  <si>
    <t>https://drive.google.com/uc?export=view&amp;id=1Qx3g8AxXlYcmTc_BkMii_ynvg5_s4UfF</t>
  </si>
  <si>
    <t xml:space="preserve">Hind Mohammed Aboughuffah </t>
  </si>
  <si>
    <t>088220159937</t>
  </si>
  <si>
    <t>R677RP45</t>
  </si>
  <si>
    <t>Kota Wisata Cibubur</t>
  </si>
  <si>
    <t>Tripoli, Libya</t>
  </si>
  <si>
    <t>31-01-1996</t>
  </si>
  <si>
    <t>Native Arab</t>
  </si>
  <si>
    <t>Higher Institute for Sciences and Technology - Tripoli</t>
  </si>
  <si>
    <t>Medical Laboratories</t>
  </si>
  <si>
    <t>In Process (UPGRIS)</t>
  </si>
  <si>
    <t>Private Section</t>
  </si>
  <si>
    <t>hendsalama423@gmail.com</t>
  </si>
  <si>
    <t>1Wq4teLw6hQwZ8kbp_NWLA8AHPADhbHgLGefGursqFsw</t>
  </si>
  <si>
    <t>https://docs.google.com/document/d/1Wq4teLw6hQwZ8kbp_NWLA8AHPADhbHgLGefGursqFsw/edit?usp=drivesdk</t>
  </si>
  <si>
    <t>Document successfully created; Document successfully merged; Run via form trigger as kemal.stafsus@gmail.com; Timestamp: Jul 7 2023 9:59 AM</t>
  </si>
  <si>
    <t>https://drive.google.com/open?id=1lnmE-OUIbCl0Sz2vfYZ29ckezAJtVbHV</t>
  </si>
  <si>
    <t>https://drive.google.com/uc?export=view&amp;id=1lnmE-OUIbCl0Sz2vfYZ29ckezAJtVbHV</t>
  </si>
  <si>
    <t>Salsa Rasyidah Arsyi, B.Sh</t>
  </si>
  <si>
    <t>085891393954</t>
  </si>
  <si>
    <t>3201075205000004</t>
  </si>
  <si>
    <t>Kampoeng Pelangi Cileungsi, Jl. Pelangi 4 Blok K2 no. 12, Cileungsi, Bogor.</t>
  </si>
  <si>
    <t>Batam</t>
  </si>
  <si>
    <t>12-05-2000</t>
  </si>
  <si>
    <t>4.53</t>
  </si>
  <si>
    <t>Guru Bahasa Arab dan Tahsin</t>
  </si>
  <si>
    <t>salsarasyidah00@gmail.com</t>
  </si>
  <si>
    <t>1utO169VYBgRpHqoY1UVGVRGWVH3ofl-r3n61pIzOVNc</t>
  </si>
  <si>
    <t>https://docs.google.com/document/d/1utO169VYBgRpHqoY1UVGVRGWVH3ofl-r3n61pIzOVNc/edit?usp=drivesdk</t>
  </si>
  <si>
    <t>Document successfully created; Document successfully merged; Run via form trigger as kemal.stafsus@gmail.com; Timestamp: Jul 10 2023 10:06 PM</t>
  </si>
  <si>
    <t>https://drive.google.com/open?id=1jvL9XrGIPPwFU23M7Tx5OTzLTfNC1xzS</t>
  </si>
  <si>
    <t>https://drive.google.com/uc?export=view&amp;id=1jvL9XrGIPPwFU23M7Tx5OTzLTfNC1xzS</t>
  </si>
  <si>
    <t>Royyan</t>
  </si>
  <si>
    <t>085159962617</t>
  </si>
  <si>
    <t>3273301704960001</t>
  </si>
  <si>
    <t>Komplek Vila Dago Tol blok H14 no 21-22, kelurahan sarua, kecamatan ciputat, tangsel</t>
  </si>
  <si>
    <t>17-04-1996</t>
  </si>
  <si>
    <t>27 Tahun 2 Bulan</t>
  </si>
  <si>
    <t>Al-Quran dan Arabic</t>
  </si>
  <si>
    <t>3.89/5.00</t>
  </si>
  <si>
    <t>Guru Tahfidz di Madinah</t>
  </si>
  <si>
    <t>2.000 Riyal</t>
  </si>
  <si>
    <t>Pesantren Ibun Syam Pusat</t>
  </si>
  <si>
    <t>Guru Tahsin (online) dan Imam</t>
  </si>
  <si>
    <t>royyan.abdulrahim@gmail.com</t>
  </si>
  <si>
    <t>1y9Vwqmmf0-ijVYRyzJL0gX7xLZ6Ip_Dvj2PF3Aw3j1w</t>
  </si>
  <si>
    <t>https://docs.google.com/document/d/1y9Vwqmmf0-ijVYRyzJL0gX7xLZ6Ip_Dvj2PF3Aw3j1w/edit?usp=drivesdk</t>
  </si>
  <si>
    <t>Document successfully created; Document successfully merged; Run via form trigger as kemal.stafsus@gmail.com; Timestamp: Jul 11 2023 12:27 AM</t>
  </si>
  <si>
    <t>https://drive.google.com/open?id=1cHteHFPmwy4_vDck832Fcjb8luUQ2B5c</t>
  </si>
  <si>
    <t>https://drive.google.com/uc?export=view&amp;id=1cHteHFPmwy4_vDck832Fcjb8luUQ2B5c</t>
  </si>
  <si>
    <t>Aldo Syapta, S. Pd.</t>
  </si>
  <si>
    <t>08129733087</t>
  </si>
  <si>
    <t>3674042709800002</t>
  </si>
  <si>
    <t>Bukit Indah Blok D 13/19 RT/Rw 05/06, Kelurahan Serua, Kecamatan Ciputat, Tangerang Selatan, Banten, Kode Pos 15414</t>
  </si>
  <si>
    <t>27-09-1980</t>
  </si>
  <si>
    <t>42 tahun 9 bulan</t>
  </si>
  <si>
    <t>PTS S1 FKIP Uhamka</t>
  </si>
  <si>
    <t>Business and General English Tutor at Sinkronize Company in South Jakarta</t>
  </si>
  <si>
    <t>IDR 10.000.000/month</t>
  </si>
  <si>
    <t>Senior English Tutor at Learn Wise Institution in Bumi Serpong Damai, South Tangerang</t>
  </si>
  <si>
    <t>IDR 9.500.000/month</t>
  </si>
  <si>
    <t>Cambridge English Teacher at Mutiara Harapan International Islamic School in Bintaro South Tangerang</t>
  </si>
  <si>
    <t>IDR 8.000.000/month, from formal institution/school only (excluded other income)</t>
  </si>
  <si>
    <t>IDR 15.000.000/month - negotiable</t>
  </si>
  <si>
    <t>0671684477</t>
  </si>
  <si>
    <t>aldosyapta.teaching@gamil.com</t>
  </si>
  <si>
    <t>1u9KxWbyeZYjun3eCeEivhAT4HFmiWX0idsIN4LgJtCo</t>
  </si>
  <si>
    <t>https://docs.google.com/document/d/1u9KxWbyeZYjun3eCeEivhAT4HFmiWX0idsIN4LgJtCo/edit?usp=drivesdk</t>
  </si>
  <si>
    <t>Document successfully created; Document successfully merged; Run via form trigger as kemal.stafsus@gmail.com; Timestamp: Jul 11 2023 3:52 AM</t>
  </si>
  <si>
    <t>https://drive.google.com/open?id=1l3CInTJTwZXJ7KSbtsEfWTTntfTgsoYm</t>
  </si>
  <si>
    <t>https://drive.google.com/uc?export=view&amp;id=1l3CInTJTwZXJ7KSbtsEfWTTntfTgsoYm</t>
  </si>
  <si>
    <t xml:space="preserve">Melina Alexandrovna Khramtcova </t>
  </si>
  <si>
    <t>085930276108</t>
  </si>
  <si>
    <t>3174017010051001</t>
  </si>
  <si>
    <t xml:space="preserve">Bintaro Sektor 7 Menteng Residence FC 7 no 1 </t>
  </si>
  <si>
    <t>Vladivostok</t>
  </si>
  <si>
    <t>30-10-2005</t>
  </si>
  <si>
    <t>0000</t>
  </si>
  <si>
    <t>000</t>
  </si>
  <si>
    <t>melinamenon40@gmail.com</t>
  </si>
  <si>
    <t>1wQLNSVAYHOFf0qKa69xLMyh_2FVOEmzfb4VvvlMPS2s</t>
  </si>
  <si>
    <t>https://docs.google.com/document/d/1wQLNSVAYHOFf0qKa69xLMyh_2FVOEmzfb4VvvlMPS2s/edit?usp=drivesdk</t>
  </si>
  <si>
    <t>Document successfully created; Document successfully merged; Run via form trigger as kemal.stafsus@gmail.com; Timestamp: Jul 11 2023 5:48 AM</t>
  </si>
  <si>
    <t>https://drive.google.com/open?id=14X86l143fHR3DP6yDThgfh4JCKfbJGyK</t>
  </si>
  <si>
    <t>https://drive.google.com/uc?export=view&amp;id=14X86l143fHR3DP6yDThgfh4JCKfbJGyK</t>
  </si>
  <si>
    <t>Nur Cahya Hawaning Sukma</t>
  </si>
  <si>
    <t>082230423039</t>
  </si>
  <si>
    <t>3511135310010001</t>
  </si>
  <si>
    <t>Bondowoso, Jawa Timur</t>
  </si>
  <si>
    <t>13-10-2001</t>
  </si>
  <si>
    <t>21tahun 9bulan</t>
  </si>
  <si>
    <t>hawacahya8@gmail.com</t>
  </si>
  <si>
    <t>1VtyORgjXOygC4H_2Uw2nPURmAi2VOP2kJU_JaygGIsk</t>
  </si>
  <si>
    <t>https://docs.google.com/document/d/1VtyORgjXOygC4H_2Uw2nPURmAi2VOP2kJU_JaygGIsk/edit?usp=drivesdk</t>
  </si>
  <si>
    <t>Document successfully created; Document successfully merged; Run via form trigger as kemal.stafsus@gmail.com; Timestamp: Jul 12 2023 1:17 AM</t>
  </si>
  <si>
    <t>https://drive.google.com/open?id=1-IYH6_xb6acNIFpKUYQ2aQq18N1ljQUC</t>
  </si>
  <si>
    <t>https://drive.google.com/uc?export=view&amp;id=1-IYH6_xb6acNIFpKUYQ2aQq18N1ljQUC</t>
  </si>
  <si>
    <t xml:space="preserve">Ma'had Asy-syifa Bandar Lampung </t>
  </si>
  <si>
    <t xml:space="preserve">Ma'had Ibad Ar Rahman Surabaya </t>
  </si>
  <si>
    <t>4,500.000</t>
  </si>
  <si>
    <t>1-NPKaZFwe3XP0JdBoQ4GLoGKih8csuLEYMR6mFkdpqI</t>
  </si>
  <si>
    <t>https://docs.google.com/document/d/1-NPKaZFwe3XP0JdBoQ4GLoGKih8csuLEYMR6mFkdpqI/edit?usp=drivesdk</t>
  </si>
  <si>
    <t>Document successfully created; Document successfully merged; Run via form trigger as kemal.stafsus@gmail.com; Timestamp: Jul 12 2023 6:23 AM</t>
  </si>
  <si>
    <t>https://drive.google.com/open?id=1pV6uFnPPa2yWI1JIu8-rt47Z_OxwF1OT</t>
  </si>
  <si>
    <t>https://drive.google.com/uc?export=view&amp;id=1pV6uFnPPa2yWI1JIu8-rt47Z_OxwF1OT</t>
  </si>
  <si>
    <t>Putri Ayu Ningtyas S.Si</t>
  </si>
  <si>
    <t>087861156337</t>
  </si>
  <si>
    <t>3275015007960025</t>
  </si>
  <si>
    <t xml:space="preserve">Kavling Bumi Sejahtera Tambun RT 3 RW 4, Mangun Jaya, Tambun Selatan. </t>
  </si>
  <si>
    <t>Sains/IPA</t>
  </si>
  <si>
    <t>IPB (Institut Pertanian Bogor)</t>
  </si>
  <si>
    <t xml:space="preserve">Tentor Biologi &amp; B. Inggris (Private Matrix) </t>
  </si>
  <si>
    <t>3.000.000 (Tentative)</t>
  </si>
  <si>
    <t>English Freelancer (National English Course/NEC)</t>
  </si>
  <si>
    <t>1.500.000 (Tentative)</t>
  </si>
  <si>
    <t>Sales Leader (PT. Cimory Tbk)</t>
  </si>
  <si>
    <t>2.000.000 - 3.600.000 (menyesuaikan standar Al wildan School)</t>
  </si>
  <si>
    <t>p.ayuning77@gmail.com</t>
  </si>
  <si>
    <t>1vbElLU9BXwdYkXwk3Jl5PUUgx7LQzYpe8Pc-HB0beNk</t>
  </si>
  <si>
    <t>https://docs.google.com/document/d/1vbElLU9BXwdYkXwk3Jl5PUUgx7LQzYpe8Pc-HB0beNk/edit?usp=drivesdk</t>
  </si>
  <si>
    <t>Document successfully created; Document successfully merged; Run via form trigger as kemal.stafsus@gmail.com; Timestamp: Jul 14 2023 10:41 PM</t>
  </si>
  <si>
    <t>https://drive.google.com/open?id=1Vxk0KQr7OcfiSRzr6_8o77_HG-KSy09_</t>
  </si>
  <si>
    <t>https://drive.google.com/uc?export=view&amp;id=1Vxk0KQr7OcfiSRzr6_8o77_HG-KSy09_</t>
  </si>
  <si>
    <t>Mochamad Wahyu Ardiatama, S.T</t>
  </si>
  <si>
    <t>Beranda Ganesha 2 G4 No 8 Telaga Kahuripan, Desa Tegal , Kecamatan Kemang , Kab.Bogor</t>
  </si>
  <si>
    <t>29 tahun , 7 bulan</t>
  </si>
  <si>
    <t>Star Master Teacher Fisika - Brain Academy Online by Ruangguru</t>
  </si>
  <si>
    <t>13dQluGP7mGea3SB2Ln0DNRVXETfstZKbgnKbKDFSOS0</t>
  </si>
  <si>
    <t>https://docs.google.com/document/d/13dQluGP7mGea3SB2Ln0DNRVXETfstZKbgnKbKDFSOS0/edit?usp=drivesdk</t>
  </si>
  <si>
    <t>Document successfully created; Document successfully merged; Run via form trigger as kemal.stafsus@gmail.com; Timestamp: Jul 17 2023 11:28 PM</t>
  </si>
  <si>
    <t>https://drive.google.com/open?id=1NIS85d-xkG9Qafm4u8YcUQWn9pADv1mW</t>
  </si>
  <si>
    <t>https://drive.google.com/uc?export=view&amp;id=1NIS85d-xkG9Qafm4u8YcUQWn9pADv1mW</t>
  </si>
  <si>
    <t>Zehan Agustia Ainussamsi, S.Pd</t>
  </si>
  <si>
    <t>081328644247</t>
  </si>
  <si>
    <t>3278026708980012</t>
  </si>
  <si>
    <t>Jl. Gudang Jero III No.27, Simpang lima, Kota Tasikmalaya</t>
  </si>
  <si>
    <t>27-08-1998</t>
  </si>
  <si>
    <t>Bahasa Inggris, Matematika, IPA</t>
  </si>
  <si>
    <t>English Teacher at ELTI Gramedia Tasikmalaya
•Teaching students ranging from 6 to 30+ years old
•TOEFL class for higher education and lecturers, English for Senior High School,
English for SLTP, English for Elementary School, English for Kindergarten.
•Has succeeded in coaching students to become Winners (1st, 4th and 5th position) of the TOEFL competition in Tasikmalaya</t>
  </si>
  <si>
    <t>Rp. 2.500.000</t>
  </si>
  <si>
    <t>Rp. 5.500.000</t>
  </si>
  <si>
    <t>agustiazehan@gmail.com</t>
  </si>
  <si>
    <t>1sUfIn-_SMG8btl0m5VYyYT-FH7RYtoU2R7En7GenSX0</t>
  </si>
  <si>
    <t>https://docs.google.com/document/d/1sUfIn-_SMG8btl0m5VYyYT-FH7RYtoU2R7En7GenSX0/edit?usp=drivesdk</t>
  </si>
  <si>
    <t>Document successfully created; Document successfully merged; Run via form trigger as kemal.stafsus@gmail.com; Timestamp: Jul 20 2023 2:31 AM</t>
  </si>
  <si>
    <t>https://drive.google.com/open?id=1YqR_dTDOjiR3NZbBrsDJEL3omz8uu8AU</t>
  </si>
  <si>
    <t>https://drive.google.com/uc?export=view&amp;id=1YqR_dTDOjiR3NZbBrsDJEL3omz8uu8AU</t>
  </si>
  <si>
    <t>Abdullah Mutaal</t>
  </si>
  <si>
    <t>085692564802</t>
  </si>
  <si>
    <t>3201023103020015</t>
  </si>
  <si>
    <t>31 Maret 2002</t>
  </si>
  <si>
    <t>Al - Qur'an</t>
  </si>
  <si>
    <t>Universitas PTIQ Jakarta</t>
  </si>
  <si>
    <t>Ilmu Al - Qur'an dan Tafsir</t>
  </si>
  <si>
    <t>mutaala199@gmail.com</t>
  </si>
  <si>
    <t>16qIHq8PxIuzPYmVJ78db2WbFnHJI_1-B7MS59lyB1r8</t>
  </si>
  <si>
    <t>https://docs.google.com/document/d/16qIHq8PxIuzPYmVJ78db2WbFnHJI_1-B7MS59lyB1r8/edit?usp=drivesdk</t>
  </si>
  <si>
    <t>Document successfully created; Document successfully merged; Run via form trigger as kemal.stafsus@gmail.com; Timestamp: Jul 20 2023 3:53 AM</t>
  </si>
  <si>
    <t>https://drive.google.com/open?id=1AuxfxpwaHxMaqxpyB3Nvm91lMWVAwJDm</t>
  </si>
  <si>
    <t>https://drive.google.com/uc?export=view&amp;id=1AuxfxpwaHxMaqxpyB3Nvm91lMWVAwJDm</t>
  </si>
  <si>
    <t>Ahmad Riski Faturrahman, S.Pd.</t>
  </si>
  <si>
    <t>089665270902</t>
  </si>
  <si>
    <t>3216021807000012</t>
  </si>
  <si>
    <t>Kp.Babakan RT 05 RW 02 Desa Muara Bakti Kec.Babelan Kab.Bekasi</t>
  </si>
  <si>
    <t>18 Juli 2000</t>
  </si>
  <si>
    <t xml:space="preserve">23 Tahun </t>
  </si>
  <si>
    <t xml:space="preserve">Pendidikan Fisika </t>
  </si>
  <si>
    <t>Guru Bimbel Bina Cendikia Tingkat SD,SMP,SMA Tahun 2020 sampai 2022</t>
  </si>
  <si>
    <t>Bimbel Ruang Guru bertempat di Ciputat Tahun 2018-2019</t>
  </si>
  <si>
    <t>&gt;3.500.000</t>
  </si>
  <si>
    <t>BANK BNI Konvensional</t>
  </si>
  <si>
    <t>rahmanfatur018@gmail.com</t>
  </si>
  <si>
    <t>1dGgAPhxaKuc0mn1J-h68k-oKsPQVVdJTgNz6KT3mQSE</t>
  </si>
  <si>
    <t>https://docs.google.com/document/d/1dGgAPhxaKuc0mn1J-h68k-oKsPQVVdJTgNz6KT3mQSE/edit?usp=drivesdk</t>
  </si>
  <si>
    <t>Document successfully created; Document successfully merged; Run via form trigger as kemal.stafsus@gmail.com; Timestamp: Jul 20 2023 4:56 AM</t>
  </si>
  <si>
    <t>https://drive.google.com/open?id=1jqnMjws3L_I7j5jNwVi4iflpt6kfGBRy</t>
  </si>
  <si>
    <t>https://drive.google.com/uc?export=view&amp;id=1jqnMjws3L_I7j5jNwVi4iflpt6kfGBRy</t>
  </si>
  <si>
    <t>Rohmiati Zakiah, S.Pd.</t>
  </si>
  <si>
    <t>089612399763</t>
  </si>
  <si>
    <t>3211144511000016</t>
  </si>
  <si>
    <t>Sumedang</t>
  </si>
  <si>
    <t>05-11-2000</t>
  </si>
  <si>
    <t xml:space="preserve">Fisika, Matematika </t>
  </si>
  <si>
    <t xml:space="preserve">PTN - Universitas Pendidikan Indonesia </t>
  </si>
  <si>
    <t>zakiah05.rz@gmail.com</t>
  </si>
  <si>
    <t>13kZMUJA1EU1tFJNjU-LSiJfY2JgFleOBx75nfNm81BQ</t>
  </si>
  <si>
    <t>https://docs.google.com/document/d/13kZMUJA1EU1tFJNjU-LSiJfY2JgFleOBx75nfNm81BQ/edit?usp=drivesdk</t>
  </si>
  <si>
    <t>Document successfully created; Document successfully merged; Run via form trigger as kemal.stafsus@gmail.com; Timestamp: Jul 20 2023 6:36 AM</t>
  </si>
  <si>
    <t>https://drive.google.com/open?id=1V5-3fDTL1r2YJRxSEIeF5PJotKLvN4mc</t>
  </si>
  <si>
    <t>https://drive.google.com/uc?export=view&amp;id=1V5-3fDTL1r2YJRxSEIeF5PJotKLvN4mc</t>
  </si>
  <si>
    <t>Asyatunnisa Adhitama Eka Putri, S.S</t>
  </si>
  <si>
    <t>081237935285</t>
  </si>
  <si>
    <t>5206035503001004</t>
  </si>
  <si>
    <t>Desa rabakodo kampung sarae, rt 09 rw 04, kec woha. Kab -Bima</t>
  </si>
  <si>
    <t>15 Maret 2000</t>
  </si>
  <si>
    <t>23 Tahun 4 bulan</t>
  </si>
  <si>
    <t>Universitas Udayana</t>
  </si>
  <si>
    <t>Tutor (Guru Private)</t>
  </si>
  <si>
    <t xml:space="preserve">Costumer service </t>
  </si>
  <si>
    <t xml:space="preserve">Administrasi </t>
  </si>
  <si>
    <t>0708963796</t>
  </si>
  <si>
    <t>asyitunisah@gmail.com</t>
  </si>
  <si>
    <t>1lI14BMWrwR3_BnwERnCWvIoALDwxgYf0uyzj49tJquI</t>
  </si>
  <si>
    <t>https://docs.google.com/document/d/1lI14BMWrwR3_BnwERnCWvIoALDwxgYf0uyzj49tJquI/edit?usp=drivesdk</t>
  </si>
  <si>
    <t>Document successfully created; Document successfully merged; Run via form trigger as kemal.stafsus@gmail.com; Timestamp: Jul 20 2023 10:36 AM</t>
  </si>
  <si>
    <t>https://drive.google.com/open?id=1vLMmrppqP4hyoxPQrWngDHfbcnTBctPH</t>
  </si>
  <si>
    <t>https://drive.google.com/uc?export=view&amp;id=1vLMmrppqP4hyoxPQrWngDHfbcnTBctPH</t>
  </si>
  <si>
    <t>Feri Apryandi, S.Pd., M.Si.</t>
  </si>
  <si>
    <t>085724836959</t>
  </si>
  <si>
    <t>3210162204940021</t>
  </si>
  <si>
    <t>Jln. Cakrawala, No.67, Rt./Rw. 013/001, Kelurahan Kebon Pala, Kecamatan Makasar, Kota Jakarta Timur, Prov. DKI Jakarta - 13650</t>
  </si>
  <si>
    <t>22-04-1994</t>
  </si>
  <si>
    <t>Fisika / IPA Cambridge</t>
  </si>
  <si>
    <t>Guru Fisika di SMA Sunda Kelapa, Menteng, Jakarta Pusat</t>
  </si>
  <si>
    <t>600.000-1.000.000</t>
  </si>
  <si>
    <t>Guru Fisika Lembaga Bimbingan Belajar Ganesha Operation</t>
  </si>
  <si>
    <t>3.700.000-4.000.000</t>
  </si>
  <si>
    <t>Guru Fisika Lembaga Bimbingan dan Konsultasi Belajar Nurul Fikri</t>
  </si>
  <si>
    <t>5.300.000-6.000.000</t>
  </si>
  <si>
    <t>feriapry@gmail.com</t>
  </si>
  <si>
    <t>1bo-vT0wrpVikUyovw38Z_z90abOfn-AduwQGnDhfHJc</t>
  </si>
  <si>
    <t>https://docs.google.com/document/d/1bo-vT0wrpVikUyovw38Z_z90abOfn-AduwQGnDhfHJc/edit?usp=drivesdk</t>
  </si>
  <si>
    <t>Document successfully created; Document successfully merged; Run via form trigger as kemal.stafsus@gmail.com; Timestamp: Jul 20 2023 11:04 PM</t>
  </si>
  <si>
    <t>https://drive.google.com/open?id=1aaukdwWQgk639dld6h0MZBzXhYv-WXH_</t>
  </si>
  <si>
    <t>https://drive.google.com/uc?export=view&amp;id=1aaukdwWQgk639dld6h0MZBzXhYv-WXH_</t>
  </si>
  <si>
    <t>Muhamad Refsanjani Fahreza, S.H.</t>
  </si>
  <si>
    <t>08987672812</t>
  </si>
  <si>
    <t>3277031701980007</t>
  </si>
  <si>
    <t>Mahad Aisyah Binti Abu Bakar Bogor</t>
  </si>
  <si>
    <t>17-01-98</t>
  </si>
  <si>
    <t>Hukum Keluarga Islam</t>
  </si>
  <si>
    <t>3.76 (Cumlaude)</t>
  </si>
  <si>
    <t>Ponpes Umar Bin Khottob Plus, Curug Nangka Bogor</t>
  </si>
  <si>
    <t xml:space="preserve">2.800.000 beserta Laundry 30 kg, Makan sekeluarga 3 kali / hari, tempat tinggal, listrik, air minum, </t>
  </si>
  <si>
    <t>5.500.000 + subsidi tempat tinggal</t>
  </si>
  <si>
    <t>refin83@gmail.com</t>
  </si>
  <si>
    <t>1ZzOhwTnJbLtFBTPmAHF9sCumbUmhvQYYnbzhB4ZYvzE</t>
  </si>
  <si>
    <t>https://docs.google.com/document/d/1ZzOhwTnJbLtFBTPmAHF9sCumbUmhvQYYnbzhB4ZYvzE/edit?usp=drivesdk</t>
  </si>
  <si>
    <t>Document successfully created; Document successfully merged; Run via form trigger as kemal.stafsus@gmail.com; Timestamp: Jul 24 2023 1:05 AM</t>
  </si>
  <si>
    <t>https://drive.google.com/open?id=1Wbqc6a0RrcGzmA4ry2dPxW8SjbfdBUSn</t>
  </si>
  <si>
    <t>https://drive.google.com/uc?export=view&amp;id=1Wbqc6a0RrcGzmA4ry2dPxW8SjbfdBUSn</t>
  </si>
  <si>
    <t>Jalu Rafli Ismail, S.Pd.</t>
  </si>
  <si>
    <t>085861190042</t>
  </si>
  <si>
    <t>3273220703010002</t>
  </si>
  <si>
    <t>Jl. Cijawura Girang II/I No. 4 RT/RW 02/14 Kelurahan Sekejati Kecamatan Buahbatu Kota Bandung 40286</t>
  </si>
  <si>
    <t>07-03-2001</t>
  </si>
  <si>
    <t>22 tahun 4 bulan</t>
  </si>
  <si>
    <t>(ongoing) Universitas Pendidikan Indonesia</t>
  </si>
  <si>
    <t>4.00 (IP 2 semester)</t>
  </si>
  <si>
    <t>Asisten Mata Kuliah dan Penelitian di Prodi Pendidikan Geografi UPI</t>
  </si>
  <si>
    <t>5.750.000 (kumulatif)</t>
  </si>
  <si>
    <t>Staf Paruh Waktu Prodi S2 dan S3 Pendidikan Geografi dan Pengelola Jurnal Geografi GEA</t>
  </si>
  <si>
    <t>Master Teacher Geografi Akademia Ruangguru</t>
  </si>
  <si>
    <t>1.500.000 (tergantung jam mengajar)</t>
  </si>
  <si>
    <t>0708085120</t>
  </si>
  <si>
    <t>raflijalu681@gmail.com</t>
  </si>
  <si>
    <t>1FTwC_mHYowzgnV-j8ofef3xv7eleF2eKCJoEeAQBvVs</t>
  </si>
  <si>
    <t>https://docs.google.com/document/d/1FTwC_mHYowzgnV-j8ofef3xv7eleF2eKCJoEeAQBvVs/edit?usp=drivesdk</t>
  </si>
  <si>
    <t>Document successfully created; Document successfully merged; Run via form trigger as kemal.stafsus@gmail.com; Timestamp: Jul 24 2023 1:21 AM</t>
  </si>
  <si>
    <t>https://drive.google.com/open?id=1sN1-Zb4k6i671QCdG9n0PHq8bzCawBA0</t>
  </si>
  <si>
    <t>https://drive.google.com/uc?export=view&amp;id=1sN1-Zb4k6i671QCdG9n0PHq8bzCawBA0</t>
  </si>
  <si>
    <t>Angela Marini, BSc</t>
  </si>
  <si>
    <t>0811158962</t>
  </si>
  <si>
    <t>3173024603820007</t>
  </si>
  <si>
    <t>De Park Cluster Frangipani Blok B3 No.6</t>
  </si>
  <si>
    <t>06-03-1982</t>
  </si>
  <si>
    <t>Math, English, Science</t>
  </si>
  <si>
    <t>California State University of Fresno</t>
  </si>
  <si>
    <t>Food Science and Technology</t>
  </si>
  <si>
    <t>N/A</t>
  </si>
  <si>
    <t xml:space="preserve">Quality Assurance Manager </t>
  </si>
  <si>
    <t>USD 3,333/month</t>
  </si>
  <si>
    <t>Quality Assurance Manager at Fiore Di Pasta</t>
  </si>
  <si>
    <t>USD 4,200/month</t>
  </si>
  <si>
    <t>Quality Assurance Manager at Busseto Foods</t>
  </si>
  <si>
    <t>USD 4,666/month</t>
  </si>
  <si>
    <t>10,000,000</t>
  </si>
  <si>
    <t>angelagunadi63@gmail.com</t>
  </si>
  <si>
    <t>10g_7vYsGHZ8HeHPY-dHTSwsiBvUEcDOqLRPEqMFGljo</t>
  </si>
  <si>
    <t>https://docs.google.com/document/d/10g_7vYsGHZ8HeHPY-dHTSwsiBvUEcDOqLRPEqMFGljo/edit?usp=drivesdk</t>
  </si>
  <si>
    <t>Document successfully created; Document successfully merged; Run via form trigger as kemal.stafsus@gmail.com; Timestamp: Jul 24 2023 11:44 PM</t>
  </si>
  <si>
    <t>https://drive.google.com/open?id=1dpd6NJINd-dB4u6WJDvUtPJ4q7R4D5QK</t>
  </si>
  <si>
    <t>https://drive.google.com/uc?export=view&amp;id=1dpd6NJINd-dB4u6WJDvUtPJ4q7R4D5QK</t>
  </si>
  <si>
    <t>Shesilia Mulyati</t>
  </si>
  <si>
    <t>081574843342</t>
  </si>
  <si>
    <t>3603284703030002</t>
  </si>
  <si>
    <t>07-03-2003</t>
  </si>
  <si>
    <t>20 Tahun 4 Bulan</t>
  </si>
  <si>
    <t>Nahwu, Shorof, Bahasa Arab, Fikih</t>
  </si>
  <si>
    <t xml:space="preserve">Musyrifah Boarding Al Wildan Islamic School 1 Gading Serpong </t>
  </si>
  <si>
    <t>shesiliamlyt@gmail.com</t>
  </si>
  <si>
    <t>10tyNmAP8ciCjV7wOL1arpUaoCnSFTXbQziCJatrJwXg</t>
  </si>
  <si>
    <t>https://docs.google.com/document/d/10tyNmAP8ciCjV7wOL1arpUaoCnSFTXbQziCJatrJwXg/edit?usp=drivesdk</t>
  </si>
  <si>
    <t>Document successfully created; Document successfully merged; Run via form trigger as kemal.stafsus@gmail.com; Timestamp: Jul 25 2023 6:51 AM</t>
  </si>
  <si>
    <t>https://drive.google.com/open?id=1AHBpgBxLLPOmuRjjvR_Y1nGhoUqYwMiq</t>
  </si>
  <si>
    <t>https://drive.google.com/uc?export=view&amp;id=1AHBpgBxLLPOmuRjjvR_Y1nGhoUqYwMiq</t>
  </si>
  <si>
    <t>Minkhautul Aula</t>
  </si>
  <si>
    <t>085281873768</t>
  </si>
  <si>
    <t>3329066606020001</t>
  </si>
  <si>
    <t>26-07-2002</t>
  </si>
  <si>
    <t>mhallaa09@gmail.com</t>
  </si>
  <si>
    <t>1r_93yhPx33S7Su90IzuW8S4QI554EvoXw7WpxWwspuo</t>
  </si>
  <si>
    <t>https://docs.google.com/document/d/1r_93yhPx33S7Su90IzuW8S4QI554EvoXw7WpxWwspuo/edit?usp=drivesdk</t>
  </si>
  <si>
    <t>Document successfully created; Document successfully merged; Run via form trigger as kemal.stafsus@gmail.com; Timestamp: Jul 27 2023 10:32 AM</t>
  </si>
  <si>
    <t>https://drive.google.com/open?id=1wa45fJytj2skK0cdtoSenmAGHQESI6kA</t>
  </si>
  <si>
    <t>https://drive.google.com/uc?export=view&amp;id=1wa45fJytj2skK0cdtoSenmAGHQESI6kA</t>
  </si>
  <si>
    <t>Fitria Fadilah Anggarini, S.Si</t>
  </si>
  <si>
    <t>0895422950937</t>
  </si>
  <si>
    <t>6209074703960001</t>
  </si>
  <si>
    <t>Cikokol, Tangerang</t>
  </si>
  <si>
    <t>07-03-1996</t>
  </si>
  <si>
    <t>BIology/Science</t>
  </si>
  <si>
    <t>Universitas Jenderal Soedirman</t>
  </si>
  <si>
    <t>S1 Biologi</t>
  </si>
  <si>
    <t>Science and Biology Teacher at Shining Star Education</t>
  </si>
  <si>
    <t>Rumah Belajar Top Score</t>
  </si>
  <si>
    <t>Homeschooling Kak Seto</t>
  </si>
  <si>
    <t>(Salary tergantung sesi mengajar)</t>
  </si>
  <si>
    <t>itsfitriafa@gmail.com</t>
  </si>
  <si>
    <t>1kwDBDfO0slX60aH8WMVzxOC_le_bQPTFMfupxg_tVGk</t>
  </si>
  <si>
    <t>https://docs.google.com/document/d/1kwDBDfO0slX60aH8WMVzxOC_le_bQPTFMfupxg_tVGk/edit?usp=drivesdk</t>
  </si>
  <si>
    <t>Document successfully created; Document successfully merged; Run via form trigger as kemal.stafsus@gmail.com; Timestamp: Jul 27 2023 10:37 AM</t>
  </si>
  <si>
    <t>https://drive.google.com/open?id=1kynf8ZJlVO5SoIcOYxnEGUkLpKRiZh1i</t>
  </si>
  <si>
    <t>https://drive.google.com/uc?export=view&amp;id=1kynf8ZJlVO5SoIcOYxnEGUkLpKRiZh1i</t>
  </si>
  <si>
    <t>Alga Dwi Aprilia S.sos</t>
  </si>
  <si>
    <t>081383719935</t>
  </si>
  <si>
    <t>3604025303970113</t>
  </si>
  <si>
    <t>Jl Malaka 4 RT 05 RW 08, Duren Sawit, Jakarta Timur</t>
  </si>
  <si>
    <t>13-03-1997</t>
  </si>
  <si>
    <t>UIN SULTAN MAULANA HASANUDDIN BANTEN</t>
  </si>
  <si>
    <t>Guru BK SMA 6 Kota Serang</t>
  </si>
  <si>
    <t>Rp. 2000.000</t>
  </si>
  <si>
    <t>Rumah Quran Assultaniyah</t>
  </si>
  <si>
    <t>1.500.000 (mendapat fasilitas tempat tinggal)</t>
  </si>
  <si>
    <t>LAPAS Perempuan Kelas IIA Pondok Bambu</t>
  </si>
  <si>
    <t>algaaprilia@gmail.com</t>
  </si>
  <si>
    <t>1julBLoesrcPRNGSLrJ130ceg_86V52LceKTlq8MDrP0</t>
  </si>
  <si>
    <t>https://docs.google.com/document/d/1julBLoesrcPRNGSLrJ130ceg_86V52LceKTlq8MDrP0/edit?usp=drivesdk</t>
  </si>
  <si>
    <t>Document successfully created; Document successfully merged; Run via form trigger as kemal.stafsus@gmail.com; Timestamp: Jul 27 2023 11:02 AM</t>
  </si>
  <si>
    <t>https://drive.google.com/open?id=1DIpspDTMqHSWjxti-WhLPAm-rJ9HvTXS</t>
  </si>
  <si>
    <t>https://drive.google.com/uc?export=view&amp;id=1DIpspDTMqHSWjxti-WhLPAm-rJ9HvTXS</t>
  </si>
  <si>
    <t xml:space="preserve">Fadhilah Nurzahira </t>
  </si>
  <si>
    <t>082273286391</t>
  </si>
  <si>
    <t>1106035708980001</t>
  </si>
  <si>
    <t>RT/RW 05/08, Karang Tengah, Lebak Bulus, Cilandak, Jakarta Selatan</t>
  </si>
  <si>
    <t>17 Agustus 1998</t>
  </si>
  <si>
    <t>24 Tahun 11 Bulan</t>
  </si>
  <si>
    <t>STAI As Sunnah Deli Serdang Sumatera Utara</t>
  </si>
  <si>
    <t>Pengasuh Asrama dan Guru</t>
  </si>
  <si>
    <t>fadhillahbna@gmail.com</t>
  </si>
  <si>
    <t>1dCBtgFcTv738uYvb8xDiLi0CWjt0aQZKhAEhJboW-9o</t>
  </si>
  <si>
    <t>https://docs.google.com/document/d/1dCBtgFcTv738uYvb8xDiLi0CWjt0aQZKhAEhJboW-9o/edit?usp=drivesdk</t>
  </si>
  <si>
    <t>Document successfully created; Document successfully merged; Run via form trigger as kemal.stafsus@gmail.com; Timestamp: Jul 27 2023 6:52 PM</t>
  </si>
  <si>
    <t>https://drive.google.com/open?id=1rlF1zUU1B_-8TVn7nlTDZ7jczh8Lrdcn</t>
  </si>
  <si>
    <t>https://drive.google.com/uc?export=view&amp;id=1rlF1zUU1B_-8TVn7nlTDZ7jczh8Lrdcn</t>
  </si>
  <si>
    <t>Fadhilah Nurzahira, S. Pd</t>
  </si>
  <si>
    <t>RT 05 RW 08, Karang Tengah, Lebak Bulus, Cilandak, Jakarta Selatan</t>
  </si>
  <si>
    <t>17-08-1998</t>
  </si>
  <si>
    <t>Pengasuh asrama dan Guru</t>
  </si>
  <si>
    <t>1-mA2VMoxSTjQMZmF4mG44ZuFlFkZk3e47RqtJOdktjg</t>
  </si>
  <si>
    <t>https://docs.google.com/document/d/1-mA2VMoxSTjQMZmF4mG44ZuFlFkZk3e47RqtJOdktjg/edit?usp=drivesdk</t>
  </si>
  <si>
    <t>Document successfully created; Document successfully merged; Run via form trigger as kemal.stafsus@gmail.com; Timestamp: Jul 27 2023 7:07 PM</t>
  </si>
  <si>
    <t>https://drive.google.com/open?id=1xAp9u3zE6lYZZjwQqAuPWyWMT3YZz25H</t>
  </si>
  <si>
    <t>https://drive.google.com/uc?export=view&amp;id=1xAp9u3zE6lYZZjwQqAuPWyWMT3YZz25H</t>
  </si>
  <si>
    <t>Winny Tri Kurnia Sari, S. Pd.</t>
  </si>
  <si>
    <t>085656721512</t>
  </si>
  <si>
    <t>3674035410980002</t>
  </si>
  <si>
    <t>Jl. Maharta 6 blok B4/no.15, Pondok Maharta, Pondok Kacang Timur, Pondok Aren, Tangerang Selatan 15226</t>
  </si>
  <si>
    <t>14-10-1998</t>
  </si>
  <si>
    <t>S1 Pendidikan Matematika</t>
  </si>
  <si>
    <t>Part-time Teacher Math and Science in JISMO</t>
  </si>
  <si>
    <t>Test Analyst MIPA Division in PT Qupintar Media Digital</t>
  </si>
  <si>
    <t>Bank Mandiri a.n. Winny tri Kurnia</t>
  </si>
  <si>
    <t>winnytrika@gmail.com</t>
  </si>
  <si>
    <t>1WLkmUtEm43zMU4ws2bJQzRw1Q5G7ZuM-y6c0QiT_b1w</t>
  </si>
  <si>
    <t>https://docs.google.com/document/d/1WLkmUtEm43zMU4ws2bJQzRw1Q5G7ZuM-y6c0QiT_b1w/edit?usp=drivesdk</t>
  </si>
  <si>
    <t>Document successfully created; Document successfully merged; Run via form trigger as kemal.stafsus@gmail.com; Timestamp: Jul 27 2023 8:52 PM</t>
  </si>
  <si>
    <t>https://drive.google.com/open?id=1zALE_tWQOnc5kIPdK7YbL9qN37PwYFqk</t>
  </si>
  <si>
    <t>https://drive.google.com/uc?export=view&amp;id=1zALE_tWQOnc5kIPdK7YbL9qN37PwYFqk</t>
  </si>
  <si>
    <t>SAFPARUDIN, S.Pd.I. M.Pd</t>
  </si>
  <si>
    <t>089669559198</t>
  </si>
  <si>
    <t>3275122210860003</t>
  </si>
  <si>
    <t xml:space="preserve">Rusunawa Penggilingan Tower E3 LT 07/No.17 RT 007/RW 019
			  Penggilingan – Cakung – Jakarta Timur
</t>
  </si>
  <si>
    <t>PEMANGKAT-KALLIMANTAN BARAT</t>
  </si>
  <si>
    <t>22-10-1986</t>
  </si>
  <si>
    <t>36 Tahun 10 bulan</t>
  </si>
  <si>
    <t>Tata Usaha (Pendidikan), Public Relations / Humas</t>
  </si>
  <si>
    <t>STAIS LANTABOER JAKARTA</t>
  </si>
  <si>
    <t>TARBIYAH</t>
  </si>
  <si>
    <t>UNIVERSITAS"45" BEKASI</t>
  </si>
  <si>
    <t>MANAJEMEN PENDIDIKAN ISLAM</t>
  </si>
  <si>
    <t>Mengajar PAI di SD Islam Teratai Putih Global,selama 13 tahun</t>
  </si>
  <si>
    <t>lastislam32@gmail.com</t>
  </si>
  <si>
    <t>18IEwTsinRN2M84HIXJUYVLc0zU2RjcPrBaG0hm8uPWo</t>
  </si>
  <si>
    <t>https://docs.google.com/document/d/18IEwTsinRN2M84HIXJUYVLc0zU2RjcPrBaG0hm8uPWo/edit?usp=drivesdk</t>
  </si>
  <si>
    <t>Document successfully created; Document successfully merged; Run via form trigger as kemal.stafsus@gmail.com; Timestamp: Jul 28 2023 12:54 AM</t>
  </si>
  <si>
    <t>https://drive.google.com/open?id=1EX-VH47zdhefTpnnwCg_D_6nTJP7dHLR</t>
  </si>
  <si>
    <t>https://drive.google.com/uc?export=view&amp;id=1EX-VH47zdhefTpnnwCg_D_6nTJP7dHLR</t>
  </si>
  <si>
    <t>Fuad Said Karamah Balweel B.A</t>
  </si>
  <si>
    <t>085811047441</t>
  </si>
  <si>
    <t>3173082206951003</t>
  </si>
  <si>
    <t>Jl. Meruya ilir raya RT 06 / RW 05, Srengseng, Kec. Kembangan, Jakarta Barat</t>
  </si>
  <si>
    <t>22-06-1995</t>
  </si>
  <si>
    <t>Dakwah dan usuluddin</t>
  </si>
  <si>
    <t>Guru tahfidz SDIT MAFAZA</t>
  </si>
  <si>
    <t>Guru private Bahasa Arab dan Al quran</t>
  </si>
  <si>
    <t>fuadbalweel22@gmail.com</t>
  </si>
  <si>
    <t>1xreK3Iq7jtp6qubFEmPxsdYK7dtQ4kzpQSFeM0k1Rjc</t>
  </si>
  <si>
    <t>https://docs.google.com/document/d/1xreK3Iq7jtp6qubFEmPxsdYK7dtQ4kzpQSFeM0k1Rjc/edit?usp=drivesdk</t>
  </si>
  <si>
    <t>Document successfully created; Document successfully merged; Run via form trigger as kemal.stafsus@gmail.com; Timestamp: Jul 28 2023 2:50 AM</t>
  </si>
  <si>
    <t>https://drive.google.com/open?id=13VxBgn1xvnTBmbn37FtWlY_pnRrSu-nb</t>
  </si>
  <si>
    <t>https://drive.google.com/uc?export=view&amp;id=13VxBgn1xvnTBmbn37FtWlY_pnRrSu-nb</t>
  </si>
  <si>
    <t>Mohamad Haris Khunaifi, S.Pd.</t>
  </si>
  <si>
    <t>085749894305</t>
  </si>
  <si>
    <t>3525072310010001</t>
  </si>
  <si>
    <t>Jl. Singasari, RT 03/RW 01, Ds. Glatik, Kec. Ujungpangkah, Kab. Gresik, Prov. Jawa Timur.</t>
  </si>
  <si>
    <t>23-10-2001</t>
  </si>
  <si>
    <t>21 tahun 9 bulan</t>
  </si>
  <si>
    <t>S-1 Pendidikan Matematika</t>
  </si>
  <si>
    <t>Video Solution Maker for Maths in CoLearn</t>
  </si>
  <si>
    <t>mhariskhunaifi@gmail.com</t>
  </si>
  <si>
    <t>167fqkLwb9iKdQxMB3KwQ2WXsjlqUBRh49Gd8QPFYe3o</t>
  </si>
  <si>
    <t>https://docs.google.com/document/d/167fqkLwb9iKdQxMB3KwQ2WXsjlqUBRh49Gd8QPFYe3o/edit?usp=drivesdk</t>
  </si>
  <si>
    <t>Document successfully created; Document successfully merged; Run via form trigger as kemal.stafsus@gmail.com; Timestamp: Jul 28 2023 8:46 PM</t>
  </si>
  <si>
    <t>https://drive.google.com/open?id=1YWhihxXoks7Tg05-i5c1GcqmikqjOHEL</t>
  </si>
  <si>
    <t>https://drive.google.com/uc?export=view&amp;id=1YWhihxXoks7Tg05-i5c1GcqmikqjOHEL</t>
  </si>
  <si>
    <t>Ainun Mardiah, S.Pd.</t>
  </si>
  <si>
    <t>082134671009</t>
  </si>
  <si>
    <t>3173045112990002</t>
  </si>
  <si>
    <t>Komplek Kunciran Mas Permai Jln. Garuda Raya Blok B No. 44 RT 04 RW 012 Kel. Kunciran Indah Kec. Pinang Kota Tangerang 15144</t>
  </si>
  <si>
    <t>11-12-1999</t>
  </si>
  <si>
    <t>bintukutub@gmail.com</t>
  </si>
  <si>
    <t>112alOKmfeIFpd8OCuESxMda4507ZY5a_WSfuRRAexug</t>
  </si>
  <si>
    <t>https://docs.google.com/document/d/112alOKmfeIFpd8OCuESxMda4507ZY5a_WSfuRRAexug/edit?usp=drivesdk</t>
  </si>
  <si>
    <t>Document successfully created; Document successfully merged; Run via form trigger as kemal.stafsus@gmail.com; Timestamp: Jul 29 2023 8:39 AM</t>
  </si>
  <si>
    <t>https://drive.google.com/open?id=1ViMQofg-OJV8KUwJpYYXp7dtb-v01SmW</t>
  </si>
  <si>
    <t>https://drive.google.com/uc?export=view&amp;id=1ViMQofg-OJV8KUwJpYYXp7dtb-v01SmW</t>
  </si>
  <si>
    <t>Riono (Muhammad Ridho)</t>
  </si>
  <si>
    <t>082258065366</t>
  </si>
  <si>
    <t>1222053010960002</t>
  </si>
  <si>
    <t>Jl. Ciater raya, Rawa mekar jaya kec. Serpong tangerang selatan - Banten 15310</t>
  </si>
  <si>
    <t>Sapilpil (medan)</t>
  </si>
  <si>
    <t>30-10-1996</t>
  </si>
  <si>
    <t>Kepala sekolah SMP Tahfizh</t>
  </si>
  <si>
    <t>IMAMAN</t>
  </si>
  <si>
    <t>LPMP TAH-TA (Lembaga Penjamin Mutu Pendidikan Tahfizh - Tahsin)</t>
  </si>
  <si>
    <t>ridhohafidzkis88@gmail.com</t>
  </si>
  <si>
    <t>1cxHqZ30MYheBHSLd2HgNZm-lUN52HBpIVTsQ3_daQLw</t>
  </si>
  <si>
    <t>https://docs.google.com/document/d/1cxHqZ30MYheBHSLd2HgNZm-lUN52HBpIVTsQ3_daQLw/edit?usp=drivesdk</t>
  </si>
  <si>
    <t>Document successfully created; Document successfully merged; Run via form trigger as kemal.stafsus@gmail.com; Timestamp: Jul 30 2023 7:33 PM</t>
  </si>
  <si>
    <t>https://drive.google.com/open?id=1eQu_f9lt3GecAbUEPn-oLHnkboV46ISn</t>
  </si>
  <si>
    <t>https://drive.google.com/uc?export=view&amp;id=1eQu_f9lt3GecAbUEPn-oLHnkboV46ISn</t>
  </si>
  <si>
    <t xml:space="preserve">Nur Mahmudi, M.Pd. </t>
  </si>
  <si>
    <t>085747496513</t>
  </si>
  <si>
    <t>3506170707930005</t>
  </si>
  <si>
    <t>Jl. Jend. Urip Sumoharjo No. 39, RT. 7/RW. 6, Bali Mester, Kecamatan Jatinegara, Kota Jakarta Timur, Daerah Khusus Ibukota Jakarta 13310</t>
  </si>
  <si>
    <t>07-07-1993</t>
  </si>
  <si>
    <t xml:space="preserve">30 Tahun </t>
  </si>
  <si>
    <t>Universitas Islam Kadiri (UNISKA)</t>
  </si>
  <si>
    <t>Universitas Islam Malang (UNISMA)</t>
  </si>
  <si>
    <t>English Teacher in Kampung Inggris Pare</t>
  </si>
  <si>
    <t xml:space="preserve">English Teacher </t>
  </si>
  <si>
    <t>Nur Mahmudi</t>
  </si>
  <si>
    <t>nurmahmudi392@gmail.com</t>
  </si>
  <si>
    <t>1tRRCxnV_13P3JOl8QZJ1oYkkzOqPGOQLCoOzCGhBiGQ</t>
  </si>
  <si>
    <t>https://docs.google.com/document/d/1tRRCxnV_13P3JOl8QZJ1oYkkzOqPGOQLCoOzCGhBiGQ/edit?usp=drivesdk</t>
  </si>
  <si>
    <t>Document successfully created; Document successfully merged; Run via form trigger as kemal.stafsus@gmail.com; Timestamp: Jul 31 2023 4:29 AM</t>
  </si>
  <si>
    <t>https://drive.google.com/open?id=1OxXEJvl64Pb_3D5i6Wrc7DGY6zpPhzgt</t>
  </si>
  <si>
    <t>https://drive.google.com/uc?export=view&amp;id=1OxXEJvl64Pb_3D5i6Wrc7DGY6zpPhzgt</t>
  </si>
  <si>
    <t>SAFPARUDIN, S.Pd.I.M.Pd</t>
  </si>
  <si>
    <t>RUSUNAWA PENGGILINGAN, TOWER E3 LT 07/ NO.17 RT 07/RW 019, PENGGILINGAN, CAKUNG, JAKARTA TIMUR.</t>
  </si>
  <si>
    <t xml:space="preserve">PEMANGKAT - KALIMANTAN BARAT </t>
  </si>
  <si>
    <t xml:space="preserve">36 TAHUN, 10 BULAN </t>
  </si>
  <si>
    <t xml:space="preserve">STAIS LANTABOER JAKARTA TIMUR </t>
  </si>
  <si>
    <t xml:space="preserve">TARBIYAH </t>
  </si>
  <si>
    <t>UNIVERSITAS ''45" BEKASI</t>
  </si>
  <si>
    <t xml:space="preserve">MANAJEMEN PENDIDIKAN ISLAM </t>
  </si>
  <si>
    <t>YAYASAN TERATAI PUTIH GLOBAL BEKASI</t>
  </si>
  <si>
    <t>1JUNmryJDirmJ_Y16rEsV6uGZMM4m16JeG9G1ACyeMEM</t>
  </si>
  <si>
    <t>https://docs.google.com/document/d/1JUNmryJDirmJ_Y16rEsV6uGZMM4m16JeG9G1ACyeMEM/edit?usp=drivesdk</t>
  </si>
  <si>
    <t>Document successfully created; Document successfully merged; Run via form trigger as kemal.stafsus@gmail.com; Timestamp: Jul 31 2023 5:23 AM</t>
  </si>
  <si>
    <t>https://drive.google.com/open?id=1ZkhT_O62QN3Ikg06B2_Q9_NfPlNp_ptW</t>
  </si>
  <si>
    <t>https://drive.google.com/uc?export=view&amp;id=1ZkhT_O62QN3Ikg06B2_Q9_NfPlNp_ptW</t>
  </si>
  <si>
    <t>IRA IKA YANTI, SE</t>
  </si>
  <si>
    <t>081289788715</t>
  </si>
  <si>
    <t>3174045504850005</t>
  </si>
  <si>
    <t>Jl. Gotong Royong I no.37A Ragunan Pasar Minggu Jakarta Selatan</t>
  </si>
  <si>
    <t>15-04-1985</t>
  </si>
  <si>
    <t>38 tahun 3 bulan</t>
  </si>
  <si>
    <t>Trisakti</t>
  </si>
  <si>
    <t>Finance Staff</t>
  </si>
  <si>
    <t>iraika1404@gmail.com</t>
  </si>
  <si>
    <t>1hrE12iceKG5PsfzwYMn0AJOXPntM47fF7NATrdYhmCo</t>
  </si>
  <si>
    <t>https://docs.google.com/document/d/1hrE12iceKG5PsfzwYMn0AJOXPntM47fF7NATrdYhmCo/edit?usp=drivesdk</t>
  </si>
  <si>
    <t>Document successfully created; Document successfully merged; Run via form trigger as kemal.stafsus@gmail.com; Timestamp: Jul 31 2023 1:24 PM</t>
  </si>
  <si>
    <t>https://drive.google.com/open?id=1dGgEEl9FyPAQTBwe-g8_-qZBigWabbJ4</t>
  </si>
  <si>
    <t>https://drive.google.com/uc?export=view&amp;id=1dGgEEl9FyPAQTBwe-g8_-qZBigWabbJ4</t>
  </si>
  <si>
    <t>Mohamad Mustofainal Akhyar</t>
  </si>
  <si>
    <t>08152312366</t>
  </si>
  <si>
    <t>3175020610010005</t>
  </si>
  <si>
    <t>Jl.Sukadamai Raya No.70 RT004/004 Serua Indah, Ciputat, Tangerang Selatan 15414</t>
  </si>
  <si>
    <t>06-10-2001</t>
  </si>
  <si>
    <t>STAI Ali bin Abi Thalib Surabaya</t>
  </si>
  <si>
    <t>Guru TPQ Griya Zakia Madani Nandjar</t>
  </si>
  <si>
    <t>Guru Tahsin &amp; Tahfidz Rumah Baca Qur’an Rabbaniyyun</t>
  </si>
  <si>
    <t>Guru LPQ Ar-Rohmah wal Barokah Surabaya</t>
  </si>
  <si>
    <t>akhyarmustofa@gmail.com</t>
  </si>
  <si>
    <t>1CjhuvMaYETTnFIPi_XXUqYTW3QNkTiCQ4Zs7Uwdyu00</t>
  </si>
  <si>
    <t>https://docs.google.com/document/d/1CjhuvMaYETTnFIPi_XXUqYTW3QNkTiCQ4Zs7Uwdyu00/edit?usp=drivesdk</t>
  </si>
  <si>
    <t>Document successfully created; Document successfully merged; Run via form trigger as kemal.stafsus@gmail.com; Timestamp: Aug 1 2023 1:42 AM</t>
  </si>
  <si>
    <t>https://drive.google.com/open?id=1OX6gIbbntmwG60iX9Upem5Y5bTNk0GNJ</t>
  </si>
  <si>
    <t>https://drive.google.com/uc?export=view&amp;id=1OX6gIbbntmwG60iX9Upem5Y5bTNk0GNJ</t>
  </si>
  <si>
    <t>Reni heriyanti</t>
  </si>
  <si>
    <t>085811938912</t>
  </si>
  <si>
    <t>1605204101000003</t>
  </si>
  <si>
    <t>Parung kemang bogor</t>
  </si>
  <si>
    <t>Lubuk rumbai</t>
  </si>
  <si>
    <t>12 desember 1999</t>
  </si>
  <si>
    <t>23 th</t>
  </si>
  <si>
    <t>OB/OG/FCs/Cleaning Service</t>
  </si>
  <si>
    <t>CSO pt EMS</t>
  </si>
  <si>
    <t>Pt PNM MEKAAR</t>
  </si>
  <si>
    <t>UMR bogor</t>
  </si>
  <si>
    <t>Bri</t>
  </si>
  <si>
    <t>marceloktapianto@gmail.com</t>
  </si>
  <si>
    <t>1jgL_etAHkiW_9d4SEGC3EJiOO2TYE_kB_DW3bCc3TjM</t>
  </si>
  <si>
    <t>https://docs.google.com/document/d/1jgL_etAHkiW_9d4SEGC3EJiOO2TYE_kB_DW3bCc3TjM/edit?usp=drivesdk</t>
  </si>
  <si>
    <t>Document successfully created; Document successfully merged; Run via form trigger as kemal.stafsus@gmail.com; Timestamp: Aug 1 2023 2:25 AM</t>
  </si>
  <si>
    <t>https://drive.google.com/open?id=155LXeyCdJNbOIkLb-Najl6yA_NUw-exE</t>
  </si>
  <si>
    <t>https://drive.google.com/uc?export=view&amp;id=155LXeyCdJNbOIkLb-Najl6yA_NUw-exE</t>
  </si>
  <si>
    <t xml:space="preserve">Muhammad Dahyal Afkar </t>
  </si>
  <si>
    <t>082178441711</t>
  </si>
  <si>
    <t>C7659643</t>
  </si>
  <si>
    <t xml:space="preserve">Cipinang Jakarta Timur </t>
  </si>
  <si>
    <t xml:space="preserve">Banyumas </t>
  </si>
  <si>
    <t>15-11-97</t>
  </si>
  <si>
    <t xml:space="preserve">Internasional University of Africa </t>
  </si>
  <si>
    <t xml:space="preserve">Dirosahislamiah </t>
  </si>
  <si>
    <t>Imtiaz Melaka, Malisia</t>
  </si>
  <si>
    <t>TPA Banyumas</t>
  </si>
  <si>
    <t>0829913533</t>
  </si>
  <si>
    <t>abuabbasafkar@gmail.com</t>
  </si>
  <si>
    <t>1OAha69eQEbQ5VRrV67H0C4EyUK-w0EicQ7wp6Q7Kb0Q</t>
  </si>
  <si>
    <t>https://docs.google.com/document/d/1OAha69eQEbQ5VRrV67H0C4EyUK-w0EicQ7wp6Q7Kb0Q/edit?usp=drivesdk</t>
  </si>
  <si>
    <t>Document successfully created; Document successfully merged; Run via form trigger as kemal.stafsus@gmail.com; Timestamp: Aug 1 2023 7:03 AM</t>
  </si>
  <si>
    <t>https://drive.google.com/open?id=14t5lRicY1XQAfFRBbVLS30xKG63Veq9O</t>
  </si>
  <si>
    <t>https://drive.google.com/uc?export=view&amp;id=14t5lRicY1XQAfFRBbVLS30xKG63Veq9O</t>
  </si>
  <si>
    <t>Nanda Ayu hidayati</t>
  </si>
  <si>
    <t>08980052008</t>
  </si>
  <si>
    <t>1871104506980001</t>
  </si>
  <si>
    <t>Jl. Sandang, RT.10/RW.17, Klender, Kec. Duren Sawit, Kota Jakarta Timur, Daerah Khusus Ibukota Jakarta 13470</t>
  </si>
  <si>
    <t>Bandar Lampung</t>
  </si>
  <si>
    <t>05 juni 1998</t>
  </si>
  <si>
    <t xml:space="preserve">Guru Al Qur'an </t>
  </si>
  <si>
    <t>Guru Al qur'an</t>
  </si>
  <si>
    <t xml:space="preserve">Bank Syariah Indonesia ( BSI) </t>
  </si>
  <si>
    <t>ayuhidayatinanda@gmail.com</t>
  </si>
  <si>
    <t>1je33Igcm-I5ptswmQ4CCze2wm9_guJ4s9VUpSF8jzXc</t>
  </si>
  <si>
    <t>https://docs.google.com/document/d/1je33Igcm-I5ptswmQ4CCze2wm9_guJ4s9VUpSF8jzXc/edit?usp=drivesdk</t>
  </si>
  <si>
    <t>Document successfully created; Document successfully merged; Run via form trigger as kemal.stafsus@gmail.com; Timestamp: Aug 1 2023 7:45 AM</t>
  </si>
  <si>
    <t>https://drive.google.com/open?id=1mKMPZr4DIc4ghMf4VSZ00pi1b01JONee</t>
  </si>
  <si>
    <t>https://drive.google.com/uc?export=view&amp;id=1mKMPZr4DIc4ghMf4VSZ00pi1b01JONee</t>
  </si>
  <si>
    <t>Rina Risnawati S.Pd., MCE</t>
  </si>
  <si>
    <t>089653217096</t>
  </si>
  <si>
    <t>3210234305980041</t>
  </si>
  <si>
    <t xml:space="preserve">24 tahun 10 bulan </t>
  </si>
  <si>
    <t xml:space="preserve">Guru bahasa Inggris </t>
  </si>
  <si>
    <t xml:space="preserve">Universitas Kuningan </t>
  </si>
  <si>
    <t>Staf Marketer</t>
  </si>
  <si>
    <t>0424010064</t>
  </si>
  <si>
    <t>rinarisnawati2401@gmail.com</t>
  </si>
  <si>
    <t>1sz_yZf5JPc2tMQyIuWhbPH0wA1SlbPX1_HgorUKg_RA</t>
  </si>
  <si>
    <t>https://docs.google.com/document/d/1sz_yZf5JPc2tMQyIuWhbPH0wA1SlbPX1_HgorUKg_RA/edit?usp=drivesdk</t>
  </si>
  <si>
    <t>Document successfully created; Document successfully merged; Run via form trigger as kemal.stafsus@gmail.com; Timestamp: Aug 1 2023 8:06 AM</t>
  </si>
  <si>
    <t>https://drive.google.com/open?id=1XIfBSttSJxa9XW0rFkCCX8CYXWDxhNTt</t>
  </si>
  <si>
    <t>https://drive.google.com/uc?export=view&amp;id=1XIfBSttSJxa9XW0rFkCCX8CYXWDxhNTt</t>
  </si>
  <si>
    <t>Aidah Fauziah, B.A</t>
  </si>
  <si>
    <t>Jln. Bekasi Timur, Kecamatan cipinang, Jakarta timur</t>
  </si>
  <si>
    <t>Bahasa Arab, Fikih, PE</t>
  </si>
  <si>
    <t>Imam Muhammad Ibn Saud University (LIPIA Jakarta)</t>
  </si>
  <si>
    <t>4.54/5</t>
  </si>
  <si>
    <t>Guru Bahasa Arab, Guru Fikih</t>
  </si>
  <si>
    <t>16NiqrgbfvoA0wTmm-fso8WqT1ARvxqLm6rXC4XKmzvM</t>
  </si>
  <si>
    <t>https://docs.google.com/document/d/16NiqrgbfvoA0wTmm-fso8WqT1ARvxqLm6rXC4XKmzvM/edit?usp=drivesdk</t>
  </si>
  <si>
    <t>Document successfully created; Document successfully merged; Run via form trigger as kemal.stafsus@gmail.com; Timestamp: Aug 1 2023 9:25 PM</t>
  </si>
  <si>
    <t>https://drive.google.com/open?id=1TQoIWG1emDU0Ee8uNMD2ioq432yd2_bt</t>
  </si>
  <si>
    <t>https://drive.google.com/uc?export=view&amp;id=1TQoIWG1emDU0Ee8uNMD2ioq432yd2_bt</t>
  </si>
  <si>
    <t>Shinta Julia Winata</t>
  </si>
  <si>
    <t>081384627796</t>
  </si>
  <si>
    <t>3175034507030007</t>
  </si>
  <si>
    <t>Jln kebon nanas selatan 2, Cipinang cempedak, Rumah no 20.A</t>
  </si>
  <si>
    <t>05-07-2003</t>
  </si>
  <si>
    <t>20 tahun 1 bulan</t>
  </si>
  <si>
    <t>Mengajar Al-Qur'an</t>
  </si>
  <si>
    <t>shintaaisyah98@gmail.com</t>
  </si>
  <si>
    <t>1EnkgDG_ZsFH-70knanzGCgU2c0ryR7viqbVvxm9GRpU</t>
  </si>
  <si>
    <t>https://docs.google.com/document/d/1EnkgDG_ZsFH-70knanzGCgU2c0ryR7viqbVvxm9GRpU/edit?usp=drivesdk</t>
  </si>
  <si>
    <t>Document successfully created; Document successfully merged; Run via form trigger as kemal.stafsus@gmail.com; Timestamp: Aug 3 2023 5:51 AM</t>
  </si>
  <si>
    <t>https://drive.google.com/open?id=1yKrPPhD4N-UtMhIMocPtLpTXQqqTKhBe</t>
  </si>
  <si>
    <t>https://drive.google.com/uc?export=view&amp;id=1yKrPPhD4N-UtMhIMocPtLpTXQqqTKhBe</t>
  </si>
  <si>
    <t>MUHAMAD NOVARI S.S.</t>
  </si>
  <si>
    <t>087717222099</t>
  </si>
  <si>
    <t>3672080611870001</t>
  </si>
  <si>
    <t>Natura residence cimone, jalan merdeka blok B52, karawaci, kota tangerang</t>
  </si>
  <si>
    <t>06-11-1987</t>
  </si>
  <si>
    <t>35 tahun 8 bulan</t>
  </si>
  <si>
    <t>STIBA MALANG</t>
  </si>
  <si>
    <t>Pengajar TOEFL UNIVERSITAS YUPPENTEK</t>
  </si>
  <si>
    <t xml:space="preserve">Bosowa Alazhar cilegon (internasional class) </t>
  </si>
  <si>
    <t>muhamadnovari@gmail.com</t>
  </si>
  <si>
    <t>1wkQpwBbDiUl9IIa9xk_N5QoLKO6ameUNB76WEpW3aZU</t>
  </si>
  <si>
    <t>https://docs.google.com/document/d/1wkQpwBbDiUl9IIa9xk_N5QoLKO6ameUNB76WEpW3aZU/edit?usp=drivesdk</t>
  </si>
  <si>
    <t>Document successfully created; Document successfully merged; Run via form trigger as kemal.stafsus@gmail.com; Timestamp: Aug 4 2023 3:13 AM</t>
  </si>
  <si>
    <t>https://drive.google.com/open?id=1P7lpIBQkF2_GknkSNQAd8zPjLKJVpYPK</t>
  </si>
  <si>
    <t>https://drive.google.com/uc?export=view&amp;id=1P7lpIBQkF2_GknkSNQAd8zPjLKJVpYPK</t>
  </si>
  <si>
    <t>Rizky Dita Sari, S. Sos</t>
  </si>
  <si>
    <t>085775143872</t>
  </si>
  <si>
    <t>3603145802990002</t>
  </si>
  <si>
    <t>Teluknaga, Tangerang</t>
  </si>
  <si>
    <t>10 Desember 1999</t>
  </si>
  <si>
    <t>Pengembangan Masyarakat Islam</t>
  </si>
  <si>
    <t>SMK Karya Bangsa Kota Tangerang</t>
  </si>
  <si>
    <t>BUMDES Naga Lestari, Teluknaga</t>
  </si>
  <si>
    <t>Staff Bawaslu Kecamatan</t>
  </si>
  <si>
    <t>4.000.000-5.000.000</t>
  </si>
  <si>
    <t>rizkyditasari@gmail.com</t>
  </si>
  <si>
    <t>176pQZ13L1i9v7oOFwPjNuaDV7tbE3qD-EcQfINTidBM</t>
  </si>
  <si>
    <t>https://docs.google.com/document/d/176pQZ13L1i9v7oOFwPjNuaDV7tbE3qD-EcQfINTidBM/edit?usp=drivesdk</t>
  </si>
  <si>
    <t>Document successfully created; Document successfully merged; Run via form trigger as kemal.stafsus@gmail.com; Timestamp: Aug 6 2023 8:59 PM</t>
  </si>
  <si>
    <t>https://drive.google.com/open?id=1kAnNOyuyDsHQ0MQwa0cVpP4JBZP5X1Qr</t>
  </si>
  <si>
    <t>https://drive.google.com/uc?export=view&amp;id=1kAnNOyuyDsHQ0MQwa0cVpP4JBZP5X1Qr</t>
  </si>
  <si>
    <t>Fifi karnila M.Sc</t>
  </si>
  <si>
    <t>082268902770</t>
  </si>
  <si>
    <t>1405015804940001</t>
  </si>
  <si>
    <t>Perumahan bakti indah, Jl. Bakti marpoyan damai pekanbaru</t>
  </si>
  <si>
    <t>Air emas, kec. Ukui kab.pelalawan, provinsi riau</t>
  </si>
  <si>
    <t>18-04-1994</t>
  </si>
  <si>
    <t>Universitas muhammadiyah riau</t>
  </si>
  <si>
    <t>Sakarya university</t>
  </si>
  <si>
    <t>Dosen part time fisika di universitas muhammadiyah riau</t>
  </si>
  <si>
    <t>vivikarnila554@gmail.com</t>
  </si>
  <si>
    <t>11iilfTwyNj0iAlLKH2PvlLt0YHAPnkgYsrEZCLLr2WY</t>
  </si>
  <si>
    <t>https://docs.google.com/document/d/11iilfTwyNj0iAlLKH2PvlLt0YHAPnkgYsrEZCLLr2WY/edit?usp=drivesdk</t>
  </si>
  <si>
    <t>Document successfully created; Document successfully merged; Run via form trigger as kemal.stafsus@gmail.com; Timestamp: Aug 7 2023 5:14 AM</t>
  </si>
  <si>
    <t>https://drive.google.com/open?id=1Opkx3VNRPnuVOu115uEZuzpAoygCQsBQ</t>
  </si>
  <si>
    <t>https://drive.google.com/uc?export=view&amp;id=1Opkx3VNRPnuVOu115uEZuzpAoygCQsBQ</t>
  </si>
  <si>
    <t xml:space="preserve">Nurmi azijah </t>
  </si>
  <si>
    <t>083166566520</t>
  </si>
  <si>
    <t>3671055105730003</t>
  </si>
  <si>
    <t>Rt 04/03 poris plawd utara(cipondoh)</t>
  </si>
  <si>
    <t xml:space="preserve">Lahat(sumtra selatan) </t>
  </si>
  <si>
    <t>11-05-1973</t>
  </si>
  <si>
    <t>50 tahun mei</t>
  </si>
  <si>
    <t>Tim Kreatif, OB/OG/FCs/Cleaning Service, Opsi 34</t>
  </si>
  <si>
    <t>Ipa</t>
  </si>
  <si>
    <t>OG</t>
  </si>
  <si>
    <t>nurmiazzizzah@gmail.com</t>
  </si>
  <si>
    <t>1EQacX7RIZmDjDblYemIs-y7vbcqNdXr22aUOKvSPrbs</t>
  </si>
  <si>
    <t>https://docs.google.com/document/d/1EQacX7RIZmDjDblYemIs-y7vbcqNdXr22aUOKvSPrbs/edit?usp=drivesdk</t>
  </si>
  <si>
    <t>Document successfully created; Document successfully merged; Run via form trigger as kemal.stafsus@gmail.com; Timestamp: Aug 8 2023 8:41 AM</t>
  </si>
  <si>
    <t>https://drive.google.com/open?id=1c0I6Uk5NlJwzyJWI0hdLMI_yFjadPCyu</t>
  </si>
  <si>
    <t>https://drive.google.com/uc?export=view&amp;id=1c0I6Uk5NlJwzyJWI0hdLMI_yFjadPCyu</t>
  </si>
  <si>
    <t>Muslimin S.Pd</t>
  </si>
  <si>
    <t>085331167757</t>
  </si>
  <si>
    <t>5205010309980002</t>
  </si>
  <si>
    <t>3 september 1998</t>
  </si>
  <si>
    <t>Stai Ali bin ai tholib surabaya</t>
  </si>
  <si>
    <t>Pendidikan bahasa arab</t>
  </si>
  <si>
    <t>Guru arabic tpq cahaya Quran
Guru arabic masjid baiturahim sidoarjo
Guru arabic Mahad imam bukhori dompu</t>
  </si>
  <si>
    <t>Umr</t>
  </si>
  <si>
    <t>Musliminsalahudin9@gmail.com</t>
  </si>
  <si>
    <t>1gZuzPAkEGhT-rfDUv9Jy7TAszdWR-3ZDpK-RZak7gzE</t>
  </si>
  <si>
    <t>https://docs.google.com/document/d/1gZuzPAkEGhT-rfDUv9Jy7TAszdWR-3ZDpK-RZak7gzE/edit?usp=drivesdk</t>
  </si>
  <si>
    <t>Document successfully created; Document successfully merged; Run via form trigger as kemal.stafsus@gmail.com; Timestamp: Aug 12 2023 4:06 AM</t>
  </si>
  <si>
    <t>https://drive.google.com/open?id=18Pp-0KbEcVa-IwLvVJSSxNE-4FxOSn4j</t>
  </si>
  <si>
    <t>https://drive.google.com/uc?export=view&amp;id=18Pp-0KbEcVa-IwLvVJSSxNE-4FxOSn4j</t>
  </si>
  <si>
    <t>Bella Anggraini Novitasari, S.Pd</t>
  </si>
  <si>
    <t>085748367103</t>
  </si>
  <si>
    <t>3508106311980001</t>
  </si>
  <si>
    <t>Jalan Kelurahan Pagak, Desa Bakalan RT.05/RW.01 Pagak, Beji, Pasuruan, Jawa Timur 67154</t>
  </si>
  <si>
    <t>23-11-1998</t>
  </si>
  <si>
    <t>Administrasi - PT. Inti Lautan Fajar Abadi</t>
  </si>
  <si>
    <t>bellaanggraini57@gmail.com</t>
  </si>
  <si>
    <t>1UXIUUbro526UhP8ijyNZ26IXBwA3j3WppSCoSP6e0wQ</t>
  </si>
  <si>
    <t>https://docs.google.com/document/d/1UXIUUbro526UhP8ijyNZ26IXBwA3j3WppSCoSP6e0wQ/edit?usp=drivesdk</t>
  </si>
  <si>
    <t>Document successfully created; Document successfully merged; Run via form trigger as kemal.stafsus@gmail.com; Timestamp: Aug 15 2023 9:28 AM</t>
  </si>
  <si>
    <t>https://drive.google.com/open?id=13c5RCCChXytSDrG4QQpfx0kHPutoAGL9</t>
  </si>
  <si>
    <t>https://drive.google.com/uc?export=view&amp;id=13c5RCCChXytSDrG4QQpfx0kHPutoAGL9</t>
  </si>
  <si>
    <t>Evan Fahlevi EJ, S.S.</t>
  </si>
  <si>
    <t>081311092356</t>
  </si>
  <si>
    <t>6201023008000001</t>
  </si>
  <si>
    <t>Bsd Sektor 1,2 Rawa Buntu, Kec. Serpong, Tangerang Selatan</t>
  </si>
  <si>
    <t>Pangkalan Bun</t>
  </si>
  <si>
    <t>30-08-2000</t>
  </si>
  <si>
    <t>22 Tahun 11 Bulan</t>
  </si>
  <si>
    <t>vanzfrein.20@gmail.com</t>
  </si>
  <si>
    <t>11YPzT6zjfZBCIX6PhGqfdtGluD-0UaGTCy8h1QYak4w</t>
  </si>
  <si>
    <t>https://docs.google.com/document/d/11YPzT6zjfZBCIX6PhGqfdtGluD-0UaGTCy8h1QYak4w/edit?usp=drivesdk</t>
  </si>
  <si>
    <t>Document successfully created; Document successfully merged; Run via form trigger as kemal.stafsus@gmail.com; Timestamp: Aug 15 2023 9:54 AM</t>
  </si>
  <si>
    <t>https://drive.google.com/open?id=1_S1vhgse8-wBEw-Q3J7pXW8_3udc-YHv</t>
  </si>
  <si>
    <t>https://drive.google.com/uc?export=view&amp;id=1_S1vhgse8-wBEw-Q3J7pXW8_3udc-YHv</t>
  </si>
  <si>
    <t>Putri Yulita sari</t>
  </si>
  <si>
    <t>083865482050</t>
  </si>
  <si>
    <t>3603166606040002</t>
  </si>
  <si>
    <t>26 Juni 2006</t>
  </si>
  <si>
    <t>SMA Al multazam</t>
  </si>
  <si>
    <t xml:space="preserve">SMA Al multazam </t>
  </si>
  <si>
    <t>1. 500. 000. 000</t>
  </si>
  <si>
    <t>Cleaning service</t>
  </si>
  <si>
    <t>Cleaning sevice</t>
  </si>
  <si>
    <t>putriyulitasari15@gmail.com</t>
  </si>
  <si>
    <t>1qSy-TL3gEsunqXJ0ej_sJx34dBpTWNy215pPlWZ61uM</t>
  </si>
  <si>
    <t>https://docs.google.com/document/d/1qSy-TL3gEsunqXJ0ej_sJx34dBpTWNy215pPlWZ61uM/edit?usp=drivesdk</t>
  </si>
  <si>
    <t>Document successfully created; Document successfully merged; Run via form trigger as kemal.stafsus@gmail.com; Timestamp: Aug 18 2023 2:22 AM</t>
  </si>
  <si>
    <t>https://drive.google.com/open?id=1F1rQ9A4Oz9YsyA04a34pvKe8uxlXSn9c</t>
  </si>
  <si>
    <t>https://drive.google.com/uc?export=view&amp;id=1F1rQ9A4Oz9YsyA04a34pvKe8uxlXSn9c</t>
  </si>
  <si>
    <t>Rida Amela Azzahra</t>
  </si>
  <si>
    <t>085890553126</t>
  </si>
  <si>
    <t>3603225808050002</t>
  </si>
  <si>
    <t>Kp. Kelapa, RT 005 RW 004, Pagedangan, Tangerang, Banten</t>
  </si>
  <si>
    <t>18-08-2005</t>
  </si>
  <si>
    <t>Non Pendidikan (Fcs/Satpam/Sarpras/dll)</t>
  </si>
  <si>
    <t>SMAN 17 Tangerang</t>
  </si>
  <si>
    <t>IPS</t>
  </si>
  <si>
    <t>Bidar lantai 2 gedung selatan</t>
  </si>
  <si>
    <t>Belum pernah bekerja</t>
  </si>
  <si>
    <t>Belum punya</t>
  </si>
  <si>
    <t>ridaamelaazzahra08@gmail.com</t>
  </si>
  <si>
    <t>1MfVkDaZFj8hOJL5pWhM0G7waPZUc0Xlabzkzu9tNZRg</t>
  </si>
  <si>
    <t>https://docs.google.com/document/d/1MfVkDaZFj8hOJL5pWhM0G7waPZUc0Xlabzkzu9tNZRg/edit?usp=drivesdk</t>
  </si>
  <si>
    <t>Document successfully created; Document successfully merged; Run via form trigger as kemal.stafsus@gmail.com; Timestamp: Aug 18 2023 9:04 AM</t>
  </si>
  <si>
    <t>https://drive.google.com/open?id=1MvNTHQevZdrfjofkExxsTHBekHxXkyI_</t>
  </si>
  <si>
    <t>https://drive.google.com/uc?export=view&amp;id=1MvNTHQevZdrfjofkExxsTHBekHxXkyI_</t>
  </si>
  <si>
    <t>Nur Faizah, M. Pd</t>
  </si>
  <si>
    <t>081318944772</t>
  </si>
  <si>
    <t>3601295002970003</t>
  </si>
  <si>
    <t>Kp. Cibungur Gardur, RT 002/ RW 001, Desa Cibungur, Kec. Sukaresmi, Kab. Pandeglang-Banten</t>
  </si>
  <si>
    <t>10/02/1997</t>
  </si>
  <si>
    <t>Guru Mata Pelajaran, Tim Kreatif</t>
  </si>
  <si>
    <t>Kimia/ IPA</t>
  </si>
  <si>
    <t xml:space="preserve">Universitas Sultan Ageng Tirtayasa </t>
  </si>
  <si>
    <t xml:space="preserve">Fasilitator </t>
  </si>
  <si>
    <t>Online Teacher (Volunteer)</t>
  </si>
  <si>
    <t>Pengembang Kurikulum</t>
  </si>
  <si>
    <t>0355466239</t>
  </si>
  <si>
    <t>nurfaizah1002@gmail.com</t>
  </si>
  <si>
    <t>17ibcAIC8dhgKPtPzpL-Y7EhcpUHNlcK-Sg6UmVNWTs8</t>
  </si>
  <si>
    <t>https://docs.google.com/document/d/17ibcAIC8dhgKPtPzpL-Y7EhcpUHNlcK-Sg6UmVNWTs8/edit?usp=drivesdk</t>
  </si>
  <si>
    <t>Document successfully created; Document successfully merged; Run via form trigger as kemal.stafsus@gmail.com; Timestamp: Aug 30 2023 1:58 AM</t>
  </si>
  <si>
    <t>https://drive.google.com/open?id=1LvX1XqmtElEHf2ifhUgtfq5-faP-IxCO</t>
  </si>
  <si>
    <t>https://drive.google.com/uc?export=view&amp;id=1LvX1XqmtElEHf2ifhUgtfq5-faP-IxCO</t>
  </si>
  <si>
    <t>Monika Eka Rizkya, S.Pd</t>
  </si>
  <si>
    <t>085755463944</t>
  </si>
  <si>
    <t>3172045203990011</t>
  </si>
  <si>
    <t>jln rawa indah no 95
RT 06 RW 03
Kel Pegangsaan dua
kec kelapa Gading Jakarta Utara</t>
  </si>
  <si>
    <t>Nganjuk</t>
  </si>
  <si>
    <t>12-03-1999</t>
  </si>
  <si>
    <t>24tahun 5bulan</t>
  </si>
  <si>
    <t>Guru Matematika Cambridge</t>
  </si>
  <si>
    <t>Universitas Nusantara PGRI Kediri</t>
  </si>
  <si>
    <t>Guru Matematika</t>
  </si>
  <si>
    <t>0680026804</t>
  </si>
  <si>
    <t xml:space="preserve">BCA Syariah </t>
  </si>
  <si>
    <t>monikaekarizkya@gmail.com</t>
  </si>
  <si>
    <t>1LJd10H95hLY2j-2Y94gjgxSaYOqYuU80rTYRNtQuyxE</t>
  </si>
  <si>
    <t>https://docs.google.com/document/d/1LJd10H95hLY2j-2Y94gjgxSaYOqYuU80rTYRNtQuyxE/edit?usp=drivesdk</t>
  </si>
  <si>
    <t>Document successfully created; Document successfully merged; Run via form trigger as kemal.stafsus@gmail.com; Timestamp: Sep 11 2023 1:32 AM</t>
  </si>
  <si>
    <t>https://drive.google.com/open?id=1wT5LQOTo9Wqix2HR2D_kNtIjLHuYYpFe</t>
  </si>
  <si>
    <t>https://drive.google.com/uc?export=view&amp;id=1wT5LQOTo9Wqix2HR2D_kNtIjLHuYYpFe</t>
  </si>
  <si>
    <t>Henik Nur Khofiyah, M.Pd</t>
  </si>
  <si>
    <t>085850270970</t>
  </si>
  <si>
    <t>3514214607940001</t>
  </si>
  <si>
    <t>BSD-Tangerang Selatan</t>
  </si>
  <si>
    <t>Pasuruan</t>
  </si>
  <si>
    <t>06-07-1994</t>
  </si>
  <si>
    <t xml:space="preserve">29 tahun 2 bulan </t>
  </si>
  <si>
    <t>Guru-Sekolah Alam Malang</t>
  </si>
  <si>
    <t>700.000-1.000.000</t>
  </si>
  <si>
    <t>Guru-ICM</t>
  </si>
  <si>
    <t>5.000.000-7.000.000</t>
  </si>
  <si>
    <t>Guru-Sampoerna Academy</t>
  </si>
  <si>
    <t>9.000.000-12.000.000</t>
  </si>
  <si>
    <t>henikkhofiyah@gmail.com</t>
  </si>
  <si>
    <t>1YDpE79vgkAynA1Xu5VUzwsBoh0x83gZZEJwtgqXWWcU</t>
  </si>
  <si>
    <t>https://docs.google.com/document/d/1YDpE79vgkAynA1Xu5VUzwsBoh0x83gZZEJwtgqXWWcU/edit?usp=drivesdk</t>
  </si>
  <si>
    <t>Document successfully created; Document successfully merged; Run via form trigger as kemal.stafsus@gmail.com; Timestamp: Sep 14 2023 11:48 PM</t>
  </si>
  <si>
    <t>https://drive.google.com/open?id=1qLGRYMpbFueHsUCEmWS7sangFVFJrkxf</t>
  </si>
  <si>
    <t>https://drive.google.com/uc?export=view&amp;id=1qLGRYMpbFueHsUCEmWS7sangFVFJrkxf</t>
  </si>
  <si>
    <t>Chairunnisa erlan S.Psi</t>
  </si>
  <si>
    <t>0821103006060</t>
  </si>
  <si>
    <t>3275035505920022</t>
  </si>
  <si>
    <t>Jalan irigasi sekunder blok D22 No 2. Bekasi Timur</t>
  </si>
  <si>
    <t>15 Mei 1992</t>
  </si>
  <si>
    <t>Manager HRGA PT ANTARESTAR GLOBAL KREATIFINDO</t>
  </si>
  <si>
    <t>6,5 - 7,5</t>
  </si>
  <si>
    <t>erlan.chairunnisa@gmail.com</t>
  </si>
  <si>
    <t>17OfVDhDaCLkHQUHyULbbP4Bya5nwNw-9zDZ6GcmcKSE</t>
  </si>
  <si>
    <t>https://docs.google.com/document/d/17OfVDhDaCLkHQUHyULbbP4Bya5nwNw-9zDZ6GcmcKSE/edit?usp=drivesdk</t>
  </si>
  <si>
    <t>Document successfully created; Document successfully merged; Run via form trigger as kemal.stafsus@gmail.com; Timestamp: Sep 15 2023 3:18 AM</t>
  </si>
  <si>
    <t>https://drive.google.com/open?id=1N1-oxnCHtfVomBm0rG_4_8ialyqwdA00</t>
  </si>
  <si>
    <t>https://drive.google.com/uc?export=view&amp;id=1N1-oxnCHtfVomBm0rG_4_8ialyqwdA00</t>
  </si>
  <si>
    <t>Jehan Latifah,A.Md.Kep</t>
  </si>
  <si>
    <t>085817546334</t>
  </si>
  <si>
    <t>3372047004980004</t>
  </si>
  <si>
    <t>Jl. Manggarai Utara II Blok C no. 9 A RT.4/RW1, Manggarai Tebet Kota Jakarta Selatan</t>
  </si>
  <si>
    <t>30.04.1998</t>
  </si>
  <si>
    <t xml:space="preserve">25 tahun 4 bulan </t>
  </si>
  <si>
    <t>Unversitas Muhammadiyah Semarang</t>
  </si>
  <si>
    <t>D3 Keperawatan</t>
  </si>
  <si>
    <t>Perawat RS Omni Pekayon Bekasi</t>
  </si>
  <si>
    <t>Perawat di Telkomedika under Mrtj</t>
  </si>
  <si>
    <t xml:space="preserve">Bank Syariah Indonesia
</t>
  </si>
  <si>
    <t>jehanlatifah@gmail.com</t>
  </si>
  <si>
    <t>16YxH6feyEsNaKzTvAdJjYiKT_9JaZsiThZwfXzWSp4Y</t>
  </si>
  <si>
    <t>https://docs.google.com/document/d/16YxH6feyEsNaKzTvAdJjYiKT_9JaZsiThZwfXzWSp4Y/edit?usp=drivesdk</t>
  </si>
  <si>
    <t>Document successfully created; Document successfully merged; Run via form trigger as kemal.stafsus@gmail.com; Timestamp: Sep 17 2023 12:23 AM</t>
  </si>
  <si>
    <t>https://drive.google.com/open?id=1bZ7e47GWnygyQwafpuVJoaIcHPn47_Lf</t>
  </si>
  <si>
    <t>https://drive.google.com/uc?export=view&amp;id=1bZ7e47GWnygyQwafpuVJoaIcHPn47_Lf</t>
  </si>
  <si>
    <t>Pujiastuti Amk</t>
  </si>
  <si>
    <t>081282728184</t>
  </si>
  <si>
    <t>1806195205800003</t>
  </si>
  <si>
    <t>Jln swasembada barat 5 no 42 Rt/Rw 10/09 kebon bawang tanjung priuk jakarta utara</t>
  </si>
  <si>
    <t>Kagungan (lampung)</t>
  </si>
  <si>
    <t>12-05-1980</t>
  </si>
  <si>
    <t>43 tahun 4 bulan</t>
  </si>
  <si>
    <t>FINANCE, Perawat</t>
  </si>
  <si>
    <t>Akper Sismadi</t>
  </si>
  <si>
    <t xml:space="preserve">Klinik Hemodialisa Lions </t>
  </si>
  <si>
    <t>Tenaga perawat MOH Saudi arabia</t>
  </si>
  <si>
    <t>5000 SR</t>
  </si>
  <si>
    <t>Relawan covid di RSUD Cengkareng dan RSUD Koja</t>
  </si>
  <si>
    <t>5.000.000- 7.000.000</t>
  </si>
  <si>
    <t>DKI SYARIAH</t>
  </si>
  <si>
    <t>pujiastuti12051980@gmail.com</t>
  </si>
  <si>
    <t>1ko6dhYqejnbnetY6gKSuHrquqBIMwryqDojC-5pVf0A</t>
  </si>
  <si>
    <t>https://docs.google.com/document/d/1ko6dhYqejnbnetY6gKSuHrquqBIMwryqDojC-5pVf0A/edit?usp=drivesdk</t>
  </si>
  <si>
    <t>Document successfully created; Document successfully merged; Run via form trigger as kemal.stafsus@gmail.com; Timestamp: Sep 20 2023 1:20 AM</t>
  </si>
  <si>
    <t>https://drive.google.com/open?id=1zPj7oL-bjSsfzj1Zn7C1l00dMK_fD353</t>
  </si>
  <si>
    <t>https://drive.google.com/uc?export=view&amp;id=1zPj7oL-bjSsfzj1Zn7C1l00dMK_fD353</t>
  </si>
  <si>
    <t>Lia Harliani, S.S, S.Pd</t>
  </si>
  <si>
    <t>081905371612</t>
  </si>
  <si>
    <t>3671015201920006</t>
  </si>
  <si>
    <t>Kost harvest city SB 3/7 cikarageman setu kabupaten bekasi</t>
  </si>
  <si>
    <t>31 tahun 8 bulan</t>
  </si>
  <si>
    <t>Math, Science and English</t>
  </si>
  <si>
    <t>Guru kelas SD Jaya Manggala</t>
  </si>
  <si>
    <t>liaharliani68@gmail.com</t>
  </si>
  <si>
    <t>1PlNagVhZQz31gIXiFs5BklKTBDNvXjHv7R8N_4wzy7k</t>
  </si>
  <si>
    <t>https://docs.google.com/document/d/1PlNagVhZQz31gIXiFs5BklKTBDNvXjHv7R8N_4wzy7k/edit?usp=drivesdk</t>
  </si>
  <si>
    <t>Document successfully created; Document successfully merged; Run via form trigger as kemal.stafsus@gmail.com; Timestamp: Sep 26 2023 12:48 AM</t>
  </si>
  <si>
    <t>https://drive.google.com/open?id=1C-JW3UWVf0vi5FkSiU_JCMN-hZPHSkC3</t>
  </si>
  <si>
    <t>https://drive.google.com/uc?export=view&amp;id=1C-JW3UWVf0vi5FkSiU_JCMN-hZPHSkC3</t>
  </si>
  <si>
    <t>Ita Masitah, S.Pd.</t>
  </si>
  <si>
    <t>081383081571</t>
  </si>
  <si>
    <t>3175074301990007</t>
  </si>
  <si>
    <t>Rusun Klender, Jalan Dahlia Blok 44 Lantai 2 No.6 RT.02/RW.01, Malaka Jaya, Duren Sawit, KOTA JAKARTA TIMUR, DUREN SAWIT, DKI JAKARTA, ID, 13460.</t>
  </si>
  <si>
    <t>Matematika, Fisika</t>
  </si>
  <si>
    <t>Pendidikan Teknik Mesin</t>
  </si>
  <si>
    <t>Rp5.000.000 - Rp7000.000</t>
  </si>
  <si>
    <t>BTPN Jenius a.n. Ita Masitah</t>
  </si>
  <si>
    <t>ita.masitah319@gmail.com</t>
  </si>
  <si>
    <t>1pl9X3aSYQGHBw-K313EiKUNtX_L7oJjUyCKASC147h8</t>
  </si>
  <si>
    <t>https://docs.google.com/document/d/1pl9X3aSYQGHBw-K313EiKUNtX_L7oJjUyCKASC147h8/edit?usp=drivesdk</t>
  </si>
  <si>
    <t>Document successfully created; Document successfully merged; Run via form trigger as kemal.stafsus@gmail.com; Timestamp: Sep 26 2023 3:14 AM</t>
  </si>
  <si>
    <t>https://drive.google.com/open?id=1fOzYOmOJ_sN7gSKhEIYPzJygrnCbxZA2</t>
  </si>
  <si>
    <t>https://drive.google.com/uc?export=view&amp;id=1fOzYOmOJ_sN7gSKhEIYPzJygrnCbxZA2</t>
  </si>
  <si>
    <t>Shadrina, S.Pd.</t>
  </si>
  <si>
    <t>081285978396</t>
  </si>
  <si>
    <t>3174056508990003</t>
  </si>
  <si>
    <t>Panorama Residence, Bojongsari, Kota Depok 16517.</t>
  </si>
  <si>
    <t>25-08-1999</t>
  </si>
  <si>
    <t>24 Tahun 1 Bulan</t>
  </si>
  <si>
    <t>Quipper Indonesia</t>
  </si>
  <si>
    <t>shadrinaiskandar@gmail.com</t>
  </si>
  <si>
    <t>18IOo6VjfOE7fPlG2E_b4-este-nEHpJMNbL3mj01DQw</t>
  </si>
  <si>
    <t>https://docs.google.com/document/d/18IOo6VjfOE7fPlG2E_b4-este-nEHpJMNbL3mj01DQw/edit?usp=drivesdk</t>
  </si>
  <si>
    <t>Document successfully created; Document successfully merged; Run via form trigger as kemal.stafsus@gmail.com; Timestamp: Sep 26 2023 4:18 AM</t>
  </si>
  <si>
    <t>https://drive.google.com/open?id=1uTPRtoI5S5aRkbylhkzBU4wVBas7hBwq</t>
  </si>
  <si>
    <t>https://drive.google.com/uc?export=view&amp;id=1uTPRtoI5S5aRkbylhkzBU4wVBas7hBwq</t>
  </si>
  <si>
    <t>Anggi Pratiwi Zaditania, S.Pd</t>
  </si>
  <si>
    <t>085155052240</t>
  </si>
  <si>
    <t>3216066308000002</t>
  </si>
  <si>
    <t>Jl. Garuda VI No.190a, Pondok Timur Indah, Kab. Bekasi</t>
  </si>
  <si>
    <t>23-08-2000</t>
  </si>
  <si>
    <t>Universitas Singaperbangsa Karawang</t>
  </si>
  <si>
    <t>prazaanggi@gmail.com</t>
  </si>
  <si>
    <t>1sbR5CjjQrlwVwuQOjiAKP1f-s5Sz9Thu5N7vB2f5nOU</t>
  </si>
  <si>
    <t>https://docs.google.com/document/d/1sbR5CjjQrlwVwuQOjiAKP1f-s5Sz9Thu5N7vB2f5nOU/edit?usp=drivesdk</t>
  </si>
  <si>
    <t>Document successfully created; Document successfully merged; Run via form trigger as kemal.stafsus@gmail.com; Timestamp: Sep 26 2023 9:33 PM</t>
  </si>
  <si>
    <t>https://drive.google.com/open?id=17dFWtS1ZVbL4yz2ta8-DRvnUlmJNGhKb</t>
  </si>
  <si>
    <t>https://drive.google.com/uc?export=view&amp;id=17dFWtS1ZVbL4yz2ta8-DRvnUlmJNGhKb</t>
  </si>
  <si>
    <t>Muthia Nur Fadhillah, S.Pd</t>
  </si>
  <si>
    <t>082187025184</t>
  </si>
  <si>
    <t>3201134211961001</t>
  </si>
  <si>
    <t>Kp. Masjid Rt 07 Rw 04 No.25 Bojonggede-Bogor</t>
  </si>
  <si>
    <t>02-11-1996</t>
  </si>
  <si>
    <t>Sarjana Pendidikan - S1</t>
  </si>
  <si>
    <t>Sekolah Salman Alfarisi Interactive School</t>
  </si>
  <si>
    <t>Indonesia College</t>
  </si>
  <si>
    <t>Yayasan Pendidikan Ummat Al-Fath</t>
  </si>
  <si>
    <t>nfmuthia@gmail.com</t>
  </si>
  <si>
    <t>1l10adHv2dICewoNJt9KDhYLqnfLiaZedodre3dmdrgI</t>
  </si>
  <si>
    <t>https://docs.google.com/document/d/1l10adHv2dICewoNJt9KDhYLqnfLiaZedodre3dmdrgI/edit?usp=drivesdk</t>
  </si>
  <si>
    <t>Document successfully created; Document successfully merged; Run via form trigger as kemal.stafsus@gmail.com; Timestamp: Sep 30 2023 10:27 PM</t>
  </si>
  <si>
    <t>https://drive.google.com/open?id=1zM0gkD_yej-3tukUNakTfSfH3KF4lJug</t>
  </si>
  <si>
    <t>https://drive.google.com/uc?export=view&amp;id=1zM0gkD_yej-3tukUNakTfSfH3KF4lJug</t>
  </si>
  <si>
    <t>Imas Saumi Amalia, S.Si., M.Mat</t>
  </si>
  <si>
    <t>085894909097</t>
  </si>
  <si>
    <t>3201204401980003</t>
  </si>
  <si>
    <t>Kp. Mekar Mulya RT 03/RW 04, Desa/Kel. Parung panjang, Kec. Parung panjang, Kab. Bogor</t>
  </si>
  <si>
    <t>04-01-1998</t>
  </si>
  <si>
    <t>25 Tahun 9 Bulan</t>
  </si>
  <si>
    <t>Matematika Terapan</t>
  </si>
  <si>
    <t>Research Executive</t>
  </si>
  <si>
    <t>imas4198@gmail.com</t>
  </si>
  <si>
    <t>15SO7LDUVypCcLxHgEY6lwgW5iTDaQoMPD85LrpZ3vzU</t>
  </si>
  <si>
    <t>https://docs.google.com/document/d/15SO7LDUVypCcLxHgEY6lwgW5iTDaQoMPD85LrpZ3vzU/edit?usp=drivesdk</t>
  </si>
  <si>
    <t>Document successfully created; Document successfully merged; Run via form trigger as kemal.stafsus@gmail.com; Timestamp: Oct 1 2023 12:33 AM</t>
  </si>
  <si>
    <t>https://drive.google.com/open?id=1wusEoDYP25w_F_FxiNzBlQx-NCnDLNOj</t>
  </si>
  <si>
    <t>https://drive.google.com/uc?export=view&amp;id=1wusEoDYP25w_F_FxiNzBlQx-NCnDLNOj</t>
  </si>
  <si>
    <t>Ulan Damayanti, S.Pd.</t>
  </si>
  <si>
    <t>081297681144</t>
  </si>
  <si>
    <t>3173015410940012</t>
  </si>
  <si>
    <t>Kp. Pakulonan Barat Rt.002/Rw.003, Kelapa Dua, Gading Serpong Tangerang</t>
  </si>
  <si>
    <t>14-10-1994</t>
  </si>
  <si>
    <t>28 tahun 11 bulan</t>
  </si>
  <si>
    <t>Guru Bahasa Indonesia di Ponpes. Daar el Qolam 3, Gintung Tangerang</t>
  </si>
  <si>
    <t>oelandamayanti@gmail.com</t>
  </si>
  <si>
    <t>1GSxZwGbKtghuO-zdkGnKAlsXtXiBoOIIn4aNDjpyQ7s</t>
  </si>
  <si>
    <t>https://docs.google.com/document/d/1GSxZwGbKtghuO-zdkGnKAlsXtXiBoOIIn4aNDjpyQ7s/edit?usp=drivesdk</t>
  </si>
  <si>
    <t>Document successfully created; Document successfully merged; Run via form trigger as kemal.stafsus@gmail.com; Timestamp: Oct 1 2023 3:47 AM</t>
  </si>
  <si>
    <t>https://drive.google.com/open?id=1Fnr53WSTuTW-YSgppRs1LEu7cRiqtX4s</t>
  </si>
  <si>
    <t>https://drive.google.com/uc?export=view&amp;id=1Fnr53WSTuTW-YSgppRs1LEu7cRiqtX4s</t>
  </si>
  <si>
    <t>Nidia Ulfa Amalia, S.Pd</t>
  </si>
  <si>
    <t>089510231576</t>
  </si>
  <si>
    <t>3276065101960005</t>
  </si>
  <si>
    <t>JL KARYA BAKTI RT 04 RW 04 TANAH BARU BEJI DEPOK</t>
  </si>
  <si>
    <t>11-01-1996</t>
  </si>
  <si>
    <t xml:space="preserve">Bahasa Indonesia </t>
  </si>
  <si>
    <t xml:space="preserve">Universitas Indraprasta PGRI Jakarta </t>
  </si>
  <si>
    <t>Pendidikan Bahasa Dan Sastra Indonesia</t>
  </si>
  <si>
    <t>Admin &amp; Operator Sekolah</t>
  </si>
  <si>
    <t>Junior Admin HRD</t>
  </si>
  <si>
    <t>Resepsionis</t>
  </si>
  <si>
    <t>nidiaulfaamalia1196@gmail.com</t>
  </si>
  <si>
    <t>13PsmEHILWmm02MGmZn9GxQuEeLvgzW6as3_3n0dmQvw</t>
  </si>
  <si>
    <t>https://docs.google.com/document/d/13PsmEHILWmm02MGmZn9GxQuEeLvgzW6as3_3n0dmQvw/edit?usp=drivesdk</t>
  </si>
  <si>
    <t>Document successfully created; Document successfully merged; Run via form trigger as kemal.stafsus@gmail.com; Timestamp: Oct 2 2023 5:17 AM</t>
  </si>
  <si>
    <t>https://drive.google.com/open?id=1OfoRi9xxXskZ7jV8zYQHFtrRHnGYMd2j</t>
  </si>
  <si>
    <t>https://drive.google.com/uc?export=view&amp;id=1OfoRi9xxXskZ7jV8zYQHFtrRHnGYMd2j</t>
  </si>
  <si>
    <t>Windy Andaresta, S.Pd., M.Si.</t>
  </si>
  <si>
    <t>081261325832</t>
  </si>
  <si>
    <t>1306076707970004</t>
  </si>
  <si>
    <t>Jl. Mualim Aminudin No. 48A, RT.03/RW.14, Cibubur, Jakarta Timur</t>
  </si>
  <si>
    <t>Kabupaten Agam</t>
  </si>
  <si>
    <t>27 Juli 1997</t>
  </si>
  <si>
    <t>Yayasan Mirai Indonesia</t>
  </si>
  <si>
    <t>windyandaresta27@gmail.com</t>
  </si>
  <si>
    <t>1Aj6QufLk2LT0fV_efsfmV6p9BXCoSm-ebtmUT3SUEjE</t>
  </si>
  <si>
    <t>https://docs.google.com/document/d/1Aj6QufLk2LT0fV_efsfmV6p9BXCoSm-ebtmUT3SUEjE/edit?usp=drivesdk</t>
  </si>
  <si>
    <t>Document successfully created; Document successfully merged; Run via form trigger as kemal.stafsus@gmail.com; Timestamp: Oct 4 2023 12:53 AM</t>
  </si>
  <si>
    <t>https://drive.google.com/open?id=1JyDHda923OQjy6nqkA_7xa2Dy91sM4pb</t>
  </si>
  <si>
    <t>https://drive.google.com/uc?export=view&amp;id=1JyDHda923OQjy6nqkA_7xa2Dy91sM4pb</t>
  </si>
  <si>
    <t>Endang Irawan</t>
  </si>
  <si>
    <t>088210500010</t>
  </si>
  <si>
    <t>1671090506840003</t>
  </si>
  <si>
    <t>Jalan Mayor Salim Batubara Lorong Hanan No.05 RT.33 RW.10, Kel Sekip Jaya, Kec Kemuning, PALEMBANG 30126</t>
  </si>
  <si>
    <t>05061984</t>
  </si>
  <si>
    <t>Muhammadiyah Palembang</t>
  </si>
  <si>
    <t>Bahasa dan Sastra</t>
  </si>
  <si>
    <t>I CAN READ</t>
  </si>
  <si>
    <t>English First Jakarta</t>
  </si>
  <si>
    <t>Paramount School Palembang</t>
  </si>
  <si>
    <t>endangirawan06@gmail.com</t>
  </si>
  <si>
    <t>1N7Z37nMyf5dej2eqhCqyjQkJLjabh8fhNznoHR447H0</t>
  </si>
  <si>
    <t>https://docs.google.com/document/d/1N7Z37nMyf5dej2eqhCqyjQkJLjabh8fhNznoHR447H0/edit?usp=drivesdk</t>
  </si>
  <si>
    <t>Document successfully created; Document successfully merged; Run via form trigger as kemal.stafsus@gmail.com; Timestamp: Oct 4 2023 2:36 AM</t>
  </si>
  <si>
    <t>https://drive.google.com/open?id=1V0jrJ_6_SGeWkeIgh3NynprKmYGzONg4</t>
  </si>
  <si>
    <t>https://drive.google.com/uc?export=view&amp;id=1V0jrJ_6_SGeWkeIgh3NynprKmYGzONg4</t>
  </si>
  <si>
    <t>GHUFRAN ZUL QISTHI, S.T.</t>
  </si>
  <si>
    <t>085713666555</t>
  </si>
  <si>
    <t>3671061906970001</t>
  </si>
  <si>
    <t>Jl. H. Thosin, No. 22, Kp. Dukuh, RT/RW 001/006
Kel: Sudimara Selatan, Kecamatan: Ciledug</t>
  </si>
  <si>
    <t>KOTA TANGERANG</t>
  </si>
  <si>
    <t>19-06-1997</t>
  </si>
  <si>
    <t>26 tahun 3 Bulan</t>
  </si>
  <si>
    <t>Guru Mata Pelajaran, Tata Usaha (Pendidikan), Tata Usaha (Boarding/Asrama)</t>
  </si>
  <si>
    <t>Tematik - TIK &amp; Biology Cambridge</t>
  </si>
  <si>
    <t>PTN - Universitas Sultan Ageng Tirtayasa</t>
  </si>
  <si>
    <t>VIP Engineering - (EPC&amp;F Company)</t>
  </si>
  <si>
    <t>Samara Land Holding Company (Property Developer)</t>
  </si>
  <si>
    <t>Bank BSI</t>
  </si>
  <si>
    <t>Ghufranzq@outlook.com</t>
  </si>
  <si>
    <t>1QXvFcmn7Hxnys_SSc1rDDQpcpknicqxgEQL7SVSIeAc</t>
  </si>
  <si>
    <t>https://docs.google.com/document/d/1QXvFcmn7Hxnys_SSc1rDDQpcpknicqxgEQL7SVSIeAc/edit?usp=drivesdk</t>
  </si>
  <si>
    <t>Document successfully created; Document successfully merged; Run via form trigger as kemal.stafsus@gmail.com; Timestamp: Oct 5 2023 9:01 AM</t>
  </si>
  <si>
    <t>https://drive.google.com/open?id=1r3l0MWLzmbhKvCOpTW8wqArHvubOVVyr</t>
  </si>
  <si>
    <t>https://drive.google.com/uc?export=view&amp;id=1r3l0MWLzmbhKvCOpTW8wqArHvubOVVyr</t>
  </si>
  <si>
    <t>Andy Prihatmoko, S.Kom., M.M</t>
  </si>
  <si>
    <t>08561008881</t>
  </si>
  <si>
    <t>3671130504800003</t>
  </si>
  <si>
    <t>Kp. Blok Wareng /32 RT 001/014 Larangan Selatan, Larangan - Tangerang 15154</t>
  </si>
  <si>
    <t>05-04-1980</t>
  </si>
  <si>
    <t>Universitas Budi Luhur</t>
  </si>
  <si>
    <t>Informatika/ICT/Technopreneur Teacher at SMA Bakti Mulya 400 (outsourced by BINUS Center/Sokrates)</t>
  </si>
  <si>
    <t>ICT Teacher at Khalifa Primary School</t>
  </si>
  <si>
    <t>Lecturer of Information System at Universitas Insan Pembangunan Indonesia</t>
  </si>
  <si>
    <t>≥5000000</t>
  </si>
  <si>
    <t>0191553240</t>
  </si>
  <si>
    <t>andy.prihatmoko@live.com</t>
  </si>
  <si>
    <t>1YDaFha4J9Tblcw8Vdm3JaJgZ3S5x6YKvODXfTnyuAF0</t>
  </si>
  <si>
    <t>https://docs.google.com/document/d/1YDaFha4J9Tblcw8Vdm3JaJgZ3S5x6YKvODXfTnyuAF0/edit?usp=drivesdk</t>
  </si>
  <si>
    <t>Document successfully created; Document successfully merged; Run via form trigger as kemal.stafsus@gmail.com; Timestamp: Oct 6 2023 6:24 AM</t>
  </si>
  <si>
    <t>https://drive.google.com/open?id=19Tmk1n4h5GCraj4nFeCLsYa5LKoRUEHO</t>
  </si>
  <si>
    <t>https://drive.google.com/uc?export=view&amp;id=19Tmk1n4h5GCraj4nFeCLsYa5LKoRUEHO</t>
  </si>
  <si>
    <t>Indriati</t>
  </si>
  <si>
    <t>081389733413</t>
  </si>
  <si>
    <t>5206164703970001</t>
  </si>
  <si>
    <t xml:space="preserve">Jalan padat karya desa situ gadung RT 07rw 04 kp Cisauk </t>
  </si>
  <si>
    <t>Desa Kuta</t>
  </si>
  <si>
    <t>07-03-1997</t>
  </si>
  <si>
    <t>S-1 UNIVERSITAS MATARAM</t>
  </si>
  <si>
    <t>S-1 MANAJEMEN</t>
  </si>
  <si>
    <t>indriati0022@gmail.com</t>
  </si>
  <si>
    <t>1WVxUo8SIQ693tgGb5G3H3Np22Trm3MNRQn9D5AjRka4</t>
  </si>
  <si>
    <t>https://docs.google.com/document/d/1WVxUo8SIQ693tgGb5G3H3Np22Trm3MNRQn9D5AjRka4/edit?usp=drivesdk</t>
  </si>
  <si>
    <t>Document successfully created; Document successfully merged; Run via form trigger as kemal.stafsus@gmail.com; Timestamp: Oct 7 2023 10:03 AM</t>
  </si>
  <si>
    <t>https://drive.google.com/open?id=1saVHVujibzWMiNKCi8mfM1oVCX3Bnl4Y</t>
  </si>
  <si>
    <t>https://drive.google.com/uc?export=view&amp;id=1saVHVujibzWMiNKCi8mfM1oVCX3Bnl4Y</t>
  </si>
  <si>
    <t>Diba Ratu Vidari Jannah, M.Pd</t>
  </si>
  <si>
    <t>087860984581</t>
  </si>
  <si>
    <t>3404016512890001</t>
  </si>
  <si>
    <t>Griya Prima Asri Jalan Garuda D8 no 6 Baleendah, Kabupaten Bandung</t>
  </si>
  <si>
    <t>25 Desember 1989</t>
  </si>
  <si>
    <t>PTS- Universitas Sarjanawiyata Tamansiswa Yogyakarta</t>
  </si>
  <si>
    <t>Guru Kelas SD di Palm Kids Primary School Lubuklinggau, Sumatera Selatan</t>
  </si>
  <si>
    <t>mrschristanto@gmail.com</t>
  </si>
  <si>
    <t>15SQqPB3wiBw8nk2ly7l0TBRV3KAE5utDEmWVeGqayRw</t>
  </si>
  <si>
    <t>https://docs.google.com/document/d/15SQqPB3wiBw8nk2ly7l0TBRV3KAE5utDEmWVeGqayRw/edit?usp=drivesdk</t>
  </si>
  <si>
    <t>Document successfully created; Document successfully merged; Run via form trigger as kemal.stafsus@gmail.com; Timestamp: Oct 9 2023 2:52 AM</t>
  </si>
  <si>
    <t>https://drive.google.com/open?id=1ENIQAAr87Lb5wAQfjxSl9s2GwbpB8nwA</t>
  </si>
  <si>
    <t>https://drive.google.com/uc?export=view&amp;id=1ENIQAAr87Lb5wAQfjxSl9s2GwbpB8nwA</t>
  </si>
  <si>
    <t xml:space="preserve">Diniek Wahyuni, S. Pd. </t>
  </si>
  <si>
    <t>Jalan Bidar Xi no 13</t>
  </si>
  <si>
    <t>30 tahun 2 bulan</t>
  </si>
  <si>
    <t>dinikwyn@gmail.com</t>
  </si>
  <si>
    <t>1FSoZNbpEuESPd8NFVjGMuWeR_BYFhWe04OyfTUwlWqM</t>
  </si>
  <si>
    <t>https://docs.google.com/document/d/1FSoZNbpEuESPd8NFVjGMuWeR_BYFhWe04OyfTUwlWqM/edit?usp=drivesdk</t>
  </si>
  <si>
    <t>Document successfully created; Document successfully merged; Run via form trigger as kemal.stafsus@gmail.com; Timestamp: Oct 9 2023 8:49 AM</t>
  </si>
  <si>
    <t>https://drive.google.com/open?id=1UcI3h9XbmpfUK010xzT2gpVEw94oz8aG</t>
  </si>
  <si>
    <t>https://drive.google.com/uc?export=view&amp;id=1UcI3h9XbmpfUK010xzT2gpVEw94oz8aG</t>
  </si>
  <si>
    <t>Syaiful Adam Maulana, S.Si., M.Sc.</t>
  </si>
  <si>
    <t>082217474809</t>
  </si>
  <si>
    <t>3274032507960015</t>
  </si>
  <si>
    <t>Btn. Margalaksana 1 Jl. Gn. Rinjani Blok. 8 No. 1 RT. 02 RW. 08 Kel. Margadadi Kec. Indramayau Kab. Indramayu Jawa Barat.</t>
  </si>
  <si>
    <t>25 Juli 1996</t>
  </si>
  <si>
    <t>IPA Biologi</t>
  </si>
  <si>
    <t xml:space="preserve">Universitas Ahmad Dahlan </t>
  </si>
  <si>
    <t xml:space="preserve">Technical Support Pest Management </t>
  </si>
  <si>
    <t>syaifuladammaulana5@gmail.com</t>
  </si>
  <si>
    <t>1yuhlHWdWfb7BmGn63fbs2kxfL2aedj9ckMAjwb9z9BM</t>
  </si>
  <si>
    <t>https://docs.google.com/document/d/1yuhlHWdWfb7BmGn63fbs2kxfL2aedj9ckMAjwb9z9BM/edit?usp=drivesdk</t>
  </si>
  <si>
    <t>Document successfully created; Document successfully merged; Run via form trigger as kemal.stafsus@gmail.com; Timestamp: Oct 10 2023 12:48 AM</t>
  </si>
  <si>
    <t>https://drive.google.com/open?id=1c_YHfW2JTwQS2RJXM5g0dJbNcNUD4EOB</t>
  </si>
  <si>
    <t>https://drive.google.com/uc?export=view&amp;id=1c_YHfW2JTwQS2RJXM5g0dJbNcNUD4EOB</t>
  </si>
  <si>
    <t>Dinsya Arifa, S.Pd</t>
  </si>
  <si>
    <t>+6281389539961</t>
  </si>
  <si>
    <t>3214056104010006</t>
  </si>
  <si>
    <t>Perum Griya Abdi Negara Blok B.95, Sukatani, Purwakarta, Jawa Barat</t>
  </si>
  <si>
    <t>23-04-2001</t>
  </si>
  <si>
    <t>22 Tahun 6 Bulan</t>
  </si>
  <si>
    <t>Universitas Muhammadiyah Prof. DR. HAMKA</t>
  </si>
  <si>
    <t>Asisten Guru BK - SMPN 2 Purwakarta</t>
  </si>
  <si>
    <t>007501080694509</t>
  </si>
  <si>
    <t>dnsyfa23@gmail.com</t>
  </si>
  <si>
    <t>1eBdVkVMmlbY2rFw3zqrU9sprllVl2sjlxPFqA8_tsg8</t>
  </si>
  <si>
    <t>https://docs.google.com/document/d/1eBdVkVMmlbY2rFw3zqrU9sprllVl2sjlxPFqA8_tsg8/edit?usp=drivesdk</t>
  </si>
  <si>
    <t>Document successfully created; Document successfully merged; Run via form trigger as kemal.stafsus@gmail.com; Timestamp: Oct 19 2023 11:12 PM</t>
  </si>
  <si>
    <t>https://drive.google.com/open?id=1MRl8Yj_1dFz4uGXNFq0p4v9COzEkeSfc</t>
  </si>
  <si>
    <t>https://drive.google.com/uc?export=view&amp;id=1MRl8Yj_1dFz4uGXNFq0p4v9COzEkeSfc</t>
  </si>
  <si>
    <t>Saila Salsabila, S. Pd</t>
  </si>
  <si>
    <t>089502521216</t>
  </si>
  <si>
    <t>Desa Mekarsari, Kecamatan Tambun Selatan</t>
  </si>
  <si>
    <t>06 Juni 2001</t>
  </si>
  <si>
    <t>sailasalsa661@gmail.com</t>
  </si>
  <si>
    <t>1CvCYmzP2C-EDQ3xhdR6rLPDH8kYa1-i18W2i1n7nxoU</t>
  </si>
  <si>
    <t>https://docs.google.com/document/d/1CvCYmzP2C-EDQ3xhdR6rLPDH8kYa1-i18W2i1n7nxoU/edit?usp=drivesdk</t>
  </si>
  <si>
    <t>Document successfully created; Document successfully merged; Run via form trigger as kemal.stafsus@gmail.com; Timestamp: Oct 20 2023 1:52 AM</t>
  </si>
  <si>
    <t>https://drive.google.com/open?id=1HE5N_CLXj_Wfsa61NZ8lsfCgx0fnpEgB</t>
  </si>
  <si>
    <t>https://drive.google.com/uc?export=view&amp;id=1HE5N_CLXj_Wfsa61NZ8lsfCgx0fnpEgB</t>
  </si>
  <si>
    <t>ARITA WULANDARI, S.PD.</t>
  </si>
  <si>
    <t>0895332968802</t>
  </si>
  <si>
    <t>3603285804010007</t>
  </si>
  <si>
    <t>Jl. KALASAN RAYA NO. 34 RT/RW 003/007 KEL. BENCONGAN, KEC. KELAPA DUA, KAB. TANGERANG</t>
  </si>
  <si>
    <t>091801015330508</t>
  </si>
  <si>
    <t>48.50</t>
  </si>
  <si>
    <t>aritawulandari18@gmail.com</t>
  </si>
  <si>
    <t>1v-BhJrrPV4Lyz2oXU-fr2b_MjYjykplIA5niPf8oMDc</t>
  </si>
  <si>
    <t>https://docs.google.com/document/d/1v-BhJrrPV4Lyz2oXU-fr2b_MjYjykplIA5niPf8oMDc/edit?usp=drivesdk</t>
  </si>
  <si>
    <t>Document successfully created; Document successfully merged; Run via form trigger as kemal.stafsus@gmail.com; Timestamp: Oct 27 2023 6:51 PM</t>
  </si>
  <si>
    <t>https://drive.google.com/open?id=1r-tTCtullxUgHJUmlDChzMVGSTVMz1Tk</t>
  </si>
  <si>
    <t>https://drive.google.com/uc?export=view&amp;id=1r-tTCtullxUgHJUmlDChzMVGSTVMz1Tk</t>
  </si>
  <si>
    <t>Tri Suryani, S.Pd.</t>
  </si>
  <si>
    <t>082288277377</t>
  </si>
  <si>
    <t>3324165209880003</t>
  </si>
  <si>
    <t>Cluster Mulqi Mansion 9 nomor B7 Kelurahan Duren Mekar Kecamatan Bojongsari Kota Depok</t>
  </si>
  <si>
    <t>35 tahun tahun 2 bulan</t>
  </si>
  <si>
    <t>Universitas PGRI Semarang</t>
  </si>
  <si>
    <t>SMK Permata Harapan Batam</t>
  </si>
  <si>
    <t>SMP Putra Batam</t>
  </si>
  <si>
    <t>trisuryani12@gmail.com</t>
  </si>
  <si>
    <t>1rBc_6ioKMYmwya33Tj2fRUU4F9ekCx7LlxGoKzNLQjY</t>
  </si>
  <si>
    <t>https://docs.google.com/document/d/1rBc_6ioKMYmwya33Tj2fRUU4F9ekCx7LlxGoKzNLQjY/edit?usp=drivesdk</t>
  </si>
  <si>
    <t>Document successfully created; Document successfully merged; Run via form trigger as kemal.stafsus@gmail.com; Timestamp: Oct 28 2023 1:03 AM</t>
  </si>
  <si>
    <t>https://drive.google.com/open?id=13iheRhA0WpyvQHnNwEDQK9J3xycAsFyU</t>
  </si>
  <si>
    <t>https://drive.google.com/uc?export=view&amp;id=13iheRhA0WpyvQHnNwEDQK9J3xycAsFyU</t>
  </si>
  <si>
    <t>Jamsir Amd.p</t>
  </si>
  <si>
    <t>085255968644</t>
  </si>
  <si>
    <t>7371102912830018</t>
  </si>
  <si>
    <t>Jln. Sultan Alauddin no. 97</t>
  </si>
  <si>
    <t>Raha</t>
  </si>
  <si>
    <t>29--12-1983</t>
  </si>
  <si>
    <t>Sekuriti/Satpam</t>
  </si>
  <si>
    <t>Politeknik Pertanian Pangkep</t>
  </si>
  <si>
    <t>Staf engineering Hotel</t>
  </si>
  <si>
    <t>Rp. 2.100.000</t>
  </si>
  <si>
    <t>Rp. 3.500.000</t>
  </si>
  <si>
    <t>evazhen3@gmail.com</t>
  </si>
  <si>
    <t>1sOL0SuCFgJSH28GK8Ap2-1KwhSdxtHZYbqa8DcL8r9k</t>
  </si>
  <si>
    <t>https://docs.google.com/document/d/1sOL0SuCFgJSH28GK8Ap2-1KwhSdxtHZYbqa8DcL8r9k/edit?usp=drivesdk</t>
  </si>
  <si>
    <t>Document successfully created; Document successfully merged; Run via form trigger as kemal.stafsus@gmail.com; Timestamp: Nov 3 2023 6:57 AM</t>
  </si>
  <si>
    <t>https://drive.google.com/open?id=1GdnAI96bI-HLgfMybJmCKYVyDETSS1Ij</t>
  </si>
  <si>
    <t>https://drive.google.com/uc?export=view&amp;id=1GdnAI96bI-HLgfMybJmCKYVyDETSS1Ij</t>
  </si>
  <si>
    <t>Ani nikmah M.Pd</t>
  </si>
  <si>
    <t>085718300569</t>
  </si>
  <si>
    <t>3603286810870003</t>
  </si>
  <si>
    <t xml:space="preserve">Villa tatira blok c23 no 2 tigaraksa tangerang </t>
  </si>
  <si>
    <t>28-10-1987</t>
  </si>
  <si>
    <t xml:space="preserve">Unindra </t>
  </si>
  <si>
    <t>mIPA</t>
  </si>
  <si>
    <t xml:space="preserve"> Syafana islamic school</t>
  </si>
  <si>
    <t>Daarul ijabah boarding school</t>
  </si>
  <si>
    <t>anikmah2810@gmail.com</t>
  </si>
  <si>
    <t>1bIbXDHoeWDd7-uhwb7sC14YiJ9FSOAKMwKs5gvtyCFE</t>
  </si>
  <si>
    <t>https://docs.google.com/document/d/1bIbXDHoeWDd7-uhwb7sC14YiJ9FSOAKMwKs5gvtyCFE/edit?usp=drivesdk</t>
  </si>
  <si>
    <t>Document successfully created; Document successfully merged; Run via form trigger as kemal.stafsus@gmail.com; Timestamp: Nov 6 2023 9:34 AM</t>
  </si>
  <si>
    <t>https://drive.google.com/open?id=1eWEr_hRJ8gkYUN93k3D2nUdb8f40Ally</t>
  </si>
  <si>
    <t>https://drive.google.com/uc?export=view&amp;id=1eWEr_hRJ8gkYUN93k3D2nUdb8f40Ally</t>
  </si>
  <si>
    <t>Annisa Siti Zulfah, S.S., M.Sas.</t>
  </si>
  <si>
    <t>081264031959</t>
  </si>
  <si>
    <t>3201324109990002</t>
  </si>
  <si>
    <t>Kabupaten Bogor</t>
  </si>
  <si>
    <t>01-09-1999</t>
  </si>
  <si>
    <t>Penerjemahan Bahasa Inggris</t>
  </si>
  <si>
    <t>Part time content creator di Poronaka</t>
  </si>
  <si>
    <t>Private English Tutor</t>
  </si>
  <si>
    <t>annisazulfah88@gmail.com</t>
  </si>
  <si>
    <t>1s2G1DS1JbPIfzNWVlGYzJYn6_n1Mbk2QcWF-m56gylo</t>
  </si>
  <si>
    <t>https://docs.google.com/document/d/1s2G1DS1JbPIfzNWVlGYzJYn6_n1Mbk2QcWF-m56gylo/edit?usp=drivesdk</t>
  </si>
  <si>
    <t>Document successfully created; Document successfully merged; Run via form trigger as kemal.stafsus@gmail.com; Timestamp: Nov 16 2023 10:52 PM</t>
  </si>
  <si>
    <t>https://drive.google.com/open?id=1cbipPTKnT0xAXyvjMaAAgTIK_SfdbspU</t>
  </si>
  <si>
    <t>https://drive.google.com/uc?export=view&amp;id=1cbipPTKnT0xAXyvjMaAAgTIK_SfdbspU</t>
  </si>
  <si>
    <t>Afik Mauliya Rafik</t>
  </si>
  <si>
    <t>+6281903191347</t>
  </si>
  <si>
    <t>3205011809960003</t>
  </si>
  <si>
    <t xml:space="preserve">Perum Saung Sari Wates, blok D65. Godog, Karangpawitan Garut. </t>
  </si>
  <si>
    <t>18-09-1996</t>
  </si>
  <si>
    <t xml:space="preserve">27 tahun, 2 bulan. </t>
  </si>
  <si>
    <t xml:space="preserve">Institut Pendidikan Indonesia </t>
  </si>
  <si>
    <t>Pendidikan bahasa Inggris</t>
  </si>
  <si>
    <t>Green Camp Bali</t>
  </si>
  <si>
    <t>Zero English</t>
  </si>
  <si>
    <t>afikmaulia21@gmail.com</t>
  </si>
  <si>
    <t>1IHGTlKHyFGadh7Ys1Vg1KRoB0jUAqjCuh7aWVEtwEFc</t>
  </si>
  <si>
    <t>https://docs.google.com/document/d/1IHGTlKHyFGadh7Ys1Vg1KRoB0jUAqjCuh7aWVEtwEFc/edit?usp=drivesdk</t>
  </si>
  <si>
    <t>Document successfully created; Invalid image URL [https://drive.google.com/uc?export=view&amp;id=1cbipPTKnT0xAXyvjMaAAgTIK_SfdbspU], make sure that it is public; Document successfully merged; Run via form trigger as kemal.stafsus@gmail.com; Timestamp: Nov 17 2023 11:12 PM</t>
  </si>
  <si>
    <t>https://drive.google.com/open?id=131UGN5IBLc3nWD1jyuZzGxaHAzOqjhdR</t>
  </si>
  <si>
    <t>https://drive.google.com/uc?export=view&amp;id=131UGN5IBLc3nWD1jyuZzGxaHAzOqjhdR</t>
  </si>
  <si>
    <t>Taqiya Nabila Prameswari, S.Pd.</t>
  </si>
  <si>
    <t>0895635658861</t>
  </si>
  <si>
    <t>3174056110010003</t>
  </si>
  <si>
    <t xml:space="preserve">Jl. Prof. Dr. Hamka no. 21A Larangan Utara, Ciledug, Tangerang </t>
  </si>
  <si>
    <t>21-10-2001</t>
  </si>
  <si>
    <t>22 tahun 1 bulan</t>
  </si>
  <si>
    <t xml:space="preserve">S1 PTN- UIN Syarif Hidayatullah Jakarta </t>
  </si>
  <si>
    <t xml:space="preserve">Guru Part Time </t>
  </si>
  <si>
    <t>005676853684</t>
  </si>
  <si>
    <t xml:space="preserve">BCA digital/ Bank Royal Indonesia </t>
  </si>
  <si>
    <t>taqiya2157@gmail.com</t>
  </si>
  <si>
    <t>1fDLg89WojtSXxSScFg4wZhHgmh-BNas5feAXsbKQ7Ts</t>
  </si>
  <si>
    <t>https://docs.google.com/document/d/1fDLg89WojtSXxSScFg4wZhHgmh-BNas5feAXsbKQ7Ts/edit?usp=drivesdk</t>
  </si>
  <si>
    <t>Document successfully created; Document successfully merged; Run via form trigger as kemal.stafsus@gmail.com; Timestamp: Nov 26 2023 12:35 AM</t>
  </si>
  <si>
    <t>https://drive.google.com/open?id=11EjhJqeUVVSXy50Vcq4q0d-0kE_yPCuU</t>
  </si>
  <si>
    <t>https://drive.google.com/uc?export=view&amp;id=11EjhJqeUVVSXy50Vcq4q0d-0kE_yPCuU</t>
  </si>
  <si>
    <t>Frengki Firnando Amd,Kep</t>
  </si>
  <si>
    <t>085157122625</t>
  </si>
  <si>
    <t>1702100108930001</t>
  </si>
  <si>
    <t>Griya loka bsd</t>
  </si>
  <si>
    <t>Sentral baru</t>
  </si>
  <si>
    <t>01-08-1993</t>
  </si>
  <si>
    <t>Poltekkes kemenkes bengkulu</t>
  </si>
  <si>
    <t>Rs islam asshobirin</t>
  </si>
  <si>
    <t>Rs tht bsd</t>
  </si>
  <si>
    <t>Lab bio medika</t>
  </si>
  <si>
    <t>frengkifirnando.tkt3a@gmail.com</t>
  </si>
  <si>
    <t>1yINnwLV8_zeUPfCTcFD7FY8T_cxdK-y85zd0p0ofeQQ</t>
  </si>
  <si>
    <t>https://docs.google.com/document/d/1yINnwLV8_zeUPfCTcFD7FY8T_cxdK-y85zd0p0ofeQQ/edit?usp=drivesdk</t>
  </si>
  <si>
    <t>Document successfully created; Document successfully merged; Run via form trigger as kemal.stafsus@gmail.com; Timestamp: Nov 27 2023 12:41 AM</t>
  </si>
  <si>
    <t>https://drive.google.com/open?id=1QaUnPJBF6jbUSBPPWRuv4CdWH16tQPN5</t>
  </si>
  <si>
    <t>https://drive.google.com/uc?export=view&amp;id=1QaUnPJBF6jbUSBPPWRuv4CdWH16tQPN5</t>
  </si>
  <si>
    <t>Ns. Tiara Purwaningtyas., S.Kep</t>
  </si>
  <si>
    <t>082297276864</t>
  </si>
  <si>
    <t>3671095711940001</t>
  </si>
  <si>
    <t>Jl. Empukanwa XI no 8 Perumnas 2 Tangerang</t>
  </si>
  <si>
    <t>17-11-1994</t>
  </si>
  <si>
    <t xml:space="preserve">29 Tahun </t>
  </si>
  <si>
    <t>Ners</t>
  </si>
  <si>
    <t>4.0</t>
  </si>
  <si>
    <t>perawat Klinik</t>
  </si>
  <si>
    <t>perawat panti werdah budi mulia 2 cengkareng</t>
  </si>
  <si>
    <t>perawat Pratama Homecare</t>
  </si>
  <si>
    <t>purwaningtyastiara@gmail.com</t>
  </si>
  <si>
    <t>1gR6_wY78ljlXKQyaWwsusw3qEQV8MRVQ7-nEML9ydiI</t>
  </si>
  <si>
    <t>https://docs.google.com/document/d/1gR6_wY78ljlXKQyaWwsusw3qEQV8MRVQ7-nEML9ydiI/edit?usp=drivesdk</t>
  </si>
  <si>
    <t>Document successfully created; Document successfully merged; Run via form trigger as kemal.stafsus@gmail.com; Timestamp: Dec 11 2023 11:31 PM</t>
  </si>
  <si>
    <t>https://drive.google.com/open?id=1LMLWnokuKetV1lZwuMsYpCSoCGnEH1b9</t>
  </si>
  <si>
    <t>https://drive.google.com/uc?export=view&amp;id=1LMLWnokuKetV1lZwuMsYpCSoCGnEH1b9</t>
  </si>
  <si>
    <t>Andri Saputra, SP. d</t>
  </si>
  <si>
    <t>082114634013</t>
  </si>
  <si>
    <t>3172052010940001</t>
  </si>
  <si>
    <t>Perumahan villa cileungsi asri 2 blok e1 no 12a</t>
  </si>
  <si>
    <t>20-10-1994</t>
  </si>
  <si>
    <t>Guru Olahraga/Penjaskes</t>
  </si>
  <si>
    <t>PJOK</t>
  </si>
  <si>
    <t>Universitas islam 45</t>
  </si>
  <si>
    <t>Pendidikan jasmani kesehatan dan rekreasi</t>
  </si>
  <si>
    <t>SMP putra 1</t>
  </si>
  <si>
    <t>SMP At-taqwa</t>
  </si>
  <si>
    <t>Sds fatahillah</t>
  </si>
  <si>
    <t>Bank DKI</t>
  </si>
  <si>
    <t>jktadr319@gmail.com</t>
  </si>
  <si>
    <t>1MQZWpTTHPsvhybqrIYHmfgUXjT0VSiyUqesMZnH_R0w</t>
  </si>
  <si>
    <t>https://docs.google.com/document/d/1MQZWpTTHPsvhybqrIYHmfgUXjT0VSiyUqesMZnH_R0w/edit?usp=drivesdk</t>
  </si>
  <si>
    <t>Document successfully created; Document successfully merged; Run via form trigger as kemal.stafsus@gmail.com; Timestamp: Dec 12 2023 12:20 AM</t>
  </si>
  <si>
    <t>https://drive.google.com/open?id=1ptNsbEhDe-dlLBO58IKJm4czidFyKYkr</t>
  </si>
  <si>
    <t>https://drive.google.com/uc?export=view&amp;id=1ptNsbEhDe-dlLBO58IKJm4czidFyKYkr</t>
  </si>
  <si>
    <t>Dewi Sri Wati</t>
  </si>
  <si>
    <t>0811847809</t>
  </si>
  <si>
    <t>3275034912780009</t>
  </si>
  <si>
    <t>Villa Mas Garden Blok c 327 Rt 004 Rw 010 Perwira Bekasi Utara 17122</t>
  </si>
  <si>
    <t>09-12-1978</t>
  </si>
  <si>
    <t>45 tahun 0 bulan</t>
  </si>
  <si>
    <t>AKADEMI KEPERAWATAN SISMADI JAKARTA</t>
  </si>
  <si>
    <t>Perawat di RS Pelabuhan Jakarta (2002-2005)</t>
  </si>
  <si>
    <t>Nurse technician at Ministry of Health Kingdom Saudi Arabia (2005-2015)</t>
  </si>
  <si>
    <t>5000000 - 6000000</t>
  </si>
  <si>
    <t>dewi.sriwati019@gmail.com</t>
  </si>
  <si>
    <t>1s9x33ruAZswE9045Y293nd0_QkrsLbbUK-Xl2_qoCec</t>
  </si>
  <si>
    <t>https://docs.google.com/document/d/1s9x33ruAZswE9045Y293nd0_QkrsLbbUK-Xl2_qoCec/edit?usp=drivesdk</t>
  </si>
  <si>
    <t>Document successfully created; Document successfully merged; Run via form trigger as kemal.stafsus@gmail.com; Timestamp: Dec 12 2023 1:27 AM</t>
  </si>
  <si>
    <t>https://drive.google.com/open?id=1mNrjoZgkkBOk9PA3rssgKyM_MPaj0gu8</t>
  </si>
  <si>
    <t>https://drive.google.com/uc?export=view&amp;id=1mNrjoZgkkBOk9PA3rssgKyM_MPaj0gu8</t>
  </si>
  <si>
    <t>ANNISA RIZQA AULIA, S.Pd.</t>
  </si>
  <si>
    <t>082110772982</t>
  </si>
  <si>
    <t>3578044211980001</t>
  </si>
  <si>
    <t>NGAGEL DADI SURABAYA</t>
  </si>
  <si>
    <t>SURABAYA</t>
  </si>
  <si>
    <t>2 November 1998</t>
  </si>
  <si>
    <t>UNIVERSITAS NEGERI SURABAYA</t>
  </si>
  <si>
    <t>S1 PENDIDIKAN MATEMATIKA</t>
  </si>
  <si>
    <t>MATHEMATICS TEACHER</t>
  </si>
  <si>
    <t>annsrzq@gmail.com</t>
  </si>
  <si>
    <t>15w-YVtFqnUkUw-DA1qh45dq_1Q6U1yacNjYC7v58dRo</t>
  </si>
  <si>
    <t>https://docs.google.com/document/d/15w-YVtFqnUkUw-DA1qh45dq_1Q6U1yacNjYC7v58dRo/edit?usp=drivesdk</t>
  </si>
  <si>
    <t>Document successfully created; Document successfully merged; Run via form trigger as kemal.stafsus@gmail.com; Timestamp: Dec 17 2023 9:38 PM</t>
  </si>
  <si>
    <t>https://drive.google.com/open?id=1HJQN7X5-VsKWhgX5VZq-31z0nLkaarie</t>
  </si>
  <si>
    <t>https://drive.google.com/uc?export=view&amp;id=1HJQN7X5-VsKWhgX5VZq-31z0nLkaarie</t>
  </si>
  <si>
    <t>Annisa Rizqa Aulia S.Pd.</t>
  </si>
  <si>
    <t>0821107772982</t>
  </si>
  <si>
    <t>Ngagel Dadi Surabaya</t>
  </si>
  <si>
    <t xml:space="preserve">Universitas Negeri Surabaya </t>
  </si>
  <si>
    <t xml:space="preserve">S1 Pendidikan Matematika </t>
  </si>
  <si>
    <t>Mathematics Teacher</t>
  </si>
  <si>
    <t>1-E1MHxXqK48rqaQvDZ1sQIkV5K6R28f4JSdfTGcw13k</t>
  </si>
  <si>
    <t>https://docs.google.com/document/d/1-E1MHxXqK48rqaQvDZ1sQIkV5K6R28f4JSdfTGcw13k/edit?usp=drivesdk</t>
  </si>
  <si>
    <t>Document successfully created; Document successfully merged; Run via form trigger as kemal.stafsus@gmail.com; Timestamp: Dec 17 2023 10:04 PM</t>
  </si>
  <si>
    <t>https://drive.google.com/open?id=1ygMQHwOCamUYVNSjKb8hLknLdx1n5mlp</t>
  </si>
  <si>
    <t>https://drive.google.com/uc?export=view&amp;id=1ygMQHwOCamUYVNSjKb8hLknLdx1n5mlp</t>
  </si>
  <si>
    <t>Marfuatin Mutahharah B.B.A</t>
  </si>
  <si>
    <t>082340157620</t>
  </si>
  <si>
    <t>5206164605011005</t>
  </si>
  <si>
    <t xml:space="preserve">Gg. Jati Kuning 2 No.5, RT.5/RW.1, Jati Padang, Ps. Minggu, Kota Jakarta Selatan, Daerah Khusus Ibukota Jakarta </t>
  </si>
  <si>
    <t>06-05-2001</t>
  </si>
  <si>
    <t>Al-Quran / Diniyyah</t>
  </si>
  <si>
    <t>Bisnis Administrasi (Idary)</t>
  </si>
  <si>
    <t>4.76</t>
  </si>
  <si>
    <t>_</t>
  </si>
  <si>
    <t>Guru Privat (Nonlembaga)</t>
  </si>
  <si>
    <t>mrftnmthrh@gmail.com</t>
  </si>
  <si>
    <t>1tlMYT-BmCLVz6ct71V25rJ6EvNYflYj7dzgwiw_y3oc</t>
  </si>
  <si>
    <t>https://docs.google.com/document/d/1tlMYT-BmCLVz6ct71V25rJ6EvNYflYj7dzgwiw_y3oc/edit?usp=drivesdk</t>
  </si>
  <si>
    <t>Document successfully created; Document successfully merged; Run via form trigger as kemal.stafsus@gmail.com; Timestamp: Dec 20 2023 6:58 AM</t>
  </si>
  <si>
    <t>https://drive.google.com/open?id=19P81iCkUHMShB-lMpuZETvIwS_4F8XHC</t>
  </si>
  <si>
    <t>https://drive.google.com/uc?export=view&amp;id=19P81iCkUHMShB-lMpuZETvIwS_4F8XHC</t>
  </si>
  <si>
    <t>Nilanda Chandra Fitriarni S.sos</t>
  </si>
  <si>
    <t>08111707009</t>
  </si>
  <si>
    <t>3174066503780004</t>
  </si>
  <si>
    <t>Jl. H.Nudin No.99 Karang Tengah Lebak Bulus Jakarta Selatan</t>
  </si>
  <si>
    <t>25-03-1978</t>
  </si>
  <si>
    <t>45 tahun 9 bulan</t>
  </si>
  <si>
    <t>Math, Science, EL</t>
  </si>
  <si>
    <t>Universitas Prof. Dr.Moestopo (B) Jakarta</t>
  </si>
  <si>
    <t>Home tutoring Tutorista.id</t>
  </si>
  <si>
    <t>nilanda.chandra@gmail.com</t>
  </si>
  <si>
    <t>1xpZPihJ0wQIVmuMcsc1jCQSto1moJc3t2j8u7LqsmbE</t>
  </si>
  <si>
    <t>https://docs.google.com/document/d/1xpZPihJ0wQIVmuMcsc1jCQSto1moJc3t2j8u7LqsmbE/edit?usp=drivesdk</t>
  </si>
  <si>
    <t>Document successfully created; Document successfully merged; Run via form trigger as kemal.stafsus@gmail.com; Timestamp: Dec 21 2023 2:17 AM</t>
  </si>
  <si>
    <t>https://drive.google.com/open?id=1VOm5j4IBNvFhKxZOw7B5zr4yONICaDSe</t>
  </si>
  <si>
    <t>https://drive.google.com/uc?export=view&amp;id=1VOm5j4IBNvFhKxZOw7B5zr4yONICaDSe</t>
  </si>
  <si>
    <t>Husna Suhada, S.Sos.</t>
  </si>
  <si>
    <t>085176757780</t>
  </si>
  <si>
    <t>3737150111980005</t>
  </si>
  <si>
    <t>Jl. Jenderal Sudirman Gg. Majusri no. 217-s, Rt 02 Rw 06, Kel. Cijerah Kec. Bandung Kulon, Kota Bandung, Jawa Barat 40213.</t>
  </si>
  <si>
    <t>01-11-1998</t>
  </si>
  <si>
    <t>PTN - Universitas Negeri Surabaya</t>
  </si>
  <si>
    <t>S1 Sosiologi</t>
  </si>
  <si>
    <t>Barista - Rvang Cafe Surabaya</t>
  </si>
  <si>
    <t>R&amp;D Marketing Officer (Internship) - CV. Jokopi Indonesia</t>
  </si>
  <si>
    <t>Research Assistant &amp; Supporting - Pusat Studi Gender Unair</t>
  </si>
  <si>
    <t>husnasuhada02@gmail.com</t>
  </si>
  <si>
    <t>1qZgw8GpZUya7FFZ8hPoPwh0D5wP2JgQjc3aTQy1WyA4</t>
  </si>
  <si>
    <t>https://docs.google.com/document/d/1qZgw8GpZUya7FFZ8hPoPwh0D5wP2JgQjc3aTQy1WyA4/edit?usp=drivesdk</t>
  </si>
  <si>
    <t>Document successfully created; Document successfully merged; Run via form trigger as kemal.stafsus@gmail.com; Timestamp: Dec 29 2023 3:14 AM</t>
  </si>
  <si>
    <t>https://drive.google.com/open?id=1vyS2MVNqxRFC7CvxhWClmWJAGAOGkVJ5</t>
  </si>
  <si>
    <t>https://drive.google.com/uc?export=view&amp;id=1vyS2MVNqxRFC7CvxhWClmWJAGAOGkVJ5</t>
  </si>
  <si>
    <t>Dien Fatimah, S.Pd</t>
  </si>
  <si>
    <t>081410207558</t>
  </si>
  <si>
    <t>27-10-1999</t>
  </si>
  <si>
    <t>Tematik</t>
  </si>
  <si>
    <t>dienfatimah16@gmail.com</t>
  </si>
  <si>
    <t>1DZOuoWtTwDU_1XxQ9Z72_yQ-b-UjG1tjKtaYA8Gd_Gs</t>
  </si>
  <si>
    <t>https://docs.google.com/document/d/1DZOuoWtTwDU_1XxQ9Z72_yQ-b-UjG1tjKtaYA8Gd_Gs/edit?usp=drivesdk</t>
  </si>
  <si>
    <t>Document successfully created; Document successfully merged; Run via form trigger as kemal.stafsus@gmail.com; Timestamp: Jan 2 2024 3:06 AM</t>
  </si>
  <si>
    <t>https://drive.google.com/open?id=1upYjn1KobRzd8WQId6uZvGgXOVL0Egpe</t>
  </si>
  <si>
    <t>https://drive.google.com/uc?export=view&amp;id=1upYjn1KobRzd8WQId6uZvGgXOVL0Egpe</t>
  </si>
  <si>
    <t>Suryadi, S.Pd</t>
  </si>
  <si>
    <t>082126998535</t>
  </si>
  <si>
    <t>3174042606941003</t>
  </si>
  <si>
    <t>Pamulang, gria jakarta</t>
  </si>
  <si>
    <t>Al-Quran dan Bahasa arab</t>
  </si>
  <si>
    <t>STAI Darul Qalam</t>
  </si>
  <si>
    <t xml:space="preserve">Mengajar di rumah tahfizd Qur'an </t>
  </si>
  <si>
    <t>suryadiningrat94@gmail.com</t>
  </si>
  <si>
    <t>1nsiEP6WTNr1sJ3eIj2_uX4kC9_IuXQ_Ks-Mr1KzqJ9U</t>
  </si>
  <si>
    <t>https://docs.google.com/document/d/1nsiEP6WTNr1sJ3eIj2_uX4kC9_IuXQ_Ks-Mr1KzqJ9U/edit?usp=drivesdk</t>
  </si>
  <si>
    <t>Document successfully created; Document successfully merged; Run via form trigger as kemal.stafsus@gmail.com; Timestamp: Jan 3 2024 2:07 AM</t>
  </si>
  <si>
    <t>https://drive.google.com/open?id=1ht1SXdnM-dcIhSD0e6uWFKI2rSqKCSyy</t>
  </si>
  <si>
    <t>https://drive.google.com/uc?export=view&amp;id=1ht1SXdnM-dcIhSD0e6uWFKI2rSqKCSyy</t>
  </si>
  <si>
    <t>Muhammad Umar, M. Pd</t>
  </si>
  <si>
    <t>085703465181</t>
  </si>
  <si>
    <t>3603220111960005</t>
  </si>
  <si>
    <t>Pagedangan, Tangerang</t>
  </si>
  <si>
    <t>01-11-1996</t>
  </si>
  <si>
    <t>Diniyah/Qur'an</t>
  </si>
  <si>
    <t>STIBA Arraayah Sukabumi</t>
  </si>
  <si>
    <t>UIN Maulana Malik Ibrahim Malang</t>
  </si>
  <si>
    <t>Muhaffizh</t>
  </si>
  <si>
    <t>Guru Qira'ah (Bahasa Arab)</t>
  </si>
  <si>
    <t>moch.umar10@gmail.com</t>
  </si>
  <si>
    <t>14aUx62pY6rI5SoWcbHUpmGbpO_wuk-VyU4m7hWMmt4I</t>
  </si>
  <si>
    <t>https://docs.google.com/document/d/14aUx62pY6rI5SoWcbHUpmGbpO_wuk-VyU4m7hWMmt4I/edit?usp=drivesdk</t>
  </si>
  <si>
    <t>Document successfully created; Document successfully merged; Run via form trigger as kemal.stafsus@gmail.com; Timestamp: Jan 3 2024 4:49 AM</t>
  </si>
  <si>
    <t>https://drive.google.com/open?id=1okl-RpHXpB5Dy3TLFKX_yvg_RwiZakYt</t>
  </si>
  <si>
    <t>https://drive.google.com/uc?export=view&amp;id=1okl-RpHXpB5Dy3TLFKX_yvg_RwiZakYt</t>
  </si>
  <si>
    <t xml:space="preserve">jefry zaki bustari Lc </t>
  </si>
  <si>
    <t>085777857581</t>
  </si>
  <si>
    <t>3674022311900003</t>
  </si>
  <si>
    <t>Bogor kota</t>
  </si>
  <si>
    <t xml:space="preserve">Banda Aceh </t>
  </si>
  <si>
    <t>23-11-1990</t>
  </si>
  <si>
    <t xml:space="preserve">Universitas islam madinah </t>
  </si>
  <si>
    <t xml:space="preserve">fakultas syariah </t>
  </si>
  <si>
    <t>4.41 dari 5.0</t>
  </si>
  <si>
    <t>Guru pengajar dan bagian kesantrian divisi bahasa PONPES Darunnajah 2 cipining bogor.</t>
  </si>
  <si>
    <t>Guru rumpun diniyah di beberapa sekolah (SMP-SMA) quran</t>
  </si>
  <si>
    <t>Mengisi kajian-kajian islam ilmiah dan guru private.</t>
  </si>
  <si>
    <t>jefrybustari@gmail.com</t>
  </si>
  <si>
    <t>1Enin8hiVXoUvp_jEVF8EQU0YSeXRG4eoz8_XrC5PSzA</t>
  </si>
  <si>
    <t>https://docs.google.com/document/d/1Enin8hiVXoUvp_jEVF8EQU0YSeXRG4eoz8_XrC5PSzA/edit?usp=drivesdk</t>
  </si>
  <si>
    <t>Document successfully created; Document successfully merged; Run via form trigger as kemal.stafsus@gmail.com; Timestamp: Jan 3 2024 8:50 AM</t>
  </si>
  <si>
    <t>https://drive.google.com/open?id=1TyOn760_xlmbcvWJzI2kgneW_T04QiwG</t>
  </si>
  <si>
    <t>https://drive.google.com/uc?export=view&amp;id=1TyOn760_xlmbcvWJzI2kgneW_T04QiwG</t>
  </si>
  <si>
    <t>Muhammad Afrizal, S.H</t>
  </si>
  <si>
    <t>085880179883</t>
  </si>
  <si>
    <t>3173040204000002</t>
  </si>
  <si>
    <t>02-04-2000</t>
  </si>
  <si>
    <t>23 tahun 9 bulan</t>
  </si>
  <si>
    <t>Universitas PTIQ jakarta</t>
  </si>
  <si>
    <t>afrizal020400@gmail.com</t>
  </si>
  <si>
    <t>1dEd46T1ujXOsfYs6bQJHXFXFHQ8GWRTVIFEDfuv9s4A</t>
  </si>
  <si>
    <t>https://docs.google.com/document/d/1dEd46T1ujXOsfYs6bQJHXFXFHQ8GWRTVIFEDfuv9s4A/edit?usp=drivesdk</t>
  </si>
  <si>
    <t>Document successfully created; Document successfully merged; Run via form trigger as kemal.stafsus@gmail.com; Timestamp: Jan 3 2024 10:13 AM</t>
  </si>
  <si>
    <t>https://drive.google.com/open?id=1uTKlZaBLZM7_kwW1jn38DUvSl13O8f0X</t>
  </si>
  <si>
    <t>https://drive.google.com/uc?export=view&amp;id=1uTKlZaBLZM7_kwW1jn38DUvSl13O8f0X</t>
  </si>
  <si>
    <t>Muhamad Kazuwaini Lc</t>
  </si>
  <si>
    <t>087754350930</t>
  </si>
  <si>
    <t>5201010504950003</t>
  </si>
  <si>
    <t>Jln.Masjid Al-Ridwan ,Jati Padang, Pasar minggu, Jakarta Selatan.</t>
  </si>
  <si>
    <t>Kesuma(Gerung) Lombok barat</t>
  </si>
  <si>
    <t>05-04-1995</t>
  </si>
  <si>
    <t>28 Tahun 8 Bulan</t>
  </si>
  <si>
    <t>Diniyah dan Bahasa Arab</t>
  </si>
  <si>
    <t>Lipia Jakarta (Lembaga Ilmu Pengetahuan Islam dan Arab)</t>
  </si>
  <si>
    <t>4,18 (Jayyid Jiddan)</t>
  </si>
  <si>
    <t>Mengajar Privat mengaji dan bahasa arab</t>
  </si>
  <si>
    <t>4.500.000-6.000.000</t>
  </si>
  <si>
    <t>kkazuwaini@gmail.com</t>
  </si>
  <si>
    <t>1hjRMd_50hupT8XrD9AS3ZDaxG4naVl-V38vQMNREsLM</t>
  </si>
  <si>
    <t>https://docs.google.com/document/d/1hjRMd_50hupT8XrD9AS3ZDaxG4naVl-V38vQMNREsLM/edit?usp=drivesdk</t>
  </si>
  <si>
    <t>Document successfully created; Document successfully merged; Run via form trigger as kemal.stafsus@gmail.com; Timestamp: Jan 6 2024 9:25 AM</t>
  </si>
  <si>
    <t>https://drive.google.com/open?id=1rUI0I_18Iu_RcgdQiOLrEQRgfgijIiFJ</t>
  </si>
  <si>
    <t>https://drive.google.com/uc?export=view&amp;id=1rUI0I_18Iu_RcgdQiOLrEQRgfgijIiFJ</t>
  </si>
  <si>
    <t>IIS NUR FAIZAH, S.Ag</t>
  </si>
  <si>
    <t>081584477993</t>
  </si>
  <si>
    <t>3603234105990002</t>
  </si>
  <si>
    <t>Griya Serpong Asri Jl Anggrek Blok O no. 39 Desa Suradita Kecamatan Cisauk Tabupaten Tangerang, Banten</t>
  </si>
  <si>
    <t>01 Mei 1999</t>
  </si>
  <si>
    <t>24 Tahun 8 Bulan</t>
  </si>
  <si>
    <t>Ma'had Aly Sa'iidusshiddiqiyah Jakarta</t>
  </si>
  <si>
    <t>Sejarah Peradaban Islam</t>
  </si>
  <si>
    <t>Guru Bahasa Inggris Madrasah Diniyah</t>
  </si>
  <si>
    <t>Rp. 2.000.000</t>
  </si>
  <si>
    <t>Rp. 4.600.000</t>
  </si>
  <si>
    <t>iisnurfaizahmansur@gmail.com</t>
  </si>
  <si>
    <t>1Ii1E06ov8OrAv0MvEnNFuBgCosvTOAWm7lUFbMPeCBs</t>
  </si>
  <si>
    <t>https://docs.google.com/document/d/1Ii1E06ov8OrAv0MvEnNFuBgCosvTOAWm7lUFbMPeCBs/edit?usp=drivesdk</t>
  </si>
  <si>
    <t>Document successfully created; Document successfully merged; Run via form trigger as kemal.stafsus@gmail.com; Timestamp: Jan 9 2024 4:50 AM</t>
  </si>
  <si>
    <t>https://drive.google.com/open?id=170TnW3mBGkvbXgdM0R_61ykcOzQu27FX</t>
  </si>
  <si>
    <t>https://drive.google.com/uc?export=view&amp;id=170TnW3mBGkvbXgdM0R_61ykcOzQu27FX</t>
  </si>
  <si>
    <t>Khaerunnisa Allutful Ilahi,S.Pd</t>
  </si>
  <si>
    <t>082172897118</t>
  </si>
  <si>
    <t>3673056404010004</t>
  </si>
  <si>
    <t>Serang Banten</t>
  </si>
  <si>
    <t>24-04-2001</t>
  </si>
  <si>
    <t>English math and science</t>
  </si>
  <si>
    <t xml:space="preserve">Pendidikan matematika </t>
  </si>
  <si>
    <t>Shinkenjuku math tutor (part time)</t>
  </si>
  <si>
    <t xml:space="preserve">English teacher at sdit Pluit raya </t>
  </si>
  <si>
    <t>0726304925</t>
  </si>
  <si>
    <t>allutfulilahikhaerunnisa@gmail.com</t>
  </si>
  <si>
    <t>1dDJZRVgmVR_A0YK64t6acPXyU36DQjYyzrPAVVq7ogg</t>
  </si>
  <si>
    <t>https://docs.google.com/document/d/1dDJZRVgmVR_A0YK64t6acPXyU36DQjYyzrPAVVq7ogg/edit?usp=drivesdk</t>
  </si>
  <si>
    <t>Document successfully created; Document successfully merged; Run via form trigger as kemal.stafsus@gmail.com; Timestamp: Jan 12 2024 2:18 AM</t>
  </si>
  <si>
    <t>https://drive.google.com/open?id=16-7vdFom2BNeHo4W5SyfaSsmdYhZUOYh</t>
  </si>
  <si>
    <t>https://drive.google.com/uc?export=view&amp;id=16-7vdFom2BNeHo4W5SyfaSsmdYhZUOYh</t>
  </si>
  <si>
    <t xml:space="preserve">Putri Oktavia Rusadi, S. E. </t>
  </si>
  <si>
    <t>085218525416</t>
  </si>
  <si>
    <t>3212254610010002</t>
  </si>
  <si>
    <t>Freelance English Center</t>
  </si>
  <si>
    <t>4. 000.000</t>
  </si>
  <si>
    <t>Freelance Insta Privat</t>
  </si>
  <si>
    <t>Freelance Awesome</t>
  </si>
  <si>
    <t>putrioktav0610@gmail.com</t>
  </si>
  <si>
    <t>1Ny4OwJcixwFf23k-o3v6WeC51D6exr8MSCjOCDN0dAo</t>
  </si>
  <si>
    <t>https://docs.google.com/document/d/1Ny4OwJcixwFf23k-o3v6WeC51D6exr8MSCjOCDN0dAo/edit?usp=drivesdk</t>
  </si>
  <si>
    <t>Document successfully created; Document successfully merged; Run via form trigger as kemal.stafsus@gmail.com; Timestamp: Jan 16 2024 1:40 AM</t>
  </si>
  <si>
    <t>https://drive.google.com/open?id=1oh2lUGHzMSNrEzvz8DukToebWtSXoHD-</t>
  </si>
  <si>
    <t>https://drive.google.com/uc?export=view&amp;id=1oh2lUGHzMSNrEzvz8DukToebWtSXoHD-</t>
  </si>
  <si>
    <t>Naili Afwillah, S.Pd</t>
  </si>
  <si>
    <t>085156474154</t>
  </si>
  <si>
    <t>3603235304990002/E5563596</t>
  </si>
  <si>
    <t>Perum. GSA Blok E4 No.4, Suradita, Cisauk, Kab. Tangerang</t>
  </si>
  <si>
    <t>13-04-1999</t>
  </si>
  <si>
    <t>S1 - Universitas Sebelas Maret</t>
  </si>
  <si>
    <t>S2 - Universitas Pendidikan Indonesia</t>
  </si>
  <si>
    <t>Part-time guru kimia dan staff kurikulum - SMA EGS Bandung</t>
  </si>
  <si>
    <t>nafwillah@gmail.com</t>
  </si>
  <si>
    <t>1d_AgujSlhi7lI1mAAaPst-uhHToBLBVpvsA1n2wf5iU</t>
  </si>
  <si>
    <t>https://docs.google.com/document/d/1d_AgujSlhi7lI1mAAaPst-uhHToBLBVpvsA1n2wf5iU/edit?usp=drivesdk</t>
  </si>
  <si>
    <t>Document successfully created; Document successfully merged; Run via form trigger as kemal.stafsus@gmail.com; Timestamp: Jan 23 2024 6:52 AM</t>
  </si>
  <si>
    <t>https://drive.google.com/open?id=1UpdIcR0QSlfwUoMqYriBBGzUjECn-VgZ</t>
  </si>
  <si>
    <t>https://drive.google.com/uc?export=view&amp;id=1UpdIcR0QSlfwUoMqYriBBGzUjECn-VgZ</t>
  </si>
  <si>
    <t>Vita Dwi Larasati, Lc.</t>
  </si>
  <si>
    <t>087740523319</t>
  </si>
  <si>
    <t>5201096701990002</t>
  </si>
  <si>
    <t>Jln Jatipadang Utara rt. 4 rw. 2, Jatipadang Pasar Minggu</t>
  </si>
  <si>
    <t>27-01-1999</t>
  </si>
  <si>
    <t>25 tahun 7 hari</t>
  </si>
  <si>
    <t xml:space="preserve">Diniyah and Arabic </t>
  </si>
  <si>
    <t>Guru privat online bahasa arab (3-4 jp/minggu)</t>
  </si>
  <si>
    <t>Guru bahasa Arab online (2jp/minggu)</t>
  </si>
  <si>
    <t>Guru dauroh syar'iyah</t>
  </si>
  <si>
    <t>Lupa</t>
  </si>
  <si>
    <t>vitadwilara27@gmail.com</t>
  </si>
  <si>
    <t>1Nk5Iqb3CeNkiE6ECKBre4nIv2J_OLI8xgVoCSbOkpt8</t>
  </si>
  <si>
    <t>https://docs.google.com/document/d/1Nk5Iqb3CeNkiE6ECKBre4nIv2J_OLI8xgVoCSbOkpt8/edit?usp=drivesdk</t>
  </si>
  <si>
    <t>Document successfully created; Document successfully merged; Run via form trigger as kemal.stafsus@gmail.com; Timestamp: Feb 2 2024 10:03 AM</t>
  </si>
  <si>
    <t>https://drive.google.com/open?id=1658fgSUdZ7cDBGh4QJZTZgvAuLuWLGAj</t>
  </si>
  <si>
    <t>https://drive.google.com/uc?export=view&amp;id=1658fgSUdZ7cDBGh4QJZTZgvAuLuWLGAj</t>
  </si>
  <si>
    <t>Rizal Hanavi</t>
  </si>
  <si>
    <t>08990823834</t>
  </si>
  <si>
    <t>3674062105930002</t>
  </si>
  <si>
    <t>Jl.beruang 2 RT01/RW02 Pondok Ranji CIputat Timur</t>
  </si>
  <si>
    <t>21-05-1993</t>
  </si>
  <si>
    <t>Manajemen Pemasaran</t>
  </si>
  <si>
    <t>3.04</t>
  </si>
  <si>
    <t>Pernah bekerja di perusahan retail selama 9tahun</t>
  </si>
  <si>
    <t>Bank Central Asia (BCA)</t>
  </si>
  <si>
    <t>rizalhanavi34@gmail.com</t>
  </si>
  <si>
    <t>1zp-XwWMa5H8JFPqX4C7yZz4quJfbEBe7GvfxyVA0RSE</t>
  </si>
  <si>
    <t>https://docs.google.com/document/d/1zp-XwWMa5H8JFPqX4C7yZz4quJfbEBe7GvfxyVA0RSE/edit?usp=drivesdk</t>
  </si>
  <si>
    <t>Document successfully created; Document successfully merged; Run via form trigger as kemal.stafsus@gmail.com; Timestamp: Feb 6 2024 10:40 PM</t>
  </si>
  <si>
    <t>https://drive.google.com/open?id=1a5-A6KthT9lzAZ_fCtZizgp9NU_XBj0g</t>
  </si>
  <si>
    <t>https://drive.google.com/uc?export=view&amp;id=1a5-A6KthT9lzAZ_fCtZizgp9NU_XBj0g</t>
  </si>
  <si>
    <t>Endang Sriwahyuni,B.Sh</t>
  </si>
  <si>
    <t>081219276286</t>
  </si>
  <si>
    <t>3305045611980001</t>
  </si>
  <si>
    <t xml:space="preserve">Jl. Madukara rt 15 rw 2 Makasar Jakarta Timur </t>
  </si>
  <si>
    <t>16-11-98</t>
  </si>
  <si>
    <t>Diniyyah dan Bahasa Arab</t>
  </si>
  <si>
    <t>S1 Lipia Jakarta</t>
  </si>
  <si>
    <t>S1 Jurusan Syariah</t>
  </si>
  <si>
    <t>4.75</t>
  </si>
  <si>
    <t>Pengabdian Guru Fiqh dan Tahfidz</t>
  </si>
  <si>
    <t>Guru Tahsin dan Bahasa Arab</t>
  </si>
  <si>
    <t>Guru Tahfidz, Bahasa Arab dan Fiqh</t>
  </si>
  <si>
    <t>wahyuniendangsri89@gmail.com</t>
  </si>
  <si>
    <t>1_FY1KWzbPJ60JnoVwHmhvCQnxkldLSs1_Uljt_oUEmA</t>
  </si>
  <si>
    <t>https://docs.google.com/document/d/1_FY1KWzbPJ60JnoVwHmhvCQnxkldLSs1_Uljt_oUEmA/edit?usp=drivesdk</t>
  </si>
  <si>
    <t>Document successfully created; Document successfully merged; Run via form trigger as kemal.stafsus@gmail.com; Timestamp: Feb 10 2024 10:07 PM</t>
  </si>
  <si>
    <t>https://drive.google.com/open?id=1h6NUj6Q2Ws7wvkTohDIGGZy-9PJEYA-j</t>
  </si>
  <si>
    <t>https://drive.google.com/uc?export=view&amp;id=1h6NUj6Q2Ws7wvkTohDIGGZy-9PJEYA-j</t>
  </si>
  <si>
    <t>Sunan saputra</t>
  </si>
  <si>
    <t>087704772725</t>
  </si>
  <si>
    <t>5203181002020005</t>
  </si>
  <si>
    <t>10 Februari 2002</t>
  </si>
  <si>
    <t xml:space="preserve">Ndk ada </t>
  </si>
  <si>
    <t>sunansaputra20@gmail.com</t>
  </si>
  <si>
    <t>19R8cfu8u1oHeBjk9HXoPe6I_absP8kNTuhGjEbW2NI8</t>
  </si>
  <si>
    <t>https://docs.google.com/document/d/19R8cfu8u1oHeBjk9HXoPe6I_absP8kNTuhGjEbW2NI8/edit?usp=drivesdk</t>
  </si>
  <si>
    <t>Document successfully created; Document successfully merged; Run via form trigger as kemal.stafsus@gmail.com; Timestamp: Feb 12 2024 1:24 AM</t>
  </si>
  <si>
    <t>https://drive.google.com/open?id=1dv1mW5zBpESE4-Bs5TsPbUIMkxN_iFW-</t>
  </si>
  <si>
    <t>https://drive.google.com/uc?export=view&amp;id=1dv1mW5zBpESE4-Bs5TsPbUIMkxN_iFW-</t>
  </si>
  <si>
    <t>Maisie Vanianda</t>
  </si>
  <si>
    <t>087888365721</t>
  </si>
  <si>
    <t>3174014308060008</t>
  </si>
  <si>
    <t>03-08-2006</t>
  </si>
  <si>
    <t>17 tahun 6 bulan</t>
  </si>
  <si>
    <t>maisie.vanianda38@gmail.com</t>
  </si>
  <si>
    <t>1KQysH4lSlYQW9Ob_WYJVzxutrqK5fWL8MQHEXjoGuaw</t>
  </si>
  <si>
    <t>https://docs.google.com/document/d/1KQysH4lSlYQW9Ob_WYJVzxutrqK5fWL8MQHEXjoGuaw/edit?usp=drivesdk</t>
  </si>
  <si>
    <t>Document successfully created; Document successfully merged; Run via form trigger as kemal.stafsus@gmail.com; Timestamp: Feb 15 2024 12:09 AM</t>
  </si>
  <si>
    <t>https://drive.google.com/open?id=1I4cBJNimyajgOuPjADNR73iiKimNq2m7</t>
  </si>
  <si>
    <t>https://drive.google.com/uc?export=view&amp;id=1I4cBJNimyajgOuPjADNR73iiKimNq2m7</t>
  </si>
  <si>
    <t>Nawal ifada</t>
  </si>
  <si>
    <t>082267630775</t>
  </si>
  <si>
    <t>1107166212000002</t>
  </si>
  <si>
    <t>Komplek Kejaksaan Agung, Pasar Minggu, Jakarta Selatan.</t>
  </si>
  <si>
    <t>22 12 2000</t>
  </si>
  <si>
    <t>23 Tahun 2 bulan</t>
  </si>
  <si>
    <t>Arabic, Al-quran dan diniyyah</t>
  </si>
  <si>
    <t>IPK akhir belum keluar (menyusul) insya Allah</t>
  </si>
  <si>
    <t xml:space="preserve">Guru diniyah dan Al Qur'an di Home Schooling Muhammad Al fatih jenjang SD ( 2019 -2021) </t>
  </si>
  <si>
    <t>Guru diniyah, Arabic, Al Qur'an Dan Musyrifah di pondok pesantren Ar Rabwah tingkat SMP- SMA (2021-2022)</t>
  </si>
  <si>
    <t>Guru Al Qur'an dan Musyrifah di Sentra Qur'an ImanPath As-Shafwah tingkat Kuliah kerja, sekaligus Founder dan pengajar El mahirah Tahfidz Tahsin Murojaah online (sekarang).</t>
  </si>
  <si>
    <t>ifadanawal@gmail.com</t>
  </si>
  <si>
    <t>1SgYWDIepXs6bfDb_4qR8iPYSJfBaFHY0y8Jke0Mx9IY</t>
  </si>
  <si>
    <t>https://docs.google.com/document/d/1SgYWDIepXs6bfDb_4qR8iPYSJfBaFHY0y8Jke0Mx9IY/edit?usp=drivesdk</t>
  </si>
  <si>
    <t>Document successfully created; Document successfully merged; Run via form trigger as kemal.stafsus@gmail.com; Timestamp: Feb 15 2024 10:52 PM</t>
  </si>
  <si>
    <t>https://drive.google.com/open?id=1euTf3uc-FRxLCWcH42UPSyuMfJPSE8qh</t>
  </si>
  <si>
    <t>https://drive.google.com/uc?export=view&amp;id=1euTf3uc-FRxLCWcH42UPSyuMfJPSE8qh</t>
  </si>
  <si>
    <t>Riska Altivani STP</t>
  </si>
  <si>
    <t>08170122607</t>
  </si>
  <si>
    <t>3671075405890004</t>
  </si>
  <si>
    <t>Perumahan Cimone Mas Permai I. Jalan Nusantara No 95.</t>
  </si>
  <si>
    <t>14-05-1989</t>
  </si>
  <si>
    <t>34 Tahun 9 bulan</t>
  </si>
  <si>
    <t>KSP (HR/Litbang/Finance/Legal/Marketing/IT) &amp; Finance</t>
  </si>
  <si>
    <t>Food Scient</t>
  </si>
  <si>
    <t>Officer Bank Muamalat Indonesia</t>
  </si>
  <si>
    <t>altivani@gmail.com</t>
  </si>
  <si>
    <t>1WL-xAezzL5591qOUrbFFkLOHUdzy1_tMGWyhcvFqRd8</t>
  </si>
  <si>
    <t>https://docs.google.com/document/d/1WL-xAezzL5591qOUrbFFkLOHUdzy1_tMGWyhcvFqRd8/edit?usp=drivesdk</t>
  </si>
  <si>
    <t>Document successfully created; Document successfully merged; Run via form trigger as kemal.stafsus@gmail.com; Timestamp: Feb 21 2024 7:24 AM</t>
  </si>
  <si>
    <t>https://drive.google.com/open?id=1ltY3NpOk2VofY9_FbxclGVAgv8r6Bn_5</t>
  </si>
  <si>
    <t>https://drive.google.com/uc?export=view&amp;id=1ltY3NpOk2VofY9_FbxclGVAgv8r6Bn_5</t>
  </si>
  <si>
    <t>Putra Wibawa, S.Pd.</t>
  </si>
  <si>
    <t>081999302577</t>
  </si>
  <si>
    <t>5204181812920001</t>
  </si>
  <si>
    <t>Perumahan Grand Muslim, Terong Tawah, Lombok Barat.</t>
  </si>
  <si>
    <t>Sumbawa Besar.</t>
  </si>
  <si>
    <t>STAI ALI BIN ABI THALIB SURABAYA</t>
  </si>
  <si>
    <t>UNIVERSITAS ISLAM NEGERI MATARAM</t>
  </si>
  <si>
    <t>HUMAS</t>
  </si>
  <si>
    <t>64.45</t>
  </si>
  <si>
    <t>wibawap1892@gmail.com</t>
  </si>
  <si>
    <t>1n5i1uLAGEiWJQHXMMcZ5qkZFCN7neGzJcDLzvCKEV7s</t>
  </si>
  <si>
    <t>https://docs.google.com/document/d/1n5i1uLAGEiWJQHXMMcZ5qkZFCN7neGzJcDLzvCKEV7s/edit?usp=drivesdk</t>
  </si>
  <si>
    <t>Document successfully created; Document successfully merged; Run via form trigger as kemal.stafsus@gmail.com; Timestamp: Feb 28 2024 5:09 AM</t>
  </si>
  <si>
    <t>https://drive.google.com/open?id=1g--WtZXhYo5hoiqQGq1ZLZBT9nXkjirO</t>
  </si>
  <si>
    <t>https://drive.google.com/uc?export=view&amp;id=1g--WtZXhYo5hoiqQGq1ZLZBT9nXkjirO</t>
  </si>
  <si>
    <t>Ariska Anjalni, S.Si</t>
  </si>
  <si>
    <t>088707746767</t>
  </si>
  <si>
    <t>3271067108010006</t>
  </si>
  <si>
    <t>Cimanggu, Kedung Badak, Tanah Sareal, Kota Bogor</t>
  </si>
  <si>
    <t>Kota Bogor</t>
  </si>
  <si>
    <t>31 Agustus 2001</t>
  </si>
  <si>
    <t>Private Teacher</t>
  </si>
  <si>
    <t>Assistant English Teacher</t>
  </si>
  <si>
    <t>ariska.anjalni@gmail.com</t>
  </si>
  <si>
    <t>1sJk24J0IRBV_TT4me8XBMQApto5hB1jB39zk21V1Toc</t>
  </si>
  <si>
    <t>https://docs.google.com/document/d/1sJk24J0IRBV_TT4me8XBMQApto5hB1jB39zk21V1Toc/edit?usp=drivesdk</t>
  </si>
  <si>
    <t>Document successfully created; Document successfully merged; Run via form trigger as kemal.stafsus@gmail.com; Timestamp: Feb 29 2024 11:04 PM</t>
  </si>
  <si>
    <t>https://drive.google.com/open?id=1VO345ieFifyqEctTWFs8cZEVKYU-xnac</t>
  </si>
  <si>
    <t>https://drive.google.com/uc?export=view&amp;id=1VO345ieFifyqEctTWFs8cZEVKYU-xnac</t>
  </si>
  <si>
    <t>Aulia Zarah, S.Ag</t>
  </si>
  <si>
    <t>082319692759</t>
  </si>
  <si>
    <t>Jalan Bidar 3 No. 4, Kelapa Dua</t>
  </si>
  <si>
    <t xml:space="preserve">Pekanbaru </t>
  </si>
  <si>
    <t>Guru Diniyyah di TK (merangkap jadi guru Al-Qur'an &amp; Arabic, mengajar Nuronniyah juga)</t>
  </si>
  <si>
    <t>S1 - Sekolah Tinggi Agama Islam Asy-Syukriyah</t>
  </si>
  <si>
    <t>Madrasah Ibtidaiyah Tahfizh Makkah (jadi guru pengabdian)</t>
  </si>
  <si>
    <t>SDIT An-Najiyyah (Jadi guru magang 3 bulan sebelum keterima di ITBA)</t>
  </si>
  <si>
    <t xml:space="preserve">Al-Wildan Islamic School 1 Gading Serpong </t>
  </si>
  <si>
    <t>Saat ini gaji ana 6.850.000 (sudah mengajar di Al-Wildan dari 21 Januari 2019)</t>
  </si>
  <si>
    <t>princessaulia11@gmail.com</t>
  </si>
  <si>
    <t>1_-ifvF2il6cPZtBamsDzBlrhdKSjPNh-GH96LZP4v9E</t>
  </si>
  <si>
    <t>https://docs.google.com/document/d/1_-ifvF2il6cPZtBamsDzBlrhdKSjPNh-GH96LZP4v9E/edit?usp=drivesdk</t>
  </si>
  <si>
    <t>Document successfully created; Document successfully merged; Run via form trigger as kemal.stafsus@gmail.com; Timestamp: Mar 25 2024 2:15 AM</t>
  </si>
  <si>
    <t>https://drive.google.com/open?id=1r4AQ-FDfFVBixuI2Gk5TDCcb6MpSz1mB</t>
  </si>
  <si>
    <t>https://drive.google.com/uc?export=view&amp;id=1r4AQ-FDfFVBixuI2Gk5TDCcb6MpSz1mB</t>
  </si>
  <si>
    <t>Uyun Komariyah, S.Pd</t>
  </si>
  <si>
    <t>087809692503</t>
  </si>
  <si>
    <t>3672084708990001</t>
  </si>
  <si>
    <t>Link. Tegaltong, Kel. Kebonsari, Kec. Citangkil, Kota Cilegon, Banten.</t>
  </si>
  <si>
    <t>07-08-1999</t>
  </si>
  <si>
    <t xml:space="preserve">Pengajar Freelance Fisika </t>
  </si>
  <si>
    <t>1.000.000 - 2.000.000</t>
  </si>
  <si>
    <t>uyun.komariyah7@gmail.com</t>
  </si>
  <si>
    <t>1el5Xd7z0m_-9POWS5kpnyCCalJeyoiMA8Jp8i6wJD30</t>
  </si>
  <si>
    <t>https://docs.google.com/document/d/1el5Xd7z0m_-9POWS5kpnyCCalJeyoiMA8Jp8i6wJD30/edit?usp=drivesdk</t>
  </si>
  <si>
    <t>Document successfully created; Document successfully merged; Run via form trigger as kemal.stafsus@gmail.com; Timestamp: Mar 31 2024 6:17 PM</t>
  </si>
  <si>
    <t>https://drive.google.com/open?id=18l2z70SDNvPuwJBhC2-Zdf0UT0UschBY</t>
  </si>
  <si>
    <t>https://drive.google.com/uc?export=view&amp;id=18l2z70SDNvPuwJBhC2-Zdf0UT0UschBY</t>
  </si>
  <si>
    <t>Aliqa Nadhifa Rosa S.Pd</t>
  </si>
  <si>
    <t>087721806059</t>
  </si>
  <si>
    <t>3216076411990003</t>
  </si>
  <si>
    <t xml:space="preserve">Perumahan Griya Asri 2 Blok G12/37 RT 08 RW 026 Sumberjaya, Tambun Selatan, Kabupaten Bekasi </t>
  </si>
  <si>
    <t>24-11-1999</t>
  </si>
  <si>
    <t>Humas/Public Relations</t>
  </si>
  <si>
    <t>Al-Wildan 13 Tembalang, Bekasi</t>
  </si>
  <si>
    <t>Administrative Assistant (internship)</t>
  </si>
  <si>
    <t>aliqarosa@gmail.com</t>
  </si>
  <si>
    <t>1aDojvilCaul4b4aZmuYK2ea7PWu3xdZ8Rhc06Oe0Fjk</t>
  </si>
  <si>
    <t>https://docs.google.com/document/d/1aDojvilCaul4b4aZmuYK2ea7PWu3xdZ8Rhc06Oe0Fjk/edit?usp=drivesdk</t>
  </si>
  <si>
    <t>Document successfully created; Document successfully merged; Run via form trigger as kemal.stafsus@gmail.com; Timestamp: Apr 25 2024 2:22 AM</t>
  </si>
  <si>
    <t>https://drive.google.com/open?id=1THavoeKG29eWtJwooFed171vCyVVrNtk</t>
  </si>
  <si>
    <t>https://drive.google.com/uc?export=view&amp;id=1THavoeKG29eWtJwooFed171vCyVVrNtk</t>
  </si>
  <si>
    <t>Nadia Khairunnisa, S.Si</t>
  </si>
  <si>
    <t>0895344537935</t>
  </si>
  <si>
    <t>3276014806990004</t>
  </si>
  <si>
    <t>Bojong Pondok Terong No. 50 RT03/RW13, Kec. Cipayung, Kota Depok</t>
  </si>
  <si>
    <t>08-06-1999</t>
  </si>
  <si>
    <t>PTN (Strata-1) - Universitas Islam Negeri Syarif Hidayatullah Jakarta</t>
  </si>
  <si>
    <t>Guru tingkat SD (Bimbel Tiki Taka cabang Parung Bingung)</t>
  </si>
  <si>
    <t>Guru coding freelance (Timedoor Academy cabang Cibinong)</t>
  </si>
  <si>
    <t>nadiakhairunnisa233@gmail.com</t>
  </si>
  <si>
    <t>1kk8nXr2-mC2AOr8SzKLcC1uiLgovuYWUoICTvJwVs5I</t>
  </si>
  <si>
    <t>https://docs.google.com/document/d/1kk8nXr2-mC2AOr8SzKLcC1uiLgovuYWUoICTvJwVs5I/edit?usp=drivesdk</t>
  </si>
  <si>
    <t>Document successfully created; Document successfully merged; Run via form trigger as kemal.stafsus@gmail.com; Timestamp: Apr 26 2024 11:24 AM</t>
  </si>
  <si>
    <t>https://drive.google.com/open?id=1tTIq14rUHr0uuULtFTmIxynQEQYRVN1V</t>
  </si>
  <si>
    <t>https://drive.google.com/uc?export=view&amp;id=1tTIq14rUHr0uuULtFTmIxynQEQYRVN1V</t>
  </si>
  <si>
    <t>Lalu Nuzul Ilham Hadi, Lc., S.Ag., CHNCO., CHCO., CNLPCO</t>
  </si>
  <si>
    <t>081916906708</t>
  </si>
  <si>
    <t>5202092501970003/C6967585</t>
  </si>
  <si>
    <t>Jln. Nasional 11 Kp. cibereum Kec. cugenang Kab. cianjur</t>
  </si>
  <si>
    <t>25-01-1997</t>
  </si>
  <si>
    <t>Al-Qur'an/ Diniyah/ Arabic</t>
  </si>
  <si>
    <t>STIQ ZAD Cianjur</t>
  </si>
  <si>
    <t>Ilmu Al-Qur'an &amp; Tafsir</t>
  </si>
  <si>
    <t>IIQ Jakarta</t>
  </si>
  <si>
    <t>Dosen Ilmu Al-Quran &amp; Tafsir STIQ Zad Cianjur</t>
  </si>
  <si>
    <t>Pembina Halaqah Al-Qur'an STIQ Zad Cianjur</t>
  </si>
  <si>
    <t>Guru Diniyah SMA ZAD IQBS dan Pembina Tahfizh dan Halaqah, Koordinator Musyrifin SMP &amp; SMA ZAD IQBS</t>
  </si>
  <si>
    <t>abudardailham571@gmail.com</t>
  </si>
  <si>
    <t>1dBQ6744Et5aBmNBrLEU7HWoG6zJ288DE004UxlyHw6M</t>
  </si>
  <si>
    <t>https://docs.google.com/document/d/1dBQ6744Et5aBmNBrLEU7HWoG6zJ288DE004UxlyHw6M/edit?usp=drivesdk</t>
  </si>
  <si>
    <t>Document successfully created; Document successfully merged; Run via form trigger as kemal.stafsus@gmail.com; Timestamp: Apr 26 2024 12:38 PM</t>
  </si>
  <si>
    <t>https://drive.google.com/open?id=1KE8ngSaPDd1r87T7nqo1oM5GPNXPJAFM</t>
  </si>
  <si>
    <t>https://drive.google.com/uc?export=view&amp;id=1KE8ngSaPDd1r87T7nqo1oM5GPNXPJAFM</t>
  </si>
  <si>
    <t>Ratna Sari Dewi S.Si</t>
  </si>
  <si>
    <t>081270571017</t>
  </si>
  <si>
    <t>1304035807910003</t>
  </si>
  <si>
    <t>Jl. Satria kelapa 1 no 65 RT 02/ RW 02, Ujung Menteng, Cakung,  Jakarta timur</t>
  </si>
  <si>
    <t>Tanah Datar</t>
  </si>
  <si>
    <t>18-07-1991</t>
  </si>
  <si>
    <t>32 tahun 9 Bulan</t>
  </si>
  <si>
    <t>Branch Manager</t>
  </si>
  <si>
    <t>ratnasaridewi642@gmail.com</t>
  </si>
  <si>
    <t>133PVBXeEbfRlef3zqaIeNYBBj5uxwLXQkmXc2FzG4IY</t>
  </si>
  <si>
    <t>https://docs.google.com/document/d/133PVBXeEbfRlef3zqaIeNYBBj5uxwLXQkmXc2FzG4IY/edit?usp=drivesdk</t>
  </si>
  <si>
    <t>Document successfully created; Document successfully merged; Run via form trigger as kemal.stafsus@gmail.com; Timestamp: Apr 26 2024 8:55 PM</t>
  </si>
  <si>
    <t>https://drive.google.com/open?id=1sqXNLn_mkwho7f_PzSYtDrvgXfhMrAZ5</t>
  </si>
  <si>
    <t>https://drive.google.com/uc?export=view&amp;id=1sqXNLn_mkwho7f_PzSYtDrvgXfhMrAZ5</t>
  </si>
  <si>
    <t>Aisyah Nanda Hafsuna S.Pd</t>
  </si>
  <si>
    <t>081283190859</t>
  </si>
  <si>
    <t>5203044803010001</t>
  </si>
  <si>
    <t>Jl. Perintis Kemerdekaan RT 01 RW0 05, Kp, Cimenteng, Sukamulya, Kec. Cikembar, Kabupaten Sukabumi, Jawa Barat 43161</t>
  </si>
  <si>
    <t>lombok timur</t>
  </si>
  <si>
    <t>08-03-2001</t>
  </si>
  <si>
    <t>Al-Wildam 20 Mataram</t>
  </si>
  <si>
    <t>GURU BAHASA ARAB</t>
  </si>
  <si>
    <t>nandahafsunaaisyah@gmail.com</t>
  </si>
  <si>
    <t>1OK3CmWf05frxIiBOkK3lnzPFj0NFpa26crh4XaolpqY</t>
  </si>
  <si>
    <t>https://docs.google.com/document/d/1OK3CmWf05frxIiBOkK3lnzPFj0NFpa26crh4XaolpqY/edit?usp=drivesdk</t>
  </si>
  <si>
    <t>Document successfully created; Document successfully merged; Run via form trigger as kemal.stafsus@gmail.com; Timestamp: Apr 26 2024 9:59 PM</t>
  </si>
  <si>
    <t>https://drive.google.com/open?id=1EPZONvfbxsnJ6xCRmJi9zZiG6BnEPBvY</t>
  </si>
  <si>
    <t>https://drive.google.com/uc?export=view&amp;id=1EPZONvfbxsnJ6xCRmJi9zZiG6BnEPBvY</t>
  </si>
  <si>
    <t>Fiqh Hakim Al Fatih, S.Pd</t>
  </si>
  <si>
    <t>085102577888</t>
  </si>
  <si>
    <t>3173021404000006</t>
  </si>
  <si>
    <t>Jalan Bidar I no. 22, Kelapa Dua, Kab. Tangerang, Banten 15810</t>
  </si>
  <si>
    <t>14-04-2000</t>
  </si>
  <si>
    <t>Brain Academy by Ruangguru (PT Ruang Raya Indonesia)</t>
  </si>
  <si>
    <t>Akademia</t>
  </si>
  <si>
    <t>fiqh.hakim@gmail.com</t>
  </si>
  <si>
    <t>1XxUWSaNusUyBjc80NxiQssHc5s82ifEiY2k60SlLNqI</t>
  </si>
  <si>
    <t>https://docs.google.com/document/d/1XxUWSaNusUyBjc80NxiQssHc5s82ifEiY2k60SlLNqI/edit?usp=drivesdk</t>
  </si>
  <si>
    <t>Document successfully created; Document successfully merged; Run via form trigger as kemal.stafsus@gmail.com; Timestamp: Apr 27 2024 12:01 AM</t>
  </si>
  <si>
    <t>https://drive.google.com/open?id=1_X6D48uJ9PMvZFpNhpXYR6SEsir431dW</t>
  </si>
  <si>
    <t>https://drive.google.com/uc?export=view&amp;id=1_X6D48uJ9PMvZFpNhpXYR6SEsir431dW</t>
  </si>
  <si>
    <t>Amsal Alhayat, M.Pd</t>
  </si>
  <si>
    <t>082125300104</t>
  </si>
  <si>
    <t>6103010405000003</t>
  </si>
  <si>
    <t xml:space="preserve">Jalan Gegerkalong Hilir No. 212, Kota Bandung </t>
  </si>
  <si>
    <t>Singkawang</t>
  </si>
  <si>
    <t>4-5-2000</t>
  </si>
  <si>
    <t>Kimia/Chemistry (Cambridge Curriculum)</t>
  </si>
  <si>
    <t>Universitas Tanjungpura Pontianak</t>
  </si>
  <si>
    <t xml:space="preserve">Staf Ahli Pengembang Naskah Akademik </t>
  </si>
  <si>
    <t>Editor Buku Ilmiah</t>
  </si>
  <si>
    <t>BANK MANDIRI</t>
  </si>
  <si>
    <t>amsalalhayat@gmail.com</t>
  </si>
  <si>
    <t>1lh2u7co7J44jKnxr6-LAY_ZMhwDZ5APV8arqTaWSeTQ</t>
  </si>
  <si>
    <t>https://docs.google.com/document/d/1lh2u7co7J44jKnxr6-LAY_ZMhwDZ5APV8arqTaWSeTQ/edit?usp=drivesdk</t>
  </si>
  <si>
    <t>Document successfully created; Document successfully merged; Run via form trigger as kemal.stafsus@gmail.com; Timestamp: Apr 27 2024 2:33 AM</t>
  </si>
  <si>
    <t>https://drive.google.com/open?id=1Zo0xHkelLH02JQAWcLQ2QaJVqnNL3Z-h</t>
  </si>
  <si>
    <t>https://drive.google.com/uc?export=view&amp;id=1Zo0xHkelLH02JQAWcLQ2QaJVqnNL3Z-h</t>
  </si>
  <si>
    <t>Achmad Fawwas Gibran, Lc</t>
  </si>
  <si>
    <t>085175096991</t>
  </si>
  <si>
    <t>3216202211960001</t>
  </si>
  <si>
    <t>Jl Kelinci IV/S-2/01 Cikarang Baru RT.04 RW.09 Kel/Des. Jayamukti Kec. Cikarang Pusat</t>
  </si>
  <si>
    <t>22-11-1996</t>
  </si>
  <si>
    <t>Al-Qur'an Diniyyah Arabic</t>
  </si>
  <si>
    <t>Al-Wildan 22 Makassar</t>
  </si>
  <si>
    <t>LN (S1) - Universitas Mohammed V, Rabat Maroko</t>
  </si>
  <si>
    <t>3.29 (12/20)</t>
  </si>
  <si>
    <t>Universitas Ibnu Khaldun (On going)</t>
  </si>
  <si>
    <t>Pengajar Diniyyah dan bahasa Arab di Pesantren Modern Ummul Quro Al-Islami, serta menjadi pengurus (staff) kurikulum pendidikan pesantren</t>
  </si>
  <si>
    <t>Pengajar Islamic Studies (PAI)  dan bahasa Arab dan Al-Qur'an di Al-Taqwa College Indonesia</t>
  </si>
  <si>
    <t xml:space="preserve">Tutor Bahasa Arab di Kukche Languages (Part-time) </t>
  </si>
  <si>
    <t>75.000 (per meeting)</t>
  </si>
  <si>
    <t>fawwazgib89@gmail.com</t>
  </si>
  <si>
    <t>1pYEaGWkKZY1GWJ0cyANc8FwXaf5mH4xKRptEVcNTz2k</t>
  </si>
  <si>
    <t>https://docs.google.com/document/d/1pYEaGWkKZY1GWJ0cyANc8FwXaf5mH4xKRptEVcNTz2k/edit?usp=drivesdk</t>
  </si>
  <si>
    <t>Document successfully created; Document successfully merged; Run via form trigger as kemal.stafsus@gmail.com; Timestamp: Apr 27 2024 3:19 AM</t>
  </si>
  <si>
    <t>https://drive.google.com/open?id=1EwLf_uiREprT8osp5z38OqR47pHfgtKe</t>
  </si>
  <si>
    <t>https://drive.google.com/uc?export=view&amp;id=1EwLf_uiREprT8osp5z38OqR47pHfgtKe</t>
  </si>
  <si>
    <t>Yuni Hoeruni, S.Pd.</t>
  </si>
  <si>
    <t>081802589963</t>
  </si>
  <si>
    <t>3203025706950015</t>
  </si>
  <si>
    <t>Jalan Layar No 1 Cisaranten Endah Arcamanik Kota Bandung</t>
  </si>
  <si>
    <t>17-06-1995</t>
  </si>
  <si>
    <t>Guru Biologi</t>
  </si>
  <si>
    <t>Guru IPA/Biologi</t>
  </si>
  <si>
    <t>yunihoeruni@gmail.com</t>
  </si>
  <si>
    <t>1GBLT1OXYBLlPCZhlzyRmVy6_Tr9cqx6A764lfw7xr5s</t>
  </si>
  <si>
    <t>https://docs.google.com/document/d/1GBLT1OXYBLlPCZhlzyRmVy6_Tr9cqx6A764lfw7xr5s/edit?usp=drivesdk</t>
  </si>
  <si>
    <t>Document successfully created; Document successfully merged; Run via form trigger as kemal.stafsus@gmail.com; Timestamp: Apr 27 2024 4:03 AM</t>
  </si>
  <si>
    <t>https://drive.google.com/open?id=1hwNDHApKGEMBRk0UClTejk0rz4QgLQop</t>
  </si>
  <si>
    <t>https://drive.google.com/uc?export=view&amp;id=1hwNDHApKGEMBRk0UClTejk0rz4QgLQop</t>
  </si>
  <si>
    <t>Assyifa Al Khansa, S.Pd, Gr</t>
  </si>
  <si>
    <t>08561664812</t>
  </si>
  <si>
    <t>3172024304950008</t>
  </si>
  <si>
    <t>Jalan Sukarela I No 10 RT 01 / RW 03 Paninggilan, Ciledug, Kota Tangerang</t>
  </si>
  <si>
    <t>03-04-1995</t>
  </si>
  <si>
    <t>29 tahun 24 hari</t>
  </si>
  <si>
    <t xml:space="preserve">Guru Bimbel </t>
  </si>
  <si>
    <t>khansasyif@gmail.com</t>
  </si>
  <si>
    <t>1R2rLdyuRQHWq0MkS4R3NzsSPi8fJLCxvAtLmYqZywQo</t>
  </si>
  <si>
    <t>https://docs.google.com/document/d/1R2rLdyuRQHWq0MkS4R3NzsSPi8fJLCxvAtLmYqZywQo/edit?usp=drivesdk</t>
  </si>
  <si>
    <t>Document successfully created; Document successfully merged; Run via form trigger as kemal.stafsus@gmail.com; Timestamp: Apr 27 2024 5:43 AM</t>
  </si>
  <si>
    <t>https://drive.google.com/open?id=1Thw6wRKAzlMHlnhq9WKAqUzF_g-GC6fV</t>
  </si>
  <si>
    <t>https://drive.google.com/uc?export=view&amp;id=1Thw6wRKAzlMHlnhq9WKAqUzF_g-GC6fV</t>
  </si>
  <si>
    <t>Alya Vinnisya, S.Pd.</t>
  </si>
  <si>
    <t>0895333831003</t>
  </si>
  <si>
    <t>3173084203010005</t>
  </si>
  <si>
    <t>Cluster Flamboyan Blok H/04 RT004/RW005, Kelurahan Kenanga, Kecamatan Cipondoh, Kota Tangerang, BANTEN 15146</t>
  </si>
  <si>
    <t>02-03-2001</t>
  </si>
  <si>
    <t>Primagama Kelapa Gading - Tentor Bahasa Indonesia</t>
  </si>
  <si>
    <t>1.500.000 - 2.000.000</t>
  </si>
  <si>
    <t>Les Privat SD</t>
  </si>
  <si>
    <t>TPQ Darul Muttaqin</t>
  </si>
  <si>
    <t>4.700.000 - 7.000.000</t>
  </si>
  <si>
    <t>alyavnnsy@gmail.com</t>
  </si>
  <si>
    <t>11OL4LdgTt0KIzRawd-vgQKLHOEmPqQjQiOSMZuJzmzg</t>
  </si>
  <si>
    <t>https://docs.google.com/document/d/11OL4LdgTt0KIzRawd-vgQKLHOEmPqQjQiOSMZuJzmzg/edit?usp=drivesdk</t>
  </si>
  <si>
    <t>Document successfully created; Document successfully merged; Run via form trigger as kemal.stafsus@gmail.com; Timestamp: Apr 27 2024 7:11 AM</t>
  </si>
  <si>
    <t>https://drive.google.com/open?id=1j6KZpMoLQO2pardPJL_nv5sWSYpkOxsp</t>
  </si>
  <si>
    <t>https://drive.google.com/uc?export=view&amp;id=1j6KZpMoLQO2pardPJL_nv5sWSYpkOxsp</t>
  </si>
  <si>
    <t>Widyantika Afiatna Maharani, S.Pd., M. Hum</t>
  </si>
  <si>
    <t>081318566229</t>
  </si>
  <si>
    <t>3603125802950006</t>
  </si>
  <si>
    <t>Jl. Kencana Raya No 11 Blok D1, RT 01, RW 11, Villa Tomang Baru 2, Kelurahan Kutabaru, Kecamatan Pasarkemis</t>
  </si>
  <si>
    <t>18-02-1995</t>
  </si>
  <si>
    <t>Linguistik</t>
  </si>
  <si>
    <t>Freelance Teacher di BKB Nurul Fikri</t>
  </si>
  <si>
    <t>IELTS Teacher di EduBridge</t>
  </si>
  <si>
    <t>EduOn Indonesia</t>
  </si>
  <si>
    <t>widyafiatna@gmail.com</t>
  </si>
  <si>
    <t>1STjkL8jF0WmcgwribqXhY2oav2bJ4SCT6S_6iIn7nRI</t>
  </si>
  <si>
    <t>https://docs.google.com/document/d/1STjkL8jF0WmcgwribqXhY2oav2bJ4SCT6S_6iIn7nRI/edit?usp=drivesdk</t>
  </si>
  <si>
    <t>Document successfully created; Document successfully merged; Run via form trigger as kemal.stafsus@gmail.com; Timestamp: Apr 27 2024 7:14 AM</t>
  </si>
  <si>
    <t>https://drive.google.com/open?id=1RNlLtvPGiudoqW0hiYnBrIH9AfSLUVtu</t>
  </si>
  <si>
    <t>https://drive.google.com/uc?export=view&amp;id=1RNlLtvPGiudoqW0hiYnBrIH9AfSLUVtu</t>
  </si>
  <si>
    <t>Nurul Farach, M.Pd.</t>
  </si>
  <si>
    <t>082130467425</t>
  </si>
  <si>
    <t>3274015906970005</t>
  </si>
  <si>
    <t xml:space="preserve">Jalan Kembang No. 12 Rt 04 Rw 05 Kelurahan Sukapura Kecamatan Kejaksan Kota Cirebon </t>
  </si>
  <si>
    <t>Kota Cirebon</t>
  </si>
  <si>
    <t xml:space="preserve">26 tahun 10 bulan </t>
  </si>
  <si>
    <t xml:space="preserve">Pendidikan IPA </t>
  </si>
  <si>
    <t>Asisten Laboratorium</t>
  </si>
  <si>
    <t xml:space="preserve">Tutor Kinderfield Highfield School </t>
  </si>
  <si>
    <t>010701082195506</t>
  </si>
  <si>
    <t>nurulfarachfadilah@gmail.com</t>
  </si>
  <si>
    <t>1TdkTmMzDzjwt8ymorMaPO85aisworoWOJ2vy3htBn3I</t>
  </si>
  <si>
    <t>https://docs.google.com/document/d/1TdkTmMzDzjwt8ymorMaPO85aisworoWOJ2vy3htBn3I/edit?usp=drivesdk</t>
  </si>
  <si>
    <t>Document successfully created; Document successfully merged; Run via form trigger as kemal.stafsus@gmail.com; Timestamp: Apr 27 2024 10:23 AM</t>
  </si>
  <si>
    <t>https://drive.google.com/open?id=1j7s2Y-izyizccoNDuxooMtmNWk36q27h</t>
  </si>
  <si>
    <t>https://drive.google.com/uc?export=view&amp;id=1j7s2Y-izyizccoNDuxooMtmNWk36q27h</t>
  </si>
  <si>
    <t>Gatayu Alrian Nurfalah, B.BA, S.Pd</t>
  </si>
  <si>
    <t>085725803091</t>
  </si>
  <si>
    <t>3201020205970002</t>
  </si>
  <si>
    <t>Ciangsana, Gunung Putri, Bogor</t>
  </si>
  <si>
    <t>02-05-1997</t>
  </si>
  <si>
    <t>Lipia, STAI Al-Barokah</t>
  </si>
  <si>
    <t>Manajemen, Pendidikan Agama Islam</t>
  </si>
  <si>
    <t>4,6 - 3,3</t>
  </si>
  <si>
    <t>Guru Diniyah, bahasa arab dan Al-Qur'an</t>
  </si>
  <si>
    <t>gatayu.alrian22@gmail.com</t>
  </si>
  <si>
    <t>16j5lSl2woT7MVDRJL4LAOgBxqO4zRoNXbYaxCkpItMA</t>
  </si>
  <si>
    <t>https://docs.google.com/document/d/16j5lSl2woT7MVDRJL4LAOgBxqO4zRoNXbYaxCkpItMA/edit?usp=drivesdk</t>
  </si>
  <si>
    <t>Document successfully created; Document successfully merged; Run via form trigger as kemal.stafsus@gmail.com; Timestamp: Apr 27 2024 12:04 PM</t>
  </si>
  <si>
    <t>https://drive.google.com/open?id=1Ss3dJJTGO5H-RNgZ3wqqrurbtc3q1Nwc</t>
  </si>
  <si>
    <t>https://drive.google.com/uc?export=view&amp;id=1Ss3dJJTGO5H-RNgZ3wqqrurbtc3q1Nwc</t>
  </si>
  <si>
    <t>Fera Ningsih, S.Pd</t>
  </si>
  <si>
    <t>085765994938</t>
  </si>
  <si>
    <t>1306125011950001</t>
  </si>
  <si>
    <t>Jalan Abdul Wahab, Perumahan Nangka Valley, Cluster Dieng, Blok D no 9, Kedaung, Kecamatan Sawangan Kota Depok, Jawa Barat</t>
  </si>
  <si>
    <t>Batu Palano (Agam, Sumatera Barat )</t>
  </si>
  <si>
    <t>10 November 1995</t>
  </si>
  <si>
    <t>Pendidikan Kewarganegaraan (PKN)</t>
  </si>
  <si>
    <t>Pendidikan Pancasila dan Kewarganegaraan (PPKN)</t>
  </si>
  <si>
    <t>Pengalaman selama 2 tahun 3 bulan menjadi pengajar tingkat MTs dan MA di Pondok Pesantren Modern Diniyyah Pasia (Sumatera Barat).</t>
  </si>
  <si>
    <t>042701027188506</t>
  </si>
  <si>
    <t xml:space="preserve">Bank Rakyat Indonesia </t>
  </si>
  <si>
    <t>fera.ningsih12@gmail.com</t>
  </si>
  <si>
    <t>1RLBQCa1otM_ZFvUpKsKZOgY3t5RFb1pz9HHbRhOTrvk</t>
  </si>
  <si>
    <t>https://docs.google.com/document/d/1RLBQCa1otM_ZFvUpKsKZOgY3t5RFb1pz9HHbRhOTrvk/edit?usp=drivesdk</t>
  </si>
  <si>
    <t>Document successfully created; Document successfully merged; Run via form trigger as kemal.stafsus@gmail.com; Timestamp: Apr 27 2024 6:12 PM</t>
  </si>
  <si>
    <t>https://drive.google.com/open?id=1VVxq4owUJoY8-RWKV0LEaYLwEkpqBD-t</t>
  </si>
  <si>
    <t>https://drive.google.com/uc?export=view&amp;id=1VVxq4owUJoY8-RWKV0LEaYLwEkpqBD-t</t>
  </si>
  <si>
    <t>Siti Zulfa Husna, S.Pd.</t>
  </si>
  <si>
    <t>087865846014</t>
  </si>
  <si>
    <t>5271015411950004</t>
  </si>
  <si>
    <t>Jl. Lestari No.8 Moncok Karya Ampenan</t>
  </si>
  <si>
    <t>14-11-1995</t>
  </si>
  <si>
    <t>Pendidikan Bahasa Sastra Indonesia</t>
  </si>
  <si>
    <t xml:space="preserve">
Campaign coordinator - Lingkar Peduli Indonesia</t>
  </si>
  <si>
    <t>Guru Honor Bahasa Indonesia</t>
  </si>
  <si>
    <t>Coordinator team - BW creative Project</t>
  </si>
  <si>
    <t>sitizulfa.husna@gmail.com</t>
  </si>
  <si>
    <t>18ohcEx_B87_xp47ZbRZ2R7TP51xWB3Gp04e4GlVOtLg</t>
  </si>
  <si>
    <t>https://docs.google.com/document/d/18ohcEx_B87_xp47ZbRZ2R7TP51xWB3Gp04e4GlVOtLg/edit?usp=drivesdk</t>
  </si>
  <si>
    <t>Document successfully created; Document successfully merged; Run via form trigger as kemal.stafsus@gmail.com; Timestamp: Apr 27 2024 6:28 PM</t>
  </si>
  <si>
    <t>https://drive.google.com/open?id=1XwsgiXLXBe4vxdx_uD8kC-wyH4HLrNFF</t>
  </si>
  <si>
    <t>https://drive.google.com/uc?export=view&amp;id=1XwsgiXLXBe4vxdx_uD8kC-wyH4HLrNFF</t>
  </si>
  <si>
    <t>Muhammad Yani, M.Ed.</t>
  </si>
  <si>
    <t>081916553532</t>
  </si>
  <si>
    <t>5206182301990002</t>
  </si>
  <si>
    <t>23 Januari 1999</t>
  </si>
  <si>
    <t>25 Tahun 3 bulan</t>
  </si>
  <si>
    <t>Universiti Pendidikan Sultan Idris</t>
  </si>
  <si>
    <t>Pendidikan Bahasa Inggris (TESL)</t>
  </si>
  <si>
    <t>muhyani1999@gmaiil.com</t>
  </si>
  <si>
    <t>1uHRdyFbv2nVxxBzLScMFf9fsNZnDzpGbACp3J-MnJlY</t>
  </si>
  <si>
    <t>https://docs.google.com/document/d/1uHRdyFbv2nVxxBzLScMFf9fsNZnDzpGbACp3J-MnJlY/edit?usp=drivesdk</t>
  </si>
  <si>
    <t>Document successfully created; Document successfully merged; Run via form trigger as kemal.stafsus@gmail.com; Timestamp: Apr 27 2024 6:59 PM</t>
  </si>
  <si>
    <t>https://drive.google.com/open?id=1fpdTbG3htE1lBigC3nLiq-WEu6h1w6-k</t>
  </si>
  <si>
    <t>https://drive.google.com/uc?export=view&amp;id=1fpdTbG3htE1lBigC3nLiq-WEu6h1w6-k</t>
  </si>
  <si>
    <t>Rachman Syuhada</t>
  </si>
  <si>
    <t>08997279292</t>
  </si>
  <si>
    <t>3674060107870004</t>
  </si>
  <si>
    <t>Gang Kemuning 6 No. 36, rt. 002/rw.006, Pamulang Barat, Tangerang Selatan</t>
  </si>
  <si>
    <t>01-07-1987</t>
  </si>
  <si>
    <t>36 tahun 10 bulan</t>
  </si>
  <si>
    <t>Pemanfaatan Sumberdaya Perikanan</t>
  </si>
  <si>
    <t>2.53</t>
  </si>
  <si>
    <t>Magister Manajemen</t>
  </si>
  <si>
    <t>Guru Matematika &amp; Biologi Cambridge IGCSE &amp; AS/A
SMP-SMA Al Taqwa College Indonesia</t>
  </si>
  <si>
    <t>Guru Homeschool Matematika &amp; Science, Cambridge IGCSE/O Level &amp; IB-D
Private Tutor</t>
  </si>
  <si>
    <t>3.000.000-8.000.000</t>
  </si>
  <si>
    <t>rachman.syuhada@gmail.com</t>
  </si>
  <si>
    <t>11qGWf9I5us347AV6PQJ1eaF5G5qCHOaiNWmHM4oEffQ</t>
  </si>
  <si>
    <t>https://docs.google.com/document/d/11qGWf9I5us347AV6PQJ1eaF5G5qCHOaiNWmHM4oEffQ/edit?usp=drivesdk</t>
  </si>
  <si>
    <t>Document successfully created; Document successfully merged; Run via form trigger as kemal.stafsus@gmail.com; Timestamp: Apr 27 2024 9:37 PM</t>
  </si>
  <si>
    <t>https://drive.google.com/open?id=1WqGQed4HcvC8v4ru9jx9yvfcm5jBF_U1</t>
  </si>
  <si>
    <t>https://drive.google.com/uc?export=view&amp;id=1WqGQed4HcvC8v4ru9jx9yvfcm5jBF_U1</t>
  </si>
  <si>
    <t>Nurin Amalina Widityani, S.Si., M.T.</t>
  </si>
  <si>
    <t>082214837871</t>
  </si>
  <si>
    <t>3273236911950002</t>
  </si>
  <si>
    <t>Telaga Asih, Kec. Cikarang Bar., Kabupaten Bekasi, Jawa Barat 17520</t>
  </si>
  <si>
    <t>Kota Bandung</t>
  </si>
  <si>
    <t>S1-UNPAD</t>
  </si>
  <si>
    <t>Geofisika</t>
  </si>
  <si>
    <t>S2-ITB</t>
  </si>
  <si>
    <t>Teknik Geofisika</t>
  </si>
  <si>
    <t>Guru Sekolah Mata Pelajaran Fisika Unit SMA (SMA IT Nurul Fajri Cikarang Barat)</t>
  </si>
  <si>
    <t>Guru Bimbel Mata Pelajaran Fisika Unit SMA, Guru Bimbel Mata Pelajaran IPA Unit SMP, Guru Bimbel Mata Pelajaran Matematika Unit SMP (Konsultan Pendidikan dan Bimbingan Belajar IWA K Bandung)</t>
  </si>
  <si>
    <t>Guru Bimbel Mata Pelajaran Fisika Unit SMA (Bimbingan Belajar Tridaya Group)</t>
  </si>
  <si>
    <t>nurinamalina3@gmail.com</t>
  </si>
  <si>
    <t>1Up5ZkFxKtC6H31WaVnP8G7OaAJB8UMYAhAWZgWriz-w</t>
  </si>
  <si>
    <t>https://docs.google.com/document/d/1Up5ZkFxKtC6H31WaVnP8G7OaAJB8UMYAhAWZgWriz-w/edit?usp=drivesdk</t>
  </si>
  <si>
    <t>Document successfully created; Document successfully merged; Run via form trigger as kemal.stafsus@gmail.com; Timestamp: Apr 27 2024 11:19 PM</t>
  </si>
  <si>
    <t>https://drive.google.com/open?id=1yoFetEEcPUkRrFCu9d6PIpC8m-XFjBak</t>
  </si>
  <si>
    <t>https://drive.google.com/uc?export=view&amp;id=1yoFetEEcPUkRrFCu9d6PIpC8m-XFjBak</t>
  </si>
  <si>
    <t>Zafira Andini Muzzamil, S.Pd</t>
  </si>
  <si>
    <t>081213545836</t>
  </si>
  <si>
    <t>3201016112960001</t>
  </si>
  <si>
    <t>Perum. Bumi Cibinong Endah Blok C5 no.28 Sukahati, Cibinong, Kab. Bogor</t>
  </si>
  <si>
    <t>Cibinong, Bogor</t>
  </si>
  <si>
    <t>21-12-1997</t>
  </si>
  <si>
    <t>SMA Sekolah Alam Cikeas</t>
  </si>
  <si>
    <t>Quipper Edukasi Indonesia</t>
  </si>
  <si>
    <t>4.800.000 - 8.000.000/project</t>
  </si>
  <si>
    <t>SMAN 5 Bogor</t>
  </si>
  <si>
    <t>5.500.000 - 6.500.000</t>
  </si>
  <si>
    <t>zafiraa012@gmail.com</t>
  </si>
  <si>
    <t>1E8rHgaceL43h4pnQbnR-Vwiv30JdpHrl3Ibgabv7TYU</t>
  </si>
  <si>
    <t>https://docs.google.com/document/d/1E8rHgaceL43h4pnQbnR-Vwiv30JdpHrl3Ibgabv7TYU/edit?usp=drivesdk</t>
  </si>
  <si>
    <t>Document successfully created; Document successfully merged; Run via form trigger as kemal.stafsus@gmail.com; Timestamp: Apr 27 2024 11:27 PM</t>
  </si>
  <si>
    <t>https://drive.google.com/open?id=1U8FbHrrggnlI9VsO5tTRihuEbRMK4xg_</t>
  </si>
  <si>
    <t>https://drive.google.com/uc?export=view&amp;id=1U8FbHrrggnlI9VsO5tTRihuEbRMK4xg_</t>
  </si>
  <si>
    <t>Andrei Suprayogi, S.Pd.</t>
  </si>
  <si>
    <t>085773827069</t>
  </si>
  <si>
    <t>3516042010950001</t>
  </si>
  <si>
    <t>Dsn. Slepi RT 004/ RW 002, Ds. Ketapanrame, Kec. Trawas, Kab. Mojokerto, Jawa Timur (651375)</t>
  </si>
  <si>
    <t>20-10-1995</t>
  </si>
  <si>
    <t>PTS (S1) - Universitas Muhammadiyah Malang</t>
  </si>
  <si>
    <t>3.97</t>
  </si>
  <si>
    <t>Guru IPA (Kelas) - SMP Ar Rohmah Malang</t>
  </si>
  <si>
    <t xml:space="preserve">Master Teacher Natural Science - Ruangguru </t>
  </si>
  <si>
    <t>andreisuprayogi@gmail.com</t>
  </si>
  <si>
    <t>1EMZoQJohcgV0jwdkCIPzZB22WQsWarlgnBHrQZLwlYk</t>
  </si>
  <si>
    <t>https://docs.google.com/document/d/1EMZoQJohcgV0jwdkCIPzZB22WQsWarlgnBHrQZLwlYk/edit?usp=drivesdk</t>
  </si>
  <si>
    <t>Document successfully created; Document successfully merged; Run via form trigger as kemal.stafsus@gmail.com; Timestamp: Apr 28 2024 5:45 AM</t>
  </si>
  <si>
    <t>https://drive.google.com/open?id=16zn8jrt1RxHu19_25miVuVF7e2dEo_OF</t>
  </si>
  <si>
    <t>https://drive.google.com/uc?export=view&amp;id=16zn8jrt1RxHu19_25miVuVF7e2dEo_OF</t>
  </si>
  <si>
    <t>Ainun Trie Wulandari, S. Pd.</t>
  </si>
  <si>
    <t>0859162732417</t>
  </si>
  <si>
    <t>1409026202970001</t>
  </si>
  <si>
    <t>Pendulan, Sumberagung, Moyudan, Sleman, D. I.  Yogyakarta</t>
  </si>
  <si>
    <t>Sleman</t>
  </si>
  <si>
    <t>22-02-1997</t>
  </si>
  <si>
    <t>SEM SD</t>
  </si>
  <si>
    <t>Pendidikan Guru Sekolah Dasar (PGSD)</t>
  </si>
  <si>
    <t>2019-2022: Mutiara Harapan Islamic School</t>
  </si>
  <si>
    <t>2022-2024: Gistrav Islamia School</t>
  </si>
  <si>
    <t>6.500.000 - 7.000.000</t>
  </si>
  <si>
    <t>ainuntrie3@gmail.com</t>
  </si>
  <si>
    <t>1rMDoCghsKI0GRwp7EOHflbj8S0HGMEFelWM3XKAKxzw</t>
  </si>
  <si>
    <t>https://docs.google.com/document/d/1rMDoCghsKI0GRwp7EOHflbj8S0HGMEFelWM3XKAKxzw/edit?usp=drivesdk</t>
  </si>
  <si>
    <t>Document successfully created; Document successfully merged; Run via form trigger as kemal.stafsus@gmail.com; Timestamp: Apr 28 2024 6:21 AM</t>
  </si>
  <si>
    <t>https://drive.google.com/open?id=1znrJkchofb_xUOWAuwY2epUjSFWky2kS</t>
  </si>
  <si>
    <t>https://drive.google.com/uc?export=view&amp;id=1znrJkchofb_xUOWAuwY2epUjSFWky2kS</t>
  </si>
  <si>
    <t>Muhibah Awaliyah, S.Pd.</t>
  </si>
  <si>
    <t>085840620376</t>
  </si>
  <si>
    <t>3173064604010011 / E0061621</t>
  </si>
  <si>
    <t>Jalan Peta Selatan Gang Assalam RT 010 RW 001 No. 88 Kalideres, Jakarta Barat Kode Pos 11840</t>
  </si>
  <si>
    <t>06-04-2001</t>
  </si>
  <si>
    <t>23 tahun 22 hari</t>
  </si>
  <si>
    <t xml:space="preserve">Guru Kimia di SMAN 65 Jakarta </t>
  </si>
  <si>
    <t>unpaid (tidak digaji)</t>
  </si>
  <si>
    <t>Private Teacher Science Subject</t>
  </si>
  <si>
    <t>095901031769537</t>
  </si>
  <si>
    <t>muhibahawaliyah@gmail.com</t>
  </si>
  <si>
    <t>1J9Ic3E9CNmD7u1QsLXc3-sJNq3YptrJ3OC2sDNz1vI0</t>
  </si>
  <si>
    <t>https://docs.google.com/document/d/1J9Ic3E9CNmD7u1QsLXc3-sJNq3YptrJ3OC2sDNz1vI0/edit?usp=drivesdk</t>
  </si>
  <si>
    <t>Document successfully created; Document successfully merged; Run via form trigger as kemal.stafsus@gmail.com; Timestamp: Apr 28 2024 6:37 AM</t>
  </si>
  <si>
    <t>https://drive.google.com/open?id=1pNbo2tobmYuhnqCYa7_xXWM3dJOJfUGp</t>
  </si>
  <si>
    <t>https://drive.google.com/uc?export=view&amp;id=1pNbo2tobmYuhnqCYa7_xXWM3dJOJfUGp</t>
  </si>
  <si>
    <t>Muhammad Jaki Farhansyah. S.H.</t>
  </si>
  <si>
    <t>085731542059</t>
  </si>
  <si>
    <t>3275010908000019</t>
  </si>
  <si>
    <t>Perum. Pesona mutiara tambun 1. Blok A4 No. 28 Jl. Kasuari 1, Kec. Tambun Sel., Bekasi, Jawa Barat, 17510</t>
  </si>
  <si>
    <t>09-08-2000</t>
  </si>
  <si>
    <t>Al-qur’an, Diniyyah, Arabic</t>
  </si>
  <si>
    <t>STDI Imam Syafi’i Jember</t>
  </si>
  <si>
    <t>Guru privat</t>
  </si>
  <si>
    <t>71.5</t>
  </si>
  <si>
    <t>zakkyfarhan56@gmail.com</t>
  </si>
  <si>
    <t>1vLIhxBGki5GHZLkBDr76C8o9BDN37rT0ARdQCRDZb4s</t>
  </si>
  <si>
    <t>https://docs.google.com/document/d/1vLIhxBGki5GHZLkBDr76C8o9BDN37rT0ARdQCRDZb4s/edit?usp=drivesdk</t>
  </si>
  <si>
    <t>Document successfully created; Document successfully merged; Run via form trigger as kemal.stafsus@gmail.com; Timestamp: Apr 28 2024 7:30 PM</t>
  </si>
  <si>
    <t>https://drive.google.com/open?id=1Z6yuIqj7fak_cAvEpDqtKMSOo3pYvTun</t>
  </si>
  <si>
    <t>https://drive.google.com/uc?export=view&amp;id=1Z6yuIqj7fak_cAvEpDqtKMSOo3pYvTun</t>
  </si>
  <si>
    <t>FAJAR ANGGA RIZKY.Lc</t>
  </si>
  <si>
    <t>085888251994</t>
  </si>
  <si>
    <t>3603181807950001</t>
  </si>
  <si>
    <t>Mulya Asri 1 A4/12, Sukamulya, Cikupa, Kab. Tangerang</t>
  </si>
  <si>
    <t>18 07 1995</t>
  </si>
  <si>
    <t>bahasa arab</t>
  </si>
  <si>
    <t>4.45 dari 5</t>
  </si>
  <si>
    <t xml:space="preserve">Menjadi guru Bahasa arab di Fitrah Islamic World Academy ( FIWA ) </t>
  </si>
  <si>
    <t>ultimatefajar@gmail.com</t>
  </si>
  <si>
    <t>1SjrsQTV_IVSDWlB7rTqA9Og5bfJC-DFVmsOFTf-Pg3M</t>
  </si>
  <si>
    <t>https://docs.google.com/document/d/1SjrsQTV_IVSDWlB7rTqA9Og5bfJC-DFVmsOFTf-Pg3M/edit?usp=drivesdk</t>
  </si>
  <si>
    <t>Document successfully created; Document successfully merged; Run via form trigger as kemal.stafsus@gmail.com; Timestamp: Apr 28 2024 9:38 PM</t>
  </si>
  <si>
    <t>https://drive.google.com/open?id=1Pq8eEtrEmpHAWBH0oGIU-U0BQ-Q6I7mR</t>
  </si>
  <si>
    <t>https://drive.google.com/uc?export=view&amp;id=1Pq8eEtrEmpHAWBH0oGIU-U0BQ-Q6I7mR</t>
  </si>
  <si>
    <t>Reza Tri Nugroho, S.Pd</t>
  </si>
  <si>
    <t>0895627500777</t>
  </si>
  <si>
    <t>3309021611909002</t>
  </si>
  <si>
    <t>Griya Limus Asri Kapling RT 01/12 Desa Pasir Angin, Kec.Cileungsi, Kab. Bogor, Prov.Jawa Barat</t>
  </si>
  <si>
    <t>Boyolali</t>
  </si>
  <si>
    <t>33 Tahun 5 Bulan</t>
  </si>
  <si>
    <t>Universitas Islam Balitar</t>
  </si>
  <si>
    <t>Pengurus Yayasan</t>
  </si>
  <si>
    <t>0440011112</t>
  </si>
  <si>
    <t>BCA SYARIAH</t>
  </si>
  <si>
    <t>kazozo9090@gmail.com</t>
  </si>
  <si>
    <t>1mzTekkgYhQGWLp2Io60kvILZSxo2BznS5rC77Ip5PpU</t>
  </si>
  <si>
    <t>https://docs.google.com/document/d/1mzTekkgYhQGWLp2Io60kvILZSxo2BznS5rC77Ip5PpU/edit?usp=drivesdk</t>
  </si>
  <si>
    <t>Document successfully created; Document successfully merged; Run via form trigger as kemal.stafsus@gmail.com; Timestamp: Apr 28 2024 11:41 PM</t>
  </si>
  <si>
    <t>https://drive.google.com/open?id=1viz0Dl9RJp23cqPyLN7NMJdkSn6V72dz</t>
  </si>
  <si>
    <t>https://drive.google.com/uc?export=view&amp;id=1viz0Dl9RJp23cqPyLN7NMJdkSn6V72dz</t>
  </si>
  <si>
    <t>Furqan S.Kep.,NERS</t>
  </si>
  <si>
    <t>081339985412</t>
  </si>
  <si>
    <t>5206040110950001</t>
  </si>
  <si>
    <t xml:space="preserve">Desa Roka kec Belo kab Bima NTB </t>
  </si>
  <si>
    <t>01-10-1995</t>
  </si>
  <si>
    <t xml:space="preserve">28 tahun 4 bulan </t>
  </si>
  <si>
    <t xml:space="preserve">STIKES YAHYA BIMA </t>
  </si>
  <si>
    <t xml:space="preserve">S1 keperawatan NERS </t>
  </si>
  <si>
    <t xml:space="preserve">Puskesmas Belo kab Bima NTB </t>
  </si>
  <si>
    <t>furqanbelo12@gmail.com</t>
  </si>
  <si>
    <t>1Wbx7EBSswCa930iqAWeNItTA0G7Vo6RxYKaoUXjJbiA</t>
  </si>
  <si>
    <t>https://docs.google.com/document/d/1Wbx7EBSswCa930iqAWeNItTA0G7Vo6RxYKaoUXjJbiA/edit?usp=drivesdk</t>
  </si>
  <si>
    <t>Document successfully created; Document successfully merged; Run via form trigger as kemal.stafsus@gmail.com; Timestamp: Apr 29 2024 9:39 PM</t>
  </si>
  <si>
    <t>https://drive.google.com/open?id=1P28S5UAiAFIFzValh7xqY7Bbcv-b72e2</t>
  </si>
  <si>
    <t>https://drive.google.com/uc?export=view&amp;id=1P28S5UAiAFIFzValh7xqY7Bbcv-b72e2</t>
  </si>
  <si>
    <t>Ammar Abdurrahman</t>
  </si>
  <si>
    <t>085213303940</t>
  </si>
  <si>
    <t>5271021408950002</t>
  </si>
  <si>
    <t>Talabiu, Kabupaten Bima, Nusa Tenggara Barat</t>
  </si>
  <si>
    <t>14-08-1995</t>
  </si>
  <si>
    <t>Diniyah (Mushtholah Hadits, ushul fiqih, Aqidah, Adab Akhlak, Siroh dll) dan Bahasa Arab</t>
  </si>
  <si>
    <t>Ponpes Imam Bukhari Dompu</t>
  </si>
  <si>
    <t>Ponpes Riyadhus Sholihin Pandeglang Banten</t>
  </si>
  <si>
    <t>0561565782</t>
  </si>
  <si>
    <t>zavierarrasya@gmail.com</t>
  </si>
  <si>
    <t>1I1jQsh2ZojosFSOzWTS6pEUudkKUqqsXMHRSiREoMF4</t>
  </si>
  <si>
    <t>https://docs.google.com/document/d/1I1jQsh2ZojosFSOzWTS6pEUudkKUqqsXMHRSiREoMF4/edit?usp=drivesdk</t>
  </si>
  <si>
    <t>Document successfully created; Document successfully merged; Run via form trigger as kemal.stafsus@gmail.com; Timestamp: May 16 2024 9:01 PM</t>
  </si>
  <si>
    <t>https://drive.google.com/open?id=1I9xvEORhtSW1uQVNDyMAoAww18sjZv4x</t>
  </si>
  <si>
    <t>https://drive.google.com/uc?export=view&amp;id=1I9xvEORhtSW1uQVNDyMAoAww18sjZv4x</t>
  </si>
  <si>
    <t>Putri ilham Alkhatib, Lc.</t>
  </si>
  <si>
    <t>081907888908</t>
  </si>
  <si>
    <t>5203074102990004</t>
  </si>
  <si>
    <t xml:space="preserve">Lombok timur </t>
  </si>
  <si>
    <t>1 februari 1999</t>
  </si>
  <si>
    <t xml:space="preserve">25 thn </t>
  </si>
  <si>
    <t xml:space="preserve">Lipia </t>
  </si>
  <si>
    <t>4.27</t>
  </si>
  <si>
    <t>Guru diniyah EMIISc</t>
  </si>
  <si>
    <t>putriilham484@gmail.com</t>
  </si>
  <si>
    <t>1u2a7EfXTmbDQzhEuLo4xKXb2xz1gjZTVJhCP5B96zI4</t>
  </si>
  <si>
    <t>https://docs.google.com/document/d/1u2a7EfXTmbDQzhEuLo4xKXb2xz1gjZTVJhCP5B96zI4/edit?usp=drivesdk</t>
  </si>
  <si>
    <t>Document successfully created; Document successfully merged; Run via form trigger as kemal.stafsus@gmail.com; Timestamp: May 17 2024 8:45 PM</t>
  </si>
  <si>
    <t>https://drive.google.com/open?id=1rPC9nvjhTrw0L48Bn5-s1K93BbtXOHKM</t>
  </si>
  <si>
    <t>https://drive.google.com/uc?export=view&amp;id=1rPC9nvjhTrw0L48Bn5-s1K93BbtXOHKM</t>
  </si>
  <si>
    <t>TRI ANDINI SEPTIANINGSIH,Lc.</t>
  </si>
  <si>
    <t>085900416354</t>
  </si>
  <si>
    <t>5203116009990001</t>
  </si>
  <si>
    <t>LOMBOK TIMUR</t>
  </si>
  <si>
    <t>JAYAPURA</t>
  </si>
  <si>
    <t>20-09-99</t>
  </si>
  <si>
    <t>24 TAHUN 8 BULAN</t>
  </si>
  <si>
    <t>DINIYYAH</t>
  </si>
  <si>
    <t>4,71 (dari 5)</t>
  </si>
  <si>
    <t xml:space="preserve">TPA IQRA </t>
  </si>
  <si>
    <t>RQ.BALENCIA CAWANG</t>
  </si>
  <si>
    <t>TAHSIN PRIVATE</t>
  </si>
  <si>
    <t>100.000/JAM</t>
  </si>
  <si>
    <t>triandiniseptianingsih548@gmail.com</t>
  </si>
  <si>
    <t>1gltkem-IBXw3YKtbspbAC7UEBzMlu8ZxenBFwDnGlpU</t>
  </si>
  <si>
    <t>https://docs.google.com/document/d/1gltkem-IBXw3YKtbspbAC7UEBzMlu8ZxenBFwDnGlpU/edit?usp=drivesdk</t>
  </si>
  <si>
    <t>Document successfully created; Document successfully merged; Run via form trigger as kemal.stafsus@gmail.com; Timestamp: May 17 2024 8:52 PM</t>
  </si>
  <si>
    <t>https://drive.google.com/open?id=18c41RF7yfI2TwgboaYQ_behpK-K-kTHy</t>
  </si>
  <si>
    <t>https://drive.google.com/uc?export=view&amp;id=18c41RF7yfI2TwgboaYQ_behpK-K-kTHy</t>
  </si>
  <si>
    <t>Dimas Andika Fadhillah</t>
  </si>
  <si>
    <t>082384489747</t>
  </si>
  <si>
    <t>Jl. Bhakti I No.47, RT.3/RW.7, Cilandak Tim., Ps. Minggu, Kota Jakarta Selatan, Daerah Khusus Ibukota Jakarta 12560</t>
  </si>
  <si>
    <t>Pangkalan Kerinci</t>
  </si>
  <si>
    <t>15 November 1999</t>
  </si>
  <si>
    <t>Arabic Diniyah Al quran</t>
  </si>
  <si>
    <t>Semester 8 Lipia Jakarta</t>
  </si>
  <si>
    <t>IPK Terakhir 4,28</t>
  </si>
  <si>
    <t xml:space="preserve">Mengajar private online 
</t>
  </si>
  <si>
    <t>Driver</t>
  </si>
  <si>
    <t>dimasandika1412@gmail.com</t>
  </si>
  <si>
    <t>1POqBQm94N-g9El3DZZ4r-GguXod17VsbFgRwD9yEBiY</t>
  </si>
  <si>
    <t>https://docs.google.com/document/d/1POqBQm94N-g9El3DZZ4r-GguXod17VsbFgRwD9yEBiY/edit?usp=drivesdk</t>
  </si>
  <si>
    <t>Document successfully created; Document successfully merged; Run via form trigger as kemal.stafsus@gmail.com; Timestamp: May 20 2024 10:05 PM</t>
  </si>
  <si>
    <t>https://drive.google.com/open?id=1C9Qk-uh4OSm1iYPFl92Qk6xrv85e_KOT</t>
  </si>
  <si>
    <t>https://drive.google.com/uc?export=view&amp;id=1C9Qk-uh4OSm1iYPFl92Qk6xrv85e_KOT</t>
  </si>
  <si>
    <t>Danesya Rindang S.Pd</t>
  </si>
  <si>
    <t>085669902608</t>
  </si>
  <si>
    <t>1809014702000003</t>
  </si>
  <si>
    <t xml:space="preserve">Sukabumi Jawa Barat </t>
  </si>
  <si>
    <t xml:space="preserve">Gd. Tata'an Pesawaran Lampung </t>
  </si>
  <si>
    <t>07-02-2000</t>
  </si>
  <si>
    <t xml:space="preserve">Arabic Diniyah Al Qur'an </t>
  </si>
  <si>
    <t xml:space="preserve">STIBA AR RAAYAH SUKABUMI </t>
  </si>
  <si>
    <t xml:space="preserve">Guru Qiro'ah kelas 10 di Ponpes Darusy Syahadah Boyolali </t>
  </si>
  <si>
    <t>Guru Bahasa Arab dan Tahfizh  kelas 5  di SD IT Al FAALAH Sambi</t>
  </si>
  <si>
    <t xml:space="preserve">Guru Mengaji di TPA Miftahul Jannah Gd. Tata’an, TPA Ar Rohmah Bogorjo, dan TPA Rumah Qur'an Sukaraja </t>
  </si>
  <si>
    <t>5.000.000-5,500.000</t>
  </si>
  <si>
    <t>rindangdanesya@gmail.com</t>
  </si>
  <si>
    <t>1DmH7fr_XumEVyVARP7NrH0EntvdgEdlOU-t4FiYL5l8</t>
  </si>
  <si>
    <t>https://docs.google.com/document/d/1DmH7fr_XumEVyVARP7NrH0EntvdgEdlOU-t4FiYL5l8/edit?usp=drivesdk</t>
  </si>
  <si>
    <t>Document successfully created; Document successfully merged; Run via form trigger as kemal.stafsus@gmail.com; Timestamp: May 20 2024 10:35 PM</t>
  </si>
  <si>
    <t>https://drive.google.com/open?id=1Dx8kEiN0agWlwX2LK2EvqP29lzG9FYAG</t>
  </si>
  <si>
    <t>https://drive.google.com/uc?export=view&amp;id=1Dx8kEiN0agWlwX2LK2EvqP29lzG9FYAG</t>
  </si>
  <si>
    <t>Majdiahtul Akmah,SH</t>
  </si>
  <si>
    <t>085694755415</t>
  </si>
  <si>
    <t>3674037103900004</t>
  </si>
  <si>
    <t>Jl. Setiamekar no 14 ,Tambun Selatan, 17510 (Perumahan Bulog)</t>
  </si>
  <si>
    <t>Malaysia-Bogor</t>
  </si>
  <si>
    <t>31-03-1990</t>
  </si>
  <si>
    <t>34th 2bulan</t>
  </si>
  <si>
    <t>Guru Mata Pelajaran, Tim Legal</t>
  </si>
  <si>
    <t xml:space="preserve">Bahasa Inggris di Al Wildan 12 atau 15 atau 13 Bekasi. </t>
  </si>
  <si>
    <t>3.3</t>
  </si>
  <si>
    <t>Staff Legal PT NEC Indonesia</t>
  </si>
  <si>
    <t>Staff legal PT Wood Group Indonesia</t>
  </si>
  <si>
    <t>7.500.000 (negotiable)</t>
  </si>
  <si>
    <t>majdiahtul.akmah@gmail.com</t>
  </si>
  <si>
    <t>1FbSjxR0UM8OGLJd8Y4TgzvaR-81efRv2rxgcK5ISnHg</t>
  </si>
  <si>
    <t>https://docs.google.com/document/d/1FbSjxR0UM8OGLJd8Y4TgzvaR-81efRv2rxgcK5ISnHg/edit?usp=drivesdk</t>
  </si>
  <si>
    <t>Document successfully created; Document successfully merged; Run via form trigger as kemal.stafsus@gmail.com; Timestamp: May 20 2024 10:59 PM</t>
  </si>
  <si>
    <t>https://drive.google.com/open?id=16-TkdOarNxRt6Am83lP9G1GwvAxDALPY</t>
  </si>
  <si>
    <t>https://drive.google.com/uc?export=view&amp;id=16-TkdOarNxRt6Am83lP9G1GwvAxDALPY</t>
  </si>
  <si>
    <t>Miftachul Jannah, S.Hum, S.Pd</t>
  </si>
  <si>
    <t>081287517192</t>
  </si>
  <si>
    <t>Perumahan Darmawangsa Residence cluster prambanan cp5 no 16 Tambun Utara Bekasi</t>
  </si>
  <si>
    <t>18/10/1996</t>
  </si>
  <si>
    <t>27 Tahun 7 Bulan</t>
  </si>
  <si>
    <t>Pendidikan Guru Sekolah Dasar</t>
  </si>
  <si>
    <t>Wali Kelas di SDIT Ibnu Rusyd (5 tahun) mulai dari 2019 - sekarang</t>
  </si>
  <si>
    <t>miftachuljannah18.mj@gmail.com</t>
  </si>
  <si>
    <t>1kE89ydJvk83GajKjBlFNIElLkIzWBGiYRDC87v-jPow</t>
  </si>
  <si>
    <t>https://docs.google.com/document/d/1kE89ydJvk83GajKjBlFNIElLkIzWBGiYRDC87v-jPow/edit?usp=drivesdk</t>
  </si>
  <si>
    <t>https://drive.google.com/open?id=1fmu5AN0iVixBXfCvzWTB0Tf0iOvAEMb1</t>
  </si>
  <si>
    <t>https://drive.google.com/uc?export=view&amp;id=1fmu5AN0iVixBXfCvzWTB0Tf0iOvAEMb1</t>
  </si>
  <si>
    <t>Dyah Prasti, S.H.</t>
  </si>
  <si>
    <t>081389521771</t>
  </si>
  <si>
    <t>3275095712850006</t>
  </si>
  <si>
    <t>Komplek Kodau 5 Jl.Guntur RT 002/02,Blok H. No.5, Jatimekar-Pondok Gede,Bekasi 17422</t>
  </si>
  <si>
    <t>17-12-1985</t>
  </si>
  <si>
    <t>38 tahun 5 bulan</t>
  </si>
  <si>
    <t>Guru Mata Pelajaran, Public Relations / Humas, Tim Legal, Tim Litbang</t>
  </si>
  <si>
    <t>Bahasa Inggris,PPKN,Sejarah</t>
  </si>
  <si>
    <t>Universitas Al-Azhar Indonesia</t>
  </si>
  <si>
    <t>S1 Hukum</t>
  </si>
  <si>
    <t>Guru TK,SD dan Anak Berkebutuhan Khusus di Bekasi Montessori School (2020 -2021)</t>
  </si>
  <si>
    <t>IDR 1.500.000</t>
  </si>
  <si>
    <t>Staff Divisi Travel (2017-2018)</t>
  </si>
  <si>
    <t>IDR 3.500.000</t>
  </si>
  <si>
    <t>Asisten Departement Water For All (2010-2011)</t>
  </si>
  <si>
    <t>IDR 3.000.000</t>
  </si>
  <si>
    <t>IDR 4.500.000</t>
  </si>
  <si>
    <t>dyah.prasti@gmail.com</t>
  </si>
  <si>
    <t>1spAohZSVro7RHj3C_WSNezx8yOHegFsul62r_Kh0t3A</t>
  </si>
  <si>
    <t>https://docs.google.com/document/d/1spAohZSVro7RHj3C_WSNezx8yOHegFsul62r_Kh0t3A/edit?usp=drivesdk</t>
  </si>
  <si>
    <t>Document successfully created; Document successfully merged; Run via form trigger as kemal.stafsus@gmail.com; Timestamp: May 20 2024 11:14 PM</t>
  </si>
  <si>
    <t>https://drive.google.com/open?id=1BMCrjidDRWuB0N89QhRFQ3LFZD9RI8i2</t>
  </si>
  <si>
    <t>https://drive.google.com/uc?export=view&amp;id=1BMCrjidDRWuB0N89QhRFQ3LFZD9RI8i2</t>
  </si>
  <si>
    <t>muhammad aribath Lc.</t>
  </si>
  <si>
    <t>089677435149</t>
  </si>
  <si>
    <t>3372012102970002</t>
  </si>
  <si>
    <t>Jl. Haji Dugul, gang pendowo limo, rt 06 rw 01, no 7 C, kel. Grogol, kec. Limo, Depok, Jawa Barat.</t>
  </si>
  <si>
    <t>21-03-1997</t>
  </si>
  <si>
    <t>Diniyah, Al Quran, bahasa arab</t>
  </si>
  <si>
    <t>4.81</t>
  </si>
  <si>
    <t>Sekolah Darul Atsar, Depok</t>
  </si>
  <si>
    <t>3 jt</t>
  </si>
  <si>
    <t>Rumah Quran Baihatul Hajar</t>
  </si>
  <si>
    <t>3.5 jt</t>
  </si>
  <si>
    <t>muhammadaribath123@gmail.com</t>
  </si>
  <si>
    <t>1qENV5AxP2EGAHUgaJT5BYTxtoYts7QIBJ1C4aYOvrzk</t>
  </si>
  <si>
    <t>https://docs.google.com/document/d/1qENV5AxP2EGAHUgaJT5BYTxtoYts7QIBJ1C4aYOvrzk/edit?usp=drivesdk</t>
  </si>
  <si>
    <t>Document successfully created; Document successfully merged; Run via form trigger as kemal.stafsus@gmail.com; Timestamp: May 21 2024 1:41 AM</t>
  </si>
  <si>
    <t>https://drive.google.com/open?id=10Rdhb1jOfp1zZJ6YtaVIBcIKCYkMsu1O</t>
  </si>
  <si>
    <t>https://drive.google.com/uc?export=view&amp;id=10Rdhb1jOfp1zZJ6YtaVIBcIKCYkMsu1O</t>
  </si>
  <si>
    <t>Nur Fadhilah Wardana, S.Pd.</t>
  </si>
  <si>
    <t>085824378892</t>
  </si>
  <si>
    <t>7306085201010002</t>
  </si>
  <si>
    <t>Jalan Syekh Yusuf No.55A</t>
  </si>
  <si>
    <t>Sungguminasa</t>
  </si>
  <si>
    <t>PRESCHOOL AND KINDERGARTEN HOMEROOM TEACHER AT HALBA ISLAMIC SCHOOL MAKASSAR (Full-time, 7 months)
• Facilitated 20+ students to improve their English skills as a second language in four aspects (reading, listening, writing, and speaking) by only speaking English every day;
• Prepared of the lesson plans, worksheets, mini projects, attendance, and learning planning of Montessori Method material that will be carried out in class; and plan activities that encourage student development and manage classroom situations and timing;
• Responsible for administration, taking care of full-day and half-day activities, extracurriculars (English, calistung and swimming), and communication between parents;
• Participated in improving the school environment for the better such as designing both banners and posters, taking videos of student activities and editing, and making teacher attendance with barcode technology.</t>
  </si>
  <si>
    <t>Rp.2.500.000-3.000.000</t>
  </si>
  <si>
    <t xml:space="preserve">PRIVATE TUTORING SERVICES FOR STUDENTS at Neo Edukasi (Freelance, 8 months)
• Arranged the lesson plan;
• Explained the materials from the lesson plan in students’ place;
• Evaluated the exams;
• Assisting students in learning Calistung or English. </t>
  </si>
  <si>
    <t>Rp.40.000/hours</t>
  </si>
  <si>
    <t>Rp.5.000.000</t>
  </si>
  <si>
    <t>064201013133537</t>
  </si>
  <si>
    <t>Bank Rakyat Indonesia (BRI) atas nama NUR FADHILAH WARDANA</t>
  </si>
  <si>
    <t>nurfadhilahwardana@gmail.com</t>
  </si>
  <si>
    <t>1itZUmV3x9QJnGdC3L6EYP4i1YgM1OgoT96YOt5SiSJE</t>
  </si>
  <si>
    <t>https://docs.google.com/document/d/1itZUmV3x9QJnGdC3L6EYP4i1YgM1OgoT96YOt5SiSJE/edit?usp=drivesdk</t>
  </si>
  <si>
    <t>Document successfully created; Document successfully merged; Run via form trigger as kemal.stafsus@gmail.com; Timestamp: May 21 2024 10:22 PM</t>
  </si>
  <si>
    <t>https://drive.google.com/open?id=1L-YU9Y2Sll6gIfMc8I0zEIBVrrk9nsMN</t>
  </si>
  <si>
    <t>https://drive.google.com/uc?export=view&amp;id=1L-YU9Y2Sll6gIfMc8I0zEIBVrrk9nsMN</t>
  </si>
  <si>
    <t>Yeti Rafitasari, S.Si., M.Si.</t>
  </si>
  <si>
    <t>089670367317</t>
  </si>
  <si>
    <t>1408045708950009</t>
  </si>
  <si>
    <t>Perum Sukamanah Islamic Village, Blok A1/2, Cigelam, Purwakarta, Jawa Barat.</t>
  </si>
  <si>
    <t>Baru Raja</t>
  </si>
  <si>
    <t>17-08-1995</t>
  </si>
  <si>
    <t>28 tahun 9 bulan</t>
  </si>
  <si>
    <t>Guru Fisika/Fisika Cambridge</t>
  </si>
  <si>
    <t>Institut Teknologi Bandung (ITB)</t>
  </si>
  <si>
    <t xml:space="preserve">Senior Master Teacher Curriculum Physics di Ruangguru Head Quarter </t>
  </si>
  <si>
    <t>Dosen Tamu Fisika Terapan Politeknik Ahli Perikanan Jakarta Kampus Pusat dan Cabang (Untuk semester ganjil saja)</t>
  </si>
  <si>
    <t xml:space="preserve">Tentor Fisika SBMPTN dan IUP di Indonesia Mind Center Yogyakarta </t>
  </si>
  <si>
    <t>0307042513</t>
  </si>
  <si>
    <t>yeti.rafitasari@gmail.com</t>
  </si>
  <si>
    <t>1ogxhxA-zpuP3BNxVEvKB_g23FFl6JDQX-kVbG13TKP8</t>
  </si>
  <si>
    <t>https://docs.google.com/document/d/1ogxhxA-zpuP3BNxVEvKB_g23FFl6JDQX-kVbG13TKP8/edit?usp=drivesdk</t>
  </si>
  <si>
    <t>Document successfully created; Document successfully merged; Run via form trigger as kemal.stafsus@gmail.com; Timestamp: May 21 2024 11:55 PM</t>
  </si>
  <si>
    <t>https://drive.google.com/open?id=1GOowLL_va0QN_xO2V9owPTY4jw_dXIq0</t>
  </si>
  <si>
    <t>https://drive.google.com/uc?export=view&amp;id=1GOowLL_va0QN_xO2V9owPTY4jw_dXIq0</t>
  </si>
  <si>
    <t>Hidayat Abdul Aziz</t>
  </si>
  <si>
    <t>089623335156</t>
  </si>
  <si>
    <t>3671111405940009</t>
  </si>
  <si>
    <t>Jl. Rasuna said gg katuk cipete pinang tangerang</t>
  </si>
  <si>
    <t>14-05-1994</t>
  </si>
  <si>
    <t>Bahasa Arab fiqih aqidah hadits</t>
  </si>
  <si>
    <t>Stdi imam Asy syafi'i dan universitas islam madinah</t>
  </si>
  <si>
    <t>Hadits - Syari'ah</t>
  </si>
  <si>
    <t>3.75 - 4.74</t>
  </si>
  <si>
    <t xml:space="preserve">Pengajar bahasa Arab dan ulum syar'i di rumah tahfidz </t>
  </si>
  <si>
    <t>Pemateri bahasa Arab dan fiqih di sapamuslim online</t>
  </si>
  <si>
    <t>250.000/ pertemuan</t>
  </si>
  <si>
    <t>8.000.000 - 10.000.000</t>
  </si>
  <si>
    <t>hidayat14aziz@gmail.com</t>
  </si>
  <si>
    <t>1IxIql9xR-FoC3rQHkRP5TU_r0kFmHWhMBr_F4P3aLjQ</t>
  </si>
  <si>
    <t>https://docs.google.com/document/d/1IxIql9xR-FoC3rQHkRP5TU_r0kFmHWhMBr_F4P3aLjQ/edit?usp=drivesdk</t>
  </si>
  <si>
    <t>Document successfully created; Document successfully merged; Run via form trigger as kemal.stafsus@gmail.com; Timestamp: May 22 2024 5:18 AM</t>
  </si>
  <si>
    <t>https://drive.google.com/open?id=18zhH-CGEbhadRK9h58Ryq3_E-4rVUuWv</t>
  </si>
  <si>
    <t>https://drive.google.com/uc?export=view&amp;id=18zhH-CGEbhadRK9h58Ryq3_E-4rVUuWv</t>
  </si>
  <si>
    <t>Ulhiyati, S.Pd.</t>
  </si>
  <si>
    <t>089673997755</t>
  </si>
  <si>
    <t>3601335111010001</t>
  </si>
  <si>
    <t>Jl. Ahmad Satibi, Panjulan, RT 06 RW 03, Paniis, Koroncong, Pandeglang, Banten.</t>
  </si>
  <si>
    <t>Kabupaten Pandeglang</t>
  </si>
  <si>
    <t>11 November 2001</t>
  </si>
  <si>
    <t xml:space="preserve">22 tahun 6 bulan </t>
  </si>
  <si>
    <t xml:space="preserve">UIN Sultan Maulana Hasanuddin Banten </t>
  </si>
  <si>
    <t xml:space="preserve">Tutor bahasa inggris di lembaga Dream English Course </t>
  </si>
  <si>
    <t xml:space="preserve">Guru di MTs Daarul Hijrah Rangkasbitung </t>
  </si>
  <si>
    <t>Tutor Bimbel di Patriot Muda Learning center dan Enter</t>
  </si>
  <si>
    <t>ulhiyati@gmail.com</t>
  </si>
  <si>
    <t>1KTwiA53PeM6KqiyEfeSjZLqbeg3vi4mng6nS2lw9nuA</t>
  </si>
  <si>
    <t>https://docs.google.com/document/d/1KTwiA53PeM6KqiyEfeSjZLqbeg3vi4mng6nS2lw9nuA/edit?usp=drivesdk</t>
  </si>
  <si>
    <t>Document successfully created; Document successfully merged; Run via form trigger as kemal.stafsus@gmail.com; Timestamp: May 22 2024 7:05 PM</t>
  </si>
  <si>
    <t>https://drive.google.com/open?id=1Fhccopu1mBmeBpRHN_bYdS-F4G09U9c8</t>
  </si>
  <si>
    <t>https://drive.google.com/uc?export=view&amp;id=1Fhccopu1mBmeBpRHN_bYdS-F4G09U9c8</t>
  </si>
  <si>
    <t>Erma Yunita, B.A</t>
  </si>
  <si>
    <t>082372586268</t>
  </si>
  <si>
    <t>1571034805960001</t>
  </si>
  <si>
    <t>Jl.Jati Padang Utara no.21A RT.2 RW.7 Jati Padang,Pasar Minggu,Jakarta Selatan</t>
  </si>
  <si>
    <t>08-05-1996</t>
  </si>
  <si>
    <t>28 tahun  16 hari</t>
  </si>
  <si>
    <t>Bahasa Arab,Diniyyah dan tahfidz</t>
  </si>
  <si>
    <t>S1 LIPIA Jakarta</t>
  </si>
  <si>
    <t>4,27 dari 5</t>
  </si>
  <si>
    <t>Pengajar Bahasa Arab Madinah Salam</t>
  </si>
  <si>
    <t>Qi Elarabiya</t>
  </si>
  <si>
    <t>ermaemmaynt@gmail.com</t>
  </si>
  <si>
    <t>1a6P3IwY8Y6t9a1N38c_C2uuz-QZFODB2gzOkOo9oByg</t>
  </si>
  <si>
    <t>https://docs.google.com/document/d/1a6P3IwY8Y6t9a1N38c_C2uuz-QZFODB2gzOkOo9oByg/edit?usp=drivesdk</t>
  </si>
  <si>
    <t>Document successfully created; Document successfully merged; Run via form trigger as kemal.stafsus@gmail.com; Timestamp: May 23 2024 11:22 PM</t>
  </si>
  <si>
    <t>https://drive.google.com/open?id=1LrJeTLZ6W6YRQj-yNjx78742zC1u8aD_</t>
  </si>
  <si>
    <t>https://drive.google.com/uc?export=view&amp;id=1LrJeTLZ6W6YRQj-yNjx78742zC1u8aD_</t>
  </si>
  <si>
    <t>Rojul fayad, Lc</t>
  </si>
  <si>
    <t>+6285695430024</t>
  </si>
  <si>
    <t>3604101012930079</t>
  </si>
  <si>
    <t>10-12-1993</t>
  </si>
  <si>
    <t xml:space="preserve">Aqidah, fiqih, hadis, mustolah hadist, faraid </t>
  </si>
  <si>
    <t>UNIVERSITAS ISLAM MADINAH - KSA</t>
  </si>
  <si>
    <t xml:space="preserve">4,66 dari 5 </t>
  </si>
  <si>
    <t>Tourleader Umrah</t>
  </si>
  <si>
    <t xml:space="preserve">Mutawwif </t>
  </si>
  <si>
    <t xml:space="preserve">Kepala tahfidz pondok pesantren Riyadhusshalihiin </t>
  </si>
  <si>
    <t xml:space="preserve">BSI Bank Syariah Indonesia </t>
  </si>
  <si>
    <t>rojulfayadh63@gmail.com</t>
  </si>
  <si>
    <t>1wWLpcR_SKQMVPMnSoT-p68vbEbSRZy0EIipcU1tm2vU</t>
  </si>
  <si>
    <t>https://docs.google.com/document/d/1wWLpcR_SKQMVPMnSoT-p68vbEbSRZy0EIipcU1tm2vU/edit?usp=drivesdk</t>
  </si>
  <si>
    <t>Document successfully created; Document successfully merged; Run via form trigger as kemal.stafsus@gmail.com; Timestamp: May 28 2024 12:04 AM</t>
  </si>
  <si>
    <t>https://drive.google.com/open?id=1uwrtpVAHhiwph1ygZjUkbNdm0WW0NNU8</t>
  </si>
  <si>
    <t>https://drive.google.com/uc?export=view&amp;id=1uwrtpVAHhiwph1ygZjUkbNdm0WW0NNU8</t>
  </si>
  <si>
    <t>Ayati Dewi Nur, B.sh</t>
  </si>
  <si>
    <t>082321202003</t>
  </si>
  <si>
    <t>3215294610960004</t>
  </si>
  <si>
    <t>Jl. Bambu Indah mekarjaya purwasari, karawang 41373</t>
  </si>
  <si>
    <t>Serang, Banten</t>
  </si>
  <si>
    <t>06-10-1996</t>
  </si>
  <si>
    <t>Diniyyah (A.D.A)</t>
  </si>
  <si>
    <t>S1 Syari'ah</t>
  </si>
  <si>
    <t>Guru Diniyah dan pengampu hafalan jenjang SMA di Ma'had Ar Risalah Karawang</t>
  </si>
  <si>
    <t>4.600.000-5.000.000</t>
  </si>
  <si>
    <t>ayati.dewi@gmail.com</t>
  </si>
  <si>
    <t>1AEXyTNUck5Nn8EFDa2_MRbeq4WKhkdzIw5xv-lWyvKQ</t>
  </si>
  <si>
    <t>https://docs.google.com/document/d/1AEXyTNUck5Nn8EFDa2_MRbeq4WKhkdzIw5xv-lWyvKQ/edit?usp=drivesdk</t>
  </si>
  <si>
    <t>Document successfully created; Document successfully merged; Run via form trigger as kemal.stafsus@gmail.com; Timestamp: May 28 2024 2:30 AM</t>
  </si>
  <si>
    <t>https://drive.google.com/open?id=1mJHErk60GZnQbUFvg9MI426Kt1YiIKnL</t>
  </si>
  <si>
    <t>https://drive.google.com/uc?export=view&amp;id=1mJHErk60GZnQbUFvg9MI426Kt1YiIKnL</t>
  </si>
  <si>
    <t>Muhammad Azzam Mukarram BA.</t>
  </si>
  <si>
    <t>081399258584</t>
  </si>
  <si>
    <t>3275081003940022/C7899298</t>
  </si>
  <si>
    <t>Komplek Bumi Makmur IV Jalan Poksai Blok H No 4 Jatimakmur Pondok Gede Kota Bekasi 17413</t>
  </si>
  <si>
    <t>semua pelajaran diniyyah agama &amp; bahasa arab</t>
  </si>
  <si>
    <t>Universitas Islam Madinah Arab Saudi</t>
  </si>
  <si>
    <t>Hadits &amp; Pendidikan Islam</t>
  </si>
  <si>
    <t>3.87/5</t>
  </si>
  <si>
    <t>Diploma Tinggi Pascasarjana Bimbingan Konseling</t>
  </si>
  <si>
    <t>4.89/5</t>
  </si>
  <si>
    <t xml:space="preserve">Sekolah Dasar Islam Al Hilal Rawalumbu Kota Bekasi </t>
  </si>
  <si>
    <t>Magang Bimbingan Konseling Fakultas Teknik Universitas Islam Madinah 2023</t>
  </si>
  <si>
    <t>Pembimbing &amp; Tour Leader Travel Umrah Al Haqeem Jakarta Selatan 2023</t>
  </si>
  <si>
    <t>6.000.000 - 7.000.0000</t>
  </si>
  <si>
    <t>7.000.000 Negotiable</t>
  </si>
  <si>
    <t>mazzammkrm@gmail.com</t>
  </si>
  <si>
    <t>1D5vw0rvG_23m9eH6zYCl897-XlXC-8DRIBNmuafXZAk</t>
  </si>
  <si>
    <t>https://docs.google.com/document/d/1D5vw0rvG_23m9eH6zYCl897-XlXC-8DRIBNmuafXZAk/edit?usp=drivesdk</t>
  </si>
  <si>
    <t>Document successfully created; Document successfully merged; Run via form trigger as kemal.stafsus@gmail.com; Timestamp: May 28 2024 3:17 AM</t>
  </si>
  <si>
    <t>https://drive.google.com/open?id=1mu73hXi29ps08R2ANfZbbPnZK4HKUQFx</t>
  </si>
  <si>
    <t>https://drive.google.com/uc?export=view&amp;id=1mu73hXi29ps08R2ANfZbbPnZK4HKUQFx</t>
  </si>
  <si>
    <t>Muhammad Iqbal, B.A, M.A</t>
  </si>
  <si>
    <t>085714051219</t>
  </si>
  <si>
    <t>3603170509900008</t>
  </si>
  <si>
    <t>Binong Permai Blok BB 10/ 1 A, Curug, Tangerang</t>
  </si>
  <si>
    <t>5 September 1990</t>
  </si>
  <si>
    <t>ulum syar'ie</t>
  </si>
  <si>
    <t>Universitas Qassim</t>
  </si>
  <si>
    <t>4.59</t>
  </si>
  <si>
    <t>4.58</t>
  </si>
  <si>
    <t>Halqah Qur'an di Pesantren Wadi Mubarak Bogor</t>
  </si>
  <si>
    <t>Halqah Qur'an Di Jami' Hablain Qassim</t>
  </si>
  <si>
    <t>Pengajar Mapel di Pesantren Taruna Qur'an</t>
  </si>
  <si>
    <t>0226306283</t>
  </si>
  <si>
    <t>muhiqbalhas@gmail.com</t>
  </si>
  <si>
    <t>19jpjEZIgodiSmgn49nA9bxVSfdx84xKsyFJTAxB1k_o</t>
  </si>
  <si>
    <t>https://docs.google.com/document/d/19jpjEZIgodiSmgn49nA9bxVSfdx84xKsyFJTAxB1k_o/edit?usp=drivesdk</t>
  </si>
  <si>
    <t>Document successfully created; Document successfully merged; Run via form trigger as kemal.stafsus@gmail.com; Timestamp: May 28 2024 6:10 AM</t>
  </si>
  <si>
    <t>https://drive.google.com/open?id=1SofydT1FSwvGkNHRd-R4Sv84QCHS669H</t>
  </si>
  <si>
    <t>https://drive.google.com/uc?export=view&amp;id=1SofydT1FSwvGkNHRd-R4Sv84QCHS669H</t>
  </si>
  <si>
    <t>Ahmad Muzakkir Mahbub, S.Pd.I., M.Pd</t>
  </si>
  <si>
    <t>087780778410</t>
  </si>
  <si>
    <t>3603081110840001</t>
  </si>
  <si>
    <t>Link. Kepandean Kidul No. 34 RT/RW. 01/05 Kelurahan Serang Kec. Serang Kota Serang, Banten 42116</t>
  </si>
  <si>
    <t>Gunung Sugih</t>
  </si>
  <si>
    <t>11 Oktober 1984</t>
  </si>
  <si>
    <t>UIN Sultan Maulana Hasanuddin Banten</t>
  </si>
  <si>
    <t>Tadris Bahasa Inggris</t>
  </si>
  <si>
    <t>Guru di Ma'had Darul Arqam Muhammadiyah Serang (sekarang)</t>
  </si>
  <si>
    <t>Guru di Brain Academy Ruangguru (2021-2023)</t>
  </si>
  <si>
    <t>Guru di EF English First (2011-2019)</t>
  </si>
  <si>
    <t>6.500.000 - 7.500.000</t>
  </si>
  <si>
    <t>ahmadmuzakkirmahbub@gmail.com</t>
  </si>
  <si>
    <t>1ITj_faROMME7bBBVjiKqO3Ddj7J2voWGdXaY_U24UhA</t>
  </si>
  <si>
    <t>https://docs.google.com/document/d/1ITj_faROMME7bBBVjiKqO3Ddj7J2voWGdXaY_U24UhA/edit?usp=drivesdk</t>
  </si>
  <si>
    <t>Document successfully created; Document successfully merged; Run via form trigger as kemal.stafsus@gmail.com; Timestamp: May 28 2024 7:12 AM</t>
  </si>
  <si>
    <t>https://drive.google.com/open?id=1fw4nl0_1BulATuWURfGj9V_wfMToONQz</t>
  </si>
  <si>
    <t>https://drive.google.com/uc?export=view&amp;id=1fw4nl0_1BulATuWURfGj9V_wfMToONQz</t>
  </si>
  <si>
    <t>Ramadhan Rachman Rachim, S.Pd</t>
  </si>
  <si>
    <t>085732985508</t>
  </si>
  <si>
    <t>3510072409960002</t>
  </si>
  <si>
    <t xml:space="preserve">Kampung Pipitan, Kecamatan Walantaka, Kota Serang </t>
  </si>
  <si>
    <t>Banyuwangi</t>
  </si>
  <si>
    <t>24-09-1996</t>
  </si>
  <si>
    <t>PTS - STIBA Ar Raayah</t>
  </si>
  <si>
    <t>Pendidikan Bahasa arab</t>
  </si>
  <si>
    <t>Wakil kepala sekolah bagian bahasa</t>
  </si>
  <si>
    <t>Guru mapel dan Wakil kelas</t>
  </si>
  <si>
    <t>ramadhanrachman30@gmail.com</t>
  </si>
  <si>
    <t>188WeZbHKD0PrxZ5VEh8p0wK34VAnZ73-cUifzzVneig</t>
  </si>
  <si>
    <t>https://docs.google.com/document/d/188WeZbHKD0PrxZ5VEh8p0wK34VAnZ73-cUifzzVneig/edit?usp=drivesdk</t>
  </si>
  <si>
    <t>Document successfully created; Document successfully merged; Run via form trigger as kemal.stafsus@gmail.com; Timestamp: May 30 2024 12:00 AM</t>
  </si>
  <si>
    <t>https://drive.google.com/open?id=1Zi5B64oAOj0eEk2Qlr4XmEnVBVp0OPUa</t>
  </si>
  <si>
    <t>https://drive.google.com/uc?export=view&amp;id=1Zi5B64oAOj0eEk2Qlr4XmEnVBVp0OPUa</t>
  </si>
  <si>
    <t>Rojul fayad,Lc</t>
  </si>
  <si>
    <t>085695430024</t>
  </si>
  <si>
    <t>30 Tahun 5 bulan</t>
  </si>
  <si>
    <t>Fiqih, aqidah</t>
  </si>
  <si>
    <t>4,66  Dari 5</t>
  </si>
  <si>
    <t xml:space="preserve">Tour leader Umrah </t>
  </si>
  <si>
    <t>Mutawwif umrah</t>
  </si>
  <si>
    <t xml:space="preserve">Guru diniyah ( menjabat Kepala Tahfidz) </t>
  </si>
  <si>
    <t>1H4SoG3VI0NTdjP8kVdy0OgJ8uGUBFXjt0vd1gxXgv3Y</t>
  </si>
  <si>
    <t>https://docs.google.com/document/d/1H4SoG3VI0NTdjP8kVdy0OgJ8uGUBFXjt0vd1gxXgv3Y/edit?usp=drivesdk</t>
  </si>
  <si>
    <t>Document successfully created; Document successfully merged; Run via form trigger as kemal.stafsus@gmail.com; Timestamp: Jun 1 2024 11:45 AM</t>
  </si>
  <si>
    <t>https://drive.google.com/open?id=11mgN-RcsR5_rl360P_IBxr-0_L4CiIzz</t>
  </si>
  <si>
    <t>https://drive.google.com/uc?export=view&amp;id=11mgN-RcsR5_rl360P_IBxr-0_L4CiIzz</t>
  </si>
  <si>
    <t xml:space="preserve">Erna Kamelia, B. Sh. </t>
  </si>
  <si>
    <t>087765926762</t>
  </si>
  <si>
    <t>5202106204960003</t>
  </si>
  <si>
    <t>Jln lingkar pratama, D18</t>
  </si>
  <si>
    <t>Ngolak, Desa Lajut</t>
  </si>
  <si>
    <t>Agama dan Bahasa Arab</t>
  </si>
  <si>
    <t>Kepala Asrama Putri Ponpes Al Yamini</t>
  </si>
  <si>
    <t>Pengajar Yayasan BISA</t>
  </si>
  <si>
    <t>Kepala Asrama Raudhatul Quran</t>
  </si>
  <si>
    <t>ayrnakmylya@gmail.com</t>
  </si>
  <si>
    <t>1HmVLEE6uvijRhjg7tgZzeKInJwuoUI-xwgW8qSXWZDM</t>
  </si>
  <si>
    <t>https://docs.google.com/document/d/1HmVLEE6uvijRhjg7tgZzeKInJwuoUI-xwgW8qSXWZDM/edit?usp=drivesdk</t>
  </si>
  <si>
    <t>Document successfully created; Document successfully merged; Run via form trigger as kemal.stafsus@gmail.com; Timestamp: Jun 1 2024 6:15 PM</t>
  </si>
  <si>
    <t>https://drive.google.com/open?id=1AJqKm5uY3k_vA4NK6zgytbfKWs2jsOkN</t>
  </si>
  <si>
    <t>https://drive.google.com/uc?export=view&amp;id=1AJqKm5uY3k_vA4NK6zgytbfKWs2jsOkN</t>
  </si>
  <si>
    <t>MUHAMMAD IHSAN ZAKKY ALMUBARAK, S.Ag</t>
  </si>
  <si>
    <t>Al Wildan 3 BSD</t>
  </si>
  <si>
    <t>21 Juli 1998</t>
  </si>
  <si>
    <t>Management, ITBA - MUSYRIF/AH PPL</t>
  </si>
  <si>
    <t>STAI ASY SYUKRIYAH</t>
  </si>
  <si>
    <t>ILMU AL QURAN DAN TAFSIR (IAT)</t>
  </si>
  <si>
    <t>Musyrif sekaligus management boarding</t>
  </si>
  <si>
    <t>zakkyboyz21@gmail.com</t>
  </si>
  <si>
    <t>1fdVZmFA_k-nXaBf2ABb76pVkqF_BRET7W7KPlHoC86g</t>
  </si>
  <si>
    <t>https://docs.google.com/document/d/1fdVZmFA_k-nXaBf2ABb76pVkqF_BRET7W7KPlHoC86g/edit?usp=drivesdk</t>
  </si>
  <si>
    <t>Document successfully created; Document successfully merged; Run via form trigger as kemal.stafsus@gmail.com; Timestamp: Jun 2 2024 11:52 PM</t>
  </si>
  <si>
    <t>https://drive.google.com/open?id=1oKaH082YMRYxngYRHdw_8y8uSjbQVErI</t>
  </si>
  <si>
    <t>https://drive.google.com/uc?export=view&amp;id=1oKaH082YMRYxngYRHdw_8y8uSjbQVErI</t>
  </si>
  <si>
    <t>Rojul Fayad, Lc</t>
  </si>
  <si>
    <t>30, 5 bulan</t>
  </si>
  <si>
    <t>Aqidah, Akhlak, Usul fiqh</t>
  </si>
  <si>
    <t>4,66 dari 5 Mumtaz</t>
  </si>
  <si>
    <t xml:space="preserve">Tourleader Umrah </t>
  </si>
  <si>
    <t>Guru, kepala Tahfid</t>
  </si>
  <si>
    <t>6.000.0000 - 7.000.000</t>
  </si>
  <si>
    <t>1OaBXFq4xGDx1nADm1dhvvGYhxbhJhxX5_LdbX8xj47c</t>
  </si>
  <si>
    <t>https://docs.google.com/document/d/1OaBXFq4xGDx1nADm1dhvvGYhxbhJhxX5_LdbX8xj47c/edit?usp=drivesdk</t>
  </si>
  <si>
    <t>Document successfully created; Document successfully merged; Run via form trigger as kemal.stafsus@gmail.com; Timestamp: Jun 2 2024 11:53 PM</t>
  </si>
  <si>
    <t>https://drive.google.com/open?id=1wTlSjHseX5Ci4pjRse5AhanTCSZusooc</t>
  </si>
  <si>
    <t>https://drive.google.com/uc?export=view&amp;id=1wTlSjHseX5Ci4pjRse5AhanTCSZusooc</t>
  </si>
  <si>
    <t>Nugraha Sabilly , S.Or</t>
  </si>
  <si>
    <t>082311120207</t>
  </si>
  <si>
    <t>3671091707920002</t>
  </si>
  <si>
    <t>Jl. Rahwana 2 no. 14 , Perumnas 2 Tangerang , RT 001 / RW 004 , Kelurahan Cibodas Baru , Kecamatan Cibodas , Kodepos 15138</t>
  </si>
  <si>
    <t>17-07-1992</t>
  </si>
  <si>
    <t>31 Tahun 11 Bulan</t>
  </si>
  <si>
    <t>Pendidikan Jasmani Olahraga Kesehatan</t>
  </si>
  <si>
    <t>Ilmu Keolahragaan</t>
  </si>
  <si>
    <t>Guru PJOK di MA Annida Al Islamy</t>
  </si>
  <si>
    <t>3.500.000++</t>
  </si>
  <si>
    <t>7.500.000 Negotiable</t>
  </si>
  <si>
    <t>0948426172</t>
  </si>
  <si>
    <t>nugrahasabilly@yahoo.com</t>
  </si>
  <si>
    <t>1C43zNGF7VQQIjzz-iId4BLx-qB8zyo46oDDec2IB5mw</t>
  </si>
  <si>
    <t>https://docs.google.com/document/d/1C43zNGF7VQQIjzz-iId4BLx-qB8zyo46oDDec2IB5mw/edit?usp=drivesdk</t>
  </si>
  <si>
    <t>Document successfully created; Document successfully merged; Run via form trigger as kemal.stafsus@gmail.com; Timestamp: Jun 4 2024 4:32 AM</t>
  </si>
  <si>
    <t>https://drive.google.com/open?id=1ayqCEM-7H3XEmhmNCe0JyizopxnMkic8</t>
  </si>
  <si>
    <t>https://drive.google.com/uc?export=view&amp;id=1ayqCEM-7H3XEmhmNCe0JyizopxnMkic8</t>
  </si>
  <si>
    <t>Rifa'iy Karsayuda, S.Pd.</t>
  </si>
  <si>
    <t>082353014752</t>
  </si>
  <si>
    <t>6112071910990003</t>
  </si>
  <si>
    <t xml:space="preserve">Sukabumi </t>
  </si>
  <si>
    <t xml:space="preserve">Kubu Raya </t>
  </si>
  <si>
    <t>19-10-1999</t>
  </si>
  <si>
    <t xml:space="preserve">24 tahun 8 bulan </t>
  </si>
  <si>
    <t>ADA</t>
  </si>
  <si>
    <t xml:space="preserve">STIBA Ar Rayah Sukabumi </t>
  </si>
  <si>
    <t xml:space="preserve">SQ Keluarga Kita Pontianak </t>
  </si>
  <si>
    <t>non profit</t>
  </si>
  <si>
    <t xml:space="preserve">SDIT Al Karima </t>
  </si>
  <si>
    <t xml:space="preserve">SPQ At Tartil </t>
  </si>
  <si>
    <t>rifkyptk602@gmail.com</t>
  </si>
  <si>
    <t>1L1SjPzIw1fLHvKslrir-v8S4NIcEFhJxruGI5Tuvq6U</t>
  </si>
  <si>
    <t>https://docs.google.com/document/d/1L1SjPzIw1fLHvKslrir-v8S4NIcEFhJxruGI5Tuvq6U/edit?usp=drivesdk</t>
  </si>
  <si>
    <t>Document successfully created; Document successfully merged; Run via form trigger as kemal.stafsus@gmail.com; Timestamp: Jun 7 2024 5:27 AM</t>
  </si>
  <si>
    <t>https://drive.google.com/open?id=1iTi4CiCTARhg236iMQXrd2nSA0mT6Cjq</t>
  </si>
  <si>
    <t>https://drive.google.com/uc?export=view&amp;id=1iTi4CiCTARhg236iMQXrd2nSA0mT6Cjq</t>
  </si>
  <si>
    <t>Satria Nugraha Fikriansyah, S.Pd.</t>
  </si>
  <si>
    <t>081517101703</t>
  </si>
  <si>
    <t>3603281206980003</t>
  </si>
  <si>
    <t>Jl. Layar IV A No. 27 Kelapa Dua, Kabupaten Tangerang</t>
  </si>
  <si>
    <t>12-06-1998</t>
  </si>
  <si>
    <t>Pendidikan Jasmani, Olahraga, dan Kesehatan</t>
  </si>
  <si>
    <t>S1 - Universitas Negeri Jakarta</t>
  </si>
  <si>
    <t>Guru Pendidikan Jasmani</t>
  </si>
  <si>
    <t>satriyanugrahaf@gmail.com</t>
  </si>
  <si>
    <t>1aNdAxKOXhSMRFtyFcg2LHxK1OGsyk6ckTe--BVBTKaw</t>
  </si>
  <si>
    <t>https://docs.google.com/document/d/1aNdAxKOXhSMRFtyFcg2LHxK1OGsyk6ckTe--BVBTKaw/edit?usp=drivesdk</t>
  </si>
  <si>
    <t>Document successfully created; Document successfully merged; Run via form trigger as kemal.stafsus@gmail.com; Timestamp: Jun 9 2024 11:57 PM</t>
  </si>
  <si>
    <t>https://drive.google.com/open?id=1kZScpQd5Zb0cUlK7g7RGX6ruergYt2ZG</t>
  </si>
  <si>
    <t>https://drive.google.com/uc?export=view&amp;id=1kZScpQd5Zb0cUlK7g7RGX6ruergYt2ZG</t>
  </si>
  <si>
    <t>Robi Atul,Lc</t>
  </si>
  <si>
    <t>085966108188</t>
  </si>
  <si>
    <t>5271014306980003</t>
  </si>
  <si>
    <t>Jl.Lestari Lingk.Pejarakn Ampenan,Mataram, Lombok .</t>
  </si>
  <si>
    <t>Pejarakan</t>
  </si>
  <si>
    <t>(03-06-1998)</t>
  </si>
  <si>
    <t>26 tahun 0 bulan</t>
  </si>
  <si>
    <t xml:space="preserve">Diniyyah Arabic (ADA) </t>
  </si>
  <si>
    <t>4.45</t>
  </si>
  <si>
    <t xml:space="preserve">Guru Bahasa Arab online </t>
  </si>
  <si>
    <t>robikatul9205@gmail.com</t>
  </si>
  <si>
    <t>1-x502pesFhsny9FdHtAi9FhGsPbcUsh0Mgkq9kLqqA4</t>
  </si>
  <si>
    <t>https://docs.google.com/document/d/1-x502pesFhsny9FdHtAi9FhGsPbcUsh0Mgkq9kLqqA4/edit?usp=drivesdk</t>
  </si>
  <si>
    <t>Document successfully created; Document successfully merged; Run via form trigger as kemal.stafsus@gmail.com; Timestamp: Jun 10 2024 12:18 AM</t>
  </si>
  <si>
    <t>https://drive.google.com/open?id=1xIxA-aUCyDKsbY8KztiJFoUNTqzQAGzA</t>
  </si>
  <si>
    <t>https://drive.google.com/uc?export=view&amp;id=1xIxA-aUCyDKsbY8KztiJFoUNTqzQAGzA</t>
  </si>
  <si>
    <t>Annisa Rahmatia, S.Sos</t>
  </si>
  <si>
    <t>082146432122</t>
  </si>
  <si>
    <t>5105036909990001</t>
  </si>
  <si>
    <t xml:space="preserve">Kota Batu - Jawa Timur </t>
  </si>
  <si>
    <t>Klungkung</t>
  </si>
  <si>
    <t>29-09-1999</t>
  </si>
  <si>
    <t>24 tahun 9 Bulan</t>
  </si>
  <si>
    <t xml:space="preserve">Komunikasi dan Penyiaran Islam </t>
  </si>
  <si>
    <t xml:space="preserve">Guru Nahwu - Mahad Hidayatullah kota Batu </t>
  </si>
  <si>
    <t>rahmatiaannisa07@gmail.com</t>
  </si>
  <si>
    <t>1MMyAnyebpBQOMAz7durFz7nw2Lr2hiHsJBiXezjMXgQ</t>
  </si>
  <si>
    <t>https://docs.google.com/document/d/1MMyAnyebpBQOMAz7durFz7nw2Lr2hiHsJBiXezjMXgQ/edit?usp=drivesdk</t>
  </si>
  <si>
    <t>Document successfully created; Document successfully merged; Run via form trigger as kemal.stafsus@gmail.com; Timestamp: Jun 10 2024 12:40 AM</t>
  </si>
  <si>
    <t>https://drive.google.com/open?id=1XwtTnJFzss6aPlCVDAH-4ceBy9c_7ed2</t>
  </si>
  <si>
    <t>https://drive.google.com/uc?export=view&amp;id=1XwtTnJFzss6aPlCVDAH-4ceBy9c_7ed2</t>
  </si>
  <si>
    <t>Jalan Palem Raya Blok C16/15, Perum Kompas Indah, Kab. Bekasi</t>
  </si>
  <si>
    <t>SEMARANG</t>
  </si>
  <si>
    <t>28-08-1995</t>
  </si>
  <si>
    <t>2018 - 2020 Fulltime Biology Teacher @Nurul Fikri Semarang for Junior, High School, and Gap Year Class</t>
  </si>
  <si>
    <t xml:space="preserve">2020 - 2021 Fulltime Biology Teacher @Bintang Pelajar Islamic Boarding School for Junior &amp; High School Class
</t>
  </si>
  <si>
    <t xml:space="preserve">2024-now Freelance Biology Teacher @mimath.id for High School Class/ Olympiad Class
2021-2023 Freelance Biology Teacher @Nurul Fikri Bekasi for Junior &amp; High School Class
</t>
  </si>
  <si>
    <t>120000 per sesi (60 menit)</t>
  </si>
  <si>
    <t>7500000 - 8500000</t>
  </si>
  <si>
    <t>dhnrsrswt@gmail.com</t>
  </si>
  <si>
    <t>1Qwogk02WKnz5fFRJghMP6-JTolmrW8sAUg0z7deAC8E</t>
  </si>
  <si>
    <t>https://docs.google.com/document/d/1Qwogk02WKnz5fFRJghMP6-JTolmrW8sAUg0z7deAC8E/edit?usp=drivesdk</t>
  </si>
  <si>
    <t>Document successfully created; Document successfully merged; Run via form trigger as kemal.stafsus@gmail.com; Timestamp: Jun 10 2024 2:22 AM</t>
  </si>
  <si>
    <t>https://drive.google.com/open?id=1MOcpt7Szg6nI3N0yPGS13JS15ZduZgxm</t>
  </si>
  <si>
    <t>https://drive.google.com/uc?export=view&amp;id=1MOcpt7Szg6nI3N0yPGS13JS15ZduZgxm</t>
  </si>
  <si>
    <t>Syaira Avilla Qurrata'aini S.Pd</t>
  </si>
  <si>
    <t>081373128353</t>
  </si>
  <si>
    <t>3201075003000008</t>
  </si>
  <si>
    <t>Pondok Pesantren Alfatah RT/RW 002/005, Desa Pasirangin, Kecamatan Cileungsi, Kabupaten Bogor, Jawa Barat</t>
  </si>
  <si>
    <t>10 MARET 2000</t>
  </si>
  <si>
    <t>24 TAHUN 3 BULAN</t>
  </si>
  <si>
    <t>Guru Diniyah di MTs Pelita Madani</t>
  </si>
  <si>
    <t>Guru Tahfidz SDIT ARRAAYAH</t>
  </si>
  <si>
    <t>myavilla10@gmail.com</t>
  </si>
  <si>
    <t>1AuIwa9s-ilj2a_y1GAQ0KExdbohzQ4tngK83jRk7Sk0</t>
  </si>
  <si>
    <t>https://docs.google.com/document/d/1AuIwa9s-ilj2a_y1GAQ0KExdbohzQ4tngK83jRk7Sk0/edit?usp=drivesdk</t>
  </si>
  <si>
    <t>Document successfully created; Document successfully merged; Run via form trigger as kemal.stafsus@gmail.com; Timestamp: Jun 10 2024 2:25 AM</t>
  </si>
  <si>
    <t>https://drive.google.com/open?id=11sH4RmHhl3-x_UQKWVATDPLUEO5AkgHd</t>
  </si>
  <si>
    <t>https://drive.google.com/uc?export=view&amp;id=11sH4RmHhl3-x_UQKWVATDPLUEO5AkgHd</t>
  </si>
  <si>
    <t>Illona Megatywie, S.Pd., M.Sc</t>
  </si>
  <si>
    <t>085800261177</t>
  </si>
  <si>
    <t>3314065609960003</t>
  </si>
  <si>
    <t>Sragen</t>
  </si>
  <si>
    <t>16-09-1996</t>
  </si>
  <si>
    <t>Staff Laboratorium</t>
  </si>
  <si>
    <t>imegatywie@gmail.com</t>
  </si>
  <si>
    <t>1-h4xH5v7vBmxsV9bvUTXw4V6Sg0qZOmjw_I6LdvBjq4</t>
  </si>
  <si>
    <t>https://docs.google.com/document/d/1-h4xH5v7vBmxsV9bvUTXw4V6Sg0qZOmjw_I6LdvBjq4/edit?usp=drivesdk</t>
  </si>
  <si>
    <t>Document successfully created; Document successfully merged; Run via form trigger as kemal.stafsus@gmail.com; Timestamp: Jun 10 2024 2:32 AM</t>
  </si>
  <si>
    <t>https://drive.google.com/open?id=1E1a0_zDgfKhEWFU5T4TKi2DqRKZnwJAN</t>
  </si>
  <si>
    <t>https://drive.google.com/uc?export=view&amp;id=1E1a0_zDgfKhEWFU5T4TKi2DqRKZnwJAN</t>
  </si>
  <si>
    <t>Winona Alifia Safran, B.A</t>
  </si>
  <si>
    <t>087812436913</t>
  </si>
  <si>
    <t>3216065511000019</t>
  </si>
  <si>
    <t>Perum. Kompas Indah Jl. Kedondong blok C25 no 1</t>
  </si>
  <si>
    <t>15 November 2000</t>
  </si>
  <si>
    <t xml:space="preserve">23 tahun 6 bulan </t>
  </si>
  <si>
    <t>Arabiyah dan Diniyah</t>
  </si>
  <si>
    <t xml:space="preserve">International University of Africa </t>
  </si>
  <si>
    <t xml:space="preserve">Dirasat Islamiyyah/ Faculty of Islamic Studies </t>
  </si>
  <si>
    <t>Pengajar dan musyrifah</t>
  </si>
  <si>
    <t xml:space="preserve">Rp5.343.430 UMR Bekasi </t>
  </si>
  <si>
    <t>alifiasafran15@gmail.com</t>
  </si>
  <si>
    <t>1eyjpkLEab96BgXgrw-FvK3U5gJ-7Ew_JXomDUn89Gks</t>
  </si>
  <si>
    <t>https://docs.google.com/document/d/1eyjpkLEab96BgXgrw-FvK3U5gJ-7Ew_JXomDUn89Gks/edit?usp=drivesdk</t>
  </si>
  <si>
    <t>Document successfully created; Document successfully merged; Run via form trigger as kemal.stafsus@gmail.com; Timestamp: Jun 10 2024 4:28 AM</t>
  </si>
  <si>
    <t>https://drive.google.com/open?id=1B_tX1EuccaDkVck_Xc2Q-N2dqjPzXAVT</t>
  </si>
  <si>
    <t>https://drive.google.com/uc?export=view&amp;id=1B_tX1EuccaDkVck_Xc2Q-N2dqjPzXAVT</t>
  </si>
  <si>
    <t>Salman Al Hafidz, S.Pd.</t>
  </si>
  <si>
    <t>085210022519</t>
  </si>
  <si>
    <t>3207182107910002</t>
  </si>
  <si>
    <t>Jl. Mufakat Wawai, Yukum Jaya, Lampung Tengah</t>
  </si>
  <si>
    <t>21 Juli 1991</t>
  </si>
  <si>
    <t>32 Tahun 11 bulan</t>
  </si>
  <si>
    <t>Al Quran, B.Arab, Mapel Diniyah</t>
  </si>
  <si>
    <t>STIBA Ar Raayah Sukabumi, Jawa Barat</t>
  </si>
  <si>
    <t>Perintis Rumah Tahfidz Bersanad, Kabid. Ketahfidzan dan Guru Mapel Diniyah di PPTQ Ibnu Umar Lampung Tengah</t>
  </si>
  <si>
    <t>PJ Arabic, Wali kelas dan Guru Mapel Diniyah di Global Islamic School 2 Serpong</t>
  </si>
  <si>
    <t>Guru Mapel Diniyah di Al Wildan International School Kelapa Dua (Layar dan Bidar)</t>
  </si>
  <si>
    <t>limaopatatuh@gmail.com</t>
  </si>
  <si>
    <t>1RGrKFesJj2Adnc1MPq7JOg7lzGQO_Y2EjvFOUt2YsiU</t>
  </si>
  <si>
    <t>https://docs.google.com/document/d/1RGrKFesJj2Adnc1MPq7JOg7lzGQO_Y2EjvFOUt2YsiU/edit?usp=drivesdk</t>
  </si>
  <si>
    <t>Document successfully created; Document successfully merged; Run via form trigger as kemal.stafsus@gmail.com; Timestamp: Jun 10 2024 6:13 AM</t>
  </si>
  <si>
    <t>https://drive.google.com/open?id=1p3aFiLzyQ5PHOi8cwPP36BxYnd_YaGM4</t>
  </si>
  <si>
    <t>https://drive.google.com/uc?export=view&amp;id=1p3aFiLzyQ5PHOi8cwPP36BxYnd_YaGM4</t>
  </si>
  <si>
    <t>Lusiana Rosyadi, S.Pd.</t>
  </si>
  <si>
    <t>089528971022</t>
  </si>
  <si>
    <t>3206305905000001</t>
  </si>
  <si>
    <t>Jl. Raya wangun gang smk wikrama rt 01 / rw 06 kelurahan sindangsari Bogor Timur Kota Bogor</t>
  </si>
  <si>
    <t>19-05-2000</t>
  </si>
  <si>
    <t>Pendidikan Jasmani Olahraga dan Kesehatan</t>
  </si>
  <si>
    <t>Pendidikan Jasmani</t>
  </si>
  <si>
    <t>2 Tahun di Smk Wikrama Bogor</t>
  </si>
  <si>
    <t>BNI Konvensional</t>
  </si>
  <si>
    <t>lusianarosyadi@gmail.com</t>
  </si>
  <si>
    <t>15uhn2dZuQdKkdnlTet0Y9tYjI9fpRpJtryn1LzdJcKs</t>
  </si>
  <si>
    <t>https://docs.google.com/document/d/15uhn2dZuQdKkdnlTet0Y9tYjI9fpRpJtryn1LzdJcKs/edit?usp=drivesdk</t>
  </si>
  <si>
    <t>Document successfully created; Document successfully merged; Run via form trigger as kemal.stafsus@gmail.com; Timestamp: Jun 10 2024 11:36 AM</t>
  </si>
  <si>
    <t>https://drive.google.com/open?id=1Bj7wAt6hyxyV8kOVCyU4CWaXJ2cXue0N</t>
  </si>
  <si>
    <t>https://drive.google.com/uc?export=view&amp;id=1Bj7wAt6hyxyV8kOVCyU4CWaXJ2cXue0N</t>
  </si>
  <si>
    <t>Zulaiha S.Ag</t>
  </si>
  <si>
    <t>085936690260</t>
  </si>
  <si>
    <t>5205056807000004</t>
  </si>
  <si>
    <t>28-07-2000</t>
  </si>
  <si>
    <t xml:space="preserve">23 (07-2000) </t>
  </si>
  <si>
    <t>Ilmu hadis</t>
  </si>
  <si>
    <t>Musyrifah + Guru Diniyyah</t>
  </si>
  <si>
    <t>4jt&gt;</t>
  </si>
  <si>
    <t>zulaihamshr@gmail.com</t>
  </si>
  <si>
    <t>1Zs-HUsh7whnXZV3RqNytz_sgS4kbMs2mpevyJprTg3I</t>
  </si>
  <si>
    <t>https://docs.google.com/document/d/1Zs-HUsh7whnXZV3RqNytz_sgS4kbMs2mpevyJprTg3I/edit?usp=drivesdk</t>
  </si>
  <si>
    <t>Document successfully created; Document successfully merged; Run via form trigger as kemal.stafsus@gmail.com; Timestamp: Jun 10 2024 8:18 PM</t>
  </si>
  <si>
    <t>https://drive.google.com/open?id=1TZbhWyP1cAlG1Dlh1_d8ezxPfuBfgFQs</t>
  </si>
  <si>
    <t>https://drive.google.com/uc?export=view&amp;id=1TZbhWyP1cAlG1Dlh1_d8ezxPfuBfgFQs</t>
  </si>
  <si>
    <t>Shendy Oktaviani, S. Pd.</t>
  </si>
  <si>
    <t>081553702891</t>
  </si>
  <si>
    <t>3174054510920005</t>
  </si>
  <si>
    <t>Jl. Gandasasmita No. 101 RT 04/009, Serua Indah, Ciputat, Tangerang Selatan 15414</t>
  </si>
  <si>
    <t>05-10-1992</t>
  </si>
  <si>
    <t>Guru Bahasa Inggris di SMPIT Auliya</t>
  </si>
  <si>
    <t>Guru Bahasa Inggris di Bintang Pelajar</t>
  </si>
  <si>
    <t>Assisten Bahasa Inggris di Kumon Maleo Bintaro</t>
  </si>
  <si>
    <t>shendyoktaviani.va@gmail.com</t>
  </si>
  <si>
    <t>18avO51D3iJ6NuWyBRtE_h7nQg8_jva0dMRiV1hNZtmg</t>
  </si>
  <si>
    <t>https://docs.google.com/document/d/18avO51D3iJ6NuWyBRtE_h7nQg8_jva0dMRiV1hNZtmg/edit?usp=drivesdk</t>
  </si>
  <si>
    <t>Document successfully created; Document successfully merged; Run via form trigger as kemal.stafsus@gmail.com; Timestamp: Jun 10 2024 8:30 PM</t>
  </si>
  <si>
    <t>https://drive.google.com/open?id=1HgQb9Ncha6JBDBNPcdJs9mKVhdfOQuVs</t>
  </si>
  <si>
    <t>https://drive.google.com/uc?export=view&amp;id=1HgQb9Ncha6JBDBNPcdJs9mKVhdfOQuVs</t>
  </si>
  <si>
    <t>Apartemen Medina Kelapa Dua Serpong</t>
  </si>
  <si>
    <t>09-01-1990</t>
  </si>
  <si>
    <t>Tim Legal</t>
  </si>
  <si>
    <t>STIT INSIDA Jakarta</t>
  </si>
  <si>
    <t>Institut Ilmu Qur'an Jakarta</t>
  </si>
  <si>
    <t>Islamic Studies konsentrasi Pendidikan</t>
  </si>
  <si>
    <t>Tafsir konsentrasi Pendidikan berbasis Qur'an</t>
  </si>
  <si>
    <t xml:space="preserve">Mudir (direktur) </t>
  </si>
  <si>
    <t>1E8bWMc4OvuqhHpoOKYepO4Z1vB_br4L_Cu1gntm7www</t>
  </si>
  <si>
    <t>https://docs.google.com/document/d/1E8bWMc4OvuqhHpoOKYepO4Z1vB_br4L_Cu1gntm7www/edit?usp=drivesdk</t>
  </si>
  <si>
    <t>Document successfully created; Document successfully merged; Run via form trigger as kemal.stafsus@gmail.com; Timestamp: Jun 11 2024 3:53 AM</t>
  </si>
  <si>
    <t>https://drive.google.com/open?id=1Lw5PIGSmCLNbTPFLYFvS5ojGHMnUzzPV</t>
  </si>
  <si>
    <t>https://drive.google.com/uc?export=view&amp;id=1Lw5PIGSmCLNbTPFLYFvS5ojGHMnUzzPV</t>
  </si>
  <si>
    <t>Qonita Nurshabrina, S.Ag</t>
  </si>
  <si>
    <t>089601642187</t>
  </si>
  <si>
    <t>3603175608960002/E1109478</t>
  </si>
  <si>
    <t>Kp. Babakan Rt. 04/004 Desa Binong, Kec. Curug, Kab. Tangerang-Banten</t>
  </si>
  <si>
    <t xml:space="preserve">STIU AL HIKMAH JAKARTA (DQM) </t>
  </si>
  <si>
    <t>Ilmu Al Quran dan Tafsir</t>
  </si>
  <si>
    <t>Zamzam Syifa Boarding School</t>
  </si>
  <si>
    <t>Yayasan Al Ihsan Kebagusan</t>
  </si>
  <si>
    <t>Darul Quran Mulia</t>
  </si>
  <si>
    <t xml:space="preserve">5.000.000 (berdasarkan informasi UMK setempat, dapat didiskusikan kembali) </t>
  </si>
  <si>
    <t>Qonitanur66@gmail.com</t>
  </si>
  <si>
    <t>1Nn2TOwn7j8FIBUpaf7KR1_0vow7fZo1tfMJPNpd7fxA</t>
  </si>
  <si>
    <t>https://docs.google.com/document/d/1Nn2TOwn7j8FIBUpaf7KR1_0vow7fZo1tfMJPNpd7fxA/edit?usp=drivesdk</t>
  </si>
  <si>
    <t>Document successfully created; Document successfully merged; Run via form trigger as kemal.stafsus@gmail.com; Timestamp: Jun 11 2024 8:07 AM</t>
  </si>
  <si>
    <t>https://drive.google.com/open?id=1sI2eI4_utpMWLgi3xyGpoy_FDYJDt1Dl</t>
  </si>
  <si>
    <t>https://drive.google.com/uc?export=view&amp;id=1sI2eI4_utpMWLgi3xyGpoy_FDYJDt1Dl</t>
  </si>
  <si>
    <t>Rosa Pramedyawati, S.Kom.</t>
  </si>
  <si>
    <t>082312100986</t>
  </si>
  <si>
    <t>3202107001990005</t>
  </si>
  <si>
    <t>Kontrakan Bpk Hj Sanin warna Biru No 13 Kampung Cibitung Bedeng Rt. 005 Rw. 04 
Desa Telaga Asih Kecamatan Cikarang Barat kode pos 17530</t>
  </si>
  <si>
    <t>Bantul (Yogyakarta)</t>
  </si>
  <si>
    <t>30 Januari 1999</t>
  </si>
  <si>
    <t>25 tahun 4 Bulan</t>
  </si>
  <si>
    <t>Universitas Teknologi Digital Indonesia Yogyakarta</t>
  </si>
  <si>
    <t>Global Mandiri Group (Skincara) Jakarta Barat</t>
  </si>
  <si>
    <t>Head Office Larissa Aesthetic Center Yogyakarta</t>
  </si>
  <si>
    <t>3.000.000 - 4.000.000</t>
  </si>
  <si>
    <t>0899466818</t>
  </si>
  <si>
    <t xml:space="preserve">Bank Nasional Indonesia </t>
  </si>
  <si>
    <t>orosa3329@gmail.com</t>
  </si>
  <si>
    <t>1yrNdasFggbKCndqQyUFn_80cwMXfkY7dtj-w61lIoJg</t>
  </si>
  <si>
    <t>https://docs.google.com/document/d/1yrNdasFggbKCndqQyUFn_80cwMXfkY7dtj-w61lIoJg/edit?usp=drivesdk</t>
  </si>
  <si>
    <t>Document successfully created; Document successfully merged; Run via form trigger as kemal.stafsus@gmail.com; Timestamp: Jun 11 2024 8:43 AM</t>
  </si>
  <si>
    <t>https://drive.google.com/open?id=1jIkwMRC8sZEH-evcE47DZZ31_p7oiuD4</t>
  </si>
  <si>
    <t>https://drive.google.com/uc?export=view&amp;id=1jIkwMRC8sZEH-evcE47DZZ31_p7oiuD4</t>
  </si>
  <si>
    <t>Haka Fajriana Febda Kurnia, B.Sc, M.Sc</t>
  </si>
  <si>
    <t>0895621003755</t>
  </si>
  <si>
    <t>3201026610950005</t>
  </si>
  <si>
    <t>Perumahan Bumi Mutiara JF 7 No 13</t>
  </si>
  <si>
    <t>26-10-1995</t>
  </si>
  <si>
    <t>Sakarya Uuniversity</t>
  </si>
  <si>
    <t>Biochemistry</t>
  </si>
  <si>
    <t>University of Hradec Kralove</t>
  </si>
  <si>
    <t>Exzellenz Institut</t>
  </si>
  <si>
    <t>hakafajrianafebdakurnia@gmail.com</t>
  </si>
  <si>
    <t>1bN9CSNbqXIJP01tD2hgUsE57TKUyAaQ2AnMk6hs2ok8</t>
  </si>
  <si>
    <t>https://docs.google.com/document/d/1bN9CSNbqXIJP01tD2hgUsE57TKUyAaQ2AnMk6hs2ok8/edit?usp=drivesdk</t>
  </si>
  <si>
    <t>Document successfully created; Document successfully merged; Run via form trigger as kemal.stafsus@gmail.com; Timestamp: Jun 12 2024 12:40 AM</t>
  </si>
  <si>
    <t>https://drive.google.com/open?id=1SxOgL_UxYV3RtV64p07_h4Tk4Ed65NFJ</t>
  </si>
  <si>
    <t>https://drive.google.com/uc?export=view&amp;id=1SxOgL_UxYV3RtV64p07_h4Tk4Ed65NFJ</t>
  </si>
  <si>
    <t>Normayunita, S.Sos</t>
  </si>
  <si>
    <t>081285306832</t>
  </si>
  <si>
    <t>7302084504960002</t>
  </si>
  <si>
    <t>Jl. Sumatra, Gang Haji Nadji No.16A, RT.4/RW.10, Ciputat, Kota Tangerang Selatan.</t>
  </si>
  <si>
    <t>Bulukumba</t>
  </si>
  <si>
    <t>05041996</t>
  </si>
  <si>
    <t>28 tahun, 3 bulan.</t>
  </si>
  <si>
    <t>STAI AL-AQIDAH JAKARTA</t>
  </si>
  <si>
    <t>Komunikasi Penyiaran Islam</t>
  </si>
  <si>
    <t xml:space="preserve">1. Guru Al-Qur'an </t>
  </si>
  <si>
    <t>2. Guru Al-Qur'an</t>
  </si>
  <si>
    <t>normayunitahas@gmail.com</t>
  </si>
  <si>
    <t>1HfqVU_l3852W0Kss3CxNhcy2Yc6sYH9Tm0224jhfQ90</t>
  </si>
  <si>
    <t>https://docs.google.com/document/d/1HfqVU_l3852W0Kss3CxNhcy2Yc6sYH9Tm0224jhfQ90/edit?usp=drivesdk</t>
  </si>
  <si>
    <t>Document successfully created; Document successfully merged; Run via form trigger as kemal.stafsus@gmail.com; Timestamp: Jun 12 2024 1:11 AM</t>
  </si>
  <si>
    <t>https://drive.google.com/open?id=1d3ZAUBHXX8LFb4qF9PCiXEAdc_-CX1He</t>
  </si>
  <si>
    <t>https://drive.google.com/uc?export=view&amp;id=1d3ZAUBHXX8LFb4qF9PCiXEAdc_-CX1He</t>
  </si>
  <si>
    <t>Hasbi Assyiddiqi, Lc., M.H.</t>
  </si>
  <si>
    <t>085904440095</t>
  </si>
  <si>
    <t>5203141201880003</t>
  </si>
  <si>
    <t>Paok Dangka, Desa Karang Baru Timur, Kec. Wanasaba Lombok Timur, NTB</t>
  </si>
  <si>
    <t>12-01-1988</t>
  </si>
  <si>
    <t>36 Tahun 5 Bulan</t>
  </si>
  <si>
    <t>hasbiassyiddiqilcmh@gmail.com</t>
  </si>
  <si>
    <t>1tohkmtAbArteXOqUopCrn7Dz8NSuxjJHZjrqxr_CRi4</t>
  </si>
  <si>
    <t>https://docs.google.com/document/d/1tohkmtAbArteXOqUopCrn7Dz8NSuxjJHZjrqxr_CRi4/edit?usp=drivesdk</t>
  </si>
  <si>
    <t>Document successfully created; Document successfully merged; Run via form trigger as kemal.stafsus@gmail.com; Timestamp: Jun 12 2024 1:21 AM</t>
  </si>
  <si>
    <t>https://drive.google.com/open?id=1frMY-D7Vo_eJiD-4cMCzUeV7H9xPXpCF</t>
  </si>
  <si>
    <t>https://drive.google.com/uc?export=view&amp;id=1frMY-D7Vo_eJiD-4cMCzUeV7H9xPXpCF</t>
  </si>
  <si>
    <t>Nur Asiyah Jamila, S.Pd.</t>
  </si>
  <si>
    <t>085878064223</t>
  </si>
  <si>
    <t>3322184108000001</t>
  </si>
  <si>
    <t xml:space="preserve">Jln Flamboyan ds Sarwo kelurahan Kalirejo kecamatan Ungaran Timur Kabupaten Semarang </t>
  </si>
  <si>
    <t>01-08-2000</t>
  </si>
  <si>
    <t xml:space="preserve">STITMA MADANI YOGYAKARTA </t>
  </si>
  <si>
    <t xml:space="preserve">Guru kelas di sekolah Usman bin Affan </t>
  </si>
  <si>
    <t>Guru kelas, wali kelas, dan guru Tahfidz.</t>
  </si>
  <si>
    <t>kirasabila21@gmail.com</t>
  </si>
  <si>
    <t>1eXzbrDS81fg8bcLykM9-j9FlJ4vuxghxDJYsbYzOW_0</t>
  </si>
  <si>
    <t>https://docs.google.com/document/d/1eXzbrDS81fg8bcLykM9-j9FlJ4vuxghxDJYsbYzOW_0/edit?usp=drivesdk</t>
  </si>
  <si>
    <t>Document successfully created; Document successfully merged; Run via form trigger as kemal.stafsus@gmail.com; Timestamp: Jun 12 2024 1:33 AM</t>
  </si>
  <si>
    <t>https://drive.google.com/open?id=1hbRXj2trttCBLHFUu_O9kKpX5ZninlQO</t>
  </si>
  <si>
    <t>https://drive.google.com/uc?export=view&amp;id=1hbRXj2trttCBLHFUu_O9kKpX5ZninlQO</t>
  </si>
  <si>
    <t>Sarah Sakinah, S.Pd</t>
  </si>
  <si>
    <t>081287989654</t>
  </si>
  <si>
    <t>3174015207981001</t>
  </si>
  <si>
    <t>Jalan Rasamala I No.20 RT.003. RW.02. Kel. Menteng Dalam, Kec. Tebet. Jakarta Selatan. 12870</t>
  </si>
  <si>
    <t>12 Juli 1998</t>
  </si>
  <si>
    <t>Guru Ekonomi</t>
  </si>
  <si>
    <t>Guru Akuntansi dan Staf Kurikulum di SMK Muhammadiyah 2 Jakarta</t>
  </si>
  <si>
    <t>Guru Akuntansi di SMK Dharma Karya Jakarta</t>
  </si>
  <si>
    <t>Guru Ekonomi dan Pembina Ekstrakurikuler di SMA Negeri 31 Jakarta</t>
  </si>
  <si>
    <t>sarrsakinah98@gmail.com</t>
  </si>
  <si>
    <t>1FnrvOp9GS6WBoVVM0ZAUh7UsYIvaqugdB0fs9mL6Jdc</t>
  </si>
  <si>
    <t>https://docs.google.com/document/d/1FnrvOp9GS6WBoVVM0ZAUh7UsYIvaqugdB0fs9mL6Jdc/edit?usp=drivesdk</t>
  </si>
  <si>
    <t>Document successfully created; Document successfully merged; Run via form trigger as kemal.stafsus@gmail.com; Timestamp: Jun 12 2024 2:09 AM</t>
  </si>
  <si>
    <t>https://drive.google.com/open?id=1wdMDYNmMEzvN6f6gWOjH1dzkhAOwnhIq</t>
  </si>
  <si>
    <t>https://drive.google.com/uc?export=view&amp;id=1wdMDYNmMEzvN6f6gWOjH1dzkhAOwnhIq</t>
  </si>
  <si>
    <t>Hasbi assyiddiqi, Lc,. M.H.</t>
  </si>
  <si>
    <t>Paok dangka desa karang baru timur kecamatan wanasab lombok timut NTB</t>
  </si>
  <si>
    <t>12-04-1988</t>
  </si>
  <si>
    <t>36 tahun 5 bulan</t>
  </si>
  <si>
    <t xml:space="preserve">Lipia jakarta </t>
  </si>
  <si>
    <t>UIN Mataram</t>
  </si>
  <si>
    <t>HKI</t>
  </si>
  <si>
    <t>Guru diniyah</t>
  </si>
  <si>
    <t>1XQEwh6s6KMhiCNHFOkitC5ZMEwrY1dv1wNOeQLO1Xqs</t>
  </si>
  <si>
    <t>https://docs.google.com/document/d/1XQEwh6s6KMhiCNHFOkitC5ZMEwrY1dv1wNOeQLO1Xqs/edit?usp=drivesdk</t>
  </si>
  <si>
    <t>Document successfully created; Document successfully merged; Run via form trigger as kemal.stafsus@gmail.com; Timestamp: Jun 12 2024 2:51 AM</t>
  </si>
  <si>
    <t>https://drive.google.com/open?id=1FiX-dAsYJvHIfFnHfVhNVlLhGK4kFRKx</t>
  </si>
  <si>
    <t>https://drive.google.com/uc?export=view&amp;id=1FiX-dAsYJvHIfFnHfVhNVlLhGK4kFRKx</t>
  </si>
  <si>
    <t>Aynul Husna, B.B.A.</t>
  </si>
  <si>
    <t>085715836813</t>
  </si>
  <si>
    <t>3520046802980001</t>
  </si>
  <si>
    <t>28-02-1998</t>
  </si>
  <si>
    <t>Arabic &amp; Diniyah</t>
  </si>
  <si>
    <t>Administrasi Bisnis</t>
  </si>
  <si>
    <t>4.65</t>
  </si>
  <si>
    <t>4.000.000 - 4.550.000</t>
  </si>
  <si>
    <t>me.aynulhusna@gmail.com</t>
  </si>
  <si>
    <t>1kg1g9JUM8G4POkwYUvmaDp9-ZzkzNgGNx6lieg0rPKY</t>
  </si>
  <si>
    <t>https://docs.google.com/document/d/1kg1g9JUM8G4POkwYUvmaDp9-ZzkzNgGNx6lieg0rPKY/edit?usp=drivesdk</t>
  </si>
  <si>
    <t>Document successfully created; Document successfully merged; Run via form trigger as kemal.stafsus@gmail.com; Timestamp: Jun 12 2024 4:36 AM</t>
  </si>
  <si>
    <t>https://drive.google.com/open?id=1AsAv1LcIwi2j8mF17rDjfmQRgjFR9IQH</t>
  </si>
  <si>
    <t>https://drive.google.com/uc?export=view&amp;id=1AsAv1LcIwi2j8mF17rDjfmQRgjFR9IQH</t>
  </si>
  <si>
    <t>Rin Rin Rinjani Marijan</t>
  </si>
  <si>
    <t>082182699197</t>
  </si>
  <si>
    <t>3278015102020005</t>
  </si>
  <si>
    <t>11 Febuari 2002</t>
  </si>
  <si>
    <t>Nuraida islamic boarding School bogor</t>
  </si>
  <si>
    <t>2,5 juta</t>
  </si>
  <si>
    <t>Ibnu Katsir tambun</t>
  </si>
  <si>
    <t>2 juta</t>
  </si>
  <si>
    <t>Daarul iman Bangka Belitung</t>
  </si>
  <si>
    <t>3,2 juta</t>
  </si>
  <si>
    <t>3,5 juta</t>
  </si>
  <si>
    <t>janirin95@gmail.com</t>
  </si>
  <si>
    <t>1j1oD7WAlh4rK7pPTB1PDdpV_vWLeZWOK-VsAQyjLQS4</t>
  </si>
  <si>
    <t>https://docs.google.com/document/d/1j1oD7WAlh4rK7pPTB1PDdpV_vWLeZWOK-VsAQyjLQS4/edit?usp=drivesdk</t>
  </si>
  <si>
    <t>Document successfully created; Document successfully merged; Run via form trigger as kemal.stafsus@gmail.com; Timestamp: Jun 12 2024 6:37 AM</t>
  </si>
  <si>
    <t>https://drive.google.com/open?id=1DkMikU-c67rmvpUzdkgzn-bkhIMjqKlP</t>
  </si>
  <si>
    <t>https://drive.google.com/uc?export=view&amp;id=1DkMikU-c67rmvpUzdkgzn-bkhIMjqKlP</t>
  </si>
  <si>
    <t>Nanda Ghitha Audriani, S.Psi</t>
  </si>
  <si>
    <t>085921648356</t>
  </si>
  <si>
    <t>3201025203980008</t>
  </si>
  <si>
    <t>Vila Nusa Indah 2 Blok Z9/17 RT.03/026 bojong kulur, gunung putri, kab.Bogor</t>
  </si>
  <si>
    <t>12 Maret 1998</t>
  </si>
  <si>
    <t>S1 - Gunadarma</t>
  </si>
  <si>
    <t>Guru BK</t>
  </si>
  <si>
    <t>audriani13@gmail.com</t>
  </si>
  <si>
    <t>111pjnnMAF0QoSc6crNGE14rjNCbKHa1VUAgmVQJTITI</t>
  </si>
  <si>
    <t>https://docs.google.com/document/d/111pjnnMAF0QoSc6crNGE14rjNCbKHa1VUAgmVQJTITI/edit?usp=drivesdk</t>
  </si>
  <si>
    <t>Document successfully created; Document successfully merged; Run via form trigger as kemal.stafsus@gmail.com; Timestamp: Jun 12 2024 8:47 AM</t>
  </si>
  <si>
    <t>https://drive.google.com/open?id=10Q5iICnbXE7IfYDDKhMRGP5OSMy9DEJX</t>
  </si>
  <si>
    <t>https://drive.google.com/uc?export=view&amp;id=10Q5iICnbXE7IfYDDKhMRGP5OSMy9DEJX</t>
  </si>
  <si>
    <t>Nurul Fauziyyah Fajri, B.Sh.</t>
  </si>
  <si>
    <t>085774140405</t>
  </si>
  <si>
    <t>3216025409960011</t>
  </si>
  <si>
    <t>Kavling At-Taufiq Gang VI
NO.138 RT 001 RW 044
Babelan, Bahagia, Bekasi Utara 17612</t>
  </si>
  <si>
    <t>17-09-1996</t>
  </si>
  <si>
    <t>Arabic/Diniyyah</t>
  </si>
  <si>
    <t>Guru Arabic SDIT Ar Rahmah Jakarta</t>
  </si>
  <si>
    <t>Tutor Diniyyah Bisa Learning Centre Bekasi</t>
  </si>
  <si>
    <t>75.000/kelas</t>
  </si>
  <si>
    <t>n.fauziyyahfajri917@gmail.com</t>
  </si>
  <si>
    <t>1myGMbqdktfSrOn9GZ35Dn_LybIUd9Y6W64rk0DVlavM</t>
  </si>
  <si>
    <t>https://docs.google.com/document/d/1myGMbqdktfSrOn9GZ35Dn_LybIUd9Y6W64rk0DVlavM/edit?usp=drivesdk</t>
  </si>
  <si>
    <t>Document successfully created; Document successfully merged; Run via form trigger as kemal.stafsus@gmail.com; Timestamp: Jun 12 2024 9:38 AM</t>
  </si>
  <si>
    <t>https://drive.google.com/open?id=11kg7uH02N3GLpf8Ob-s-k5W8ah9lyXRV</t>
  </si>
  <si>
    <t>https://drive.google.com/uc?export=view&amp;id=11kg7uH02N3GLpf8Ob-s-k5W8ah9lyXRV</t>
  </si>
  <si>
    <t>Irmaniar, S.Si., M.Si.</t>
  </si>
  <si>
    <t>085715125682</t>
  </si>
  <si>
    <t>3174106601940003</t>
  </si>
  <si>
    <t>Jl cendrawasih, cipayung, ciputat, tangerang selatan, banten</t>
  </si>
  <si>
    <t>26-01-1994</t>
  </si>
  <si>
    <t>S1 - universitas gadjah mada</t>
  </si>
  <si>
    <t>S2 - institut teknologi bandung</t>
  </si>
  <si>
    <t>Dosen Part Time</t>
  </si>
  <si>
    <t>Master Teacher Curriculum</t>
  </si>
  <si>
    <t>niarirmaniar@gmail.com</t>
  </si>
  <si>
    <t>1OCnxJEx2YC63z9uwSi_Lc9uYfkq87oCOwrNuQpn7gEk</t>
  </si>
  <si>
    <t>https://docs.google.com/document/d/1OCnxJEx2YC63z9uwSi_Lc9uYfkq87oCOwrNuQpn7gEk/edit?usp=drivesdk</t>
  </si>
  <si>
    <t>Document successfully created; Document successfully merged; Run via form trigger as kemal.stafsus@gmail.com; Timestamp: Jun 13 2024 12:47 AM</t>
  </si>
  <si>
    <t>https://drive.google.com/open?id=1BJXPLk9fyhTL8e7JbkBEO-sx1rBs3QnU</t>
  </si>
  <si>
    <t>https://drive.google.com/uc?export=view&amp;id=1BJXPLk9fyhTL8e7JbkBEO-sx1rBs3QnU</t>
  </si>
  <si>
    <t>Fakhri Surya Mahardika, S.Pd</t>
  </si>
  <si>
    <t>085777431026</t>
  </si>
  <si>
    <t>3175101108970004</t>
  </si>
  <si>
    <t>Jl. Puskesmas RT.005/RW.003, Kelurahan Ceger, Kecamatan Cipayung, Jakarta Timur</t>
  </si>
  <si>
    <t>Guru BK - SMAS Al Izhar Pondok Labu - 2021/2023</t>
  </si>
  <si>
    <t>fakhrimahardika97@gmail.com</t>
  </si>
  <si>
    <t>1-X4ozo_frdTYkoIJavwU9nA-BgGuWwaoiTlqyMvg0Ww</t>
  </si>
  <si>
    <t>https://docs.google.com/document/d/1-X4ozo_frdTYkoIJavwU9nA-BgGuWwaoiTlqyMvg0Ww/edit?usp=drivesdk</t>
  </si>
  <si>
    <t>Document successfully created; Document successfully merged; Run via form trigger as kemal.stafsus@gmail.com; Timestamp: Jun 13 2024 6:27 AM</t>
  </si>
  <si>
    <t>https://drive.google.com/open?id=1jB2XzR1ORLQmZwm7Zm8yUb7bo0z903mJ</t>
  </si>
  <si>
    <t>https://drive.google.com/uc?export=view&amp;id=1jB2XzR1ORLQmZwm7Zm8yUb7bo0z903mJ</t>
  </si>
  <si>
    <t>Wheta Mayank Ika Kurnia B.B.A</t>
  </si>
  <si>
    <t>087724152633</t>
  </si>
  <si>
    <t>5204145505010001</t>
  </si>
  <si>
    <t xml:space="preserve">Jln. Jati Murni Dalam no.24 Kelurahan Jati Padang, Pasar MInggu, Jakarta Selatan </t>
  </si>
  <si>
    <t>15-05-2001</t>
  </si>
  <si>
    <t>Quran, Arabic,Diniyah</t>
  </si>
  <si>
    <t xml:space="preserve">Manajemen dan Keuangan </t>
  </si>
  <si>
    <t>Guru kelas dan Tahfidz</t>
  </si>
  <si>
    <t>Guru Tahsin Online</t>
  </si>
  <si>
    <t>Guru Private</t>
  </si>
  <si>
    <t>mayankika05@gmail.com</t>
  </si>
  <si>
    <t>1OR3xhF_zm9LoX9I741dlmNYt7qm2QMm5lerkBuUFAM4</t>
  </si>
  <si>
    <t>https://docs.google.com/document/d/1OR3xhF_zm9LoX9I741dlmNYt7qm2QMm5lerkBuUFAM4/edit?usp=drivesdk</t>
  </si>
  <si>
    <t>Document successfully created; Document successfully merged; Run via form trigger as kemal.stafsus@gmail.com; Timestamp: Jun 14 2024 11:41 PM</t>
  </si>
  <si>
    <t>https://drive.google.com/open?id=1a7eXJMVFH-pbHkX2lVU4FNvTuRVQP1cy</t>
  </si>
  <si>
    <t>https://drive.google.com/uc?export=view&amp;id=1a7eXJMVFH-pbHkX2lVU4FNvTuRVQP1cy</t>
  </si>
  <si>
    <t>Muhammad Gemilang Muttaqien, S.Ag.</t>
  </si>
  <si>
    <t>082117883813</t>
  </si>
  <si>
    <t>3276030710000002</t>
  </si>
  <si>
    <t>Jl. Pemuda 1 No.4 RT/RW 008/009 Srengsengsawah, Jagakarsa, Jakarta Selatan</t>
  </si>
  <si>
    <t>07-10-2000</t>
  </si>
  <si>
    <t>23 Tahun 8 Bulan</t>
  </si>
  <si>
    <t>Quran</t>
  </si>
  <si>
    <t>Sekolah Tinggi Ilmu Ushuluddin Wadi Mubarak Bogor</t>
  </si>
  <si>
    <t>Musyrif Halaqoh STIU Wadi Mubarak</t>
  </si>
  <si>
    <t>Guru Tahfidz dan Tahsin Mahkota Tahfidz Online</t>
  </si>
  <si>
    <t>Guru Tahsin dan Tahfidz Graha Quran Online</t>
  </si>
  <si>
    <t>gemilangcmd4@gmail.com</t>
  </si>
  <si>
    <t>1ia1sgM4775rxFlhsUS7Kf9ZvEw_LPIreN6C2pflUKQc</t>
  </si>
  <si>
    <t>https://docs.google.com/document/d/1ia1sgM4775rxFlhsUS7Kf9ZvEw_LPIreN6C2pflUKQc/edit?usp=drivesdk</t>
  </si>
  <si>
    <t>Document successfully created; Document successfully merged; Run via form trigger as kemal.stafsus@gmail.com; Timestamp: Jun 15 2024 2:02 AM</t>
  </si>
  <si>
    <t>https://drive.google.com/open?id=1-o4_RzJ7oEXPGC-xA886QECdtUCrhBIF</t>
  </si>
  <si>
    <t>https://drive.google.com/uc?export=view&amp;id=1-o4_RzJ7oEXPGC-xA886QECdtUCrhBIF</t>
  </si>
  <si>
    <t>Jl. Pemuda 1 No.4 RT/RW 008/009 Srengseng Sawah, Jagakarsa, Jakarta Selatan</t>
  </si>
  <si>
    <t>07-10-00</t>
  </si>
  <si>
    <t>Musyrif Halaqoh STIU Wadi Mubarak Bogor</t>
  </si>
  <si>
    <t>Guru Tahsin dan Tahfidz Mahkota Tahfidz Online</t>
  </si>
  <si>
    <t>1KnrgFvbub3PLFWmVBmTTZ_fMXN4YMnqr6C0aqvoXAHY</t>
  </si>
  <si>
    <t>https://docs.google.com/document/d/1KnrgFvbub3PLFWmVBmTTZ_fMXN4YMnqr6C0aqvoXAHY/edit?usp=drivesdk</t>
  </si>
  <si>
    <t>Document successfully created; Document successfully merged; Run via form trigger as kemal.stafsus@gmail.com; Timestamp: Jun 15 2024 7:45 AM</t>
  </si>
  <si>
    <t>https://drive.google.com/open?id=1g-oBcYk6cv0KDtU_cKO-lmSnWLtB-DHI</t>
  </si>
  <si>
    <t>https://drive.google.com/uc?export=view&amp;id=1g-oBcYk6cv0KDtU_cKO-lmSnWLtB-DHI</t>
  </si>
  <si>
    <t>ABDUL ROUP, S.Pd.</t>
  </si>
  <si>
    <t>083827320627</t>
  </si>
  <si>
    <t>3206082004880002</t>
  </si>
  <si>
    <t>Jalan benda timur 8A RT 13 RW 12 Pamulang Tangerang Selatan Banten</t>
  </si>
  <si>
    <t>20-04-1988</t>
  </si>
  <si>
    <t>36 tahun 2 bulan</t>
  </si>
  <si>
    <t>Tematik PGSD</t>
  </si>
  <si>
    <t>S1 PGSD</t>
  </si>
  <si>
    <t>Wali Kelas</t>
  </si>
  <si>
    <t>rouppiet080215@gmail.com</t>
  </si>
  <si>
    <t>1ih5N5dKnaENeBcA39175j2Pf5yTqmhPd2x2tgqNvx1s</t>
  </si>
  <si>
    <t>https://docs.google.com/document/d/1ih5N5dKnaENeBcA39175j2Pf5yTqmhPd2x2tgqNvx1s/edit?usp=drivesdk</t>
  </si>
  <si>
    <t>Document successfully created; Document successfully merged; Run via form trigger as kemal.stafsus@gmail.com; Timestamp: Jun 15 2024 8:12 AM</t>
  </si>
  <si>
    <t>https://drive.google.com/open?id=1_nzK--w1uqYLVm4pCEhpLLF0Al_lX99V</t>
  </si>
  <si>
    <t>https://drive.google.com/uc?export=view&amp;id=1_nzK--w1uqYLVm4pCEhpLLF0Al_lX99V</t>
  </si>
  <si>
    <t>Aini Nur Sholehah, M.Pd.</t>
  </si>
  <si>
    <t>081383712298</t>
  </si>
  <si>
    <t>X2745881</t>
  </si>
  <si>
    <t>Jl. Jaya 25 Rt 001/010 Ceng-Bar, Jak-Bar, DKI Jakarta.</t>
  </si>
  <si>
    <t>22-11-1997</t>
  </si>
  <si>
    <t>A.D.A</t>
  </si>
  <si>
    <t>STIBA Ar Raayah</t>
  </si>
  <si>
    <t xml:space="preserve">UIN Maulana Malik Ibrahim Malang </t>
  </si>
  <si>
    <t>Guru diniyah sekolah dan asrama</t>
  </si>
  <si>
    <t>aininursholehahla@gmail.com</t>
  </si>
  <si>
    <t>1xfmNXO2qYJAxKZsuNoRa6CC0lZ7sJ5T0uxHFmx18JbY</t>
  </si>
  <si>
    <t>https://docs.google.com/document/d/1xfmNXO2qYJAxKZsuNoRa6CC0lZ7sJ5T0uxHFmx18JbY/edit?usp=drivesdk</t>
  </si>
  <si>
    <t>Document successfully created; Document successfully merged; Run via form trigger as kemal.stafsus@gmail.com; Timestamp: Jun 16 2024 4:07 AM</t>
  </si>
  <si>
    <t>https://drive.google.com/open?id=1vckChUAGMbXFa8tOVERMWclrtCPPmr-H</t>
  </si>
  <si>
    <t>https://drive.google.com/uc?export=view&amp;id=1vckChUAGMbXFa8tOVERMWclrtCPPmr-H</t>
  </si>
  <si>
    <t>M SYARIF HIDAYATULLAH</t>
  </si>
  <si>
    <t>082146654743</t>
  </si>
  <si>
    <t>5203161907960001</t>
  </si>
  <si>
    <t>AIKMEL</t>
  </si>
  <si>
    <t>19-07-1996</t>
  </si>
  <si>
    <t>Guru Olahraga/ Penjaskes</t>
  </si>
  <si>
    <t>UNIVERSITAS HAMZANWADI</t>
  </si>
  <si>
    <t>Pendidikan Jasmani Kesehatan dan Rekreasi</t>
  </si>
  <si>
    <t>Guru olahraga selama 4 tahun di Yayasan An Najiyah Lombok</t>
  </si>
  <si>
    <t>ms7107363@gmail.com</t>
  </si>
  <si>
    <t>1w20Yd6Y71n9feh5OGAUWj82OPDOoUJRiYrfEssp7L_U</t>
  </si>
  <si>
    <t>https://docs.google.com/document/d/1w20Yd6Y71n9feh5OGAUWj82OPDOoUJRiYrfEssp7L_U/edit?usp=drivesdk</t>
  </si>
  <si>
    <t>Document successfully created; Document successfully merged; Run via form trigger as kemal.stafsus@gmail.com; Timestamp: Jun 18 2024 6:46 AM</t>
  </si>
  <si>
    <t>https://drive.google.com/open?id=1mZ4Xg-bh5pFHcaCyy64fkM25x3AbM-rV</t>
  </si>
  <si>
    <t>https://drive.google.com/uc?export=view&amp;id=1mZ4Xg-bh5pFHcaCyy64fkM25x3AbM-rV</t>
  </si>
  <si>
    <t>Elsa Utari Febriani, S.Psi</t>
  </si>
  <si>
    <t>085159112529</t>
  </si>
  <si>
    <t>5204086502010001</t>
  </si>
  <si>
    <t>di: Jalan Bidar VIII No 10, Kelapa Dua Tangerang BantenKec. Kelapa Dua Kel. Pakulonan Barat</t>
  </si>
  <si>
    <t xml:space="preserve">Sumbawa </t>
  </si>
  <si>
    <t>25-02-2001</t>
  </si>
  <si>
    <t xml:space="preserve">23 tahun 4 bulan </t>
  </si>
  <si>
    <t>Universitas Teknologi Sumbawa</t>
  </si>
  <si>
    <t>Guru TK Al-Muhajirin Sumbawa</t>
  </si>
  <si>
    <t>elsautarif@gmail.com</t>
  </si>
  <si>
    <t>1IXHVY7dK-8QvAqiQOida2kUgqr-bApQiLU0LXLLbSuY</t>
  </si>
  <si>
    <t>https://docs.google.com/document/d/1IXHVY7dK-8QvAqiQOida2kUgqr-bApQiLU0LXLLbSuY/edit?usp=drivesdk</t>
  </si>
  <si>
    <t>Document successfully created; Document successfully merged; Run via form trigger as kemal.stafsus@gmail.com; Timestamp: Jun 19 2024 12:20 AM</t>
  </si>
  <si>
    <t>https://drive.google.com/open?id=1NpCDxuyJPI_PR_EgwhW-yeKHfFVez6vl</t>
  </si>
  <si>
    <t>https://drive.google.com/uc?export=view&amp;id=1NpCDxuyJPI_PR_EgwhW-yeKHfFVez6vl</t>
  </si>
  <si>
    <t>Nabila Ayuningtyas,S.Or</t>
  </si>
  <si>
    <t>082311120206</t>
  </si>
  <si>
    <t>3201155203920004</t>
  </si>
  <si>
    <t>Jl.Rahwana 2 no.14 Rt.001/rRw.004, kelurahan Cibodas Baru, Kecamatan Cibodas, Perumnas 2 Karawaci, Kota Tangerang</t>
  </si>
  <si>
    <t>12-03-1992</t>
  </si>
  <si>
    <t>32 Tahun 3 Bulan</t>
  </si>
  <si>
    <t>Guru PJOK</t>
  </si>
  <si>
    <t>Konsentrasi Kepelatihan Olahraga, Fakultas Ilmu Keolahragaan</t>
  </si>
  <si>
    <t xml:space="preserve">Pelatih extrakulikuler Bulutangkis sekolah </t>
  </si>
  <si>
    <t xml:space="preserve">400.000/pertemuan </t>
  </si>
  <si>
    <t>6.000.000 (Nego)</t>
  </si>
  <si>
    <t>ayuningtyasnabila14@gmail.com</t>
  </si>
  <si>
    <t>1-NvdE5bnZe10MtS5vHpYcgbiRD2HMzk08MnxOoIc0Cw</t>
  </si>
  <si>
    <t>https://docs.google.com/document/d/1-NvdE5bnZe10MtS5vHpYcgbiRD2HMzk08MnxOoIc0Cw/edit?usp=drivesdk</t>
  </si>
  <si>
    <t>Document successfully created; Document successfully merged; Run via form trigger as kemal.stafsus@gmail.com; Timestamp: Jun 20 2024 4:16 AM</t>
  </si>
  <si>
    <t>https://drive.google.com/open?id=1zvl3WNVlON4dVw6-j0VKvWF4xY9kTNVY</t>
  </si>
  <si>
    <t>https://drive.google.com/uc?export=view&amp;id=1zvl3WNVlON4dVw6-j0VKvWF4xY9kTNVY</t>
  </si>
  <si>
    <t>Ratna Nur Aini Kamilia, S. Mat</t>
  </si>
  <si>
    <t>085719838352</t>
  </si>
  <si>
    <t>3276036308010005</t>
  </si>
  <si>
    <t>Bumi Sawangan Indah 2 Blok A6 RT 01 RW 09, Pengasinan, Sawangan, Depok. 16518</t>
  </si>
  <si>
    <t>23-08-2001</t>
  </si>
  <si>
    <t>22 tahun10 bulan</t>
  </si>
  <si>
    <t>S1 - Universitas Jenderal Soedirman</t>
  </si>
  <si>
    <t>Freelance Bimbel Laskar UI</t>
  </si>
  <si>
    <t>1.000.000 - 1.500.000</t>
  </si>
  <si>
    <t>0230654144</t>
  </si>
  <si>
    <t>ranukamilia@gmail.com</t>
  </si>
  <si>
    <t>1ws7ZQvbCKq_8c8re33K1JZWkqpGoGQkwG5fqqiyjvPk</t>
  </si>
  <si>
    <t>https://docs.google.com/document/d/1ws7ZQvbCKq_8c8re33K1JZWkqpGoGQkwG5fqqiyjvPk/edit?usp=drivesdk</t>
  </si>
  <si>
    <t>Document successfully created; Document successfully merged; Run via form trigger as kemal.stafsus@gmail.com; Timestamp: Jun 20 2024 5:52 AM</t>
  </si>
  <si>
    <t>https://drive.google.com/open?id=10UGAArq4mwKHZre9XVfjVquDXIfVaZVE</t>
  </si>
  <si>
    <t>https://drive.google.com/uc?export=view&amp;id=10UGAArq4mwKHZre9XVfjVquDXIfVaZVE</t>
  </si>
  <si>
    <t>Damanhuri S.Pd</t>
  </si>
  <si>
    <t>085719935620</t>
  </si>
  <si>
    <t>3604141209930002</t>
  </si>
  <si>
    <t>Kp. Turus Krese RT/RW 002/001Desa. Tegalsari Kec. Walantaka Kota Serang Banten</t>
  </si>
  <si>
    <t>12-09-1993</t>
  </si>
  <si>
    <t>30 tahun 9 Bulan</t>
  </si>
  <si>
    <t>Arabic / Diniyyah</t>
  </si>
  <si>
    <t>Mudir Rumah Qur'an Nurul Hadi Magelang</t>
  </si>
  <si>
    <t>Ketua Tim Bahasa Ma'had Al-hikmah Parung Bogor</t>
  </si>
  <si>
    <t>Pengajar Diniyyah dan Bahasa Arab di Pondok Pesantren Mu'adz Bin Jabal Puncak</t>
  </si>
  <si>
    <t>daman8036@gmail.com</t>
  </si>
  <si>
    <t>1d29k_fi_vBYN_Xm91JTqm_Irv5A6OPI0UPuXXtU66-g</t>
  </si>
  <si>
    <t>https://docs.google.com/document/d/1d29k_fi_vBYN_Xm91JTqm_Irv5A6OPI0UPuXXtU66-g/edit?usp=drivesdk</t>
  </si>
  <si>
    <t>Document successfully created; Document successfully merged; Run via form trigger as kemal.stafsus@gmail.com; Timestamp: Jun 22 2024 5:49 AM</t>
  </si>
  <si>
    <t>https://drive.google.com/open?id=17PITSsjc3ve9fiIaf_shW8ETliWYxW73</t>
  </si>
  <si>
    <t>https://drive.google.com/uc?export=view&amp;id=17PITSsjc3ve9fiIaf_shW8ETliWYxW73</t>
  </si>
  <si>
    <t>22 tahun</t>
  </si>
  <si>
    <t>Nuraida islamic School bogor</t>
  </si>
  <si>
    <t xml:space="preserve">Ibnu Katsir tambun </t>
  </si>
  <si>
    <t>Daarul iman bangka Belitung</t>
  </si>
  <si>
    <t>3,5 jt</t>
  </si>
  <si>
    <t>1sPrBpheKjlo4rtEgqy6jxE4OT7S_QI1081M8Ll_5pTs</t>
  </si>
  <si>
    <t>https://docs.google.com/document/d/1sPrBpheKjlo4rtEgqy6jxE4OT7S_QI1081M8Ll_5pTs/edit?usp=drivesdk</t>
  </si>
  <si>
    <t>Document successfully created; Document successfully merged; Run via form trigger as kemal.stafsus@gmail.com; Timestamp: Jun 22 2024 9:52 AM</t>
  </si>
  <si>
    <t>https://drive.google.com/open?id=1SRnXencukZdZIrz7boQbp6e60_BArbSM</t>
  </si>
  <si>
    <t>https://drive.google.com/uc?export=view&amp;id=1SRnXencukZdZIrz7boQbp6e60_BArbSM</t>
  </si>
  <si>
    <t>Idham Arkan Ramadhan, B.A.</t>
  </si>
  <si>
    <t>082260206447</t>
  </si>
  <si>
    <t>3603170701000003</t>
  </si>
  <si>
    <t>Jalan Kencana permai 4 blok C4/C58 Rt 07/09 Medang Lestari
Pagedangan - Tangerang</t>
  </si>
  <si>
    <t>07-01-2000</t>
  </si>
  <si>
    <t>idhamlipia@gmail.com</t>
  </si>
  <si>
    <t>1d0Jkqtjy9KmjLfu6bbMC9SyLsHOyMQ6Cq5KZKUFZLtM</t>
  </si>
  <si>
    <t>https://docs.google.com/document/d/1d0Jkqtjy9KmjLfu6bbMC9SyLsHOyMQ6Cq5KZKUFZLtM/edit?usp=drivesdk</t>
  </si>
  <si>
    <t>Document successfully created; Document successfully merged; Run via form trigger as kemal.stafsus@gmail.com; Timestamp: Jun 22 2024 12:08 PM</t>
  </si>
  <si>
    <t>https://drive.google.com/open?id=1b2xrhaK4uGlDU94no9D512x8waQpNsZT</t>
  </si>
  <si>
    <t>https://drive.google.com/uc?export=view&amp;id=1b2xrhaK4uGlDU94no9D512x8waQpNsZT</t>
  </si>
  <si>
    <t>Fernando Rizky Suryo Mataram, S.Kom</t>
  </si>
  <si>
    <t>08979878130</t>
  </si>
  <si>
    <t>3216060409920016</t>
  </si>
  <si>
    <t>Perum Puri Cendana Blok A.6 No.25</t>
  </si>
  <si>
    <t>4 September 1992</t>
  </si>
  <si>
    <t>31 Tahun 10 Bulan</t>
  </si>
  <si>
    <t xml:space="preserve">STMIK AMIKOM YOGYAKARTA </t>
  </si>
  <si>
    <t xml:space="preserve">Sistem Informasi </t>
  </si>
  <si>
    <t xml:space="preserve">Tata Usaha/Operator Sekolah </t>
  </si>
  <si>
    <t>Rp. 2.380.000</t>
  </si>
  <si>
    <t>Rp. 3.000.000 - Rp. 3.500.000</t>
  </si>
  <si>
    <t>agimataram@gmail.com</t>
  </si>
  <si>
    <t>1hYCec-bOS8VuTN5OKBCUJz3YY45Hy7w9FSnZL4j0pyg</t>
  </si>
  <si>
    <t>https://docs.google.com/document/d/1hYCec-bOS8VuTN5OKBCUJz3YY45Hy7w9FSnZL4j0pyg/edit?usp=drivesdk</t>
  </si>
  <si>
    <t>Document successfully created; Document successfully merged; Run via form trigger as kemal.stafsus@gmail.com; Timestamp: Jun 23 2024 4:01 AM</t>
  </si>
  <si>
    <t>https://drive.google.com/open?id=1UpmVV0BlrtYaBnZy8hqxSbx8Jht_dbvn</t>
  </si>
  <si>
    <t>https://drive.google.com/uc?export=view&amp;id=1UpmVV0BlrtYaBnZy8hqxSbx8Jht_dbvn</t>
  </si>
  <si>
    <t>Putri Amanda Zumayah, S.Hum.</t>
  </si>
  <si>
    <t>089602831820</t>
  </si>
  <si>
    <t>3174016312010008</t>
  </si>
  <si>
    <t>Jl. ASEM BARIS RAYA GG.O NO.24 RT.007/RW.013 KEBON BARU, TEBET</t>
  </si>
  <si>
    <t>23-12-2001</t>
  </si>
  <si>
    <t>Registration Staff</t>
  </si>
  <si>
    <t>putriamandazumayah@gmail.com</t>
  </si>
  <si>
    <t>1GFnpAxy3162oOLv_LzD6JrTsDPvbcA26bPj8aCuqG3g</t>
  </si>
  <si>
    <t>https://docs.google.com/document/d/1GFnpAxy3162oOLv_LzD6JrTsDPvbcA26bPj8aCuqG3g/edit?usp=drivesdk</t>
  </si>
  <si>
    <t>Document successfully created; Document successfully merged; Run via form trigger as kemal.stafsus@gmail.com; Timestamp: Jun 23 2024 1:11 PM</t>
  </si>
  <si>
    <t>https://drive.google.com/open?id=1OC5aFfWUOk6FtZWglsmc0vRHTu9Zz5XU</t>
  </si>
  <si>
    <t>https://drive.google.com/uc?export=view&amp;id=1OC5aFfWUOk6FtZWglsmc0vRHTu9Zz5XU</t>
  </si>
  <si>
    <t>Arief Mufadhdhol, S.Pd</t>
  </si>
  <si>
    <t>081289120435</t>
  </si>
  <si>
    <t>3671121011980001</t>
  </si>
  <si>
    <t>Jl raden fatah gg sawo no 124 parung serab ciledug, Tangerang</t>
  </si>
  <si>
    <t>10-11-1998</t>
  </si>
  <si>
    <t>Pengajar di BKB Nurul Fikri</t>
  </si>
  <si>
    <t>2.500.000 - 4.500.000</t>
  </si>
  <si>
    <t>mufadhdholarief12@gmail.com</t>
  </si>
  <si>
    <t>16cfxf7_mPM07oqpeSVwtiSqBe5jCdVOFiIV3zuLE9QE</t>
  </si>
  <si>
    <t>https://docs.google.com/document/d/16cfxf7_mPM07oqpeSVwtiSqBe5jCdVOFiIV3zuLE9QE/edit?usp=drivesdk</t>
  </si>
  <si>
    <t>Document successfully created; Document successfully merged; Run via form trigger as kemal.stafsus@gmail.com; Timestamp: Jun 23 2024 6:22 PM</t>
  </si>
  <si>
    <t>https://drive.google.com/open?id=1s2Gkgjehjaw1lmDbmuonKTmHKyTyDwE5</t>
  </si>
  <si>
    <t>https://drive.google.com/uc?export=view&amp;id=1s2Gkgjehjaw1lmDbmuonKTmHKyTyDwE5</t>
  </si>
  <si>
    <t>Wibi Simka S.Pd</t>
  </si>
  <si>
    <t>082295294207</t>
  </si>
  <si>
    <t>3278061112950008</t>
  </si>
  <si>
    <t>Jalan Rajawali II No.20 RT 04 RW 02 Setiaratu, Cibeureum, Kota Tasikmalaya Jawa Barat</t>
  </si>
  <si>
    <t>11/12/1995</t>
  </si>
  <si>
    <t>LKP ELTI Tasikmalaya</t>
  </si>
  <si>
    <t>wibisimka01@gmail.com</t>
  </si>
  <si>
    <t>1EluECZ8rUr012HFoDO4qXS9Q81MMR0zm5eYCeRIpLyU</t>
  </si>
  <si>
    <t>https://docs.google.com/document/d/1EluECZ8rUr012HFoDO4qXS9Q81MMR0zm5eYCeRIpLyU/edit?usp=drivesdk</t>
  </si>
  <si>
    <t>Document successfully created; Document successfully merged; Run via form trigger as kemal.stafsus@gmail.com; Timestamp: Jun 24 2024 12:15 AM</t>
  </si>
  <si>
    <t>https://drive.google.com/open?id=17MOV2bZ5O6y80IWOfC59aoXmi32Hvu9V</t>
  </si>
  <si>
    <t>https://drive.google.com/uc?export=view&amp;id=17MOV2bZ5O6y80IWOfC59aoXmi32Hvu9V</t>
  </si>
  <si>
    <t>Najwa Nada Nabiela</t>
  </si>
  <si>
    <t>089608438577</t>
  </si>
  <si>
    <t>3174034503040005</t>
  </si>
  <si>
    <t>Jl. Kemangsari 4 No 1C Komp Kav. AURI Pondok Gede Bekasi</t>
  </si>
  <si>
    <t>05 - Maret - 2004</t>
  </si>
  <si>
    <t xml:space="preserve">20 tahun 3 bulan </t>
  </si>
  <si>
    <t xml:space="preserve">  on going Safwa university pengindukan di STAI Al Aqidah.</t>
  </si>
  <si>
    <t>Guru Al Quran dan Mapel Diniyah</t>
  </si>
  <si>
    <t>Menurut riset yang saya lakukan, gaji untuk posisi musyrifah kisaran 2.600.000 - 3000.000</t>
  </si>
  <si>
    <t>najwanabilaaaa5@gmail.com</t>
  </si>
  <si>
    <t>1UI0aUhbG8bKrU_M81vOHzPamHJ-CA_8AlOK3Kf5N_oQ</t>
  </si>
  <si>
    <t>https://docs.google.com/document/d/1UI0aUhbG8bKrU_M81vOHzPamHJ-CA_8AlOK3Kf5N_oQ/edit?usp=drivesdk</t>
  </si>
  <si>
    <t>Document successfully created; Document successfully merged; Run via form trigger as kemal.stafsus@gmail.com; Timestamp: Jun 24 2024 1:43 AM</t>
  </si>
  <si>
    <t>https://drive.google.com/open?id=1TDleRB7kRWfSqxYxpwMsN8e-ay-Vs4J5</t>
  </si>
  <si>
    <t>https://drive.google.com/uc?export=view&amp;id=1TDleRB7kRWfSqxYxpwMsN8e-ay-Vs4J5</t>
  </si>
  <si>
    <t>Perum Puri Cendana Blok A.6 No.25, Desa Sumberjaya, Kec.Tambun Selatan, Kab. Bekasi</t>
  </si>
  <si>
    <t xml:space="preserve">Mataram </t>
  </si>
  <si>
    <t xml:space="preserve">31 Tahun 10 Bulan </t>
  </si>
  <si>
    <t xml:space="preserve">2, 82 </t>
  </si>
  <si>
    <t xml:space="preserve">Tata usaha/operator sekolah </t>
  </si>
  <si>
    <t xml:space="preserve">Bank Mandiri </t>
  </si>
  <si>
    <t>1HVHU56xw7dGQ1APuwfxATUjHajUd1uWTxyzztPpCUIQ</t>
  </si>
  <si>
    <t>https://docs.google.com/document/d/1HVHU56xw7dGQ1APuwfxATUjHajUd1uWTxyzztPpCUIQ/edit?usp=drivesdk</t>
  </si>
  <si>
    <t>Document successfully created; Document successfully merged; Run via form trigger as kemal.stafsus@gmail.com; Timestamp: Jun 24 2024 2:23 AM</t>
  </si>
  <si>
    <t>https://drive.google.com/open?id=1JWkVMhcZ84htGZ7dpuOoo89NBQaTo4-A</t>
  </si>
  <si>
    <t>https://drive.google.com/uc?export=view&amp;id=1JWkVMhcZ84htGZ7dpuOoo89NBQaTo4-A</t>
  </si>
  <si>
    <t>Rika Meirika, S. Sos</t>
  </si>
  <si>
    <t>085777608421</t>
  </si>
  <si>
    <t>3211025305980001</t>
  </si>
  <si>
    <t>Jl. Mekarsari Tengah No.54, RT.1/RW.11, Mekarsari, Kec. Tambun Selatan KAB. BEKASI, TAMBUN SELATAN, JAWA BARAT, ID, 17510</t>
  </si>
  <si>
    <t>13-05-1998</t>
  </si>
  <si>
    <t>Universitas Islam Negeri Sunan Gunung Djati Bandung</t>
  </si>
  <si>
    <t>Assistant Teacher - The Sun Islamic Montessori School</t>
  </si>
  <si>
    <t>Shadow Teacher - Cinnamon Montessori School</t>
  </si>
  <si>
    <t>Guru Bimbingan Konseling - SMK Bina Harapan Sumedang</t>
  </si>
  <si>
    <t>0114867632100</t>
  </si>
  <si>
    <t>meirikamei9@gmail.com</t>
  </si>
  <si>
    <t>1IkejEWDe0CnvlfDgFqxiGBkX3lFetmaOJDncR4bjZuA</t>
  </si>
  <si>
    <t>https://docs.google.com/document/d/1IkejEWDe0CnvlfDgFqxiGBkX3lFetmaOJDncR4bjZuA/edit?usp=drivesdk</t>
  </si>
  <si>
    <t>Document successfully created; Document successfully merged; Run via form trigger as kemal.stafsus@gmail.com; Timestamp: Jun 24 2024 2:39 AM</t>
  </si>
  <si>
    <t>https://drive.google.com/open?id=1iUVzz5VpF_U5IwFFNE6xYP0XB_FkGzuj</t>
  </si>
  <si>
    <t>https://drive.google.com/uc?export=view&amp;id=1iUVzz5VpF_U5IwFFNE6xYP0XB_FkGzuj</t>
  </si>
  <si>
    <t>Muhamad Roofi Zul Qois, S.T.</t>
  </si>
  <si>
    <t>0895401605555</t>
  </si>
  <si>
    <t>3671062105010002</t>
  </si>
  <si>
    <t>Jl. H.Thosin No.22 Kp.Dukuh RT.001/RW.006 Sudimara Selatan Ciledug Kota Tangerang Banten 15151</t>
  </si>
  <si>
    <t>21-05-2001</t>
  </si>
  <si>
    <t>PTS - Institut Teknologi Indonesia</t>
  </si>
  <si>
    <t>Production Planning Control - PT Indo Taichen Textile Industry</t>
  </si>
  <si>
    <t>Internship Process Innovation engineer - PT Bukit Muria Jaya</t>
  </si>
  <si>
    <t>Asisten Laboratorium - Institut Teknologi Indonesia</t>
  </si>
  <si>
    <t>muhroofizq@gmail.com</t>
  </si>
  <si>
    <t>1YsfSQSyohDBjnlfaiOgFECYa4UCu5YfoaSd2A1N0hyo</t>
  </si>
  <si>
    <t>https://docs.google.com/document/d/1YsfSQSyohDBjnlfaiOgFECYa4UCu5YfoaSd2A1N0hyo/edit?usp=drivesdk</t>
  </si>
  <si>
    <t>Document successfully created; Document successfully merged; Run via form trigger as kemal.stafsus@gmail.com; Timestamp: Jun 25 2024 2:01 AM</t>
  </si>
  <si>
    <t>https://drive.google.com/open?id=1g4qf9V6sOi0yg0mfpgljWtlMJH-hChHj</t>
  </si>
  <si>
    <t>https://drive.google.com/uc?export=view&amp;id=1g4qf9V6sOi0yg0mfpgljWtlMJH-hChHj</t>
  </si>
  <si>
    <t>Aditya Alhadi Ramadhani, S.Si.</t>
  </si>
  <si>
    <t>081319717130</t>
  </si>
  <si>
    <t>3674040712010014</t>
  </si>
  <si>
    <t>Jl. Kecubung V No.1 RT 03 RW 02, Tangerang Selatan, Banten ,15413</t>
  </si>
  <si>
    <t>07-12-2001</t>
  </si>
  <si>
    <t>Asisten Pengajar di Kumon</t>
  </si>
  <si>
    <t>Tutor Privat di Rajin.id</t>
  </si>
  <si>
    <t>0670273211</t>
  </si>
  <si>
    <t>aditya.aramadhani87@gmail.com</t>
  </si>
  <si>
    <t>1kMGLF2iVY39PtZ147XipNEamx3RRoe-s6PH1c-qMdkg</t>
  </si>
  <si>
    <t>https://docs.google.com/document/d/1kMGLF2iVY39PtZ147XipNEamx3RRoe-s6PH1c-qMdkg/edit?usp=drivesdk</t>
  </si>
  <si>
    <t>Document successfully created; Document successfully merged; Run via form trigger as kemal.stafsus@gmail.com; Timestamp: Jun 26 2024 9:29 AM</t>
  </si>
  <si>
    <t>https://drive.google.com/open?id=1cq57FNTAvarLC8U_sxNT6C16UVU9S8pY</t>
  </si>
  <si>
    <t>https://drive.google.com/uc?export=view&amp;id=1cq57FNTAvarLC8U_sxNT6C16UVU9S8pY</t>
  </si>
  <si>
    <t>Umar Zain Sarlata</t>
  </si>
  <si>
    <t>088223799315</t>
  </si>
  <si>
    <t>3603282312020007</t>
  </si>
  <si>
    <t>Jl. Tuntang 4 No.18, RT.2/RW.016, Bencongan Indah, Kec. Klp. Dua, Kabupaten Tangerang, Banten 15138</t>
  </si>
  <si>
    <t>23-12-2002</t>
  </si>
  <si>
    <t>Sedang Studi S1 LIPIA</t>
  </si>
  <si>
    <t xml:space="preserve">Idariyyah Wal Maliyyah </t>
  </si>
  <si>
    <t>umarzain.uze1@gmail.com</t>
  </si>
  <si>
    <t>1d5MHqn6jtK3ayZ0qAOIZ4AGEuYlpBoNDEXXl2MmPYpU</t>
  </si>
  <si>
    <t>https://docs.google.com/document/d/1d5MHqn6jtK3ayZ0qAOIZ4AGEuYlpBoNDEXXl2MmPYpU/edit?usp=drivesdk</t>
  </si>
  <si>
    <t>Document successfully created; Document successfully merged; Run via form trigger as kemal.stafsus@gmail.com; Timestamp: Jun 26 2024 10:26 AM</t>
  </si>
  <si>
    <t>https://drive.google.com/open?id=1lBdgTlzcxJZUsn2V8YndIJk_8xPQOEBP</t>
  </si>
  <si>
    <t>https://drive.google.com/uc?export=view&amp;id=1lBdgTlzcxJZUsn2V8YndIJk_8xPQOEBP</t>
  </si>
  <si>
    <t>YUSRINA WARDANI, M.Pd., Gr.</t>
  </si>
  <si>
    <t>081286011609</t>
  </si>
  <si>
    <t>3674036306930005 / E3190316</t>
  </si>
  <si>
    <t>Kavling Basuki RT/RW 003/08, Parung Serab, Ciledug, Tangerang, Banten</t>
  </si>
  <si>
    <t>23-06-1993</t>
  </si>
  <si>
    <t>Mathematics Cambridge</t>
  </si>
  <si>
    <t>Mathematics Cambridge Teacher</t>
  </si>
  <si>
    <t>Private Teacher (Freelance)</t>
  </si>
  <si>
    <t>yusrina.wardani@gmail.com</t>
  </si>
  <si>
    <t>1BT_P3IO8Drk-Xqy2uZL50deTYQe1EmxMEfqRHkKohT4</t>
  </si>
  <si>
    <t>https://docs.google.com/document/d/1BT_P3IO8Drk-Xqy2uZL50deTYQe1EmxMEfqRHkKohT4/edit?usp=drivesdk</t>
  </si>
  <si>
    <t>Document successfully created; Document successfully merged; Run via form trigger as kemal.stafsus@gmail.com; Timestamp: Jun 26 2024 11:06 PM</t>
  </si>
  <si>
    <t>https://drive.google.com/open?id=1njP-1XetxkHNNu9Re_I4r7yY4MLsayXv</t>
  </si>
  <si>
    <t>https://drive.google.com/uc?export=view&amp;id=1njP-1XetxkHNNu9Re_I4r7yY4MLsayXv</t>
  </si>
  <si>
    <t>Farah Riana</t>
  </si>
  <si>
    <t>08118902379</t>
  </si>
  <si>
    <t>3201054203790002</t>
  </si>
  <si>
    <t>Jln Layar IV No 9.RT.04/RW.07.Kelapa Dua.Tangerang</t>
  </si>
  <si>
    <t>Banjarmasin</t>
  </si>
  <si>
    <t>02/03/1979</t>
  </si>
  <si>
    <t>45 tahun 3 bulan</t>
  </si>
  <si>
    <t>Administrative Office Assistant</t>
  </si>
  <si>
    <t>Logistic Specialist</t>
  </si>
  <si>
    <t>Senior Logistic Specialist</t>
  </si>
  <si>
    <t>Bank Permata</t>
  </si>
  <si>
    <t>farahfakhri2015@gmail.com</t>
  </si>
  <si>
    <t>1OJDWJuQnOQgOKlqEZOefgvGGwn0PNcCddY7kDJUm340</t>
  </si>
  <si>
    <t>https://docs.google.com/document/d/1OJDWJuQnOQgOKlqEZOefgvGGwn0PNcCddY7kDJUm340/edit?usp=drivesdk</t>
  </si>
  <si>
    <t>Document successfully created; Document successfully merged; Run via form trigger as kemal.stafsus@gmail.com; Timestamp: Jun 27 2024 10:06 AM</t>
  </si>
  <si>
    <t>https://drive.google.com/open?id=1lehcHYE_D9VUxI_xF7lyDqx5m-KJk_cj</t>
  </si>
  <si>
    <t>https://drive.google.com/uc?export=view&amp;id=1lehcHYE_D9VUxI_xF7lyDqx5m-KJk_cj</t>
  </si>
  <si>
    <t>Kontrakan Bpk Hj Sanin warna Biru No 13
Kampung Cibitung Bedeng Rt. 005 Rw. 04 
Desa Telaga Asih Kecamatan Cikarang Barat kode pos 17530</t>
  </si>
  <si>
    <t>30-01-1999</t>
  </si>
  <si>
    <t>S1 Sistem Informasi</t>
  </si>
  <si>
    <t>Desainer Grafis Skincara Jakarta</t>
  </si>
  <si>
    <t>Humas &amp; Staff Student Utdi Yogyakarta</t>
  </si>
  <si>
    <t>Desain Grafis Head office larissa yogyakarta</t>
  </si>
  <si>
    <t>3500.000-4000.000</t>
  </si>
  <si>
    <t>14vdOCodPu6inh94T9pZMp9XI52J9K9w0d29UrK2fhiM</t>
  </si>
  <si>
    <t>https://docs.google.com/document/d/14vdOCodPu6inh94T9pZMp9XI52J9K9w0d29UrK2fhiM/edit?usp=drivesdk</t>
  </si>
  <si>
    <t>Document successfully created; Document successfully merged; Run via form trigger as kemal.stafsus@gmail.com; Timestamp: Jun 27 2024 11:51 AM</t>
  </si>
  <si>
    <t>https://drive.google.com/open?id=1sgVA3bCZuzOB5cDO5kaEE3c3BHQifP6x</t>
  </si>
  <si>
    <t>https://drive.google.com/uc?export=view&amp;id=1sgVA3bCZuzOB5cDO5kaEE3c3BHQifP6x</t>
  </si>
  <si>
    <t>Fariza Indrapuri Si.p</t>
  </si>
  <si>
    <t>081295303293</t>
  </si>
  <si>
    <t>3603284301900007</t>
  </si>
  <si>
    <t>Jl. Layar V No.18 RT05 RW07 Kelapa Dua, Tangerang</t>
  </si>
  <si>
    <t>03-01-1990</t>
  </si>
  <si>
    <t>34 tahun 6 bulan</t>
  </si>
  <si>
    <t>PT Ecolab</t>
  </si>
  <si>
    <t>PT Champion Kurnia Djaja Technologies</t>
  </si>
  <si>
    <t>farizaindrapuri03@gmail.com</t>
  </si>
  <si>
    <t>1iVPU1rNWW5e4o_JjYDapKh1WfLXmKQf3wTG3vH-NE5o</t>
  </si>
  <si>
    <t>https://docs.google.com/document/d/1iVPU1rNWW5e4o_JjYDapKh1WfLXmKQf3wTG3vH-NE5o/edit?usp=drivesdk</t>
  </si>
  <si>
    <t>Document successfully created; Document successfully merged; Run via form trigger as kemal.stafsus@gmail.com; Timestamp: Jun 28 2024 1:14 AM</t>
  </si>
  <si>
    <t>https://drive.google.com/open?id=1fzlvMvNzM4IqhDBr4e51xL0jItqE9P06</t>
  </si>
  <si>
    <t>https://drive.google.com/uc?export=view&amp;id=1fzlvMvNzM4IqhDBr4e51xL0jItqE9P06</t>
  </si>
  <si>
    <t>Ricky Andriansyah, ST</t>
  </si>
  <si>
    <t>081319171001</t>
  </si>
  <si>
    <t>3275111602860002</t>
  </si>
  <si>
    <t>Grand permata blok E no 10 Bekasi Timur</t>
  </si>
  <si>
    <t>16-02-1986</t>
  </si>
  <si>
    <t>38 tahun</t>
  </si>
  <si>
    <t>Muhammadiyah Jakarta</t>
  </si>
  <si>
    <t>Sarjana Teknik</t>
  </si>
  <si>
    <t>Kepala Tata Usaha</t>
  </si>
  <si>
    <t>ricky.andriansyah16@gmail.com</t>
  </si>
  <si>
    <t>1ZzVE9oeKvuKIIe5V7mTyWGSr05eYJ5k7HE67XD7nyAw</t>
  </si>
  <si>
    <t>https://docs.google.com/document/d/1ZzVE9oeKvuKIIe5V7mTyWGSr05eYJ5k7HE67XD7nyAw/edit?usp=drivesdk</t>
  </si>
  <si>
    <t>Document successfully created; Document successfully merged; Run via form trigger as kemal.stafsus@gmail.com; Timestamp: Jun 28 2024 4:06 AM</t>
  </si>
  <si>
    <t>https://drive.google.com/open?id=10ZOqZOF7tlHtkbAIQJ995M6G5zCEb-uU</t>
  </si>
  <si>
    <t>https://drive.google.com/uc?export=view&amp;id=10ZOqZOF7tlHtkbAIQJ995M6G5zCEb-uU</t>
  </si>
  <si>
    <t>Syaira Avilla Qurrata'aini, S.Pd</t>
  </si>
  <si>
    <t>Bahasa Arab dan Diniyah</t>
  </si>
  <si>
    <t>GURU TAHFIDZ SDIT ARRAAYAH</t>
  </si>
  <si>
    <t>GURU AGAMA MTS PELITA MADANI</t>
  </si>
  <si>
    <t>12zte7sypDQd2VhHg-shIrEWKF-AWO-qC6MfuBL3uibM</t>
  </si>
  <si>
    <t>https://docs.google.com/document/d/12zte7sypDQd2VhHg-shIrEWKF-AWO-qC6MfuBL3uibM/edit?usp=drivesdk</t>
  </si>
  <si>
    <t>Document successfully created; Document successfully merged; Run via form trigger as kemal.stafsus@gmail.com; Timestamp: Jun 28 2024 6:55 AM</t>
  </si>
  <si>
    <t>https://drive.google.com/open?id=18ktdIAgbzKP_6apecNBAGeoo1NQee5w5</t>
  </si>
  <si>
    <t>https://drive.google.com/uc?export=view&amp;id=18ktdIAgbzKP_6apecNBAGeoo1NQee5w5</t>
  </si>
  <si>
    <t>Nur Syafitri,S.Psi</t>
  </si>
  <si>
    <t>085697553433</t>
  </si>
  <si>
    <t>3201016606830016</t>
  </si>
  <si>
    <t>Tapos Jawa Barat</t>
  </si>
  <si>
    <t>26-06-1983</t>
  </si>
  <si>
    <t>41 th</t>
  </si>
  <si>
    <t>UNIVERSITAS GUNADARMA</t>
  </si>
  <si>
    <t>SMK PGRI 20.JAKARTA</t>
  </si>
  <si>
    <t>0375350016</t>
  </si>
  <si>
    <t>syafitri.kamila@gmail.com</t>
  </si>
  <si>
    <t>1pch4XK_98uDWI-a2eUPwli_W6Z5YPa6J7TgxXrM4VzA</t>
  </si>
  <si>
    <t>https://docs.google.com/document/d/1pch4XK_98uDWI-a2eUPwli_W6Z5YPa6J7TgxXrM4VzA/edit?usp=drivesdk</t>
  </si>
  <si>
    <t>Document successfully created; Document successfully merged; Run via form trigger as kemal.stafsus@gmail.com; Timestamp: Jun 28 2024 9:00 AM</t>
  </si>
  <si>
    <t>https://drive.google.com/open?id=1hupJhhBOJaIIw2XTdzAlREmgPkoWUgEe</t>
  </si>
  <si>
    <t>https://drive.google.com/uc?export=view&amp;id=1hupJhhBOJaIIw2XTdzAlREmgPkoWUgEe</t>
  </si>
  <si>
    <t>HANNIE DWIASTESSI S.Pd</t>
  </si>
  <si>
    <t>087887139221</t>
  </si>
  <si>
    <t>1871024410830004</t>
  </si>
  <si>
    <t>Sukarame Bandarlampung</t>
  </si>
  <si>
    <t>Bandarlampung</t>
  </si>
  <si>
    <t>04-10-1983</t>
  </si>
  <si>
    <t>40 tahun</t>
  </si>
  <si>
    <t>PTN (Strata 1) Universitas Negri Jakarta</t>
  </si>
  <si>
    <t>3.</t>
  </si>
  <si>
    <t>Wallstreet</t>
  </si>
  <si>
    <t>+/- 8.000.000</t>
  </si>
  <si>
    <t>0231108938</t>
  </si>
  <si>
    <t>hanniedwi04@gmail.com</t>
  </si>
  <si>
    <t>1dGA_CsXvzOe_IHg5dsY9dm3c8x3Ev7pZdGPxUAItA8Q</t>
  </si>
  <si>
    <t>https://docs.google.com/document/d/1dGA_CsXvzOe_IHg5dsY9dm3c8x3Ev7pZdGPxUAItA8Q/edit?usp=drivesdk</t>
  </si>
  <si>
    <t>Document successfully created; Document successfully merged; Run via form trigger as kemal.stafsus@gmail.com; Timestamp: Jun 29 2024 11:33 PM</t>
  </si>
  <si>
    <t>https://drive.google.com/open?id=1Qh2JqdYiPA5lFV2MYecxhoVYL1vAl6ok</t>
  </si>
  <si>
    <t>https://drive.google.com/uc?export=view&amp;id=1Qh2JqdYiPA5lFV2MYecxhoVYL1vAl6ok</t>
  </si>
  <si>
    <t xml:space="preserve">Nawwaf Nazhmi Bafadhal, S.Ag </t>
  </si>
  <si>
    <t>081944835988</t>
  </si>
  <si>
    <t>5203070810940004</t>
  </si>
  <si>
    <t xml:space="preserve">Jl. kh Ahmad Dahlan No 6 Pancor Lombok Timur </t>
  </si>
  <si>
    <t xml:space="preserve">Pasuruan </t>
  </si>
  <si>
    <t>08-10-1994</t>
  </si>
  <si>
    <t xml:space="preserve">29 tahun 9 bulan </t>
  </si>
  <si>
    <t xml:space="preserve">PTS - STDI Imam Syafi'i Jember </t>
  </si>
  <si>
    <t xml:space="preserve">Ilmu Hadits </t>
  </si>
  <si>
    <t xml:space="preserve">Guru diniyah </t>
  </si>
  <si>
    <t xml:space="preserve">Kepala sekolah SD Tahfidzul Qur'an </t>
  </si>
  <si>
    <t xml:space="preserve">Guru diniyyah </t>
  </si>
  <si>
    <t>nawwaffatimah18@gmail.com</t>
  </si>
  <si>
    <t>1LAoystZWaT54_UTGFaFB7pQa1YgLsxW2fmMgTNmcDLA</t>
  </si>
  <si>
    <t>https://docs.google.com/document/d/1LAoystZWaT54_UTGFaFB7pQa1YgLsxW2fmMgTNmcDLA/edit?usp=drivesdk</t>
  </si>
  <si>
    <t>Document successfully created; Document successfully merged; Run via form trigger as kemal.stafsus@gmail.com; Timestamp: Jun 30 2024 12:26 AM</t>
  </si>
  <si>
    <t>https://drive.google.com/open?id=1SPkUQRQK5G2kMjbs6xuMBFYzliWIQO4e</t>
  </si>
  <si>
    <t>https://drive.google.com/uc?export=view&amp;id=1SPkUQRQK5G2kMjbs6xuMBFYzliWIQO4e</t>
  </si>
  <si>
    <t>Ahmad Ridwan Bahrin, S.Sos.i, MA</t>
  </si>
  <si>
    <t>081317438200</t>
  </si>
  <si>
    <t>6171061009790003</t>
  </si>
  <si>
    <t>JL. Palem. Blok C. No.10, Perum. Kompas indah, desa mekarsari, kec tambun-bekasi</t>
  </si>
  <si>
    <t>Balai peluntar</t>
  </si>
  <si>
    <t>10-09-1979</t>
  </si>
  <si>
    <t>44 tahun 9 bulan</t>
  </si>
  <si>
    <t>Institut Agama Islam "Al-Aqidah" Jakarta</t>
  </si>
  <si>
    <t>Komunikasi penyiaran Islam</t>
  </si>
  <si>
    <t>Institut Ilmu Al-quran Jakarta</t>
  </si>
  <si>
    <t>Ilmu Agama islam</t>
  </si>
  <si>
    <t xml:space="preserve">Direktur Al-fityan school cabang Kubu Raya Pontianak </t>
  </si>
  <si>
    <t>Project Maneger PT Wisdom</t>
  </si>
  <si>
    <t>Dosen Luar Biasa</t>
  </si>
  <si>
    <t>ridwan7788ptk@gmail.com</t>
  </si>
  <si>
    <t>19tMg5B6CMwlLR3JjZUcGXal3nT5DJ7yHovmZRPuE_Xg</t>
  </si>
  <si>
    <t>https://docs.google.com/document/d/19tMg5B6CMwlLR3JjZUcGXal3nT5DJ7yHovmZRPuE_Xg/edit?usp=drivesdk</t>
  </si>
  <si>
    <t>Document successfully created; Document successfully merged; Run via form trigger as kemal.stafsus@gmail.com; Timestamp: Jun 30 2024 7:44 PM</t>
  </si>
  <si>
    <t>https://drive.google.com/open?id=1ydV02Z9nuXTgq39kKnx3Hl9jqvbwiFyf</t>
  </si>
  <si>
    <t>https://drive.google.com/uc?export=view&amp;id=1ydV02Z9nuXTgq39kKnx3Hl9jqvbwiFyf</t>
  </si>
  <si>
    <t>NETRI NASRUL, SS</t>
  </si>
  <si>
    <t>08118602275</t>
  </si>
  <si>
    <t>3603286211750002</t>
  </si>
  <si>
    <t>Jl Zaitun V Blok C3 No 12 Komp. Islamic Village Kelapa Dua Kab. Tangerang</t>
  </si>
  <si>
    <t>22-11-1975</t>
  </si>
  <si>
    <t>48 tahun 7 bulan</t>
  </si>
  <si>
    <t>SEM</t>
  </si>
  <si>
    <t>PTN/S1-UNIVERSITAS ANDALAS</t>
  </si>
  <si>
    <t>PNS Kemenkumham</t>
  </si>
  <si>
    <t>Guru English</t>
  </si>
  <si>
    <t>Guru Tahsin</t>
  </si>
  <si>
    <t>6.500.000 s.d. 8.000.000</t>
  </si>
  <si>
    <t>mandenetri@gmail.com</t>
  </si>
  <si>
    <t>18ZeQVHktuyZFJr4mzpT2oe690JpA5DT29yrFEAwGW6E</t>
  </si>
  <si>
    <t>https://docs.google.com/document/d/18ZeQVHktuyZFJr4mzpT2oe690JpA5DT29yrFEAwGW6E/edit?usp=drivesdk</t>
  </si>
  <si>
    <t>Document successfully created; Document successfully merged; Run via form trigger as kemal.stafsus@gmail.com; Timestamp: Jun 30 2024 10:03 PM</t>
  </si>
  <si>
    <t>https://drive.google.com/open?id=1eN9g8qGBjcVjR53a9o6DiVOted0ugkYk</t>
  </si>
  <si>
    <t>https://drive.google.com/uc?export=view&amp;id=1eN9g8qGBjcVjR53a9o6DiVOted0ugkYk</t>
  </si>
  <si>
    <t>Nurul Afifah, S.Pd</t>
  </si>
  <si>
    <t>081341132087</t>
  </si>
  <si>
    <t>7303046202010001</t>
  </si>
  <si>
    <t xml:space="preserve">Bantaeng </t>
  </si>
  <si>
    <t>22-02-2001</t>
  </si>
  <si>
    <t>23 Tahun 4 Bulan</t>
  </si>
  <si>
    <t xml:space="preserve">Alquran </t>
  </si>
  <si>
    <t xml:space="preserve">Universitas Muhammadiyah Makassar </t>
  </si>
  <si>
    <t xml:space="preserve">Guru Tahfidz di Kuttab Al-Urwah Kumala Makassar </t>
  </si>
  <si>
    <t xml:space="preserve">Guru Tahfidz di TPA Khairul Ummah Mannuruki </t>
  </si>
  <si>
    <t>nurulafifah200122@gmail.com</t>
  </si>
  <si>
    <t>1A1t1uhGtgG_SYH_u3d-eTjGK2wX9AibPrCvDXY142m4</t>
  </si>
  <si>
    <t>https://docs.google.com/document/d/1A1t1uhGtgG_SYH_u3d-eTjGK2wX9AibPrCvDXY142m4/edit?usp=drivesdk</t>
  </si>
  <si>
    <t>Document successfully created; Document successfully merged; Run via form trigger as kemal.stafsus@gmail.com; Timestamp: Jul 1 2024 9:24 AM</t>
  </si>
  <si>
    <t>https://drive.google.com/open?id=1Neu5P5GC_TH59KwhLei7_JHhYrLc6-Ll</t>
  </si>
  <si>
    <t>https://drive.google.com/uc?export=view&amp;id=1Neu5P5GC_TH59KwhLei7_JHhYrLc6-Ll</t>
  </si>
  <si>
    <t>081341132046</t>
  </si>
  <si>
    <t xml:space="preserve">23 Tahun 4 Bulan </t>
  </si>
  <si>
    <t xml:space="preserve">Bank BRI </t>
  </si>
  <si>
    <t>1qBtAflYqWqR1o38_qCa-R9dI6ji99jRsO28Ohk97IKE</t>
  </si>
  <si>
    <t>https://docs.google.com/document/d/1qBtAflYqWqR1o38_qCa-R9dI6ji99jRsO28Ohk97IKE/edit?usp=drivesdk</t>
  </si>
  <si>
    <t>Document successfully created; Document successfully merged; Run via form trigger as kemal.stafsus@gmail.com; Timestamp: Jul 1 2024 9:32 AM</t>
  </si>
  <si>
    <t>https://drive.google.com/open?id=1Ob8DIWCR_BXkJ-LHReX74WpHi2-128-2</t>
  </si>
  <si>
    <t>https://drive.google.com/uc?export=view&amp;id=1Ob8DIWCR_BXkJ-LHReX74WpHi2-128-2</t>
  </si>
  <si>
    <t>Asrama alwildan 3 bsd city</t>
  </si>
  <si>
    <t>10 februari 2002</t>
  </si>
  <si>
    <t>I'dad lipia jakarta selama 2 tahun</t>
  </si>
  <si>
    <t>4,5 dari 5</t>
  </si>
  <si>
    <t>Misyrif magang di alwildan 3 bsd city selama 5 bulan</t>
  </si>
  <si>
    <t>Gaji musyrif magang di alwildan 3 bsd city=1.500.000</t>
  </si>
  <si>
    <t>13G8uTciUm9iqEGgQlOSM8RaVqT7ctjg-NA2nl99li0M</t>
  </si>
  <si>
    <t>https://docs.google.com/document/d/13G8uTciUm9iqEGgQlOSM8RaVqT7ctjg-NA2nl99li0M/edit?usp=drivesdk</t>
  </si>
  <si>
    <t>Document successfully created; Document successfully merged; Run via form trigger as kemal.stafsus@gmail.com; Timestamp: Jul 1 2024 11:20 AM</t>
  </si>
  <si>
    <t>https://drive.google.com/open?id=11a3s2SHOC6K-DG70c_D4IrkSlAc8MoOs</t>
  </si>
  <si>
    <t>https://drive.google.com/uc?export=view&amp;id=11a3s2SHOC6K-DG70c_D4IrkSlAc8MoOs</t>
  </si>
  <si>
    <t>Nurul Afifah, S.Pd.</t>
  </si>
  <si>
    <t>1dxwI50axERlRVH1g-ztjL1gT2L_aZtUwhm3W5xkF-Uw</t>
  </si>
  <si>
    <t>https://docs.google.com/document/d/1dxwI50axERlRVH1g-ztjL1gT2L_aZtUwhm3W5xkF-Uw/edit?usp=drivesdk</t>
  </si>
  <si>
    <t>Document successfully created; Document successfully merged; Run via form trigger as kemal.stafsus@gmail.com; Timestamp: Jul 2 2024 12:26 AM</t>
  </si>
  <si>
    <t>https://drive.google.com/open?id=1NGs3mKGv00C2n5JfoCZtYirCf-3FNwae</t>
  </si>
  <si>
    <t>https://drive.google.com/uc?export=view&amp;id=1NGs3mKGv00C2n5JfoCZtYirCf-3FNwae</t>
  </si>
  <si>
    <t>Nasywa</t>
  </si>
  <si>
    <t>085942337873</t>
  </si>
  <si>
    <t>3511114208030003</t>
  </si>
  <si>
    <t>Islamic Village , Tangerang</t>
  </si>
  <si>
    <t>2 Agustus 2003</t>
  </si>
  <si>
    <t>Lipia ( mahasiswi aktif )</t>
  </si>
  <si>
    <t>idad lughowi ( kelas persiapan bahasa arab )</t>
  </si>
  <si>
    <t xml:space="preserve">semester 1-3 ( 4.78 ) </t>
  </si>
  <si>
    <t>lilnanasx@gmail.com</t>
  </si>
  <si>
    <t>1zv4Y83b0iAV9T6m6Vxh6vKpulV7GxDyc5fcfpoO4CPY</t>
  </si>
  <si>
    <t>https://docs.google.com/document/d/1zv4Y83b0iAV9T6m6Vxh6vKpulV7GxDyc5fcfpoO4CPY/edit?usp=drivesdk</t>
  </si>
  <si>
    <t>Document successfully created; Document successfully merged; Run via form trigger as kemal.stafsus@gmail.com; Timestamp: Jul 2 2024 12:54 PM</t>
  </si>
  <si>
    <t>https://drive.google.com/open?id=1EWMDnzGgbyL3eG0xXkHhLeiNc8OgFIZe</t>
  </si>
  <si>
    <t>https://drive.google.com/uc?export=view&amp;id=1EWMDnzGgbyL3eG0xXkHhLeiNc8OgFIZe</t>
  </si>
  <si>
    <t>1pgNrS-4QeCy_yQ94WRxnGJWgc-QFmR_QYNw4GAaax7I</t>
  </si>
  <si>
    <t>https://docs.google.com/document/d/1pgNrS-4QeCy_yQ94WRxnGJWgc-QFmR_QYNw4GAaax7I/edit?usp=drivesdk</t>
  </si>
  <si>
    <t>Document successfully created; Document successfully merged; Run via form trigger as kemal.stafsus@gmail.com; Timestamp: Jul 2 2024 7:01 PM</t>
  </si>
  <si>
    <t>https://drive.google.com/open?id=1KmKyW8Vlp_GFvbh1cJI7VRYbi-6XtoTe</t>
  </si>
  <si>
    <t>https://drive.google.com/uc?export=view&amp;id=1KmKyW8Vlp_GFvbh1cJI7VRYbi-6XtoTe</t>
  </si>
  <si>
    <t>Aisyah S.H</t>
  </si>
  <si>
    <t>0895342076572</t>
  </si>
  <si>
    <t>7371105010980005</t>
  </si>
  <si>
    <t>Jl Inspeksi PAM KOMP IKHWAH MANGGALA</t>
  </si>
  <si>
    <t>10-10-1998</t>
  </si>
  <si>
    <t>Sekolah Tinggi Ilmu Islam dan Bahasa Arab Makassar</t>
  </si>
  <si>
    <t>Perbandingan Madzhab</t>
  </si>
  <si>
    <t>Guru Tahfizhul Qur'an , Bahasa Arab , dan Pendidikan Agama Islam, Penanggung jawab Tahfizhul Quran , Penanggung jawab Kesiswaan / OSIS di SMA IT Al Bashirah 2021-2024</t>
  </si>
  <si>
    <t>Ranu Harapan Islamic School , Guru Tahfizhul Quran 2024</t>
  </si>
  <si>
    <t>SMA IT Wahdah Islamiyah 2020-2021</t>
  </si>
  <si>
    <t>aisyahsyamsuddin422@gmail.com</t>
  </si>
  <si>
    <t>1wshou7lhtec51AZnx3rLTLcPpUwGA6bMivFPzgS9svc</t>
  </si>
  <si>
    <t>https://docs.google.com/document/d/1wshou7lhtec51AZnx3rLTLcPpUwGA6bMivFPzgS9svc/edit?usp=drivesdk</t>
  </si>
  <si>
    <t>Document successfully created; Document successfully merged; Run via form trigger as kemal.stafsus@gmail.com; Timestamp: Jul 2 2024 8:32 PM</t>
  </si>
  <si>
    <t>https://drive.google.com/open?id=1dHdQe94MhqEjDAxdx90EQ-SAa9Jk0cGr</t>
  </si>
  <si>
    <t>https://drive.google.com/uc?export=view&amp;id=1dHdQe94MhqEjDAxdx90EQ-SAa9Jk0cGr</t>
  </si>
  <si>
    <t>Ahmad Nafiys Ismail, S.Si</t>
  </si>
  <si>
    <t>+6285159771745</t>
  </si>
  <si>
    <t>3275021609980018</t>
  </si>
  <si>
    <t>Komp. Koperasi Jl Jeruk no. 10 Bintarajaya Bekasi Barat Kota Bekasi</t>
  </si>
  <si>
    <t>16-09-1998</t>
  </si>
  <si>
    <t>Guru MIPA</t>
  </si>
  <si>
    <t>Guru MIPA &amp; Qur'an - HAQI SCHOOL Bekasi</t>
  </si>
  <si>
    <t>Tutor Coding &amp; Robotik - Kalananti by Ruangguru</t>
  </si>
  <si>
    <t>a.nafiys.ismail@gmail.com</t>
  </si>
  <si>
    <t>1De25IZyuBCs9jTomcnKCzbEitDYZ2x9Kl4ZVzS7Lnpg</t>
  </si>
  <si>
    <t>https://docs.google.com/document/d/1De25IZyuBCs9jTomcnKCzbEitDYZ2x9Kl4ZVzS7Lnpg/edit?usp=drivesdk</t>
  </si>
  <si>
    <t>Document successfully created; Document successfully merged; Run via form trigger as kemal.stafsus@gmail.com; Timestamp: Jul 2 2024 9:17 PM</t>
  </si>
  <si>
    <t>https://drive.google.com/open?id=1vV7srqEa2THWqd-Bs1qHXya5PGnJOkvS</t>
  </si>
  <si>
    <t>https://drive.google.com/uc?export=view&amp;id=1vV7srqEa2THWqd-Bs1qHXya5PGnJOkvS</t>
  </si>
  <si>
    <t xml:space="preserve">Ayu Nirmawati Muhammad, S.Pd. </t>
  </si>
  <si>
    <t>0895391532497</t>
  </si>
  <si>
    <t>7309124812880001</t>
  </si>
  <si>
    <t>Mannuruki Raya no.44 Makassar</t>
  </si>
  <si>
    <t>Kabupaten Maros</t>
  </si>
  <si>
    <t>08-12-1988</t>
  </si>
  <si>
    <t>35 Tahun 6 Bulan 25 Hari</t>
  </si>
  <si>
    <t>Science, Math &amp; English</t>
  </si>
  <si>
    <t>Universitas Negeri Makassar</t>
  </si>
  <si>
    <t>Guru Bahasa Inggris SMK TRI's MAROS</t>
  </si>
  <si>
    <t>Guru Bahasa Inggris Daarul Ukhuwwah Islamic Boarding School For Girl</t>
  </si>
  <si>
    <t>Guru Bahasa Inggris+Counselor+WAKA Kurikulum Al Hunafa Boarding School For Girls</t>
  </si>
  <si>
    <t>nuzulafirdausi569@gmail.com</t>
  </si>
  <si>
    <t>1W_kQoFNS7GNaTsxkTOPxYLdabAuoJJp6qprHVKaV4Ck</t>
  </si>
  <si>
    <t>https://docs.google.com/document/d/1W_kQoFNS7GNaTsxkTOPxYLdabAuoJJp6qprHVKaV4Ck/edit?usp=drivesdk</t>
  </si>
  <si>
    <t>Document successfully created; Document successfully merged; Run via form trigger as kemal.stafsus@gmail.com; Timestamp: Jul 2 2024 10:47 PM</t>
  </si>
  <si>
    <t>https://drive.google.com/open?id=11kFw9WqRSsqzdqKqkKJGyKMsTwymRQm-</t>
  </si>
  <si>
    <t>https://drive.google.com/uc?export=view&amp;id=11kFw9WqRSsqzdqKqkKJGyKMsTwymRQm-</t>
  </si>
  <si>
    <t>Mannuruki Raya no.44</t>
  </si>
  <si>
    <t xml:space="preserve">35 Tahun 6 Bulan </t>
  </si>
  <si>
    <t>Guru Bahasa Inggris di SMK TRI's MAROS</t>
  </si>
  <si>
    <t>Guru Bahasa Inggris di Daarul Ukhuwwah Boarding School For Girls MALANG</t>
  </si>
  <si>
    <t xml:space="preserve">Guru Bahasa Inggris+Counselor+WAKA Kurikulum di Al Hunafa Boarding School For Girls CILEUNGSI BOGOR </t>
  </si>
  <si>
    <t>1EVol0MV7ANG84h8l-G44nrF9N1BCgQXGy0VfJssQ0gU</t>
  </si>
  <si>
    <t>https://docs.google.com/document/d/1EVol0MV7ANG84h8l-G44nrF9N1BCgQXGy0VfJssQ0gU/edit?usp=drivesdk</t>
  </si>
  <si>
    <t>Document successfully created; Document successfully merged; Run via form trigger as kemal.stafsus@gmail.com; Timestamp: Jul 2 2024 10:58 PM</t>
  </si>
  <si>
    <t>https://drive.google.com/open?id=1qZgKXE0qqmx672PZjQJhdYMLJoGOAAVe</t>
  </si>
  <si>
    <t>https://drive.google.com/uc?export=view&amp;id=1qZgKXE0qqmx672PZjQJhdYMLJoGOAAVe</t>
  </si>
  <si>
    <t>M Anwar Efendi S.Pd</t>
  </si>
  <si>
    <t>087846163458</t>
  </si>
  <si>
    <t>5202030107990161</t>
  </si>
  <si>
    <t>21-01-2000</t>
  </si>
  <si>
    <t>24 Tahun 6 Bulan</t>
  </si>
  <si>
    <t>Guru Mata Pelajaran, Musyrif (Non-ITBA), ITBA - MUSYRIF/AH PPL</t>
  </si>
  <si>
    <t>Guru sekaligus Musyrif</t>
  </si>
  <si>
    <t>anwarefendi261@gmail.com</t>
  </si>
  <si>
    <t>1lZJPT2m3BrmOqe0JF1ZScM3Xk4yh4-sVpFKAY8hrIlM</t>
  </si>
  <si>
    <t>https://docs.google.com/document/d/1lZJPT2m3BrmOqe0JF1ZScM3Xk4yh4-sVpFKAY8hrIlM/edit?usp=drivesdk</t>
  </si>
  <si>
    <t>Document successfully created; Document successfully merged; Run via form trigger as kemal.stafsus@gmail.com; Timestamp: Jul 3 2024 4:24 AM</t>
  </si>
  <si>
    <t>https://drive.google.com/open?id=1WwFW084H_5NHebkN4YlUvQfkDjyosCk_</t>
  </si>
  <si>
    <t>https://drive.google.com/uc?export=view&amp;id=1WwFW084H_5NHebkN4YlUvQfkDjyosCk_</t>
  </si>
  <si>
    <t>Jihan Fahima, S.Pd.</t>
  </si>
  <si>
    <t>081237769584</t>
  </si>
  <si>
    <t>5207086910010002</t>
  </si>
  <si>
    <t>29 Oktober 2001</t>
  </si>
  <si>
    <t>Bahasa Indonesia (tematik)</t>
  </si>
  <si>
    <t xml:space="preserve">Institut Pendidikan Nusantara Global </t>
  </si>
  <si>
    <t xml:space="preserve">Pendidikan Guru Sekolah Dasar </t>
  </si>
  <si>
    <t>Guru Kelas</t>
  </si>
  <si>
    <t>fahimajihan95@gmail.com</t>
  </si>
  <si>
    <t>1vkwY6n_lzSleGyIaa3s-p45ynrLb2wvKPKn_CGNLGjU</t>
  </si>
  <si>
    <t>https://docs.google.com/document/d/1vkwY6n_lzSleGyIaa3s-p45ynrLb2wvKPKn_CGNLGjU/edit?usp=drivesdk</t>
  </si>
  <si>
    <t>Document successfully created; Document successfully merged; Run via form trigger as kemal.stafsus@gmail.com; Timestamp: Jul 3 2024 5:11 AM</t>
  </si>
  <si>
    <t>https://drive.google.com/open?id=1jXCeEtUDUv3sEjDwFR95OlEJUBjT27Qw</t>
  </si>
  <si>
    <t>https://drive.google.com/uc?export=view&amp;id=1jXCeEtUDUv3sEjDwFR95OlEJUBjT27Qw</t>
  </si>
  <si>
    <t>Nur Rohmah, S.Ag</t>
  </si>
  <si>
    <t>081322791362</t>
  </si>
  <si>
    <t>3216026705970008</t>
  </si>
  <si>
    <t>Kavling wisma bahagia, rt 006/007 no. 88 kel. bahagia kec. babelan Bekasi Utara</t>
  </si>
  <si>
    <t>27-05-1997</t>
  </si>
  <si>
    <t>Guru kelas bahasa arab online di lembaga "Daarunnisa"</t>
  </si>
  <si>
    <t>Guru diniyyah serta walas di Smp Al-Wildan Islamic School 2 Bekasi</t>
  </si>
  <si>
    <t>nurmaelfrahma@gmail.com</t>
  </si>
  <si>
    <t>1UbzBHdp_9bEUEOUym3FFHIFisoQtCZ7sfoNNQWwlsVo</t>
  </si>
  <si>
    <t>https://docs.google.com/document/d/1UbzBHdp_9bEUEOUym3FFHIFisoQtCZ7sfoNNQWwlsVo/edit?usp=drivesdk</t>
  </si>
  <si>
    <t>Document successfully created; Document successfully merged; Run via form trigger as kemal.stafsus@gmail.com; Timestamp: Jul 3 2024 11:18 PM</t>
  </si>
  <si>
    <t>https://drive.google.com/open?id=1eB4pmwCq-sZT-3USoUFNowJgVf2ovRos</t>
  </si>
  <si>
    <t>https://drive.google.com/uc?export=view&amp;id=1eB4pmwCq-sZT-3USoUFNowJgVf2ovRos</t>
  </si>
  <si>
    <t xml:space="preserve">MARYNA ABDULLAH AHMED </t>
  </si>
  <si>
    <t>081997705777</t>
  </si>
  <si>
    <t>5203075501800009</t>
  </si>
  <si>
    <t xml:space="preserve">Jl. Danau kelapa dua 2 RT 01 RW 07 No 7 Kelurahan kelapa dua kabupaten Tangerang Banten </t>
  </si>
  <si>
    <t>Yemen/ Aden</t>
  </si>
  <si>
    <t>15-01-1980</t>
  </si>
  <si>
    <t>44 /6 bulan</t>
  </si>
  <si>
    <t xml:space="preserve">Bahas Arab / Native </t>
  </si>
  <si>
    <t>Universitas Negeri Aden, yaman</t>
  </si>
  <si>
    <t xml:space="preserve">Manajemen Bisnis </t>
  </si>
  <si>
    <t xml:space="preserve">Tidak </t>
  </si>
  <si>
    <t xml:space="preserve">Bisa </t>
  </si>
  <si>
    <t>Bisa</t>
  </si>
  <si>
    <t xml:space="preserve">Belum tahu </t>
  </si>
  <si>
    <t xml:space="preserve">MANDIRI </t>
  </si>
  <si>
    <t>mar3mad@gmail.com</t>
  </si>
  <si>
    <t>1RYHPbv2vD_5x7l0krleF1RE4viZ38jpR-SlGn4zPxxo</t>
  </si>
  <si>
    <t>https://docs.google.com/document/d/1RYHPbv2vD_5x7l0krleF1RE4viZ38jpR-SlGn4zPxxo/edit?usp=drivesdk</t>
  </si>
  <si>
    <t>Document successfully created; Document successfully merged; Run via form trigger as kemal.stafsus@gmail.com; Timestamp: Jul 4 2024 6:52 AM</t>
  </si>
  <si>
    <t>https://drive.google.com/open?id=1Qkwf3TS7HwnQF2fN4EUnWWfK7dmEy-Gy</t>
  </si>
  <si>
    <t>https://drive.google.com/uc?export=view&amp;id=1Qkwf3TS7HwnQF2fN4EUnWWfK7dmEy-Gy</t>
  </si>
  <si>
    <t>Mayola Andika, S.Ag</t>
  </si>
  <si>
    <t>088279360805</t>
  </si>
  <si>
    <t>1304015005980004</t>
  </si>
  <si>
    <t>Jalan Raya Bogor No.33,
Cisalak, Sukmajaya, Kota Depok, Jawa Barat, ID 16416</t>
  </si>
  <si>
    <t>10-05-1998</t>
  </si>
  <si>
    <t>Science English &amp; Math</t>
  </si>
  <si>
    <t>Uin Sunan Kalijaga Yogyakarta</t>
  </si>
  <si>
    <t>Universitas Islam Internasional Indonesia (Semester akhir, menunggu wisuda)</t>
  </si>
  <si>
    <t>Pendidikan</t>
  </si>
  <si>
    <t>Guru MA di Pesantren Diniyyah Puteri Padang Panjang</t>
  </si>
  <si>
    <t>Guru Tahfidz SD (Part time)</t>
  </si>
  <si>
    <t>yollandika10@gmail.com</t>
  </si>
  <si>
    <t>1VmyUobqJlRkXXfl77z0YF0PywvMfu_dwF6PqxJ6dS7U</t>
  </si>
  <si>
    <t>https://docs.google.com/document/d/1VmyUobqJlRkXXfl77z0YF0PywvMfu_dwF6PqxJ6dS7U/edit?usp=drivesdk</t>
  </si>
  <si>
    <t>Document successfully created; Document successfully merged; Run via form trigger as kemal.stafsus@gmail.com; Timestamp: Jul 4 2024 2:57 PM</t>
  </si>
  <si>
    <t>https://drive.google.com/open?id=14V4br9TnQ6g2NUCLZZNWtctelnYKHjI9</t>
  </si>
  <si>
    <t>https://drive.google.com/uc?export=view&amp;id=14V4br9TnQ6g2NUCLZZNWtctelnYKHjI9</t>
  </si>
  <si>
    <t>English Math &amp; Science</t>
  </si>
  <si>
    <t>Universitas Islam Internasional Indonesia</t>
  </si>
  <si>
    <t>Guru Tahfidz SD (Part Time)</t>
  </si>
  <si>
    <t>16Vrv9x2iiSYzevHtvct9F1QwBKFMx-OoowGgyM01i_g</t>
  </si>
  <si>
    <t>https://docs.google.com/document/d/16Vrv9x2iiSYzevHtvct9F1QwBKFMx-OoowGgyM01i_g/edit?usp=drivesdk</t>
  </si>
  <si>
    <t>Document successfully created; Document successfully merged; Run via form trigger as kemal.stafsus@gmail.com; Timestamp: Jul 4 2024 3:09 PM</t>
  </si>
  <si>
    <t>https://drive.google.com/open?id=1mtvAlLakPShBOsFkw5LUbDLNEm7E04Qa</t>
  </si>
  <si>
    <t>https://drive.google.com/uc?export=view&amp;id=1mtvAlLakPShBOsFkw5LUbDLNEm7E04Qa</t>
  </si>
  <si>
    <t>Suciaty Ramdhani, S.Pd., M.Ed.</t>
  </si>
  <si>
    <t>085237872906</t>
  </si>
  <si>
    <t>5206026101960003</t>
  </si>
  <si>
    <t xml:space="preserve">Jl. Merdeka X, no. 8, BTN Pepabri, Pagesangan, Pagesangan Baru, Mataram. </t>
  </si>
  <si>
    <t>21-01-1996</t>
  </si>
  <si>
    <t>Universiti Teknologi MARA, Malaysia</t>
  </si>
  <si>
    <t xml:space="preserve">Teaching English as A Second Language (TESL) </t>
  </si>
  <si>
    <t>Dosen di Perguruan Tinggi Swasta</t>
  </si>
  <si>
    <t>2.400.000/ bulan</t>
  </si>
  <si>
    <t>Executive Assistant dan English Trainer</t>
  </si>
  <si>
    <t>2.500.000/ bulan</t>
  </si>
  <si>
    <t>Guru di SMA Negeri dan Guru Private</t>
  </si>
  <si>
    <t>Kurang Lebih 1.000.000/ bulan</t>
  </si>
  <si>
    <t>suci.mufme@gmail.com</t>
  </si>
  <si>
    <t>1mJe1qPSEGqpHdKsJ6HS5u7wQjPo0alWJft8cMNUqtyY</t>
  </si>
  <si>
    <t>https://docs.google.com/document/d/1mJe1qPSEGqpHdKsJ6HS5u7wQjPo0alWJft8cMNUqtyY/edit?usp=drivesdk</t>
  </si>
  <si>
    <t>Document successfully created; Document successfully merged; Run via form trigger as kemal.stafsus@gmail.com; Timestamp: Jul 4 2024 10:34 PM</t>
  </si>
  <si>
    <t>https://drive.google.com/open?id=1iDCa6AQHYghbYAnsccVYI3vNSAmi7h3C</t>
  </si>
  <si>
    <t>https://drive.google.com/uc?export=view&amp;id=1iDCa6AQHYghbYAnsccVYI3vNSAmi7h3C</t>
  </si>
  <si>
    <t>Diva Alvania Andi Abduh, S.Aktr.</t>
  </si>
  <si>
    <t>085340301031</t>
  </si>
  <si>
    <t>7371026507020001</t>
  </si>
  <si>
    <t>Villa Mutiara Biru Utama no. 22</t>
  </si>
  <si>
    <t>25-07-2002</t>
  </si>
  <si>
    <t>21 tahun 11 bulan</t>
  </si>
  <si>
    <t>Ilmu Aktuaria</t>
  </si>
  <si>
    <t>divaalvaniaa@gmail.com</t>
  </si>
  <si>
    <t>1HAWHV9LLoVNq_FVKfykG4ptXuvWw9HtZNfn4WhhFD5Q</t>
  </si>
  <si>
    <t>https://docs.google.com/document/d/1HAWHV9LLoVNq_FVKfykG4ptXuvWw9HtZNfn4WhhFD5Q/edit?usp=drivesdk</t>
  </si>
  <si>
    <t>Document successfully created; Document successfully merged; Run via form trigger as kemal.stafsus@gmail.com; Timestamp: Jul 5 2024 12:30 AM</t>
  </si>
  <si>
    <t>https://drive.google.com/open?id=1AUH28tU1q0AJ0acLdOJdMAZ_gcU26Doh</t>
  </si>
  <si>
    <t>https://drive.google.com/uc?export=view&amp;id=1AUH28tU1q0AJ0acLdOJdMAZ_gcU26Doh</t>
  </si>
  <si>
    <t>Nawal Ifada, B.A.</t>
  </si>
  <si>
    <t>Cot Geunduek, ACEH</t>
  </si>
  <si>
    <t>22 - 12 - 2000</t>
  </si>
  <si>
    <t>Bahasa Arab,Fiqih,Tauhid, Al-Qur'an</t>
  </si>
  <si>
    <t xml:space="preserve">Transkip Nilai Menyusul </t>
  </si>
  <si>
    <t>Pengajar Home scooling Muhammad AlFatih,Aceh</t>
  </si>
  <si>
    <t>Pengajar dan Musyrifah Ponpes Ar-Rabwah, Aceh</t>
  </si>
  <si>
    <t>Musyrifah Shofwatul Qur'an (Iman Path)</t>
  </si>
  <si>
    <t>13.000.000.00 (Guru kelas dan Musyrifah)</t>
  </si>
  <si>
    <t>1rJa8lycoUKgKyU8rhQFy3HlISDqdiAQsK9ommYPlAHg</t>
  </si>
  <si>
    <t>https://docs.google.com/document/d/1rJa8lycoUKgKyU8rhQFy3HlISDqdiAQsK9ommYPlAHg/edit?usp=drivesdk</t>
  </si>
  <si>
    <t>Document successfully created; Document successfully merged; Run via form trigger as kemal.stafsus@gmail.com; Timestamp: Jul 6 2024 3:20 AM</t>
  </si>
  <si>
    <t>https://drive.google.com/open?id=1i894bRBFw-dUyndlgEwDY5ZZDlvceiVH</t>
  </si>
  <si>
    <t>https://drive.google.com/uc?export=view&amp;id=1i894bRBFw-dUyndlgEwDY5ZZDlvceiVH</t>
  </si>
  <si>
    <t>Luthfiati Afifah, S.sos</t>
  </si>
  <si>
    <t>08882789043</t>
  </si>
  <si>
    <t>3374106312980003</t>
  </si>
  <si>
    <t>Kost Ibu Warisno, Jl. Pulau seribu, No. 10, rt. 06/ rw. 4, Duren Jaya, Bekasi Timur, Jawa Barat</t>
  </si>
  <si>
    <t>23 Desember 1998</t>
  </si>
  <si>
    <t>Diniyyah dan Arabic</t>
  </si>
  <si>
    <t>STIBA Arraayah, Sukabumi</t>
  </si>
  <si>
    <t>Komunikasi Penyiaran Islam (KPI)</t>
  </si>
  <si>
    <t>luthfiafif23@gmail.com</t>
  </si>
  <si>
    <t>1L5ZzxxVRoLCWZueIv04QPxpc-qsmbNk_GyB8eriFKXs</t>
  </si>
  <si>
    <t>https://docs.google.com/document/d/1L5ZzxxVRoLCWZueIv04QPxpc-qsmbNk_GyB8eriFKXs/edit?usp=drivesdk</t>
  </si>
  <si>
    <t>Document successfully created; Document successfully merged; Run via form trigger as kemal.stafsus@gmail.com; Timestamp: Jul 6 2024 8:49 AM</t>
  </si>
  <si>
    <t>https://drive.google.com/open?id=1FQepHQT-QSAfKwtEcN8WVYA2qAEsyJb-</t>
  </si>
  <si>
    <t>https://drive.google.com/uc?export=view&amp;id=1FQepHQT-QSAfKwtEcN8WVYA2qAEsyJb-</t>
  </si>
  <si>
    <t>Yayan Anzar Fauji</t>
  </si>
  <si>
    <t>081959982242</t>
  </si>
  <si>
    <t>3207170808000001</t>
  </si>
  <si>
    <t>Serpong</t>
  </si>
  <si>
    <t xml:space="preserve">08 Agustus 2000 </t>
  </si>
  <si>
    <t>ITBA - MUSYRIF/AH PPL</t>
  </si>
  <si>
    <t>Musyrif + Wakil Ketua Divisi Media Boarding AL-WILDAN 3</t>
  </si>
  <si>
    <t>yayananzar@gmail.com</t>
  </si>
  <si>
    <t>1z9Gj-Stuzjk9pqjrTYZFR1F23VeVZf16s4Gk7yr__j0</t>
  </si>
  <si>
    <t>https://docs.google.com/document/d/1z9Gj-Stuzjk9pqjrTYZFR1F23VeVZf16s4Gk7yr__j0/edit?usp=drivesdk</t>
  </si>
  <si>
    <t>Document successfully created; Document successfully merged; Run via form trigger as kemal.stafsus@gmail.com; Timestamp: Jul 8 2024 8:10 AM</t>
  </si>
  <si>
    <t>https://drive.google.com/open?id=1Nj26NoEBujS53fM9D7lqZq-WutLyC2dJ</t>
  </si>
  <si>
    <t>https://drive.google.com/uc?export=view&amp;id=1Nj26NoEBujS53fM9D7lqZq-WutLyC2dJ</t>
  </si>
  <si>
    <t>21 Januari 2000</t>
  </si>
  <si>
    <t>Bahasa Arab (Tarbiyah)</t>
  </si>
  <si>
    <t>Guru - Musyrif</t>
  </si>
  <si>
    <t>1QVfHn5rl7wC_sHJIFzbUNHO3K4BSBC6bPfjBWD9rUEw</t>
  </si>
  <si>
    <t>https://docs.google.com/document/d/1QVfHn5rl7wC_sHJIFzbUNHO3K4BSBC6bPfjBWD9rUEw/edit?usp=drivesdk</t>
  </si>
  <si>
    <t>Document successfully created; Document successfully merged; Run via form trigger as kemal.stafsus@gmail.com; Timestamp: Jul 8 2024 11:00 PM</t>
  </si>
  <si>
    <t>https://drive.google.com/open?id=1UGx9r0VrXyYWm6Cui8idHpfATNkJidMc</t>
  </si>
  <si>
    <t>https://drive.google.com/uc?export=view&amp;id=1UGx9r0VrXyYWm6Cui8idHpfATNkJidMc</t>
  </si>
  <si>
    <t>Taman Alamanda 2, Jl. Merdeka Raya, Kerang Pule, Sekarbela, Mataram, NTB.</t>
  </si>
  <si>
    <t xml:space="preserve">22 tahun 9 bulan </t>
  </si>
  <si>
    <t>Institut Pendidikan Nusantara Global</t>
  </si>
  <si>
    <t>1VmgG7qEWzrnfywpvARRWQmdptw22Wippy-2eiK3Jp9Y</t>
  </si>
  <si>
    <t>https://docs.google.com/document/d/1VmgG7qEWzrnfywpvARRWQmdptw22Wippy-2eiK3Jp9Y/edit?usp=drivesdk</t>
  </si>
  <si>
    <t>Document successfully created; Document successfully merged; Run via form trigger as kemal.stafsus@gmail.com; Timestamp: Jul 9 2024 12:05 AM</t>
  </si>
  <si>
    <t>https://drive.google.com/open?id=1JHAMohstvd4zEZRJ409R7RnMShXpDXa2</t>
  </si>
  <si>
    <t>https://drive.google.com/uc?export=view&amp;id=1JHAMohstvd4zEZRJ409R7RnMShXpDXa2</t>
  </si>
  <si>
    <t>Ahmad Arifin, S.Pd., M.Pd.</t>
  </si>
  <si>
    <t>082350241345</t>
  </si>
  <si>
    <t>6402031605940006</t>
  </si>
  <si>
    <t>Bambu Kuning, Desa Kharikil Jalan H Miing Gang Masjid Al Furqon No. 71, RT.4/RW.3, Kampung Sukasari, Ciseeng. Kontrakan pak satrio warna kuning, nomor pintu 159 (NO.159)
CISEENG, KAB. BOGOR, JAWA BARAT, ID, 16110</t>
  </si>
  <si>
    <t>Mamuju</t>
  </si>
  <si>
    <t>16/5/1994</t>
  </si>
  <si>
    <t>PTN- Universitas Mulawarman</t>
  </si>
  <si>
    <t>PTS- Universitas Indraprasta</t>
  </si>
  <si>
    <t>Magister Bahasa Inggris</t>
  </si>
  <si>
    <t>Nilai belum released</t>
  </si>
  <si>
    <t>Dosen Praktisi di Universitas Mulawarman</t>
  </si>
  <si>
    <t>900.000.00 Per-Jam</t>
  </si>
  <si>
    <t>Fitrah Islamic World Academy FIWA</t>
  </si>
  <si>
    <t>5.950.000.00</t>
  </si>
  <si>
    <t>Speaking Academy Course</t>
  </si>
  <si>
    <t>200.000.00-350.000.00 Per-Jam</t>
  </si>
  <si>
    <t>8.000.000.00</t>
  </si>
  <si>
    <t>ahmadarifin282@gmail.com</t>
  </si>
  <si>
    <t>14z9nciUI-iC9JZuMPeOyipYVXBsTj83VG14Ttojt4U4</t>
  </si>
  <si>
    <t>https://docs.google.com/document/d/14z9nciUI-iC9JZuMPeOyipYVXBsTj83VG14Ttojt4U4/edit?usp=drivesdk</t>
  </si>
  <si>
    <t>Document successfully created; Document successfully merged; Run via form trigger as kemal.stafsus@gmail.com; Timestamp: Jul 9 2024 4:59 AM</t>
  </si>
  <si>
    <t>https://drive.google.com/open?id=1gaMO_LKj3mVnYshGxTsWRzVy43BO95Ns</t>
  </si>
  <si>
    <t>https://drive.google.com/uc?export=view&amp;id=1gaMO_LKj3mVnYshGxTsWRzVy43BO95Ns</t>
  </si>
  <si>
    <t>Safran Fauzi</t>
  </si>
  <si>
    <t>081318245935</t>
  </si>
  <si>
    <t>3275010708950009</t>
  </si>
  <si>
    <t>Jl. Pulau Buton Raya No. 252 RT 004/ RW 017  Perumnas 3 Kelurahan Aren Jaya Kecamatan Bekasi Timur Jawa Barat.</t>
  </si>
  <si>
    <t>07-08-1995</t>
  </si>
  <si>
    <t>28 tahun 8 bulan</t>
  </si>
  <si>
    <t>Akidah, Fiqih, Arabic, SKI</t>
  </si>
  <si>
    <t xml:space="preserve">UIN SUNAN GUNUNG DJATI </t>
  </si>
  <si>
    <t>Guru Diniyyah/Arabic</t>
  </si>
  <si>
    <t>safranfauzi@gmail.com</t>
  </si>
  <si>
    <t>1nmQY_P5JlVhyL_Mo_sOVR24-vqzea0b-C6Q2MQAk0wk</t>
  </si>
  <si>
    <t>https://docs.google.com/document/d/1nmQY_P5JlVhyL_Mo_sOVR24-vqzea0b-C6Q2MQAk0wk/edit?usp=drivesdk</t>
  </si>
  <si>
    <t>Document successfully created; Document successfully merged; Run via form trigger as kemal.stafsus@gmail.com; Timestamp: Jul 9 2024 5:33 AM</t>
  </si>
  <si>
    <t>https://drive.google.com/open?id=1qputr4hxceGdT8L_L51Pz7jZv59s7kQo</t>
  </si>
  <si>
    <t>https://drive.google.com/uc?export=view&amp;id=1qputr4hxceGdT8L_L51Pz7jZv59s7kQo</t>
  </si>
  <si>
    <t>Harry Christianto, S.Pd</t>
  </si>
  <si>
    <t>085691358473</t>
  </si>
  <si>
    <t>3276052304860009</t>
  </si>
  <si>
    <t xml:space="preserve">Perum Kopwani Village 2 Blok O No. 6 Depok </t>
  </si>
  <si>
    <t>23 April 1986</t>
  </si>
  <si>
    <t xml:space="preserve">38 Tahun 3 Bulan </t>
  </si>
  <si>
    <t>IPS dan Bahasa Indonesia</t>
  </si>
  <si>
    <t>SMPIT AL-FATH</t>
  </si>
  <si>
    <t>SDIT UMMUL QURO</t>
  </si>
  <si>
    <t>FIWA</t>
  </si>
  <si>
    <t>harry.christianto.abu.salwa@gmail.com</t>
  </si>
  <si>
    <t>1lxq7kCl5jlWWQVmdXz_na9uFDtdGx4IFnHMKapxg7nY</t>
  </si>
  <si>
    <t>https://docs.google.com/document/d/1lxq7kCl5jlWWQVmdXz_na9uFDtdGx4IFnHMKapxg7nY/edit?usp=drivesdk</t>
  </si>
  <si>
    <t>Document successfully created; Document successfully merged; Run via form trigger as kemal.stafsus@gmail.com; Timestamp: Jul 9 2024 5:48 AM</t>
  </si>
  <si>
    <t>https://drive.google.com/open?id=1YjbtZ19GBjcxt8BqP3fRbNTci4Ze5swu</t>
  </si>
  <si>
    <t>https://drive.google.com/uc?export=view&amp;id=1YjbtZ19GBjcxt8BqP3fRbNTci4Ze5swu</t>
  </si>
  <si>
    <t>Diah Ayu Pratiwi, S.Sos.</t>
  </si>
  <si>
    <t>089689084173</t>
  </si>
  <si>
    <t>3317075102990003</t>
  </si>
  <si>
    <t>Semarang, Jawa Tengah</t>
  </si>
  <si>
    <t>Rembang Jawa Tengah</t>
  </si>
  <si>
    <t>11-02-1999</t>
  </si>
  <si>
    <t>UIN WALISONGO SEMARANG</t>
  </si>
  <si>
    <t>Tentor genius school</t>
  </si>
  <si>
    <t>Guru Tahfidz dan BTQ</t>
  </si>
  <si>
    <t>Musyrifah SMA IT Bina Amal Semarang</t>
  </si>
  <si>
    <t>2.500.000 - 3.000.000</t>
  </si>
  <si>
    <t>diahayupratiwi1102@gmail.com</t>
  </si>
  <si>
    <t>1JQTyQlc5Q2m-JiO7qeMc-ev2NHbnWLntdchkP4YIMNY</t>
  </si>
  <si>
    <t>https://docs.google.com/document/d/1JQTyQlc5Q2m-JiO7qeMc-ev2NHbnWLntdchkP4YIMNY/edit?usp=drivesdk</t>
  </si>
  <si>
    <t>Document successfully created; Document successfully merged; Run via form trigger as kemal.stafsus@gmail.com; Timestamp: Jul 9 2024 10:01 AM</t>
  </si>
  <si>
    <t>https://drive.google.com/open?id=1CO5se1zZ2wRbPvVtVQoERf15EiASVTlq</t>
  </si>
  <si>
    <t>https://drive.google.com/uc?export=view&amp;id=1CO5se1zZ2wRbPvVtVQoERf15EiASVTlq</t>
  </si>
  <si>
    <t>Sandi Yuda Pratama, S.Si.</t>
  </si>
  <si>
    <t>081284028590</t>
  </si>
  <si>
    <t>3671050307920002</t>
  </si>
  <si>
    <t>Perumahan Alam Indah Blok B3 No 4, Cipondoh, Kota Tangerang, Banten, Indonesia 15141</t>
  </si>
  <si>
    <t>03-07-1992</t>
  </si>
  <si>
    <t>Fleksibel berkisar 2.000.000 - 16.000.000/bulan</t>
  </si>
  <si>
    <t>Guru Bimbel</t>
  </si>
  <si>
    <t>Berkisar 4.000.000 - 6.500.000</t>
  </si>
  <si>
    <t>Guru Sekolah</t>
  </si>
  <si>
    <t xml:space="preserve">Diatas 7.000.000 </t>
  </si>
  <si>
    <t>sandiyuda.pratama@gmail.com</t>
  </si>
  <si>
    <t>1C5XH2w5s8e8FAOr6aGbEK9penyT9sRVhRaXWQcx2FDY</t>
  </si>
  <si>
    <t>https://docs.google.com/document/d/1C5XH2w5s8e8FAOr6aGbEK9penyT9sRVhRaXWQcx2FDY/edit?usp=drivesdk</t>
  </si>
  <si>
    <t>Document successfully created; Document successfully merged; Run via form trigger as kemal.stafsus@gmail.com; Timestamp: Jul 10 2024 5:01 AM</t>
  </si>
  <si>
    <t>https://drive.google.com/open?id=1nFGZb55v_z0nsjJ-ldUx6DJdbn8fC_hT</t>
  </si>
  <si>
    <t>https://drive.google.com/uc?export=view&amp;id=1nFGZb55v_z0nsjJ-ldUx6DJdbn8fC_hT</t>
  </si>
  <si>
    <t>Anyi Salim, M. Pd</t>
  </si>
  <si>
    <t>3174101912890002</t>
  </si>
  <si>
    <t>Jl suka makmur no 44 serua indah ciputat tangsel</t>
  </si>
  <si>
    <t>19-12-1989</t>
  </si>
  <si>
    <t>34 , 8</t>
  </si>
  <si>
    <t>Matematika, Kimia, Ipa, Fisika</t>
  </si>
  <si>
    <t>Teknik kimia</t>
  </si>
  <si>
    <t>Universitas Prof. Dr Hamka</t>
  </si>
  <si>
    <t>Guru les privat</t>
  </si>
  <si>
    <t>052101018297508</t>
  </si>
  <si>
    <t>anyisalim@gmail.com</t>
  </si>
  <si>
    <t>1mmc8IqKOEg8RPAXNaAD3KnrFdf7qR82cnptIfDskN2w</t>
  </si>
  <si>
    <t>https://docs.google.com/document/d/1mmc8IqKOEg8RPAXNaAD3KnrFdf7qR82cnptIfDskN2w/edit?usp=drivesdk</t>
  </si>
  <si>
    <t>Document successfully created; Document successfully merged; Run via form trigger as kemal.stafsus@gmail.com; Timestamp: Jul 10 2024 6:05 AM</t>
  </si>
  <si>
    <t>https://drive.google.com/open?id=1KQtUqjLiCMbX0N_jaxlMr4mMftSzI3Tk</t>
  </si>
  <si>
    <t>https://drive.google.com/uc?export=view&amp;id=1KQtUqjLiCMbX0N_jaxlMr4mMftSzI3Tk</t>
  </si>
  <si>
    <t>Ardo Ramdhani, S.Si., M.Biomed.</t>
  </si>
  <si>
    <t>083870358612</t>
  </si>
  <si>
    <t>3175061002960005</t>
  </si>
  <si>
    <t>Perumahan Cahaya Darusalam Blok A1 No 4 Desa Cijengkol Setu, Kabupaten Bekasi</t>
  </si>
  <si>
    <t>10-02-1996</t>
  </si>
  <si>
    <t>Ilmu Biomedik (Kedokteran Dasar)</t>
  </si>
  <si>
    <t>Tutor Intensif KSM Biologi Jawa Barat - Eduversal</t>
  </si>
  <si>
    <t>14.500.000 / 3 minggu ; 9.000.000 / 2 minggu</t>
  </si>
  <si>
    <t>PT Prodia Widyahusada</t>
  </si>
  <si>
    <t>Kwik Kian Gie School of Business</t>
  </si>
  <si>
    <t>ardoramdhani.id@gmail.com</t>
  </si>
  <si>
    <t>1e_TB7dw9ESFlUupnb1Frr0OQB2Ut6b5MiBJe8oeVbBY</t>
  </si>
  <si>
    <t>https://docs.google.com/document/d/1e_TB7dw9ESFlUupnb1Frr0OQB2Ut6b5MiBJe8oeVbBY/edit?usp=drivesdk</t>
  </si>
  <si>
    <t>Document successfully created; Document successfully merged; Run via form trigger as kemal.stafsus@gmail.com; Timestamp: Jul 10 2024 6:52 AM</t>
  </si>
  <si>
    <t>https://drive.google.com/open?id=1rInmJJ9CHb5m-w9q7kaz9OGlHUd34SPb</t>
  </si>
  <si>
    <t>https://drive.google.com/uc?export=view&amp;id=1rInmJJ9CHb5m-w9q7kaz9OGlHUd34SPb</t>
  </si>
  <si>
    <t>Ledi, S.Pd.</t>
  </si>
  <si>
    <t>082178503857</t>
  </si>
  <si>
    <t>1602030512800001</t>
  </si>
  <si>
    <t>33 tahun 6 bulan</t>
  </si>
  <si>
    <t>Universitas Islam OKI Kayuagung</t>
  </si>
  <si>
    <t>SDIT-SMPIT Ar Rahman Jakarta</t>
  </si>
  <si>
    <t>Az-Zikra Sentul Bogor</t>
  </si>
  <si>
    <t>edi592865@gmail.com</t>
  </si>
  <si>
    <t>1N5VPCuG77XEIFZTnuG9GrsRk-8FseW-6fDvnTqE-_f0</t>
  </si>
  <si>
    <t>https://docs.google.com/document/d/1N5VPCuG77XEIFZTnuG9GrsRk-8FseW-6fDvnTqE-_f0/edit?usp=drivesdk</t>
  </si>
  <si>
    <t>Document successfully created; Document successfully merged; Run via form trigger as kemal.stafsus@gmail.com; Timestamp: Jul 10 2024 11:39 PM</t>
  </si>
  <si>
    <t>https://drive.google.com/open?id=1QI-Kt5jFXx3aUlFfAZSdsfwBfb5Z4mNX</t>
  </si>
  <si>
    <t>https://drive.google.com/uc?export=view&amp;id=1QI-Kt5jFXx3aUlFfAZSdsfwBfb5Z4mNX</t>
  </si>
  <si>
    <t>Taufan Mustofa</t>
  </si>
  <si>
    <t>081241618365</t>
  </si>
  <si>
    <t>3213231007990005</t>
  </si>
  <si>
    <t>Bekasi timur</t>
  </si>
  <si>
    <t>19-07-1999</t>
  </si>
  <si>
    <t>Guru Alquran / Guru Tahfidz</t>
  </si>
  <si>
    <t>3,8 jt - 4,3jt</t>
  </si>
  <si>
    <t>3,5jt - 4jt</t>
  </si>
  <si>
    <t>Guru tahsin dan tajwid</t>
  </si>
  <si>
    <t>2,5 jt - 3,5jt</t>
  </si>
  <si>
    <t>3,8 jt - 5jt</t>
  </si>
  <si>
    <t>fanmustofa@gmail.com</t>
  </si>
  <si>
    <t>18SBxvZEt462zv0WSl0vKEZiKq6-bkj1bqkmVeeNYgHk</t>
  </si>
  <si>
    <t>https://docs.google.com/document/d/18SBxvZEt462zv0WSl0vKEZiKq6-bkj1bqkmVeeNYgHk/edit?usp=drivesdk</t>
  </si>
  <si>
    <t>Document successfully created; Document successfully merged; Run via form trigger as kemal.stafsus@gmail.com; Timestamp: Jul 10 2024 11:59 PM</t>
  </si>
  <si>
    <t>https://drive.google.com/open?id=1K2idFgB9k0Jobq-b1qjqRRqpuZTsKrm6</t>
  </si>
  <si>
    <t>https://drive.google.com/uc?export=view&amp;id=1K2idFgB9k0Jobq-b1qjqRRqpuZTsKrm6</t>
  </si>
  <si>
    <t>Akhmad tawali</t>
  </si>
  <si>
    <t>085924772761</t>
  </si>
  <si>
    <t>5271052404820002</t>
  </si>
  <si>
    <t xml:space="preserve">Dasan cermen selatan </t>
  </si>
  <si>
    <t>24-04-1982</t>
  </si>
  <si>
    <t>42 tahun 3 bulan</t>
  </si>
  <si>
    <t>Guru tahfidz</t>
  </si>
  <si>
    <t>ahmadabuusaid@gmail.com</t>
  </si>
  <si>
    <t>17WgruUEdLqZAQf-6AAwLXcxJLgvFiK1vMXcvgm02sc0</t>
  </si>
  <si>
    <t>https://docs.google.com/document/d/17WgruUEdLqZAQf-6AAwLXcxJLgvFiK1vMXcvgm02sc0/edit?usp=drivesdk</t>
  </si>
  <si>
    <t>Document successfully created; Document successfully merged; Run via form trigger as kemal.stafsus@gmail.com; Timestamp: Jul 11 2024 1:38 AM</t>
  </si>
  <si>
    <t>https://drive.google.com/open?id=1Wb4aSlsuna0twqYOeWUQySug-e72ds8p</t>
  </si>
  <si>
    <t>https://drive.google.com/uc?export=view&amp;id=1Wb4aSlsuna0twqYOeWUQySug-e72ds8p</t>
  </si>
  <si>
    <t xml:space="preserve">Amir Fathuri </t>
  </si>
  <si>
    <t>081289924473</t>
  </si>
  <si>
    <t>Jln. KH Amsir RT 005 RW 004 no 87 gang Nurul hikmah samping toko Ummu faela kenanga Cipondoh Tangerang  Kec: Cipondoh Kel: Kenanga</t>
  </si>
  <si>
    <t>18 Maret 1985</t>
  </si>
  <si>
    <t xml:space="preserve">English, Mathematics dan Science </t>
  </si>
  <si>
    <t xml:space="preserve">Universitas Pancasakti Tegal </t>
  </si>
  <si>
    <t xml:space="preserve">Guru Bahasa Inggris di islamic boarding school Daaru Ulil Albaab Tegal </t>
  </si>
  <si>
    <t>Guru kelas 1 di SD Daarul Qur'an International primary school selama 8 Tahun dan guru kelas 2 s.d kelas 5 di SD Daarul Qur'an Inte primary school selama 5 tahun</t>
  </si>
  <si>
    <t xml:space="preserve">Bank Syariah Indonesia </t>
  </si>
  <si>
    <t>amirfathuri83@guru.sd.belajar.id</t>
  </si>
  <si>
    <t>1KMzq0c0XznF4ZDXxmYv6lXUoRN9NoVcHaTHmqArjf1c</t>
  </si>
  <si>
    <t>https://docs.google.com/document/d/1KMzq0c0XznF4ZDXxmYv6lXUoRN9NoVcHaTHmqArjf1c/edit?usp=drivesdk</t>
  </si>
  <si>
    <t>Document successfully created; Document successfully merged; Run via form trigger as kemal.stafsus@gmail.com; Timestamp: Jul 11 2024 5:27 AM</t>
  </si>
  <si>
    <t>https://drive.google.com/open?id=16p2Uh8QZpcmdXXUWPpXtYV4d01Mh3Dmk</t>
  </si>
  <si>
    <t>https://drive.google.com/uc?export=view&amp;id=16p2Uh8QZpcmdXXUWPpXtYV4d01Mh3Dmk</t>
  </si>
  <si>
    <t>Muhammad Luthfi, S.Ag.</t>
  </si>
  <si>
    <t>081291088481</t>
  </si>
  <si>
    <t>3524092811980002</t>
  </si>
  <si>
    <t>Komplek Timah blok CC 3 No. 24-25 kelurahan Tugu, Cimanggis, Depok.</t>
  </si>
  <si>
    <t xml:space="preserve">Lamongan </t>
  </si>
  <si>
    <t>28-11-1998</t>
  </si>
  <si>
    <t>Qur’an Teacher</t>
  </si>
  <si>
    <t>STIU Dirosat Islamiyah Al Hikmah</t>
  </si>
  <si>
    <t xml:space="preserve">Ilmu Al Qur’an dan Tafsir </t>
  </si>
  <si>
    <t>Qur’an Teacher at Azhari Islamic School Rasuna</t>
  </si>
  <si>
    <t xml:space="preserve">Qur’an Teacher At SMPIT Darul Abidin </t>
  </si>
  <si>
    <t>luthfeemuhammad@gmail.com</t>
  </si>
  <si>
    <t>1lVshn3yUlDO1kCDZF9c6pNO6JZ5Fbyfnl2a9V81Kcrg</t>
  </si>
  <si>
    <t>https://docs.google.com/document/d/1lVshn3yUlDO1kCDZF9c6pNO6JZ5Fbyfnl2a9V81Kcrg/edit?usp=drivesdk</t>
  </si>
  <si>
    <t>Document successfully created; Document successfully merged; Run via form trigger as kemal.stafsus@gmail.com; Timestamp: Jul 11 2024 5:40 AM</t>
  </si>
  <si>
    <t>https://drive.google.com/open?id=1c7tQA6vVBB_Gif2vkQWdDvP7LpC8E7yi</t>
  </si>
  <si>
    <t>https://drive.google.com/uc?export=view&amp;id=1c7tQA6vVBB_Gif2vkQWdDvP7LpC8E7yi</t>
  </si>
  <si>
    <t>Ovin Lofa Carolyn, S.S. Gr.</t>
  </si>
  <si>
    <t>081910025037</t>
  </si>
  <si>
    <t>3213035610850008</t>
  </si>
  <si>
    <t>Padasuka, Cimahi, Jawa Barat</t>
  </si>
  <si>
    <t>16-10-1985</t>
  </si>
  <si>
    <t>Universitas Kristen Maranatha</t>
  </si>
  <si>
    <t>Guru Honor Bahasa Inggris Di SMA Al Aziz Islamic Boarding School, Kab. Bandung Barat</t>
  </si>
  <si>
    <t>1,500,000</t>
  </si>
  <si>
    <t>Guru tetap di SMAK Gamaliel, Bandung + sertifikasi tunjangan profesi</t>
  </si>
  <si>
    <t>6,500,000</t>
  </si>
  <si>
    <t>Guru honor di SMPK 1 BPK Penabur, Bandung</t>
  </si>
  <si>
    <t>4,900,000</t>
  </si>
  <si>
    <t>7,000,000</t>
  </si>
  <si>
    <t>ovincarolyn60@guru.sma.belajar.id</t>
  </si>
  <si>
    <t>1XxBMlUHoNLt0RHv_ZTZ21QGLJA2Q2Jun1AKXAouVdzQ</t>
  </si>
  <si>
    <t>https://docs.google.com/document/d/1XxBMlUHoNLt0RHv_ZTZ21QGLJA2Q2Jun1AKXAouVdzQ/edit?usp=drivesdk</t>
  </si>
  <si>
    <t>Document successfully created; Document successfully merged; Run via form trigger as kemal.stafsus@gmail.com; Timestamp: Jul 11 2024 7:09 AM</t>
  </si>
  <si>
    <t>https://drive.google.com/open?id=1sJjzbnTFyVGjDe9y057gNPTjHjJ_W9np</t>
  </si>
  <si>
    <t>https://drive.google.com/uc?export=view&amp;id=1sJjzbnTFyVGjDe9y057gNPTjHjJ_W9np</t>
  </si>
  <si>
    <t>Abdu Rabbi Faqihuddin, M.Hum</t>
  </si>
  <si>
    <t>087734595391</t>
  </si>
  <si>
    <t>5272012606930002</t>
  </si>
  <si>
    <t>Jln. Kahayan No 14, BTN Kekalik Baru, Kel. Pagesangan Barat, Kec. Mataram, Kota Mataram NTB</t>
  </si>
  <si>
    <t>26-06-1993</t>
  </si>
  <si>
    <t>31 Tahun 0 Bulan</t>
  </si>
  <si>
    <t>Bahasa Arab dan Al-Qur'an</t>
  </si>
  <si>
    <t>Universitas Islam Negeri Yogyakarta</t>
  </si>
  <si>
    <t>Yogyakarta Arabic Course</t>
  </si>
  <si>
    <t>fakihabdurobi@gmail.com</t>
  </si>
  <si>
    <t>1ltiFLxKr0F5uUdjHpHUJmWoxsH7GXnsbj6AWiuZXm5I</t>
  </si>
  <si>
    <t>https://docs.google.com/document/d/1ltiFLxKr0F5uUdjHpHUJmWoxsH7GXnsbj6AWiuZXm5I/edit?usp=drivesdk</t>
  </si>
  <si>
    <t>Document successfully created; Document successfully merged; Run via form trigger as kemal.stafsus@gmail.com; Timestamp: Jul 11 2024 7:28 AM</t>
  </si>
  <si>
    <t>https://drive.google.com/open?id=1Vk_uGhgVbmOaMCPDbvQsmuvV_fRlUUNZ</t>
  </si>
  <si>
    <t>https://drive.google.com/uc?export=view&amp;id=1Vk_uGhgVbmOaMCPDbvQsmuvV_fRlUUNZ</t>
  </si>
  <si>
    <t>Irham Zakaria, S.S</t>
  </si>
  <si>
    <t>081909787870</t>
  </si>
  <si>
    <t>3206162503910022</t>
  </si>
  <si>
    <t>Villa pertiwi Blok D2 no.5 Sukamaju Cilodong Depok</t>
  </si>
  <si>
    <t>25 Maret 1991</t>
  </si>
  <si>
    <t>33 Tahun 3 bulan</t>
  </si>
  <si>
    <t>Foreign Language College of Malang (STIBA MALANG)</t>
  </si>
  <si>
    <t>English Coach</t>
  </si>
  <si>
    <t>Academic Manager</t>
  </si>
  <si>
    <t>EF Senior Teacher</t>
  </si>
  <si>
    <t>0541122451</t>
  </si>
  <si>
    <t>irhamzakaria19@gmail.com</t>
  </si>
  <si>
    <t>1hKy232YRAcgm98x-2PnA9qSH2lSSpx7-pQyYwRGvihI</t>
  </si>
  <si>
    <t>https://docs.google.com/document/d/1hKy232YRAcgm98x-2PnA9qSH2lSSpx7-pQyYwRGvihI/edit?usp=drivesdk</t>
  </si>
  <si>
    <t>Document successfully created; Document successfully merged; Run via form trigger as kemal.stafsus@gmail.com; Timestamp: Jul 11 2024 11:15 AM</t>
  </si>
  <si>
    <t>https://drive.google.com/open?id=1UC020cid46sjDd8XmrRx7yQgqZPkjhLV</t>
  </si>
  <si>
    <t>https://drive.google.com/uc?export=view&amp;id=1UC020cid46sjDd8XmrRx7yQgqZPkjhLV</t>
  </si>
  <si>
    <t>Kiki Melyani Putri</t>
  </si>
  <si>
    <t>081385465831</t>
  </si>
  <si>
    <t>3275026009000015</t>
  </si>
  <si>
    <t xml:space="preserve">Harapan Baru I Jl. Sawo 2 No.9 Rt.005/Rw.007 Kota Baru, Bekasi Barat </t>
  </si>
  <si>
    <t>20-09-2000</t>
  </si>
  <si>
    <t xml:space="preserve">Bimbingan dan Konseling </t>
  </si>
  <si>
    <t>Shadow Teacher</t>
  </si>
  <si>
    <t>Kindergarten Teacher</t>
  </si>
  <si>
    <t>Kiki Melyani Putri (BRI)</t>
  </si>
  <si>
    <t>melyaniputri.kiki@gmail.com</t>
  </si>
  <si>
    <t>1VqzjOm4PBDpS0zTF82HSnxQGKLC1IgCzfCfHoqw3EiE</t>
  </si>
  <si>
    <t>https://docs.google.com/document/d/1VqzjOm4PBDpS0zTF82HSnxQGKLC1IgCzfCfHoqw3EiE/edit?usp=drivesdk</t>
  </si>
  <si>
    <t>Document successfully created; Document successfully merged; Run via form trigger as kemal.stafsus@gmail.com; Timestamp: Jul 11 2024 8:06 PM</t>
  </si>
  <si>
    <t>https://drive.google.com/open?id=1aQ5ilfJK8YWQ6oZH1iDuGBHsDLgvvzFe</t>
  </si>
  <si>
    <t>https://drive.google.com/uc?export=view&amp;id=1aQ5ilfJK8YWQ6oZH1iDuGBHsDLgvvzFe</t>
  </si>
  <si>
    <t>MUHAMMAD RIZALDI ZACKARIA PUTRA</t>
  </si>
  <si>
    <t>082110969279</t>
  </si>
  <si>
    <t>3273102608990001</t>
  </si>
  <si>
    <t>Jalan Haji Ten IV No. 38 RT03/RW06 Rawamangun, Pulogadung, Jakarta Timur</t>
  </si>
  <si>
    <t>26-08-1999</t>
  </si>
  <si>
    <t>Universitas Terbuka (Studi masih berjalan)</t>
  </si>
  <si>
    <t>Tata Usaha, Operator Sekolah, dan Bendahara Sekolah</t>
  </si>
  <si>
    <t>Desainer Iklan</t>
  </si>
  <si>
    <t>100.000 per minggu</t>
  </si>
  <si>
    <t>rizaldi.zackaria@gmail.com</t>
  </si>
  <si>
    <t>1eXtJsuSDr6QDim0fCwrnAEJ7ulOyO-f6PxBnQQisWyY</t>
  </si>
  <si>
    <t>https://docs.google.com/document/d/1eXtJsuSDr6QDim0fCwrnAEJ7ulOyO-f6PxBnQQisWyY/edit?usp=drivesdk</t>
  </si>
  <si>
    <t>Document successfully created; Document successfully merged; Run via form trigger as kemal.stafsus@gmail.com; Timestamp: Jul 11 2024 8:34 PM</t>
  </si>
  <si>
    <t>https://drive.google.com/open?id=10z2kzRXTWTOUmGqywwTmqMcZylOhJ1fD</t>
  </si>
  <si>
    <t>https://drive.google.com/uc?export=view&amp;id=10z2kzRXTWTOUmGqywwTmqMcZylOhJ1fD</t>
  </si>
  <si>
    <t>Suhaeri</t>
  </si>
  <si>
    <t>087834521665</t>
  </si>
  <si>
    <t>5271010606920003</t>
  </si>
  <si>
    <t xml:space="preserve">Kampung tinggar Ampenan </t>
  </si>
  <si>
    <t>06-06-1992</t>
  </si>
  <si>
    <t xml:space="preserve">Guru dan imam masjid di salah satu daerah Kalimantan </t>
  </si>
  <si>
    <t>Guru alquran abu hurairah mataram</t>
  </si>
  <si>
    <t xml:space="preserve">Bca </t>
  </si>
  <si>
    <t>Suhaeriha@gmail.com</t>
  </si>
  <si>
    <t>1aM9sp4LcvIHkC5xmWSTsQK4RoU6sAJtM-jZBnwb53OI</t>
  </si>
  <si>
    <t>https://docs.google.com/document/d/1aM9sp4LcvIHkC5xmWSTsQK4RoU6sAJtM-jZBnwb53OI/edit?usp=drivesdk</t>
  </si>
  <si>
    <t>Document successfully created; Document successfully merged; Run via form trigger as kemal.stafsus@gmail.com; Timestamp: Jul 12 2024 9:58 AM</t>
  </si>
  <si>
    <t>https://drive.google.com/open?id=1QykGzTMaKXLdyCQXfHqNZ_X_euvaLzQ8</t>
  </si>
  <si>
    <t>https://drive.google.com/uc?export=view&amp;id=1QykGzTMaKXLdyCQXfHqNZ_X_euvaLzQ8</t>
  </si>
  <si>
    <t>Sri Ruhaelah, S. Pd.</t>
  </si>
  <si>
    <t>085215135029</t>
  </si>
  <si>
    <t>3601164810020002</t>
  </si>
  <si>
    <t xml:space="preserve">Kp. Bojong Rt.001/Rw.007, Desa Sukamanah, Kec. Jiput, Kab. Pandeglang - Banten </t>
  </si>
  <si>
    <t xml:space="preserve">Pendeglang </t>
  </si>
  <si>
    <t>08-10-2002</t>
  </si>
  <si>
    <t>Guru Kimia</t>
  </si>
  <si>
    <t>sriruhaelah@gmail.com</t>
  </si>
  <si>
    <t>1_Fv5u3Xfo14gl9fifVz07u_OFdoc7NciPftiFqY9iyk</t>
  </si>
  <si>
    <t>https://docs.google.com/document/d/1_Fv5u3Xfo14gl9fifVz07u_OFdoc7NciPftiFqY9iyk/edit?usp=drivesdk</t>
  </si>
  <si>
    <t>Document successfully created; Document successfully merged; Run via form trigger as kemal.stafsus@gmail.com; Timestamp: Jul 12 2024 11:33 AM</t>
  </si>
  <si>
    <t>https://drive.google.com/open?id=1gSK_RtT9rwdF6_RUKcDaC6GhbAxuMuYZ</t>
  </si>
  <si>
    <t>https://drive.google.com/uc?export=view&amp;id=1gSK_RtT9rwdF6_RUKcDaC6GhbAxuMuYZ</t>
  </si>
  <si>
    <t>Hamzah Asyuja'</t>
  </si>
  <si>
    <t>081329099880</t>
  </si>
  <si>
    <t>5272030710000003</t>
  </si>
  <si>
    <t>7 - 10 - 2000</t>
  </si>
  <si>
    <t>Tim Kreatif, ITBA - MUSYRIF/AH PPL, OB/OG/FCs/Cleaning Service</t>
  </si>
  <si>
    <t>manimonki</t>
  </si>
  <si>
    <t>3D Generalist</t>
  </si>
  <si>
    <t>hamzahasyuja@gmail.coml</t>
  </si>
  <si>
    <t>1lclqIDHvSS_pDiAqrHWEmgAQz3qLRISHEyQrGBB9wCU</t>
  </si>
  <si>
    <t>https://docs.google.com/document/d/1lclqIDHvSS_pDiAqrHWEmgAQz3qLRISHEyQrGBB9wCU/edit?usp=drivesdk</t>
  </si>
  <si>
    <t>Document successfully created; Document successfully merged; Run via form trigger as kemal.stafsus@gmail.com; Timestamp: Jul 12 2024 1:19 PM</t>
  </si>
  <si>
    <t>https://drive.google.com/open?id=1-EEzexcNWZJbx0wCpTRiy6-uItzYOAHh</t>
  </si>
  <si>
    <t>https://drive.google.com/uc?export=view&amp;id=1-EEzexcNWZJbx0wCpTRiy6-uItzYOAHh</t>
  </si>
  <si>
    <t>Winda Ambarwati, S.Hut.</t>
  </si>
  <si>
    <t>082198094256</t>
  </si>
  <si>
    <t>1809026303000005</t>
  </si>
  <si>
    <t>Pesawaran, Lampung</t>
  </si>
  <si>
    <t>Gadingrejo, Pringsewu</t>
  </si>
  <si>
    <t>22-03-2000</t>
  </si>
  <si>
    <t>Kehutanan</t>
  </si>
  <si>
    <t>Freshgraduate</t>
  </si>
  <si>
    <t>2200windaambar@gmail.com</t>
  </si>
  <si>
    <t>1G5a2TN_UMednaCGb5wj85FnQnWDrYDRubllE1U0w6z0</t>
  </si>
  <si>
    <t>https://docs.google.com/document/d/1G5a2TN_UMednaCGb5wj85FnQnWDrYDRubllE1U0w6z0/edit?usp=drivesdk</t>
  </si>
  <si>
    <t>Document successfully created; Document successfully merged; Run via form trigger as kemal.stafsus@gmail.com; Timestamp: Jul 13 2024 4:11 AM</t>
  </si>
  <si>
    <t>https://drive.google.com/open?id=14jcuqYjHTQb8vXLRVvnZT2Ql-MeRn7T3</t>
  </si>
  <si>
    <t>https://drive.google.com/uc?export=view&amp;id=14jcuqYjHTQb8vXLRVvnZT2Ql-MeRn7T3</t>
  </si>
  <si>
    <t>1mohnHiEdm4LYfAHG_mxyEARceaz8KAV4IqdfGf1oVVQ</t>
  </si>
  <si>
    <t>https://docs.google.com/document/d/1mohnHiEdm4LYfAHG_mxyEARceaz8KAV4IqdfGf1oVVQ/edit?usp=drivesdk</t>
  </si>
  <si>
    <t>Document successfully created; Document successfully merged; Run via form trigger as kemal.stafsus@gmail.com; Timestamp: Jul 13 2024 7:50 AM</t>
  </si>
  <si>
    <t>https://drive.google.com/open?id=1QCxKNCOeix_V4ceKUkmyN4kdnqWiH0Qy</t>
  </si>
  <si>
    <t>https://drive.google.com/uc?export=view&amp;id=1QCxKNCOeix_V4ceKUkmyN4kdnqWiH0Qy</t>
  </si>
  <si>
    <t>Dewi Asaningsih Affandi, S.Si.,M.Si</t>
  </si>
  <si>
    <t>085161178922</t>
  </si>
  <si>
    <t>3215014901000004</t>
  </si>
  <si>
    <t>Kost De'Roemahku, Cikeruh, Jatinangor, Sumedang</t>
  </si>
  <si>
    <t>Fisika, Matematika</t>
  </si>
  <si>
    <t>Business Development Executive</t>
  </si>
  <si>
    <t>Guru Bimbel Fisika &amp; SNBT 2023 Tridaya</t>
  </si>
  <si>
    <t>dewiasaningsih21@gmail.com</t>
  </si>
  <si>
    <t>1ZQ4Xo_ZDt5ONUjDq1XnxM6ixCZnoks0xaMl80D1B7yY</t>
  </si>
  <si>
    <t>https://docs.google.com/document/d/1ZQ4Xo_ZDt5ONUjDq1XnxM6ixCZnoks0xaMl80D1B7yY/edit?usp=drivesdk</t>
  </si>
  <si>
    <t>Document successfully created; Document successfully merged; Run via form trigger as kemal.stafsus@gmail.com; Timestamp: Jul 13 2024 9:54 AM</t>
  </si>
  <si>
    <t>https://drive.google.com/open?id=1skNoiQFN8S1E9qrZfpQdM6hECcCfcTrV</t>
  </si>
  <si>
    <t>https://drive.google.com/uc?export=view&amp;id=1skNoiQFN8S1E9qrZfpQdM6hECcCfcTrV</t>
  </si>
  <si>
    <t xml:space="preserve">Rahmawati Nur fajar BA. </t>
  </si>
  <si>
    <t>089601184777</t>
  </si>
  <si>
    <t>3275016002970018</t>
  </si>
  <si>
    <t xml:space="preserve">Jln. pulau madura 2 No.66/11 perumnas 3 aren jaya bekasi timur </t>
  </si>
  <si>
    <t>20-02-1997</t>
  </si>
  <si>
    <t>Guru tpa aula al-ikhwah</t>
  </si>
  <si>
    <t>rahmawatinf02@gmail.com</t>
  </si>
  <si>
    <t>1J5CHAVnIBxdE3zgvPAPsj6tkPc7h1FfFdWq0fvP4wHA</t>
  </si>
  <si>
    <t>https://docs.google.com/document/d/1J5CHAVnIBxdE3zgvPAPsj6tkPc7h1FfFdWq0fvP4wHA/edit?usp=drivesdk</t>
  </si>
  <si>
    <t>Document successfully created; Document successfully merged; Run via form trigger as kemal.stafsus@gmail.com; Timestamp: Jul 14 2024 2:19 AM</t>
  </si>
  <si>
    <t>https://drive.google.com/open?id=15iOZWkcnKL6PUhHpMwrcTfQS1svwCkIS</t>
  </si>
  <si>
    <t>https://drive.google.com/uc?export=view&amp;id=15iOZWkcnKL6PUhHpMwrcTfQS1svwCkIS</t>
  </si>
  <si>
    <t>Ahmad Jundyyan Azhari, S.Ag.</t>
  </si>
  <si>
    <t>081916331081</t>
  </si>
  <si>
    <t>5203050707990004</t>
  </si>
  <si>
    <t xml:space="preserve">Jatiasih, Bekasi </t>
  </si>
  <si>
    <t xml:space="preserve">Masbagik, Lombok Timur </t>
  </si>
  <si>
    <t>7-7-1999</t>
  </si>
  <si>
    <t xml:space="preserve">STIU Wadi Mubarak Bogor </t>
  </si>
  <si>
    <t xml:space="preserve">Al-Qur'an dan Tafsir </t>
  </si>
  <si>
    <t xml:space="preserve">Musyrif halaqah Qur'an </t>
  </si>
  <si>
    <t xml:space="preserve">Imam Masjid dan guru TPA </t>
  </si>
  <si>
    <t xml:space="preserve">UMR daerah </t>
  </si>
  <si>
    <t>pakketu718@gmail.com</t>
  </si>
  <si>
    <t>1PBkyYo9uY_1-Lm_DCV1sivgvNfq0QGnM66iIXRj5wyw</t>
  </si>
  <si>
    <t>https://docs.google.com/document/d/1PBkyYo9uY_1-Lm_DCV1sivgvNfq0QGnM66iIXRj5wyw/edit?usp=drivesdk</t>
  </si>
  <si>
    <t>Document successfully created; Document successfully merged; Run via form trigger as kemal.stafsus@gmail.com; Timestamp: Jul 14 2024 3:09 AM</t>
  </si>
  <si>
    <t>https://drive.google.com/open?id=1oLrePZLSnQF7nuOooArZ-3RYK-wyxTQW</t>
  </si>
  <si>
    <t>https://drive.google.com/uc?export=view&amp;id=1oLrePZLSnQF7nuOooArZ-3RYK-wyxTQW</t>
  </si>
  <si>
    <t>Muhammad Adil</t>
  </si>
  <si>
    <t>085892876931</t>
  </si>
  <si>
    <t>3175011402000006</t>
  </si>
  <si>
    <t xml:space="preserve">Jl. Parung hijau, Desa tegal Jampang Hambulu, kab.bogor </t>
  </si>
  <si>
    <t>14-02-2000</t>
  </si>
  <si>
    <t>Guru Mata Pelajaran, Guru Olahraga/Penjaskes, Musyrif (Non-ITBA)</t>
  </si>
  <si>
    <t>B.Arab, Al-Qur'an, PJOK</t>
  </si>
  <si>
    <t>D2 Ma'had Sa'ad Bin Abi waqqosh</t>
  </si>
  <si>
    <t>D2 Bahasa Arab</t>
  </si>
  <si>
    <t>SDQ Insan Mandiri Jakarta Selatan</t>
  </si>
  <si>
    <t xml:space="preserve">Privat Al-Qur'an </t>
  </si>
  <si>
    <t xml:space="preserve">PaudQu An-Najah </t>
  </si>
  <si>
    <t xml:space="preserve">&gt; 4.500.000 </t>
  </si>
  <si>
    <t xml:space="preserve">Bank Syariah, A.n Hanna Nabilah </t>
  </si>
  <si>
    <t>muhdil0608@gmail.com</t>
  </si>
  <si>
    <t>1kojFa1gqGQsURNu7gqnMWxwXaEde-tsq0n1MtHSTLVY</t>
  </si>
  <si>
    <t>https://docs.google.com/document/d/1kojFa1gqGQsURNu7gqnMWxwXaEde-tsq0n1MtHSTLVY/edit?usp=drivesdk</t>
  </si>
  <si>
    <t>Document successfully created; Document successfully merged; Run via form trigger as kemal.stafsus@gmail.com; Timestamp: Jul 14 2024 3:33 AM</t>
  </si>
  <si>
    <t>https://drive.google.com/open?id=1GcyzNWvteh5WlnThSU8NyFkVvB8hhrJ_</t>
  </si>
  <si>
    <t>https://drive.google.com/uc?export=view&amp;id=1GcyzNWvteh5WlnThSU8NyFkVvB8hhrJ_</t>
  </si>
  <si>
    <t>Reni Septiani</t>
  </si>
  <si>
    <t>083873159398</t>
  </si>
  <si>
    <t>3674015909910004</t>
  </si>
  <si>
    <t>Jl. Masjid Ciater No 171 Rt 04 Rw 09. Ciater-Serpong Tangerang Selatan</t>
  </si>
  <si>
    <t>19-09-1991</t>
  </si>
  <si>
    <t>3.12</t>
  </si>
  <si>
    <t>Sekolah Highscope Indonesia Bintaro</t>
  </si>
  <si>
    <t>Binus School Serpong</t>
  </si>
  <si>
    <t>10.000.000 nett</t>
  </si>
  <si>
    <t>msreniseptiani@gmail.com</t>
  </si>
  <si>
    <t>1GX7dFivowxctd14Ispd_IBYTRDFwo_WHyk301IYR5ss</t>
  </si>
  <si>
    <t>https://docs.google.com/document/d/1GX7dFivowxctd14Ispd_IBYTRDFwo_WHyk301IYR5ss/edit?usp=drivesdk</t>
  </si>
  <si>
    <t>Document successfully created; Document successfully merged; Run via form trigger as kemal.stafsus@gmail.com; Timestamp: Jul 17 2024 5:16 AM</t>
  </si>
  <si>
    <t>https://drive.google.com/open?id=1doNLH2ov_n_8gE5UJBJnHvZrS3NKPL-U</t>
  </si>
  <si>
    <t>https://drive.google.com/uc?export=view&amp;id=1doNLH2ov_n_8gE5UJBJnHvZrS3NKPL-U</t>
  </si>
  <si>
    <t>Raden Ane Andriani Kusumawati S.Pd</t>
  </si>
  <si>
    <t>08989758912</t>
  </si>
  <si>
    <t>3671016303800001</t>
  </si>
  <si>
    <t>Kampung Kelapa RT 03 RW 03 No.44 Cikokol Tangerang</t>
  </si>
  <si>
    <t>23- 03- 1981</t>
  </si>
  <si>
    <t>43 Tahuun 4 Bulan</t>
  </si>
  <si>
    <t>Science, English, Math</t>
  </si>
  <si>
    <t>STKIP  KUSUMANEGARA JAKARTA</t>
  </si>
  <si>
    <t>Mahabodhi Vidya School</t>
  </si>
  <si>
    <t>Setia Bhakti</t>
  </si>
  <si>
    <t>kusumawatiane@gmail.com</t>
  </si>
  <si>
    <t>1HsO98DQchZ-lVRHajhwzeh40CiJnI4aGKaUEl4HKHO0</t>
  </si>
  <si>
    <t>https://docs.google.com/document/d/1HsO98DQchZ-lVRHajhwzeh40CiJnI4aGKaUEl4HKHO0/edit?usp=drivesdk</t>
  </si>
  <si>
    <t>Document successfully created; Document successfully merged; Run via form trigger as kemal.stafsus@gmail.com; Timestamp: Jul 17 2024 10:00 PM</t>
  </si>
  <si>
    <t>https://drive.google.com/open?id=1EAf2e1Q1yy_be7dM-N3Nkma6MM2MVocL</t>
  </si>
  <si>
    <t>https://drive.google.com/uc?export=view&amp;id=1EAf2e1Q1yy_be7dM-N3Nkma6MM2MVocL</t>
  </si>
  <si>
    <t>Kurniawati, S.Pd</t>
  </si>
  <si>
    <t>082342233736</t>
  </si>
  <si>
    <t>5201084910870002</t>
  </si>
  <si>
    <t>Rato sila</t>
  </si>
  <si>
    <t>09/10/1987</t>
  </si>
  <si>
    <t>36 tahun 9 bulan</t>
  </si>
  <si>
    <t xml:space="preserve">S1 UIN Mataram </t>
  </si>
  <si>
    <t xml:space="preserve">Guru TK Yaa Bunayya 5 tahun
</t>
  </si>
  <si>
    <t xml:space="preserve">Kepala.sekolah KB TK IT AKISc </t>
  </si>
  <si>
    <t xml:space="preserve">Guru TPQ Al Husaini </t>
  </si>
  <si>
    <t>nianwati087@gmail.com</t>
  </si>
  <si>
    <t>1PzcL3DkKisqiS2DDUIQD8hDAbwo2UDAVRz25J7VHUUo</t>
  </si>
  <si>
    <t>https://docs.google.com/document/d/1PzcL3DkKisqiS2DDUIQD8hDAbwo2UDAVRz25J7VHUUo/edit?usp=drivesdk</t>
  </si>
  <si>
    <t>Document successfully created; Document successfully merged; Run via form trigger as kemal.stafsus@gmail.com; Timestamp: Jul 18 2024 12:38 AM</t>
  </si>
  <si>
    <t>https://drive.google.com/open?id=1mHwz_A3cgwkdsDC19pMBjJvoXQme9Mde</t>
  </si>
  <si>
    <t>https://drive.google.com/uc?export=view&amp;id=1mHwz_A3cgwkdsDC19pMBjJvoXQme9Mde</t>
  </si>
  <si>
    <t xml:space="preserve">HAIRUL SANJAYA </t>
  </si>
  <si>
    <t>081933013265</t>
  </si>
  <si>
    <t>5205010502060002</t>
  </si>
  <si>
    <t xml:space="preserve">Tanggerang Selatan </t>
  </si>
  <si>
    <t>05-02-2006</t>
  </si>
  <si>
    <t>khyrwlsanjayakhyrwl@gmail.com</t>
  </si>
  <si>
    <t>1Q4kPkHxh1jbAlwym3yklke5NO3vPfs6po_ZoZdCa1x8</t>
  </si>
  <si>
    <t>https://docs.google.com/document/d/1Q4kPkHxh1jbAlwym3yklke5NO3vPfs6po_ZoZdCa1x8/edit?usp=drivesdk</t>
  </si>
  <si>
    <t>Document successfully created; Document successfully merged; Run via form trigger as kemal.stafsus@gmail.com; Timestamp: Jul 18 2024 8:32 PM</t>
  </si>
  <si>
    <t>https://drive.google.com/open?id=17z1N_yPIJD4t3uV_ubJTwa9fZtTFIn6w</t>
  </si>
  <si>
    <t>https://drive.google.com/uc?export=view&amp;id=17z1N_yPIJD4t3uV_ubJTwa9fZtTFIn6w</t>
  </si>
  <si>
    <t>Rafditya Wahyu Ramadhan, S.Psi.</t>
  </si>
  <si>
    <t>085781142321</t>
  </si>
  <si>
    <t>3603282201980004</t>
  </si>
  <si>
    <t>Jl.Falaqi 2 Blok C No.127. Kelapa Dua. Kabupaten Tangerang</t>
  </si>
  <si>
    <t>22-01-1998</t>
  </si>
  <si>
    <t>Human Capital Staff (Intern) - PT BRI Danareksa Sekuritas (Juni - Desember 2023)</t>
  </si>
  <si>
    <t>wahyurafditya98@gmail.com</t>
  </si>
  <si>
    <t>1wccP6ABhlestlpwo2e314VlfiXen-qtPS3xgxCU3sc0</t>
  </si>
  <si>
    <t>https://docs.google.com/document/d/1wccP6ABhlestlpwo2e314VlfiXen-qtPS3xgxCU3sc0/edit?usp=drivesdk</t>
  </si>
  <si>
    <t>Document successfully created; Document successfully merged; Run via form trigger as kemal.stafsus@gmail.com; Timestamp: Jul 19 2024 9:50 AM</t>
  </si>
  <si>
    <t>https://drive.google.com/open?id=1S3h4YMZjxHP58J85DIh5la6X7utk7My2</t>
  </si>
  <si>
    <t>https://drive.google.com/uc?export=view&amp;id=1S3h4YMZjxHP58J85DIh5la6X7utk7My2</t>
  </si>
  <si>
    <t>Hikmah wati</t>
  </si>
  <si>
    <t>089601100968</t>
  </si>
  <si>
    <t>3175076012930005</t>
  </si>
  <si>
    <t>Griya family 4 cibitung blok o16/18</t>
  </si>
  <si>
    <t>20-12-1993</t>
  </si>
  <si>
    <t>Bimbel bintang pelajar</t>
  </si>
  <si>
    <t>hikmahyeshikmahno@gmail.com</t>
  </si>
  <si>
    <t>1ux2np3_eMtfQJzIyiuy9h4V_klXrKBR68fSF_dYSKPU</t>
  </si>
  <si>
    <t>https://docs.google.com/document/d/1ux2np3_eMtfQJzIyiuy9h4V_klXrKBR68fSF_dYSKPU/edit?usp=drivesdk</t>
  </si>
  <si>
    <t>Document successfully created; Document successfully merged; Run via form trigger as kemal.stafsus@gmail.com; Timestamp: Jul 19 2024 8:46 PM</t>
  </si>
  <si>
    <t>https://drive.google.com/open?id=1iNXPse-xCGeqAdUOGHbOWxmcVE4dc4Pw</t>
  </si>
  <si>
    <t>https://drive.google.com/uc?export=view&amp;id=1iNXPse-xCGeqAdUOGHbOWxmcVE4dc4Pw</t>
  </si>
  <si>
    <t>Ardiansyah S.PdI</t>
  </si>
  <si>
    <t>08786592295</t>
  </si>
  <si>
    <t>5201080306860002</t>
  </si>
  <si>
    <t xml:space="preserve">serpong </t>
  </si>
  <si>
    <t>tambe kab. bima</t>
  </si>
  <si>
    <t>03/06/1986</t>
  </si>
  <si>
    <t>38 tahun 1 bulan</t>
  </si>
  <si>
    <t xml:space="preserve">Al qur'an </t>
  </si>
  <si>
    <t>Universita Nahdatul Wathan Mataram</t>
  </si>
  <si>
    <t>Guru Al qur'an MA hidayatullah mataram</t>
  </si>
  <si>
    <t xml:space="preserve">Guru Al qur'an MAN 2 Mataram </t>
  </si>
  <si>
    <t>Guru Al qur'an SMA 1 Labuapi Mataram</t>
  </si>
  <si>
    <t>d14n086@gmai.com</t>
  </si>
  <si>
    <t>1pKcHRfzT7Zpg7DZJVnrdlEfi4xthNh4OBcozkknQpac</t>
  </si>
  <si>
    <t>https://docs.google.com/document/d/1pKcHRfzT7Zpg7DZJVnrdlEfi4xthNh4OBcozkknQpac/edit?usp=drivesdk</t>
  </si>
  <si>
    <t>Document successfully created; Document successfully merged; Run via form trigger as kemal.stafsus@gmail.com; Timestamp: Jul 20 2024 8:07 PM</t>
  </si>
  <si>
    <t>https://drive.google.com/open?id=1LabZqpAVjvOXJ6xAFE3lle4YYQjhpPJW</t>
  </si>
  <si>
    <t>https://drive.google.com/uc?export=view&amp;id=1LabZqpAVjvOXJ6xAFE3lle4YYQjhpPJW</t>
  </si>
  <si>
    <t>Mohamed El Shaddiq Asbir, BSc Biology</t>
  </si>
  <si>
    <t>081341321559</t>
  </si>
  <si>
    <t>3275012309940003</t>
  </si>
  <si>
    <t>Jl Garuda 2 No. 372, Perum Jatimulya, Bekasi Timur, Jawa Barat</t>
  </si>
  <si>
    <t>Science, Biology, MTK</t>
  </si>
  <si>
    <t>Bachelor of Science in Biology</t>
  </si>
  <si>
    <t>shaddiqasbir23@gmail.com</t>
  </si>
  <si>
    <t>1IxYMY20sBE-85zKywEnM7HhiV396THssunjzyTxjqv8</t>
  </si>
  <si>
    <t>https://docs.google.com/document/d/1IxYMY20sBE-85zKywEnM7HhiV396THssunjzyTxjqv8/edit?usp=drivesdk</t>
  </si>
  <si>
    <t>Document successfully created; Document successfully merged; Run via form trigger as kemal.stafsus@gmail.com; Timestamp: Jul 20 2024 10:55 PM</t>
  </si>
  <si>
    <t>https://drive.google.com/open?id=1j9Zg9yPPLWitFDjVHXX71AJYTnIKIXcX</t>
  </si>
  <si>
    <t>https://drive.google.com/uc?export=view&amp;id=1j9Zg9yPPLWitFDjVHXX71AJYTnIKIXcX</t>
  </si>
  <si>
    <t>Javier Noval Athallah, S.Si.</t>
  </si>
  <si>
    <t>0895372286872</t>
  </si>
  <si>
    <t>3173020311010006</t>
  </si>
  <si>
    <t>Jl. H. Jumin RT 6 RW 4 No. 17, Kel. Mampang, Kec. Pancoran Mas, Kota Depok</t>
  </si>
  <si>
    <t>03-11-2001</t>
  </si>
  <si>
    <t>S1 - Universitas Indonesia</t>
  </si>
  <si>
    <t>Mathematics Subject Research Intern - PT Zona Edukasi Nusantara (Zenius Education)</t>
  </si>
  <si>
    <t>Mathematics Tutor - Bimbel Rumah Belajar Anakku (RBA)</t>
  </si>
  <si>
    <t>Penulis Buku Soal dan Jawaban Pasti Siap Matematika untuk SMP/MTS Kelas VIII dan IX (Kolaborasi dengan Penerbit Duta)</t>
  </si>
  <si>
    <t>javiernoval13@gmail.com</t>
  </si>
  <si>
    <t>13rnj-9Vxwm09hvkPEtn_enCRdig43YYkCttsyx5SKI0</t>
  </si>
  <si>
    <t>https://docs.google.com/document/d/13rnj-9Vxwm09hvkPEtn_enCRdig43YYkCttsyx5SKI0/edit?usp=drivesdk</t>
  </si>
  <si>
    <t>Document successfully created; Document successfully merged; Run via form trigger as kemal.stafsus@gmail.com; Timestamp: Jul 22 2024 7:59 AM</t>
  </si>
  <si>
    <t>https://drive.google.com/open?id=1pjH43eBlOfvimWhxeq89nyDJks-iljcW</t>
  </si>
  <si>
    <t>https://drive.google.com/uc?export=view&amp;id=1pjH43eBlOfvimWhxeq89nyDJks-iljcW</t>
  </si>
  <si>
    <t>Arifianto, S.Si</t>
  </si>
  <si>
    <t>08561326534</t>
  </si>
  <si>
    <t>Perumahan Bogor Raya Residence Blok D1 No.20, RT.08/RW.016, Kelurahan Cimahpar, Kecamatan Bogor Utara, Kota Bogor, Jawa Barat (16155)</t>
  </si>
  <si>
    <t>02-10-1984</t>
  </si>
  <si>
    <t>39 tahun 10 bulan</t>
  </si>
  <si>
    <t>Superstring39@gmail.com</t>
  </si>
  <si>
    <t>1ZMGVPf__BJ3EpKZ-Gk6irX8rKxQsDk880jS7S0p9coY</t>
  </si>
  <si>
    <t>https://docs.google.com/document/d/1ZMGVPf__BJ3EpKZ-Gk6irX8rKxQsDk880jS7S0p9coY/edit?usp=drivesdk</t>
  </si>
  <si>
    <t>Document successfully created; Document successfully merged; Run via form trigger as kemal.stafsus@gmail.com; Timestamp: Jul 22 2024 10:56 AM</t>
  </si>
  <si>
    <t>https://drive.google.com/open?id=1beOoOLhm0dGEPgkpxe07jmhFkaePkAqx</t>
  </si>
  <si>
    <t>https://drive.google.com/uc?export=view&amp;id=1beOoOLhm0dGEPgkpxe07jmhFkaePkAqx</t>
  </si>
  <si>
    <t>Khairul Anam S.Pd</t>
  </si>
  <si>
    <t>081318902868</t>
  </si>
  <si>
    <t>7309142702930005</t>
  </si>
  <si>
    <t>Duta pakis residence blok c7 no03 kel.putat nutug kec.ciseeng kab.maros</t>
  </si>
  <si>
    <t>Maros</t>
  </si>
  <si>
    <t>27-02-1993</t>
  </si>
  <si>
    <t>English - science - math</t>
  </si>
  <si>
    <t>Universitas Darussalam Gontor</t>
  </si>
  <si>
    <t>Ponpes an nur sidoarjo - guru bahasa arab</t>
  </si>
  <si>
    <t>800.00p</t>
  </si>
  <si>
    <t>Al ridha al salam depok - guru bahasa inggris</t>
  </si>
  <si>
    <t>Global islamic School 2 Serpong - Wali Kelas (Guru Kelas)</t>
  </si>
  <si>
    <t>Base on my experince and skills, i put my value in 6.000.000 but it is negotiable</t>
  </si>
  <si>
    <t>kanamnom1@gmail.com</t>
  </si>
  <si>
    <t>1RwyNAEqDLrHW2N3agHrlql30d2BYusKmjKM82Tk0988</t>
  </si>
  <si>
    <t>https://docs.google.com/document/d/1RwyNAEqDLrHW2N3agHrlql30d2BYusKmjKM82Tk0988/edit?usp=drivesdk</t>
  </si>
  <si>
    <t>Document successfully created; Document successfully merged; Run via form trigger as kemal.stafsus@gmail.com; Timestamp: Jul 22 2024 10:16 PM</t>
  </si>
  <si>
    <t>https://drive.google.com/open?id=18EkCIi7sIP8ygYtnUkSaPPunZVu2_nWA</t>
  </si>
  <si>
    <t>https://drive.google.com/uc?export=view&amp;id=18EkCIi7sIP8ygYtnUkSaPPunZVu2_nWA</t>
  </si>
  <si>
    <t>M. Anas Ubaidillah</t>
  </si>
  <si>
    <t>085921026401</t>
  </si>
  <si>
    <t>5203092404000005</t>
  </si>
  <si>
    <t>Cepak Timur, Aikmel Timur, Kec. Aikmel. Lombok Timur, Nusa Tenggara Barat 83653</t>
  </si>
  <si>
    <t>Aikmel, Lombok Timur</t>
  </si>
  <si>
    <t>19-04-2000</t>
  </si>
  <si>
    <t>Humas (Pengabdian Wadi Mubarak-Bogor)</t>
  </si>
  <si>
    <t>Musyrif Kamar (Ma'had Ishlah Bina Al-Ummah Lombok)</t>
  </si>
  <si>
    <t>Musyrif Kamar (AL-WILDAN 3)</t>
  </si>
  <si>
    <t>anasu8480@gmail.com</t>
  </si>
  <si>
    <t>1UUYqhG5t3GHMZ1UtmlZ8T2G82bQPXBJ8W_ZAVX4vncY</t>
  </si>
  <si>
    <t>https://docs.google.com/document/d/1UUYqhG5t3GHMZ1UtmlZ8T2G82bQPXBJ8W_ZAVX4vncY/edit?usp=drivesdk</t>
  </si>
  <si>
    <t>Document successfully created; Document successfully merged; Run via form trigger as kemal.stafsus@gmail.com; Timestamp: Jul 23 2024 3:03 AM</t>
  </si>
  <si>
    <t>https://drive.google.com/open?id=1MHQiHSnmF_lZZCEtakrfwz5D_4e0o8K2</t>
  </si>
  <si>
    <t>https://drive.google.com/uc?export=view&amp;id=1MHQiHSnmF_lZZCEtakrfwz5D_4e0o8K2</t>
  </si>
  <si>
    <t xml:space="preserve">Adi Ilham Maulana, S.Ag. </t>
  </si>
  <si>
    <t>Jl setiawarga 2 rawamekar jaya serpong tangerang selatan banten</t>
  </si>
  <si>
    <t>3 April 1996</t>
  </si>
  <si>
    <t>STAI ASY-SYUKRIYYAH/ITBA</t>
  </si>
  <si>
    <t>Guru Al-Qur'an di Al-Wildan 3 BSD</t>
  </si>
  <si>
    <t xml:space="preserve">7.000.000 (karena sudah dapat sanad) </t>
  </si>
  <si>
    <t>adiilhammaulanaaa@gmail.com</t>
  </si>
  <si>
    <t>1QSSPj2AihxvAiu8tHGd1UV6a62KU38AY22Ghv4cHByU</t>
  </si>
  <si>
    <t>https://docs.google.com/document/d/1QSSPj2AihxvAiu8tHGd1UV6a62KU38AY22Ghv4cHByU/edit?usp=drivesdk</t>
  </si>
  <si>
    <t>Document successfully created; Document successfully merged; Run via form trigger as kemal.stafsus@gmail.com; Timestamp: Jul 23 2024 6:00 AM</t>
  </si>
  <si>
    <t>https://drive.google.com/open?id=1uH1S6dgdT5_wdGrkN-38qH3l1OQut_at</t>
  </si>
  <si>
    <t>https://drive.google.com/uc?export=view&amp;id=1uH1S6dgdT5_wdGrkN-38qH3l1OQut_at</t>
  </si>
  <si>
    <t>Nisail Mugni Hidayati, M.Pd</t>
  </si>
  <si>
    <t>089614741260</t>
  </si>
  <si>
    <t>3215066711960005</t>
  </si>
  <si>
    <t>Grand Tamansari 3, AQ6, Setu Kab. Bekasi, Jawa Barat</t>
  </si>
  <si>
    <t>27-11-1996</t>
  </si>
  <si>
    <t>Asisten manager marketing</t>
  </si>
  <si>
    <t>nisailmugni@gmail.com</t>
  </si>
  <si>
    <t>19pWZug_WFrEJoTFsdbITgZvUXnfhhI9NtEBsaNP_fBw</t>
  </si>
  <si>
    <t>https://docs.google.com/document/d/19pWZug_WFrEJoTFsdbITgZvUXnfhhI9NtEBsaNP_fBw/edit?usp=drivesdk</t>
  </si>
  <si>
    <t>Document successfully created; Document successfully merged; Run via form trigger as kemal.stafsus@gmail.com; Timestamp: Jul 23 2024 11:27 AM</t>
  </si>
  <si>
    <t>https://drive.google.com/open?id=1kuYZlL0F21114ywoxz1YI60nga9IKcC3</t>
  </si>
  <si>
    <t>https://drive.google.com/uc?export=view&amp;id=1kuYZlL0F21114ywoxz1YI60nga9IKcC3</t>
  </si>
  <si>
    <t>Reyhan Auzan Putera Notokoesoemo, S.Ftr.</t>
  </si>
  <si>
    <t>+6282243778854</t>
  </si>
  <si>
    <t>3275042409960015</t>
  </si>
  <si>
    <t>Pondok Pekayon Indah. Jl. Ketapang XV. CC4 No. 25. Kelurahan Pekayon Jaya. Kecamatan Bekasi Selatan. Kota Bekasi</t>
  </si>
  <si>
    <t>Bahasa Inggris, Matematika, Science</t>
  </si>
  <si>
    <t>S1 Fisioterapi</t>
  </si>
  <si>
    <t>PT Ruang Raya Indonesia (Ruangguru)</t>
  </si>
  <si>
    <t>0052961114</t>
  </si>
  <si>
    <t>Bank Sinarmas</t>
  </si>
  <si>
    <t>ReyhanAuzanID@gmail.com</t>
  </si>
  <si>
    <t>1nTT-Zqd7A9qzBAhPXWWat29EyVKdtQ1nBZFuU9lce8c</t>
  </si>
  <si>
    <t>https://docs.google.com/document/d/1nTT-Zqd7A9qzBAhPXWWat29EyVKdtQ1nBZFuU9lce8c/edit?usp=drivesdk</t>
  </si>
  <si>
    <t>Document successfully created; Document successfully merged; Run via form trigger as kemal.stafsus@gmail.com; Timestamp: Jul 24 2024 6:16 AM</t>
  </si>
  <si>
    <t>https://drive.google.com/open?id=1krTBfnV5Jvv2NazTDOqKf5McHnyB_-rv</t>
  </si>
  <si>
    <t>https://drive.google.com/uc?export=view&amp;id=1krTBfnV5Jvv2NazTDOqKf5McHnyB_-rv</t>
  </si>
  <si>
    <t>Cut Tari Wida Ningsih, B.A.</t>
  </si>
  <si>
    <t>087815940316</t>
  </si>
  <si>
    <t>1111075402990001</t>
  </si>
  <si>
    <t xml:space="preserve">Pasar Minggu, Jakarta Selatan </t>
  </si>
  <si>
    <t xml:space="preserve">Bireuen </t>
  </si>
  <si>
    <t>14 Februari 1999</t>
  </si>
  <si>
    <t>4.18</t>
  </si>
  <si>
    <t xml:space="preserve">Mu'allimah Andalusia Private Islamic Course </t>
  </si>
  <si>
    <t xml:space="preserve">Mu'allimah Ekstrakulikuler Baca Pada Qur'an SMP Negeri 166 Jakarta </t>
  </si>
  <si>
    <t xml:space="preserve">Mu'allimah TPA Khadijah Jati Padang </t>
  </si>
  <si>
    <t>7.000.000-10.000.000</t>
  </si>
  <si>
    <t>arieffhonna97@gmail.com</t>
  </si>
  <si>
    <t>1c05hl9iidTyGSeoz2UpDqbOHqo7hz7SNatfGd0h9FM4</t>
  </si>
  <si>
    <t>https://docs.google.com/document/d/1c05hl9iidTyGSeoz2UpDqbOHqo7hz7SNatfGd0h9FM4/edit?usp=drivesdk</t>
  </si>
  <si>
    <t>Document successfully created; Document successfully merged; Run via form trigger as kemal.stafsus@gmail.com; Timestamp: Jul 24 2024 6:58 AM</t>
  </si>
  <si>
    <t>https://drive.google.com/open?id=1cSjubJ_w0pumHP91Ebo0lIvkcPJ9hGf8</t>
  </si>
  <si>
    <t>https://drive.google.com/uc?export=view&amp;id=1cSjubJ_w0pumHP91Ebo0lIvkcPJ9hGf8</t>
  </si>
  <si>
    <t>AHMAD IZZAH ARRUSLI S.PD</t>
  </si>
  <si>
    <t>085754237165</t>
  </si>
  <si>
    <t>6171050501000014</t>
  </si>
  <si>
    <t>JL JATI SARI DALAM NO 69A, JATIPADANG, PASARMINGGU, JAKARTA SELATAN, DKI JAKARTA</t>
  </si>
  <si>
    <t>CARLTON, MELBOURNE, AUSTRALIA</t>
  </si>
  <si>
    <t>05-01-2000</t>
  </si>
  <si>
    <t>24 Tahun, 7 Bulan</t>
  </si>
  <si>
    <t>Universitas Tanjungpura, Pontianak, Kalimantan Barat</t>
  </si>
  <si>
    <t>Language Course Da'wah and Ummah , Bandung</t>
  </si>
  <si>
    <t>Fitrah Islamic World Academy, Ciseeng, Bogor</t>
  </si>
  <si>
    <t>0986989386</t>
  </si>
  <si>
    <t>ahmadizzah45@gmail.com</t>
  </si>
  <si>
    <t>194hlQCZ4osROeshT2jC6fU_FxENqxfm_Ev5_8ESd8Vw</t>
  </si>
  <si>
    <t>https://docs.google.com/document/d/194hlQCZ4osROeshT2jC6fU_FxENqxfm_Ev5_8ESd8Vw/edit?usp=drivesdk</t>
  </si>
  <si>
    <t>Document successfully created; Document successfully merged; Run via form trigger as kemal.stafsus@gmail.com; Timestamp: Jul 24 2024 6:04 PM</t>
  </si>
  <si>
    <t>https://drive.google.com/open?id=1ZjFUmZNDTm4y30dt7j0utMZolyG-NUB8</t>
  </si>
  <si>
    <t>https://drive.google.com/uc?export=view&amp;id=1ZjFUmZNDTm4y30dt7j0utMZolyG-NUB8</t>
  </si>
  <si>
    <t>Taufik Hidayat, S.Pd</t>
  </si>
  <si>
    <t>081227132173</t>
  </si>
  <si>
    <t>3301232301010005</t>
  </si>
  <si>
    <t>Telukjambe Timur, Karawang, Jawa Barat</t>
  </si>
  <si>
    <t>23 Januari 2001</t>
  </si>
  <si>
    <t>23 Tahun, 6 Bulan</t>
  </si>
  <si>
    <t>Pendidikan Jasmani kesehatan dan Rekreasi (PJOK)</t>
  </si>
  <si>
    <t>Magang mengajar SMPN 5 Karawang</t>
  </si>
  <si>
    <t>Kampus Merdeka Kemendikbud, SMPN 2 Agrabinta Cianjur</t>
  </si>
  <si>
    <t>SDs Tunas Dharma</t>
  </si>
  <si>
    <t>4.000.000 - 5.000.000</t>
  </si>
  <si>
    <t>0895605304</t>
  </si>
  <si>
    <t>taufiqdamar.23@gmail.com</t>
  </si>
  <si>
    <t>1TlQpZ0MN7yZh6JokAyVGBzQfvrnEAdpYbdSg_9yikjs</t>
  </si>
  <si>
    <t>https://docs.google.com/document/d/1TlQpZ0MN7yZh6JokAyVGBzQfvrnEAdpYbdSg_9yikjs/edit?usp=drivesdk</t>
  </si>
  <si>
    <t>Document successfully created; Document successfully merged; Run via form trigger as kemal.stafsus@gmail.com; Timestamp: Jul 24 2024 8:15 PM</t>
  </si>
  <si>
    <t>https://drive.google.com/open?id=1j6uFR00in2TXevhy4Ygx7hwcherHc254</t>
  </si>
  <si>
    <t>https://drive.google.com/uc?export=view&amp;id=1j6uFR00in2TXevhy4Ygx7hwcherHc254</t>
  </si>
  <si>
    <t>Rahma Dini, M.Pd</t>
  </si>
  <si>
    <t>082285211443</t>
  </si>
  <si>
    <t>1371116409970003</t>
  </si>
  <si>
    <t>Metland Tambun, Jl. Biduri I, Blok E, No. 23, Desa Cibuntu, Kec. Cibitung, Kab. Bekasi, Jawa Barat.</t>
  </si>
  <si>
    <t>24-09-1997</t>
  </si>
  <si>
    <t>Guru Ekskul Bahasa Inggris SD (Part time)</t>
  </si>
  <si>
    <t>Guru Bimbel Bahasa Inggris (Part time)</t>
  </si>
  <si>
    <t>2409rahmadini@gmail.com</t>
  </si>
  <si>
    <t>1z02aP6aMqSA3iZarqrA6n72N_-MGEUeYqTMCVKoRGZ8</t>
  </si>
  <si>
    <t>https://docs.google.com/document/d/1z02aP6aMqSA3iZarqrA6n72N_-MGEUeYqTMCVKoRGZ8/edit?usp=drivesdk</t>
  </si>
  <si>
    <t>Document successfully created; Document successfully merged; Run via form trigger as kemal.stafsus@gmail.com; Timestamp: Jul 25 2024 2:06 AM</t>
  </si>
  <si>
    <t>https://drive.google.com/open?id=1Fa-dKImnOjYRUy6vbycR0UrHIXVpkSA6</t>
  </si>
  <si>
    <t>https://drive.google.com/uc?export=view&amp;id=1Fa-dKImnOjYRUy6vbycR0UrHIXVpkSA6</t>
  </si>
  <si>
    <t>Thufail Mujaddid Al-Qoyyim, S.Pd.</t>
  </si>
  <si>
    <t>089512054726</t>
  </si>
  <si>
    <t>5271020204000001</t>
  </si>
  <si>
    <t>Jalan Pantai Gili Air no. 19 BTN Griya Pagutan Indah</t>
  </si>
  <si>
    <t>Science, English, Matematic, Physics, Biology</t>
  </si>
  <si>
    <t>Al-Wildan 20 Mataram</t>
  </si>
  <si>
    <t>Guru Kelas, Guru Tahfidz, Operator di SD-IT Tahfidzul Quran An Nahl</t>
  </si>
  <si>
    <t>thufail.mujaddid19@gmail.com</t>
  </si>
  <si>
    <t>1E8A0DgoAcMGvYRIol8NSdjID00VcWrzrPUrLBm3ssvM</t>
  </si>
  <si>
    <t>https://docs.google.com/document/d/1E8A0DgoAcMGvYRIol8NSdjID00VcWrzrPUrLBm3ssvM/edit?usp=drivesdk</t>
  </si>
  <si>
    <t>Document successfully created; Document successfully merged; Run via form trigger as kemal.stafsus@gmail.com; Timestamp: Jul 25 2024 5:53 PM</t>
  </si>
  <si>
    <t>https://drive.google.com/open?id=14yXOSEHf2iZzVPOc5FuR68vxb91zD5Kf</t>
  </si>
  <si>
    <t>https://drive.google.com/uc?export=view&amp;id=14yXOSEHf2iZzVPOc5FuR68vxb91zD5Kf</t>
  </si>
  <si>
    <t>Muhammad, S.Pd</t>
  </si>
  <si>
    <t>087888543511</t>
  </si>
  <si>
    <t>5271042210960001</t>
  </si>
  <si>
    <t>22-10-1996</t>
  </si>
  <si>
    <t>Psychical education</t>
  </si>
  <si>
    <t>Universitas Islam Negeri Mataram</t>
  </si>
  <si>
    <t>Bank NTB syariah</t>
  </si>
  <si>
    <t>muhammad.dzulfikar2210@gmail.com</t>
  </si>
  <si>
    <t>1_TSMKiNycNyDlYGCZahTEHWzeSUgSo7g1CnstTDAlJQ</t>
  </si>
  <si>
    <t>https://docs.google.com/document/d/1_TSMKiNycNyDlYGCZahTEHWzeSUgSo7g1CnstTDAlJQ/edit?usp=drivesdk</t>
  </si>
  <si>
    <t>Document successfully created; Document successfully merged; Run via form trigger as kemal.stafsus@gmail.com; Timestamp: Jul 25 2024 9:32 PM</t>
  </si>
  <si>
    <t>https://drive.google.com/open?id=1vK4dXBZn2rwg63EUcjILUqDvAc74W3QX</t>
  </si>
  <si>
    <t>https://drive.google.com/uc?export=view&amp;id=1vK4dXBZn2rwg63EUcjILUqDvAc74W3QX</t>
  </si>
  <si>
    <t>Jln. Kelapa Tiga no.45 Mataram</t>
  </si>
  <si>
    <t>Arabic and Physical Education</t>
  </si>
  <si>
    <t>NTB Syariah</t>
  </si>
  <si>
    <t>1UF8jb2x5i0AoKb7BJtObfKoGC6_3_CpGfoaRjZlKVbQ</t>
  </si>
  <si>
    <t>https://docs.google.com/document/d/1UF8jb2x5i0AoKb7BJtObfKoGC6_3_CpGfoaRjZlKVbQ/edit?usp=drivesdk</t>
  </si>
  <si>
    <t>Document successfully created; Document successfully merged; Run via form trigger as kemal.stafsus@gmail.com; Timestamp: Jul 26 2024 5:02 AM</t>
  </si>
  <si>
    <t>https://drive.google.com/open?id=1CSea8n0n9FfIZz9GHKnJ8NvxSjID_W3u</t>
  </si>
  <si>
    <t>https://drive.google.com/uc?export=view&amp;id=1CSea8n0n9FfIZz9GHKnJ8NvxSjID_W3u</t>
  </si>
  <si>
    <t>Andri Kusman, S.Pd.</t>
  </si>
  <si>
    <t>081313449283</t>
  </si>
  <si>
    <t>1603202104970001</t>
  </si>
  <si>
    <t>Desa Betung Barat, Kec. Abab</t>
  </si>
  <si>
    <t>Penukal Abab Lematang Ilir (PALI)</t>
  </si>
  <si>
    <t>01-07-1997</t>
  </si>
  <si>
    <t>Guru Fisika Di Akademi Zaen Al Fatih Bandung</t>
  </si>
  <si>
    <t>andrikusman07@gmail.com</t>
  </si>
  <si>
    <t>1CxnU4nfZTjQ36fhdkfrFAMCfUVNIr2RxPgNNni21yFc</t>
  </si>
  <si>
    <t>https://docs.google.com/document/d/1CxnU4nfZTjQ36fhdkfrFAMCfUVNIr2RxPgNNni21yFc/edit?usp=drivesdk</t>
  </si>
  <si>
    <t>Document successfully created; Document successfully merged; Run via form trigger as kemal.stafsus@gmail.com; Timestamp: Jul 29 2024 4:30 AM</t>
  </si>
  <si>
    <t>https://drive.google.com/open?id=1UGydb8SS8T009NB1aLmiyeC8pQx12kiP</t>
  </si>
  <si>
    <t>https://drive.google.com/uc?export=view&amp;id=1UGydb8SS8T009NB1aLmiyeC8pQx12kiP</t>
  </si>
  <si>
    <t>Adi Sayono, S.Si</t>
  </si>
  <si>
    <t>081802427960</t>
  </si>
  <si>
    <t>3201072403820001</t>
  </si>
  <si>
    <t>Harvest City, Dianthus DA 14/15</t>
  </si>
  <si>
    <t>24-03-1982</t>
  </si>
  <si>
    <t>42 tahun 4 bulan</t>
  </si>
  <si>
    <t>2.55</t>
  </si>
  <si>
    <t>Guru Matematika dan Leader DoE</t>
  </si>
  <si>
    <t>Kepala IT dan Perpustakaan</t>
  </si>
  <si>
    <t>adisayono28@gmail.com</t>
  </si>
  <si>
    <t>1b7B6hQbko_UA2KIh7ef70dJWmWm127Pkb2ESn3eg18Q</t>
  </si>
  <si>
    <t>https://docs.google.com/document/d/1b7B6hQbko_UA2KIh7ef70dJWmWm127Pkb2ESn3eg18Q/edit?usp=drivesdk</t>
  </si>
  <si>
    <t>Document successfully created; Document successfully merged; Run via form trigger as kemal.stafsus@gmail.com; Timestamp: Jul 29 2024 4:31 AM</t>
  </si>
  <si>
    <t>https://drive.google.com/open?id=1oBJHWkzsJJLYOpo9PxYijOAjkJ8AD7ui</t>
  </si>
  <si>
    <t>https://drive.google.com/uc?export=view&amp;id=1oBJHWkzsJJLYOpo9PxYijOAjkJ8AD7ui</t>
  </si>
  <si>
    <t>Slamet Hidayat</t>
  </si>
  <si>
    <t>085717780701</t>
  </si>
  <si>
    <t>3201170610840002</t>
  </si>
  <si>
    <t>Kp. Gunung Menyan Kec. Pamijahan Kab. Bogor Barat</t>
  </si>
  <si>
    <t>06-10-1984</t>
  </si>
  <si>
    <t>Tata Usaha/Operator Sekolah</t>
  </si>
  <si>
    <t>Tata Usaha/Operator</t>
  </si>
  <si>
    <t>Kepala Tata Usaha/Operator</t>
  </si>
  <si>
    <t>slamethidayatns@gmail.com</t>
  </si>
  <si>
    <t>1plMpRWVzdT846LQVP7mxUV2emJnKTp4UzbczFvPpYsw</t>
  </si>
  <si>
    <t>https://docs.google.com/document/d/1plMpRWVzdT846LQVP7mxUV2emJnKTp4UzbczFvPpYsw/edit?usp=drivesdk</t>
  </si>
  <si>
    <t>Document successfully created; Document successfully merged; Run via form trigger as kemal.stafsus@gmail.com; Timestamp: Jul 29 2024 7:05 AM</t>
  </si>
  <si>
    <t>https://drive.google.com/open?id=1B7tGJbICy-XQpiSAK1k2tU9dTILPu_v7</t>
  </si>
  <si>
    <t>https://drive.google.com/uc?export=view&amp;id=1B7tGJbICy-XQpiSAK1k2tU9dTILPu_v7</t>
  </si>
  <si>
    <t>Zaenudin, S.S.</t>
  </si>
  <si>
    <t>087730549266</t>
  </si>
  <si>
    <t>3328182212950003</t>
  </si>
  <si>
    <t>Perumahan Graha Padjadjaran Blok K2, Kelurahan Bedahan, Kecamatan Sawangan, Kota Depok</t>
  </si>
  <si>
    <t>22-12-1995</t>
  </si>
  <si>
    <t>S1 - Sekolah Tinggi Bahasa Asing (STBA) JIA</t>
  </si>
  <si>
    <t>zaenudin.zean22@gmail.com</t>
  </si>
  <si>
    <t>1nl3nIP5uhKEVQ0C-xtpsGnswTOBExYAa-B49cVmZ4u0</t>
  </si>
  <si>
    <t>https://docs.google.com/document/d/1nl3nIP5uhKEVQ0C-xtpsGnswTOBExYAa-B49cVmZ4u0/edit?usp=drivesdk</t>
  </si>
  <si>
    <t>https://drive.google.com/open?id=1_v7HG4y8ptr6RYbFOb3fRzAdda-rBz9G</t>
  </si>
  <si>
    <t>https://drive.google.com/uc?export=view&amp;id=1_v7HG4y8ptr6RYbFOb3fRzAdda-rBz9G</t>
  </si>
  <si>
    <t>Salsa Billa Aprianti, S.Pd</t>
  </si>
  <si>
    <t>082281017118</t>
  </si>
  <si>
    <t>1603036202990002</t>
  </si>
  <si>
    <t>Cipinang Besar Selatan, Jatinegara, Jakarta Timur</t>
  </si>
  <si>
    <t>22-02-1999</t>
  </si>
  <si>
    <t>PTN - UNIVERSITAS JAMBI</t>
  </si>
  <si>
    <t>PENDIDIKAN KIMIA</t>
  </si>
  <si>
    <t>Guru Kimia SMAIT Raudhatul Ulum Sakatiga</t>
  </si>
  <si>
    <t>salsabillaa22@gmail.com</t>
  </si>
  <si>
    <t>1W5bLBkOALOYpwljl6ahxmMkmV-3pF5EJaFzbaTdHfyI</t>
  </si>
  <si>
    <t>https://docs.google.com/document/d/1W5bLBkOALOYpwljl6ahxmMkmV-3pF5EJaFzbaTdHfyI/edit?usp=drivesdk</t>
  </si>
  <si>
    <t>Document successfully created; Document successfully merged; Run via form trigger as kemal.stafsus@gmail.com; Timestamp: Jul 29 2024 7:10 AM</t>
  </si>
  <si>
    <t>https://drive.google.com/open?id=1LlIMj73VfNvcVYmEvLllSCNG0BhNXMz7</t>
  </si>
  <si>
    <t>https://drive.google.com/uc?export=view&amp;id=1LlIMj73VfNvcVYmEvLllSCNG0BhNXMz7</t>
  </si>
  <si>
    <t>Farhana Ulina Afifah Ginting B.B.A</t>
  </si>
  <si>
    <t>081294048652</t>
  </si>
  <si>
    <t>3275095108000021</t>
  </si>
  <si>
    <t>telkom satwika permai blok c7/no. 15 jatiluhur-jatiasih Bekasi 17425</t>
  </si>
  <si>
    <t>11-08-2000</t>
  </si>
  <si>
    <t>bisnis administrasi</t>
  </si>
  <si>
    <t>internship Bank BSI pusat</t>
  </si>
  <si>
    <t>freelance acount manager</t>
  </si>
  <si>
    <t>farhanaulina@gmail.com</t>
  </si>
  <si>
    <t>1V33nwDs8IsRF1FELyDxefKmb9DXGzoxIwR3CvakjHRI</t>
  </si>
  <si>
    <t>https://docs.google.com/document/d/1V33nwDs8IsRF1FELyDxefKmb9DXGzoxIwR3CvakjHRI/edit?usp=drivesdk</t>
  </si>
  <si>
    <t>Document successfully created; Document successfully merged; Run via form trigger as kemal.stafsus@gmail.com; Timestamp: Jul 30 2024 2:01 AM</t>
  </si>
  <si>
    <t>https://drive.google.com/open?id=1GLa8pNgiS2eaynAsFERq5TLcr2NgQ_j7</t>
  </si>
  <si>
    <t>https://drive.google.com/uc?export=view&amp;id=1GLa8pNgiS2eaynAsFERq5TLcr2NgQ_j7</t>
  </si>
  <si>
    <t xml:space="preserve">Barqiatun </t>
  </si>
  <si>
    <t>081935957471</t>
  </si>
  <si>
    <t>5201026802010001</t>
  </si>
  <si>
    <t xml:space="preserve">Lombok </t>
  </si>
  <si>
    <t>28-februari-2001</t>
  </si>
  <si>
    <t>humaidibarqiyatunahmad@gmail.com</t>
  </si>
  <si>
    <t>1ja3Sizssg84mBPlxMqVo19wK48Dpg6nhMUp4dv1PeZA</t>
  </si>
  <si>
    <t>https://docs.google.com/document/d/1ja3Sizssg84mBPlxMqVo19wK48Dpg6nhMUp4dv1PeZA/edit?usp=drivesdk</t>
  </si>
  <si>
    <t>Document successfully created; Document successfully merged; Run via form trigger as kemal.stafsus@gmail.com; Timestamp: Jul 31 2024 2:03 AM</t>
  </si>
  <si>
    <t>https://drive.google.com/open?id=1AwlEkg2qwsDIHULV301aULI8vNOk5uzp</t>
  </si>
  <si>
    <t>https://drive.google.com/uc?export=view&amp;id=1AwlEkg2qwsDIHULV301aULI8vNOk5uzp</t>
  </si>
  <si>
    <t>Nurul hikmayani</t>
  </si>
  <si>
    <t>7371024411940005</t>
  </si>
  <si>
    <t xml:space="preserve">Jln st Alauddin </t>
  </si>
  <si>
    <t>04-11-1994</t>
  </si>
  <si>
    <t>Karyawan gedung juang 45</t>
  </si>
  <si>
    <t>2,300.000</t>
  </si>
  <si>
    <t>2,500.000</t>
  </si>
  <si>
    <t>zhenjizi022@gmail.com</t>
  </si>
  <si>
    <t>1wF4BC_0Wn7pEPYutewdA33VyGyksCPb4tI6aMDKijPM</t>
  </si>
  <si>
    <t>https://docs.google.com/document/d/1wF4BC_0Wn7pEPYutewdA33VyGyksCPb4tI6aMDKijPM/edit?usp=drivesdk</t>
  </si>
  <si>
    <t>Document successfully created; Document successfully merged; Run via form trigger as kemal.stafsus@gmail.com; Timestamp: Aug 2 2024 9:06 PM</t>
  </si>
  <si>
    <t>https://drive.google.com/open?id=1T_ykmaWe65-qI6QcM4Pbt2zOyXrsaXGV</t>
  </si>
  <si>
    <t>https://drive.google.com/uc?export=view&amp;id=1T_ykmaWe65-qI6QcM4Pbt2zOyXrsaXGV</t>
  </si>
  <si>
    <t>Melati Nurjana, S.S</t>
  </si>
  <si>
    <t>082299816562</t>
  </si>
  <si>
    <t>3275104410990001</t>
  </si>
  <si>
    <t>Kos Cantik Satria 1, Ruko Satria, Jl. Komjen. Pol. M. Jasin Dasar, Tugu, Kec. Cimanggis, Depok.</t>
  </si>
  <si>
    <t>04 Oktober 1999</t>
  </si>
  <si>
    <t>SEM Teacher</t>
  </si>
  <si>
    <t>Translation</t>
  </si>
  <si>
    <t>Sebagai English Content Officer di Eureka Edutech, sebuah perusahaan di bidang edukasi teknologi. Bertugas membuat materi dan mengajar bahasa Inggris terkait dengan ANBK dan SNBT bagi siswa SMA.</t>
  </si>
  <si>
    <t>melatinurjana93@gmail.com</t>
  </si>
  <si>
    <t>1M2z7ZNJbTrvcO_G9kYUVQ3P-no-XEv882M0WUOsIcMc</t>
  </si>
  <si>
    <t>https://docs.google.com/document/d/1M2z7ZNJbTrvcO_G9kYUVQ3P-no-XEv882M0WUOsIcMc/edit?usp=drivesdk</t>
  </si>
  <si>
    <t>Document successfully created; Document successfully merged; Run via form trigger as kemal.stafsus@gmail.com; Timestamp: Aug 5 2024 5:46 AM</t>
  </si>
  <si>
    <t>https://drive.google.com/open?id=1L_Fh5ECiK8pFIiaBRxfWxP390dBSkQjW</t>
  </si>
  <si>
    <t>https://drive.google.com/uc?export=view&amp;id=1L_Fh5ECiK8pFIiaBRxfWxP390dBSkQjW</t>
  </si>
  <si>
    <t>Safira Dinda Fitria, S. Pd</t>
  </si>
  <si>
    <t>085156502705</t>
  </si>
  <si>
    <t>3175037012990008</t>
  </si>
  <si>
    <t>Jl. Padi Raya No. 25 RT. 004/RW. 029 Kaliabang Tengah Bekasi Utara 17125</t>
  </si>
  <si>
    <t>30-12-1999</t>
  </si>
  <si>
    <t>Al Azhar Harapan Indah</t>
  </si>
  <si>
    <t xml:space="preserve">Al Azhar 13 Rawamangun </t>
  </si>
  <si>
    <t>safiradindafitria@gmail.com</t>
  </si>
  <si>
    <t>1Lmtgcy4eWQTr3PNNkHnApyeOjVxI6qg1OG5Hbo5DPzg</t>
  </si>
  <si>
    <t>https://docs.google.com/document/d/1Lmtgcy4eWQTr3PNNkHnApyeOjVxI6qg1OG5Hbo5DPzg/edit?usp=drivesdk</t>
  </si>
  <si>
    <t>Document successfully created; Document successfully merged; Run via form trigger as kemal.stafsus@gmail.com; Timestamp: Aug 6 2024 6:40 AM</t>
  </si>
  <si>
    <t>https://drive.google.com/open?id=1pJZ9wr58hnP1bbJQm-JpaN5VAE7-wJoU</t>
  </si>
  <si>
    <t>https://drive.google.com/uc?export=view&amp;id=1pJZ9wr58hnP1bbJQm-JpaN5VAE7-wJoU</t>
  </si>
  <si>
    <t>Annisa Aditiya Prawesti</t>
  </si>
  <si>
    <t>085730271850</t>
  </si>
  <si>
    <t>3520065103020001</t>
  </si>
  <si>
    <t>Taman Jatisari Permai Cluster Sqadron, Jl. Halim Perdana Kusuma 1 Blok AY 3 rt 02 rw 09, jatisari, jatiasih, bekasi</t>
  </si>
  <si>
    <t>Magetan</t>
  </si>
  <si>
    <t>11 Maret 2002</t>
  </si>
  <si>
    <t>Mengajar Al-Qur'an di Markaz Qur'an Muhammad Khoirunnas, Bekasi (selama 6 Bulan)</t>
  </si>
  <si>
    <t>tidak digaji</t>
  </si>
  <si>
    <t>sesuai ketentuan al wildan saja</t>
  </si>
  <si>
    <t>adityamagetan0@gmail.com</t>
  </si>
  <si>
    <t>17RdEf-zfuMR6gstpD0NIYGxr8dCwmiUNd5KYDDPFwes</t>
  </si>
  <si>
    <t>https://docs.google.com/document/d/17RdEf-zfuMR6gstpD0NIYGxr8dCwmiUNd5KYDDPFwes/edit?usp=drivesdk</t>
  </si>
  <si>
    <t>Document successfully created; Document successfully merged; Run via form trigger as kemal.stafsus@gmail.com; Timestamp: Aug 6 2024 8:52 AM</t>
  </si>
  <si>
    <t>https://drive.google.com/open?id=127AXpME88fRgJyGDsubT2VsLYTeSP78H</t>
  </si>
  <si>
    <t>https://drive.google.com/uc?export=view&amp;id=127AXpME88fRgJyGDsubT2VsLYTeSP78H</t>
  </si>
  <si>
    <t>Nadia Audina, S.E., MM.</t>
  </si>
  <si>
    <t>085658888876</t>
  </si>
  <si>
    <t>1803095608970003</t>
  </si>
  <si>
    <t>Jodipati RT/RW 002/001, Madukoro Baru, Kotabumi Utara, Lampung Utara, Lampung</t>
  </si>
  <si>
    <t>Kotabumi (Lampung Utara)</t>
  </si>
  <si>
    <t>16 Agustus 1997</t>
  </si>
  <si>
    <t>Ekonomi DI</t>
  </si>
  <si>
    <t>PT. Duta Kreasi Semesta (Jogja Sworn Translator) - Account Manager</t>
  </si>
  <si>
    <t>KNRP (Philanthropy Organization) - Administration Clerk</t>
  </si>
  <si>
    <t>BMT UMY - Teller</t>
  </si>
  <si>
    <t>6.000.000 - 10.000.000</t>
  </si>
  <si>
    <t>BSI a.n. Nadia Audina</t>
  </si>
  <si>
    <t>nadiaaudina16@gmail.com</t>
  </si>
  <si>
    <t>1RD0rUtr9Z01D0pFUTamj7CSibqKBSazo2WPQRtQ9YUM</t>
  </si>
  <si>
    <t>https://docs.google.com/document/d/1RD0rUtr9Z01D0pFUTamj7CSibqKBSazo2WPQRtQ9YUM/edit?usp=drivesdk</t>
  </si>
  <si>
    <t>Document successfully created; Document successfully merged; Run via form trigger as kemal.stafsus@gmail.com; Timestamp: Aug 7 2024 3:08 AM</t>
  </si>
  <si>
    <t>https://drive.google.com/open?id=1tCw_dlFqDuP09F_8QOI7KQlP9jiMrjqU</t>
  </si>
  <si>
    <t>https://drive.google.com/uc?export=view&amp;id=1tCw_dlFqDuP09F_8QOI7KQlP9jiMrjqU</t>
  </si>
  <si>
    <t>Muhammad Risqi</t>
  </si>
  <si>
    <t>085338144400</t>
  </si>
  <si>
    <t>5272032512020002</t>
  </si>
  <si>
    <t>Al-Wildan Islamic School 3 BSD, Jl. Ciater Raya, No. 48, Kel. Rawa Mekar Jaya, Serpong</t>
  </si>
  <si>
    <t>10-25-2002</t>
  </si>
  <si>
    <t xml:space="preserve"> 21 tahun, 7 bulan</t>
  </si>
  <si>
    <t>rizkyelbimawy@gmail.com</t>
  </si>
  <si>
    <t>1HIRkg_DHyMhoADDUbrRroZhrCCJpC3vCkzl8lXHw1bA</t>
  </si>
  <si>
    <t>https://docs.google.com/document/d/1HIRkg_DHyMhoADDUbrRroZhrCCJpC3vCkzl8lXHw1bA/edit?usp=drivesdk</t>
  </si>
  <si>
    <t>Document successfully created; Document successfully merged; Run via form trigger as kemal.stafsus@gmail.com; Timestamp: Aug 8 2024 1:56 AM</t>
  </si>
  <si>
    <t>https://drive.google.com/open?id=1YqccOeB1qC9lWYL6P3xhb6Qs0n13TqvT</t>
  </si>
  <si>
    <t>https://drive.google.com/uc?export=view&amp;id=1YqccOeB1qC9lWYL6P3xhb6Qs0n13TqvT</t>
  </si>
  <si>
    <t>Rahma Tika</t>
  </si>
  <si>
    <t>082172794359</t>
  </si>
  <si>
    <t>1312105802020003</t>
  </si>
  <si>
    <t>Gang swadaya Lebak bulus jakarta selatan</t>
  </si>
  <si>
    <t>Sungai talang</t>
  </si>
  <si>
    <t>18 Februari 2002</t>
  </si>
  <si>
    <t>23 Tahun</t>
  </si>
  <si>
    <t>Guru Mata Pelajaran, ITBA - GURU PPL</t>
  </si>
  <si>
    <t xml:space="preserve">
-</t>
  </si>
  <si>
    <t>tikarahma416@gmail.com</t>
  </si>
  <si>
    <t>10SaPjZdEuFBRx41GBX3DTYJKU5oj66AA1gRc_OmvQ0A</t>
  </si>
  <si>
    <t>https://docs.google.com/document/d/10SaPjZdEuFBRx41GBX3DTYJKU5oj66AA1gRc_OmvQ0A/edit?usp=drivesdk</t>
  </si>
  <si>
    <t>Document successfully created; Document successfully merged; Run via form trigger as kemal.stafsus@gmail.com; Timestamp: Aug 9 2024 2:28 AM</t>
  </si>
  <si>
    <t>https://drive.google.com/open?id=1gsndGq1TT14GIBvUH5H0Vf65TcfYGwt_</t>
  </si>
  <si>
    <t>https://drive.google.com/uc?export=view&amp;id=1gsndGq1TT14GIBvUH5H0Vf65TcfYGwt_</t>
  </si>
  <si>
    <t>H. Endang Zulkarnaen Thahir, S.E., M.M</t>
  </si>
  <si>
    <t>082114666555</t>
  </si>
  <si>
    <t>3671061303690004</t>
  </si>
  <si>
    <t>Jl. H. Thosin Kp. Dukuh RT/RW.001/006 Sudimara selatan Ciledug tangerang</t>
  </si>
  <si>
    <t>13-03-1969</t>
  </si>
  <si>
    <t>endangzulkarnaenthahir@gmail.com</t>
  </si>
  <si>
    <t>1AdynSNhvUzu7f6PWcl_qIJviZBpwA91O-H3QH8-q--Q</t>
  </si>
  <si>
    <t>https://docs.google.com/document/d/1AdynSNhvUzu7f6PWcl_qIJviZBpwA91O-H3QH8-q--Q/edit?usp=drivesdk</t>
  </si>
  <si>
    <t>Document successfully created; Document successfully merged; Run via form trigger as kemal.stafsus@gmail.com; Timestamp: Aug 9 2024 10:33 PM</t>
  </si>
  <si>
    <t>https://drive.google.com/open?id=1uU8ovrjSdE0BY28HHomILrE7Fm5c0nKm</t>
  </si>
  <si>
    <t>https://drive.google.com/uc?export=view&amp;id=1uU8ovrjSdE0BY28HHomILrE7Fm5c0nKm</t>
  </si>
  <si>
    <t>Imanisa Inner Putri, S.Pd</t>
  </si>
  <si>
    <t>089526760299</t>
  </si>
  <si>
    <t>3601124401020004</t>
  </si>
  <si>
    <t>04-01-2002</t>
  </si>
  <si>
    <t>Pengajar harian (freelance) di Bimbel GenR Learning Center</t>
  </si>
  <si>
    <t>2.100.000 (gaji disesuaikan dengan sesi mengajar)</t>
  </si>
  <si>
    <t>006524183769</t>
  </si>
  <si>
    <t>Blu BCA Digital</t>
  </si>
  <si>
    <t>imanisainnerputri0401@gmail.com</t>
  </si>
  <si>
    <t>12BjmZLgNKjYoR44IbzzTF3l5vJ5ExOW-1vglWdXffLo</t>
  </si>
  <si>
    <t>https://docs.google.com/document/d/12BjmZLgNKjYoR44IbzzTF3l5vJ5ExOW-1vglWdXffLo/edit?usp=drivesdk</t>
  </si>
  <si>
    <t>Document successfully created; Document successfully merged; Run via form trigger as kemal.stafsus@gmail.com; Timestamp: Aug 12 2024 4:17 AM</t>
  </si>
  <si>
    <t>https://drive.google.com/open?id=1ZjpTdsxoYnmhKBQPS2XwOJZ4738eHoFo</t>
  </si>
  <si>
    <t>https://drive.google.com/uc?export=view&amp;id=1ZjpTdsxoYnmhKBQPS2XwOJZ4738eHoFo</t>
  </si>
  <si>
    <t>Ardiansyah.S.S.,MM</t>
  </si>
  <si>
    <t>085219531191</t>
  </si>
  <si>
    <t>3601213009920003</t>
  </si>
  <si>
    <t>30 September 1992</t>
  </si>
  <si>
    <t>31 Tahun 11 bulan</t>
  </si>
  <si>
    <t>STIE GANESHA JAKARTA</t>
  </si>
  <si>
    <t>PRINCE'S Creative School</t>
  </si>
  <si>
    <t>Teacher Manager of DEP</t>
  </si>
  <si>
    <t>ardiansyah.pnj101@gmail.com</t>
  </si>
  <si>
    <t>173b_p-oDIfVloyV-XjpNUAHB-wjn9a6KHfy8J3GSIJw</t>
  </si>
  <si>
    <t>https://docs.google.com/document/d/173b_p-oDIfVloyV-XjpNUAHB-wjn9a6KHfy8J3GSIJw/edit?usp=drivesdk</t>
  </si>
  <si>
    <t>Document successfully created; Document successfully merged; Run via form trigger as kemal.stafsus@gmail.com; Timestamp: Aug 12 2024 9:06 AM</t>
  </si>
  <si>
    <t>https://drive.google.com/open?id=1yVih1Ke8iJSHNe0dhQ1GfJHW6T7B01a5</t>
  </si>
  <si>
    <t>https://drive.google.com/uc?export=view&amp;id=1yVih1Ke8iJSHNe0dhQ1GfJHW6T7B01a5</t>
  </si>
  <si>
    <t>Asih Inpriawati Ningtias, S.Pd</t>
  </si>
  <si>
    <t>085780103119</t>
  </si>
  <si>
    <t>3674025806970005</t>
  </si>
  <si>
    <t>Kavling Bumi Sejahtera Cibitung no.27 RT.001/013, Wanasari, Cibitung, Kab. Bekasi</t>
  </si>
  <si>
    <t>18-06-1997</t>
  </si>
  <si>
    <t xml:space="preserve">2020-2021 SDIT Al-Lauzah </t>
  </si>
  <si>
    <t>2021-2024 SMPIT Al-Lauzah</t>
  </si>
  <si>
    <t>asihinpriawatiningtias@gmail.com</t>
  </si>
  <si>
    <t>10APBydzZaPHumDeg_Xfz-lxf4DK2vqR9r30JbyBK3dw</t>
  </si>
  <si>
    <t>https://docs.google.com/document/d/10APBydzZaPHumDeg_Xfz-lxf4DK2vqR9r30JbyBK3dw/edit?usp=drivesdk</t>
  </si>
  <si>
    <t>Document successfully created; Document successfully merged; Run via form trigger as kemal.stafsus@gmail.com; Timestamp: Aug 13 2024 1:08 AM</t>
  </si>
  <si>
    <t>https://drive.google.com/open?id=1GUSIoVLGrBHQCWZOah07Qa4Z8Ecj4Rxs</t>
  </si>
  <si>
    <t>https://drive.google.com/uc?export=view&amp;id=1GUSIoVLGrBHQCWZOah07Qa4Z8Ecj4Rxs</t>
  </si>
  <si>
    <t>Aufa Hayya Qurrota A'yuni, S.Si.</t>
  </si>
  <si>
    <t>081282393455</t>
  </si>
  <si>
    <t>3201305711000002</t>
  </si>
  <si>
    <t>17-11-2000</t>
  </si>
  <si>
    <t>23 tahun 8 Bulan</t>
  </si>
  <si>
    <t>Virtual Assistant</t>
  </si>
  <si>
    <t xml:space="preserve">IPB University </t>
  </si>
  <si>
    <t>Ilmu Manajemen (on going)</t>
  </si>
  <si>
    <t>0417075258</t>
  </si>
  <si>
    <t>aufahhhyya@gmail.com</t>
  </si>
  <si>
    <t>1wyA02Kh0o0PrQwex4ockNpX7qzyYdm8vXyaf2MCeGrY</t>
  </si>
  <si>
    <t>https://docs.google.com/document/d/1wyA02Kh0o0PrQwex4ockNpX7qzyYdm8vXyaf2MCeGrY/edit?usp=drivesdk</t>
  </si>
  <si>
    <t>Document successfully created; Document successfully merged; Run via form trigger as kemal.stafsus@gmail.com; Timestamp: Aug 13 2024 2:54 AM</t>
  </si>
  <si>
    <t>https://drive.google.com/open?id=1Vd72MNdsOqxb8bLPl2I7XP7vkUqW9GeK</t>
  </si>
  <si>
    <t>https://drive.google.com/uc?export=view&amp;id=1Vd72MNdsOqxb8bLPl2I7XP7vkUqW9GeK</t>
  </si>
  <si>
    <t>Reko Sujatmiko, S.Si.</t>
  </si>
  <si>
    <t>081298023219</t>
  </si>
  <si>
    <t>3201272206840002</t>
  </si>
  <si>
    <t>Perum Imanan Residence Blok H3 No. 20, Desa Serang, Cikarang Selatan, Kab. Bekasi</t>
  </si>
  <si>
    <t>Tanah Laut</t>
  </si>
  <si>
    <t>22-06-1984</t>
  </si>
  <si>
    <t>40 tahun 2 bulan</t>
  </si>
  <si>
    <t>Guru Kimia SMA IIBS (Juli 2008 - Juli 2024)</t>
  </si>
  <si>
    <t>rekosujatmiko@gmail.com</t>
  </si>
  <si>
    <t>1GZIBSub3yH6wQMRdKKisKatvKGR0wIJQq0PvF4ijfq8</t>
  </si>
  <si>
    <t>https://docs.google.com/document/d/1GZIBSub3yH6wQMRdKKisKatvKGR0wIJQq0PvF4ijfq8/edit?usp=drivesdk</t>
  </si>
  <si>
    <t>Document successfully created; Document successfully merged; Run via form trigger as kemal.stafsus@gmail.com; Timestamp: Aug 16 2024 4:52 AM</t>
  </si>
  <si>
    <t>https://drive.google.com/open?id=1Es9ilKlyaIZfqa_AZ5FnV1VeTR8kbVCd</t>
  </si>
  <si>
    <t>https://drive.google.com/uc?export=view&amp;id=1Es9ilKlyaIZfqa_AZ5FnV1VeTR8kbVCd</t>
  </si>
  <si>
    <t>Khairah Ukhtiyani, M.Pd.,Gr.</t>
  </si>
  <si>
    <t>089676311974</t>
  </si>
  <si>
    <t>1601145604960006</t>
  </si>
  <si>
    <t>Perumahan Residence Blok A7 No.10</t>
  </si>
  <si>
    <t>28 thn 4 bln</t>
  </si>
  <si>
    <t xml:space="preserve">Universitas Sriwijaya </t>
  </si>
  <si>
    <t xml:space="preserve">Pendidikan Ekonomi </t>
  </si>
  <si>
    <t xml:space="preserve">Pendidikan ekonomi </t>
  </si>
  <si>
    <t xml:space="preserve">PT. Ruang Raya Indonesia, Guru Ekonomi </t>
  </si>
  <si>
    <t xml:space="preserve">PT. Ganesha Operation, Guru Ekonomi </t>
  </si>
  <si>
    <t>khairahukhtiyani19@gmail.com</t>
  </si>
  <si>
    <t>1-TVBFrqHQtp1uT2hcgH07b2rVBQDaFTwAver0ladqRY</t>
  </si>
  <si>
    <t>https://docs.google.com/document/d/1-TVBFrqHQtp1uT2hcgH07b2rVBQDaFTwAver0ladqRY/edit?usp=drivesdk</t>
  </si>
  <si>
    <t>Document successfully created; Document successfully merged; Run via form trigger as kemal.stafsus@gmail.com; Timestamp: Aug 16 2024 5:10 AM</t>
  </si>
  <si>
    <t>https://drive.google.com/open?id=1Tjh7F--kJ1yHQrXiBBbGlF6mrJkvh_I4</t>
  </si>
  <si>
    <t>https://drive.google.com/uc?export=view&amp;id=1Tjh7F--kJ1yHQrXiBBbGlF6mrJkvh_I4</t>
  </si>
  <si>
    <t>Anggita Putri Cahyaningtyas, S.Pd</t>
  </si>
  <si>
    <t>081316961053</t>
  </si>
  <si>
    <t>3275035206990018</t>
  </si>
  <si>
    <t>Jl. Swadaya 4 No.29, RT.04/24, Kelurahan Kaliabang Tengah, Kecamatan Bekasi Utara, Kota Bekasi</t>
  </si>
  <si>
    <t xml:space="preserve">Kota Bekasi </t>
  </si>
  <si>
    <t>12-06-1999</t>
  </si>
  <si>
    <t xml:space="preserve">Matematika, English, Science </t>
  </si>
  <si>
    <t>Al Wildan Islamic School 2 Bekasi</t>
  </si>
  <si>
    <t xml:space="preserve">biMBA AIUEO InterViO </t>
  </si>
  <si>
    <t>anggitaputri1999@gmail.com</t>
  </si>
  <si>
    <t>1MHO49-FSyTHQtfZCF9oN7Y7HvTgzHLcu3bjNcNkGN8M</t>
  </si>
  <si>
    <t>https://docs.google.com/document/d/1MHO49-FSyTHQtfZCF9oN7Y7HvTgzHLcu3bjNcNkGN8M/edit?usp=drivesdk</t>
  </si>
  <si>
    <t>Document successfully created; Document successfully merged; Run via form trigger as kemal.stafsus@gmail.com; Timestamp: Aug 16 2024 5:14 AM</t>
  </si>
  <si>
    <t>https://drive.google.com/open?id=1IA8_ZNmkde-M5LJgg7g0UwKbHh2n8VRs</t>
  </si>
  <si>
    <t>https://drive.google.com/uc?export=view&amp;id=1IA8_ZNmkde-M5LJgg7g0UwKbHh2n8VRs</t>
  </si>
  <si>
    <t xml:space="preserve">Muhammad Ammar Mushawwir </t>
  </si>
  <si>
    <t>081313036665</t>
  </si>
  <si>
    <t>7371120908980001</t>
  </si>
  <si>
    <t xml:space="preserve">Villa Bata Merah, Jl. Cidokom 52, Citeko, Cisarua,  Kab. Bogor. </t>
  </si>
  <si>
    <t>09-08-1998</t>
  </si>
  <si>
    <t>26 Tahun, 1 Bulan</t>
  </si>
  <si>
    <t xml:space="preserve">Al-Qur’an </t>
  </si>
  <si>
    <t xml:space="preserve">- Musyrif </t>
  </si>
  <si>
    <t xml:space="preserve">Guru Al-Quran dan Tajwid 
Desainer Grafis </t>
  </si>
  <si>
    <t>ammarmushawwir01@gmail.com</t>
  </si>
  <si>
    <t>1atSHEE1mTGHa7IRLgiBuT3n-PS-vMZd_xqkOG1ELm5I</t>
  </si>
  <si>
    <t>https://docs.google.com/document/d/1atSHEE1mTGHa7IRLgiBuT3n-PS-vMZd_xqkOG1ELm5I/edit?usp=drivesdk</t>
  </si>
  <si>
    <t>Document successfully created; Document successfully merged; Run via form trigger as kemal.stafsus@gmail.com; Timestamp: Aug 16 2024 11:50 PM</t>
  </si>
  <si>
    <t>https://drive.google.com/open?id=1T0K3Hf_xwoquqeYwz8LfTmrisqEGLbYR</t>
  </si>
  <si>
    <t>https://drive.google.com/uc?export=view&amp;id=1T0K3Hf_xwoquqeYwz8LfTmrisqEGLbYR</t>
  </si>
  <si>
    <t>Aprianto Soni, M.Pd</t>
  </si>
  <si>
    <t>082378784535</t>
  </si>
  <si>
    <t>1703150806880001</t>
  </si>
  <si>
    <t>Gang Manunggal 3, No. 01, Rt. 08 Rw. O7 Kel. Duren 3, Kec. 
Pancoran Jakarta Selatan</t>
  </si>
  <si>
    <t>Kabupaten Bengkulu Utara</t>
  </si>
  <si>
    <t>14 Januari 1988</t>
  </si>
  <si>
    <t xml:space="preserve">36 tahun 8 Bulan </t>
  </si>
  <si>
    <t>Geografi dan Ekonomi</t>
  </si>
  <si>
    <t xml:space="preserve">PTS (Strata-1)-Prof. Dr. Hazairin, S.H </t>
  </si>
  <si>
    <t xml:space="preserve">PTN (Strata-2)- Universitas Pendidikan Indonesia </t>
  </si>
  <si>
    <t xml:space="preserve">Dosen universitas amal ilmiah yapis wamena </t>
  </si>
  <si>
    <t>Rp. 7.600.000</t>
  </si>
  <si>
    <t>aprianto1488@gmail.com</t>
  </si>
  <si>
    <t>18ZW1AEFy_15Ek0wGFP5sCElU5pr7ww8vYtcYjIZM7dc</t>
  </si>
  <si>
    <t>https://docs.google.com/document/d/18ZW1AEFy_15Ek0wGFP5sCElU5pr7ww8vYtcYjIZM7dc/edit?usp=drivesdk</t>
  </si>
  <si>
    <t>Document successfully created; Document successfully merged; Run via form trigger as kemal.stafsus@gmail.com; Timestamp: Aug 19 2024 12:05 AM</t>
  </si>
  <si>
    <t>https://drive.google.com/open?id=1sJs-Sug62NUK0jO3MiLTQCtEU3gjXpV7</t>
  </si>
  <si>
    <t>https://drive.google.com/uc?export=view&amp;id=1sJs-Sug62NUK0jO3MiLTQCtEU3gjXpV7</t>
  </si>
  <si>
    <t>Mutiara Nari Putri, S.Pd</t>
  </si>
  <si>
    <t>085786637035</t>
  </si>
  <si>
    <t>1811056901010007</t>
  </si>
  <si>
    <t xml:space="preserve">Mesuji, Lampung </t>
  </si>
  <si>
    <t xml:space="preserve">Kebumen </t>
  </si>
  <si>
    <t>29 Januari 2001</t>
  </si>
  <si>
    <t xml:space="preserve">23 tahun 7 bulan </t>
  </si>
  <si>
    <t xml:space="preserve">STIT MADANI YOGYAKARTA </t>
  </si>
  <si>
    <t xml:space="preserve">Musyrifah dan pengajar </t>
  </si>
  <si>
    <t xml:space="preserve">Bank Syariah Indonesia a.n Muttiara nari putri </t>
  </si>
  <si>
    <t>tiaranariputri@gmail.com</t>
  </si>
  <si>
    <t>1jdFKd96Isu6QDxa_F4ZAtIRUfZQHLgzI3n18KWzxqVQ</t>
  </si>
  <si>
    <t>https://docs.google.com/document/d/1jdFKd96Isu6QDxa_F4ZAtIRUfZQHLgzI3n18KWzxqVQ/edit?usp=drivesdk</t>
  </si>
  <si>
    <t>Document successfully created; Document successfully merged; Run via form trigger as kemal.stafsus@gmail.com; Timestamp: Aug 21 2024 6:08 AM</t>
  </si>
  <si>
    <t>https://drive.google.com/open?id=1tiAe8uGiFerXd9UMWzvP7OLSc4L_w5CZ</t>
  </si>
  <si>
    <t>https://drive.google.com/uc?export=view&amp;id=1tiAe8uGiFerXd9UMWzvP7OLSc4L_w5CZ</t>
  </si>
  <si>
    <t>085896217636</t>
  </si>
  <si>
    <t>Bekasi Timur</t>
  </si>
  <si>
    <t>Fisika, Kimia, Math</t>
  </si>
  <si>
    <t>1vFkR0-W5EqraxkOKrDUqDsRD6AcX861bJ_S1Y05x78E</t>
  </si>
  <si>
    <t>https://docs.google.com/document/d/1vFkR0-W5EqraxkOKrDUqDsRD6AcX861bJ_S1Y05x78E/edit?usp=drivesdk</t>
  </si>
  <si>
    <t>Document successfully created; Document successfully merged; Run via form trigger as kemal.stafsus@gmail.com; Timestamp: Aug 25 2024 9:30 PM</t>
  </si>
  <si>
    <t>https://drive.google.com/open?id=1gtBkbRXAUl0vtE6kgT2UmCrePzu6aEvm</t>
  </si>
  <si>
    <t>https://drive.google.com/uc?export=view&amp;id=1gtBkbRXAUl0vtE6kgT2UmCrePzu6aEvm</t>
  </si>
  <si>
    <t>Shafiya Fadhila,S.Pd.</t>
  </si>
  <si>
    <t>Jl.KH Agus Salim, Gg. Al-Kautsar No.1 RT 01/RW07 Kecamatan Bekasi Timur, Kelurahan Bekasi Jaya. Kota Bekasi</t>
  </si>
  <si>
    <t>7 Februari 2000</t>
  </si>
  <si>
    <t xml:space="preserve">Universitas Singaperbangsa Karawang </t>
  </si>
  <si>
    <t>1V-PHfoQsNdssjwQhpnUtbF_4ssfm-djSj2rCgQbxJhc</t>
  </si>
  <si>
    <t>https://docs.google.com/document/d/1V-PHfoQsNdssjwQhpnUtbF_4ssfm-djSj2rCgQbxJhc/edit?usp=drivesdk</t>
  </si>
  <si>
    <t>Document successfully created; Document successfully merged; Run via form trigger as kemal.stafsus@gmail.com; Timestamp: Aug 25 2024 9:40 PM</t>
  </si>
  <si>
    <t>https://drive.google.com/open?id=1j1iSu-aJQvD7xYd2YmaBJIuj4C0WYZ1P</t>
  </si>
  <si>
    <t>https://drive.google.com/uc?export=view&amp;id=1j1iSu-aJQvD7xYd2YmaBJIuj4C0WYZ1P</t>
  </si>
  <si>
    <t>Agung Mulyana, S.Pd</t>
  </si>
  <si>
    <t>081585782220</t>
  </si>
  <si>
    <t>3201402006980002</t>
  </si>
  <si>
    <t>Kp. Pasir RT/RW 003/005 Ds Gunung mulya Kec. Tenjolaya Kab. Bogor</t>
  </si>
  <si>
    <t>20-06-1999</t>
  </si>
  <si>
    <t xml:space="preserve">Institut Ummul Quro Al-Islami </t>
  </si>
  <si>
    <t xml:space="preserve">Bimbingan dan konseling islam </t>
  </si>
  <si>
    <t xml:space="preserve">Tata usaha </t>
  </si>
  <si>
    <t>agungmulyanasaputra@gmail.com</t>
  </si>
  <si>
    <t>1vjf4pPJ_hSP6eHk4vLAIQhZD4A-GQr7n9SmbpVDCW2k</t>
  </si>
  <si>
    <t>https://docs.google.com/document/d/1vjf4pPJ_hSP6eHk4vLAIQhZD4A-GQr7n9SmbpVDCW2k/edit?usp=drivesdk</t>
  </si>
  <si>
    <t>Document successfully created; Document successfully merged; Run via form trigger as kemal.stafsus@gmail.com; Timestamp: Aug 26 2024 4:33 AM</t>
  </si>
  <si>
    <t>https://drive.google.com/open?id=1jefmHCpUtN3u_9ywWQ81hyT1eK4bL66d</t>
  </si>
  <si>
    <t>https://drive.google.com/uc?export=view&amp;id=1jefmHCpUtN3u_9ywWQ81hyT1eK4bL66d</t>
  </si>
  <si>
    <t>Nisrina Assajida S.M</t>
  </si>
  <si>
    <t>08972909838</t>
  </si>
  <si>
    <t>1771024703020012</t>
  </si>
  <si>
    <t>Perumahan Taman Elang, Jalan Elang Laut,blok R, RT.03 RW.16 Kel.Periuk Tangerang Kota Tangerang</t>
  </si>
  <si>
    <t>07-03-2002</t>
  </si>
  <si>
    <t>22 Tahun 5 Bulan</t>
  </si>
  <si>
    <t>Staff Administrasi - PT. Emas Optimasi Abadi Cabang Bengkulu</t>
  </si>
  <si>
    <t>Anggota KPPS</t>
  </si>
  <si>
    <t>Karyawan Toko Baju – Ummi Hijab Collection</t>
  </si>
  <si>
    <t>ninanisrina47@gmail.com</t>
  </si>
  <si>
    <t>1e3d8NaFXroNWSaAHzBkqrddyg4_kvzmrvxKJYgJ_dto</t>
  </si>
  <si>
    <t>https://docs.google.com/document/d/1e3d8NaFXroNWSaAHzBkqrddyg4_kvzmrvxKJYgJ_dto/edit?usp=drivesdk</t>
  </si>
  <si>
    <t>Document successfully created; Document successfully merged; Run via form trigger as kemal.stafsus@gmail.com; Timestamp: Aug 26 2024 5:05 AM</t>
  </si>
  <si>
    <t>https://drive.google.com/open?id=1o-EptD6TWse4l75ofkONnx2shX5vuNf-</t>
  </si>
  <si>
    <t>https://drive.google.com/uc?export=view&amp;id=1o-EptD6TWse4l75ofkONnx2shX5vuNf-</t>
  </si>
  <si>
    <t xml:space="preserve">25 tahun 2 bulan </t>
  </si>
  <si>
    <t xml:space="preserve">Institut Ummul Quro Al islami </t>
  </si>
  <si>
    <t>1e3LNFPs6jMZJla6rPab63oxteqmhrduF6ntkpff2JBQ</t>
  </si>
  <si>
    <t>https://docs.google.com/document/d/1e3LNFPs6jMZJla6rPab63oxteqmhrduF6ntkpff2JBQ/edit?usp=drivesdk</t>
  </si>
  <si>
    <t>Document successfully created; Document successfully merged; Run via form trigger as kemal.stafsus@gmail.com; Timestamp: Aug 26 2024 5:16 AM</t>
  </si>
  <si>
    <t>https://drive.google.com/open?id=1Jalykuj9UfLiJDye43vuEX1YbSljgYN7</t>
  </si>
  <si>
    <t>https://drive.google.com/uc?export=view&amp;id=1Jalykuj9UfLiJDye43vuEX1YbSljgYN7</t>
  </si>
  <si>
    <t xml:space="preserve">Yulianto Tri Rudiat </t>
  </si>
  <si>
    <t>085774796441</t>
  </si>
  <si>
    <t>3276031607030003</t>
  </si>
  <si>
    <t>12-07-2003</t>
  </si>
  <si>
    <t xml:space="preserve">21 tahun 1 bulan </t>
  </si>
  <si>
    <t xml:space="preserve">Musyrif (pondok pesantren Hidayatullah Depok 2023-2024)
</t>
  </si>
  <si>
    <t>Muhafidz (Rumah Qur'an sanabil 2022 - 2021)</t>
  </si>
  <si>
    <t>yuliantotri700@gmail.com</t>
  </si>
  <si>
    <t>1BX11KwmJiHqHgVFRXeqQulx5CEipXlf0Hn6UDNBsT8w</t>
  </si>
  <si>
    <t>https://docs.google.com/document/d/1BX11KwmJiHqHgVFRXeqQulx5CEipXlf0Hn6UDNBsT8w/edit?usp=drivesdk</t>
  </si>
  <si>
    <t>Document successfully created; Document successfully merged; Run via form trigger as kemal.stafsus@gmail.com; Timestamp: Aug 26 2024 5:45 AM</t>
  </si>
  <si>
    <t>https://drive.google.com/open?id=1lDv7M6bJHm6Rjbwhjlpg1saPIeRjnfbY</t>
  </si>
  <si>
    <t>https://drive.google.com/uc?export=view&amp;id=1lDv7M6bJHm6Rjbwhjlpg1saPIeRjnfbY</t>
  </si>
  <si>
    <t>Siti Fauziyah Harnum, S.Pd</t>
  </si>
  <si>
    <t>085156316940</t>
  </si>
  <si>
    <t>3216065311010018</t>
  </si>
  <si>
    <t>Metland Tambun Blok Q3/12, Tambun, Tambun Selatan, Kab.Bekasi, Jawa Barat</t>
  </si>
  <si>
    <t>13-11-2001</t>
  </si>
  <si>
    <t>22 9Bulan</t>
  </si>
  <si>
    <t>Pendidikan Guru MI</t>
  </si>
  <si>
    <t>Mengajar Private</t>
  </si>
  <si>
    <t>Rp.1.200.000,-</t>
  </si>
  <si>
    <t>TPQ Abaca</t>
  </si>
  <si>
    <t>Rp.400.000,-</t>
  </si>
  <si>
    <t>Rp.3.000.000,-</t>
  </si>
  <si>
    <t>sitifauziahharnum@gmail.com</t>
  </si>
  <si>
    <t>1_WRzKzuJRxC_-oj9Q1jDV6zyZTIqIhonGRLMNRzvf6E</t>
  </si>
  <si>
    <t>https://docs.google.com/document/d/1_WRzKzuJRxC_-oj9Q1jDV6zyZTIqIhonGRLMNRzvf6E/edit?usp=drivesdk</t>
  </si>
  <si>
    <t>Document successfully created; Document successfully merged; Run via form trigger as kemal.stafsus@gmail.com; Timestamp: Aug 26 2024 5:57 AM</t>
  </si>
  <si>
    <t>https://drive.google.com/open?id=1l7wi9r6Ny8BTGS1xsf0bakKkaC0sMUbh</t>
  </si>
  <si>
    <t>https://drive.google.com/uc?export=view&amp;id=1l7wi9r6Ny8BTGS1xsf0bakKkaC0sMUbh</t>
  </si>
  <si>
    <t>Muhammad Helmi, B.A</t>
  </si>
  <si>
    <t>085728114425</t>
  </si>
  <si>
    <t>3372051407950002</t>
  </si>
  <si>
    <t>Bojong nangka, Kelapa dua, Tangerang</t>
  </si>
  <si>
    <t>Pangkalan kerinci</t>
  </si>
  <si>
    <t>14-07-1995</t>
  </si>
  <si>
    <t>Bahasa Arab atau materi diniyah</t>
  </si>
  <si>
    <t>Mengajar di Sekolah Remaja Muslim via online</t>
  </si>
  <si>
    <t>PJ Umroh &amp; Haji Travel Golden Jannah</t>
  </si>
  <si>
    <t>0410010250</t>
  </si>
  <si>
    <t>BCA Syariah</t>
  </si>
  <si>
    <t>helmyyahya3@gmail.com</t>
  </si>
  <si>
    <t>13NMHNmbZlNSnTg1qA6A7wVbcc0Y-Necf21CCUlYKtjA</t>
  </si>
  <si>
    <t>https://docs.google.com/document/d/13NMHNmbZlNSnTg1qA6A7wVbcc0Y-Necf21CCUlYKtjA/edit?usp=drivesdk</t>
  </si>
  <si>
    <t>Document successfully created; Document successfully merged; Run via form trigger as kemal.stafsus@gmail.com; Timestamp: Aug 26 2024 10:51 PM</t>
  </si>
  <si>
    <t>https://drive.google.com/open?id=1kJKYqwHJIBF-nJEIi9JG5EyAMQY-Gn0n</t>
  </si>
  <si>
    <t>https://drive.google.com/uc?export=view&amp;id=1kJKYqwHJIBF-nJEIi9JG5EyAMQY-Gn0n</t>
  </si>
  <si>
    <t>Viedy Dimas Aditya, S.Si., M.Pd.</t>
  </si>
  <si>
    <t>081224222382</t>
  </si>
  <si>
    <t>NIK.1871112006820005 / No.Paspor. E5103840</t>
  </si>
  <si>
    <t>Palm 3 Residence Blok D7, Jl.Raya Arco Gg.H.Kain, RT.003/RW.001, Citayam, Tajurhalang, Kab. Bogor</t>
  </si>
  <si>
    <t>20-06-1982</t>
  </si>
  <si>
    <t>42 Tahun 2 Bulan</t>
  </si>
  <si>
    <t>2.46</t>
  </si>
  <si>
    <t>PT Lantabur Indonesia, Manager Human Capital</t>
  </si>
  <si>
    <t>PT Bina Masyarakat Madani Indonesia Afiliasi Al Wafi IBS, Manager Training dan HR</t>
  </si>
  <si>
    <t>Fitrah Islamic World Academy (FIWA), Principal JHS and Cambridge Teacher</t>
  </si>
  <si>
    <t>viedyaditya@gmail.com</t>
  </si>
  <si>
    <t>1MxCteZOpHLqOhZAmKG5yBNXoLrq_7azMgAnOgP6OnR4</t>
  </si>
  <si>
    <t>https://docs.google.com/document/d/1MxCteZOpHLqOhZAmKG5yBNXoLrq_7azMgAnOgP6OnR4/edit?usp=drivesdk</t>
  </si>
  <si>
    <t>Document successfully created; Document successfully merged; Run via form trigger as kemal.stafsus@gmail.com; Timestamp: Aug 27 2024 12:00 AM</t>
  </si>
  <si>
    <t>https://drive.google.com/open?id=1SJILhE-Ztp01NX01y5AA5YPlV0Nfzmxo</t>
  </si>
  <si>
    <t>https://drive.google.com/uc?export=view&amp;id=1SJILhE-Ztp01NX01y5AA5YPlV0Nfzmxo</t>
  </si>
  <si>
    <t>Hajid Mirza Ma'Riefat ( musyrif)</t>
  </si>
  <si>
    <t>085161996973</t>
  </si>
  <si>
    <t>3201070804030008</t>
  </si>
  <si>
    <t>Alwildan Islamic school 3 bsd</t>
  </si>
  <si>
    <t>08-04-2003</t>
  </si>
  <si>
    <t>21 tahun bulan April</t>
  </si>
  <si>
    <t>Lembaga ilmu pengetahuan Islam dan arab ( Lipia )</t>
  </si>
  <si>
    <t xml:space="preserve">karyawan tas batik klasik </t>
  </si>
  <si>
    <t>005062938292</t>
  </si>
  <si>
    <t>Bank Bca digital ( blu )</t>
  </si>
  <si>
    <t>hajidriefat@gmail.com</t>
  </si>
  <si>
    <t>1hab55rnHOehafb9D64T1iRePRYpBFXsKKFXG9LcjoYk</t>
  </si>
  <si>
    <t>https://docs.google.com/document/d/1hab55rnHOehafb9D64T1iRePRYpBFXsKKFXG9LcjoYk/edit?usp=drivesdk</t>
  </si>
  <si>
    <t>Document successfully created; Document successfully merged; Run via form trigger as kemal.stafsus@gmail.com; Timestamp: Aug 28 2024 9:27 AM</t>
  </si>
  <si>
    <t>https://drive.google.com/open?id=1C6JM1rgdm2oKWB2Se86jDrroj7xjC6aQ</t>
  </si>
  <si>
    <t>https://drive.google.com/uc?export=view&amp;id=1C6JM1rgdm2oKWB2Se86jDrroj7xjC6aQ</t>
  </si>
  <si>
    <t>Riska Dwi Lestari, S.Pd.</t>
  </si>
  <si>
    <t>081318673715</t>
  </si>
  <si>
    <t>3175075611001002</t>
  </si>
  <si>
    <t>Jalan Bojong Indah No. 32A Rt.005 Rw.006, Kelurahan Pondok Kelapa, Kecamatan Duren Sawit. Jakarta Timur</t>
  </si>
  <si>
    <t>Blora</t>
  </si>
  <si>
    <t>16-11-2000</t>
  </si>
  <si>
    <t>Physical Education</t>
  </si>
  <si>
    <t>Mengajar di SMK Adi Luhur selama 1 Tahun</t>
  </si>
  <si>
    <t>riskadlstr16@gmail.com</t>
  </si>
  <si>
    <t>1EibVJRlDBVmVmCeMZLI9svd9d8enJFwadkr77zXEoGc</t>
  </si>
  <si>
    <t>https://docs.google.com/document/d/1EibVJRlDBVmVmCeMZLI9svd9d8enJFwadkr77zXEoGc/edit?usp=drivesdk</t>
  </si>
  <si>
    <t>Document successfully created; Document successfully merged; Run via form trigger as kemal.stafsus@gmail.com; Timestamp: Sep 5 2024 6:42 AM</t>
  </si>
  <si>
    <t>https://drive.google.com/open?id=1s7Jnb4fIJ48wTaPxb322-_pkfv25HQMG</t>
  </si>
  <si>
    <t>https://drive.google.com/uc?export=view&amp;id=1s7Jnb4fIJ48wTaPxb322-_pkfv25HQMG</t>
  </si>
  <si>
    <t>Yanda Yusup, S.Pd.</t>
  </si>
  <si>
    <t>08551278693</t>
  </si>
  <si>
    <t>3201172801010003</t>
  </si>
  <si>
    <t>Kp. Madrasah, Rt 04/06 Desa Gunung Sari Kecamatan Pamijahan Kab. Bogor</t>
  </si>
  <si>
    <t>28-Januari-2001</t>
  </si>
  <si>
    <t xml:space="preserve">Institut Ummul Quro Al-Islami Bogor </t>
  </si>
  <si>
    <t xml:space="preserve">Biro Sekretariat Rektorat dan Kerja Sama </t>
  </si>
  <si>
    <t xml:space="preserve">PT Aku Pintar Indonesia </t>
  </si>
  <si>
    <t xml:space="preserve">Pembimbing Asrama </t>
  </si>
  <si>
    <t>yandayusuf75@gmail.com</t>
  </si>
  <si>
    <t>1sPZgI8w_a1evIws_kahSZFYHaQBal9riFScXFlPQ0-I</t>
  </si>
  <si>
    <t>https://docs.google.com/document/d/1sPZgI8w_a1evIws_kahSZFYHaQBal9riFScXFlPQ0-I/edit?usp=drivesdk</t>
  </si>
  <si>
    <t>Document successfully created; Document successfully merged; Run via form trigger as kemal.stafsus@gmail.com; Timestamp: Sep 5 2024 11:10 AM</t>
  </si>
  <si>
    <t>https://drive.google.com/open?id=1c1G2GHqW1pXrsOfBJj7qDTyaE8UbzQpc</t>
  </si>
  <si>
    <t>https://drive.google.com/uc?export=view&amp;id=1c1G2GHqW1pXrsOfBJj7qDTyaE8UbzQpc</t>
  </si>
  <si>
    <t>Uswatun Hasanah lubis</t>
  </si>
  <si>
    <t>089530476507</t>
  </si>
  <si>
    <t>1274046308970004</t>
  </si>
  <si>
    <t>tanjungbalai, sumatera utara</t>
  </si>
  <si>
    <t>tanjungbalai</t>
  </si>
  <si>
    <t>23 agustus 1997</t>
  </si>
  <si>
    <t>Alquran dan musyrifah</t>
  </si>
  <si>
    <t>masih on going</t>
  </si>
  <si>
    <t>PGMI</t>
  </si>
  <si>
    <t>guru tahfiz dan musyrifah</t>
  </si>
  <si>
    <t>uswatun97hasanah23@gmail.com</t>
  </si>
  <si>
    <t>1pJOaa2SFEmrnvjhKJmjStljFNIiVvdnH3xwcad0kYV8</t>
  </si>
  <si>
    <t>https://docs.google.com/document/d/1pJOaa2SFEmrnvjhKJmjStljFNIiVvdnH3xwcad0kYV8/edit?usp=drivesdk</t>
  </si>
  <si>
    <t>Document successfully created; Document successfully merged; Run via form trigger as kemal.stafsus@gmail.com; Timestamp: Sep 17 2024 1:17 PM</t>
  </si>
  <si>
    <t>https://drive.google.com/open?id=1xk2wjcxxeb_ANEMkrZhbJU2LDzmDeVSv</t>
  </si>
  <si>
    <t>https://drive.google.com/uc?export=view&amp;id=1xk2wjcxxeb_ANEMkrZhbJU2LDzmDeVSv</t>
  </si>
  <si>
    <t>Nur Wahyuni Ranjamay, S.Pd.</t>
  </si>
  <si>
    <t>08889751979</t>
  </si>
  <si>
    <t>3603134901020001</t>
  </si>
  <si>
    <t>Jl. Tanjung Pasir Rt 003/001 Kec. Teluknaga. Kab. Tangerang-Banten</t>
  </si>
  <si>
    <t>09-01-2002</t>
  </si>
  <si>
    <t xml:space="preserve">Universitas Muhammadiyah Tangerang </t>
  </si>
  <si>
    <t xml:space="preserve">Guru Les </t>
  </si>
  <si>
    <t>nurwahyuniranjamay01@gmail.com</t>
  </si>
  <si>
    <t>1-J8abfMjIIKzNw-mNfMojGM-E0-gLVtGiW_kB-rJHFI</t>
  </si>
  <si>
    <t>https://docs.google.com/document/d/1-J8abfMjIIKzNw-mNfMojGM-E0-gLVtGiW_kB-rJHFI/edit?usp=drivesdk</t>
  </si>
  <si>
    <t>Document successfully created; Document successfully merged; Run via form trigger as kemal.stafsus@gmail.com; Timestamp: Sep 17 2024 10:45 PM</t>
  </si>
  <si>
    <t>https://drive.google.com/open?id=13vHCu--uuieRpPQmuZaI_9CXatkzajep</t>
  </si>
  <si>
    <t>https://drive.google.com/uc?export=view&amp;id=13vHCu--uuieRpPQmuZaI_9CXatkzajep</t>
  </si>
  <si>
    <t>Rizky Dita Sari, S.Sos</t>
  </si>
  <si>
    <t>086775143872</t>
  </si>
  <si>
    <t>Kp. Pintu Kapuk RT/RW 035/015 Ds. Bojong Renged Kec. Teluknaga Kab. Tangerang Banten</t>
  </si>
  <si>
    <t>10-12-1999</t>
  </si>
  <si>
    <t>Mata Pelajaran Tematik</t>
  </si>
  <si>
    <t>Strata-1 UIN Sultan Maulana Hasanuddin Banten</t>
  </si>
  <si>
    <t>Guru SMK Karya Bangsa</t>
  </si>
  <si>
    <t>Bawaslu Kecamatan</t>
  </si>
  <si>
    <t>Bumdes Teluknaga</t>
  </si>
  <si>
    <t>1gisYu0uovhJZaIc4NjOGCn9VHyM6i339aTAJvgzgDdY</t>
  </si>
  <si>
    <t>https://docs.google.com/document/d/1gisYu0uovhJZaIc4NjOGCn9VHyM6i339aTAJvgzgDdY/edit?usp=drivesdk</t>
  </si>
  <si>
    <t>Document successfully created; Document successfully merged; Run via form trigger as kemal.stafsus@gmail.com; Timestamp: Sep 19 2024 2:15 AM</t>
  </si>
  <si>
    <t>https://drive.google.com/open?id=15CHP9HkkltAc8ch1663Cx-i20Rv_Is8g</t>
  </si>
  <si>
    <t>https://drive.google.com/uc?export=view&amp;id=15CHP9HkkltAc8ch1663Cx-i20Rv_Is8g</t>
  </si>
  <si>
    <t xml:space="preserve">Sayidah Izza Nafsi </t>
  </si>
  <si>
    <t>083853338769</t>
  </si>
  <si>
    <t>3271055710020015</t>
  </si>
  <si>
    <t>Vila Bogor Indah Blok G1/14 RT 005 RW 012 Kelurahan Ciparigi Kecamatan Bogor Utara Kota Bogor Jawa Barat 16157</t>
  </si>
  <si>
    <t>17-10-2002</t>
  </si>
  <si>
    <t xml:space="preserve">Musyrifah dan Guru Tahfizh Athfal </t>
  </si>
  <si>
    <t xml:space="preserve">Guru Tahfizh dan TPA, Admin Keuangan Arabic Club </t>
  </si>
  <si>
    <t>sayidahizzanafsi2@gmail.com</t>
  </si>
  <si>
    <t>1b68lKnhg5HUt6ZYw2fmnSXxK_IaADeEPDOUHOx-YCl4</t>
  </si>
  <si>
    <t>https://docs.google.com/document/d/1b68lKnhg5HUt6ZYw2fmnSXxK_IaADeEPDOUHOx-YCl4/edit?usp=drivesdk</t>
  </si>
  <si>
    <t>Document successfully created; Document successfully merged; Run via form trigger as kemal.stafsus@gmail.com; Timestamp: Sep 21 2024 3:30 AM</t>
  </si>
  <si>
    <t>https://drive.google.com/open?id=1Sb9rlyBstDVYdrnZEtKFN0I8H9sK-hsv</t>
  </si>
  <si>
    <t>https://drive.google.com/uc?export=view&amp;id=1Sb9rlyBstDVYdrnZEtKFN0I8H9sK-hsv</t>
  </si>
  <si>
    <t>Sindy Oktaviani, S.Pd</t>
  </si>
  <si>
    <t>081224273616</t>
  </si>
  <si>
    <t>3205235310020002</t>
  </si>
  <si>
    <t>Garut Kota</t>
  </si>
  <si>
    <t>13 Oktober 2002</t>
  </si>
  <si>
    <t>S1 PGSD Pendidikan Jasmani</t>
  </si>
  <si>
    <t>Guru SDN Wangunjaya 1</t>
  </si>
  <si>
    <t>1.400.000.00</t>
  </si>
  <si>
    <t>Pelatih Renang</t>
  </si>
  <si>
    <t>3.000.000.00</t>
  </si>
  <si>
    <t>4.500.000.00 - 5.000.000.00</t>
  </si>
  <si>
    <t>sindyoktaviannnnn@gmail.com</t>
  </si>
  <si>
    <t>1vMGeoym2ZYN0zV7liqUFAaTrEe3A9aPJl2qA7E7KGz0</t>
  </si>
  <si>
    <t>https://docs.google.com/document/d/1vMGeoym2ZYN0zV7liqUFAaTrEe3A9aPJl2qA7E7KGz0/edit?usp=drivesdk</t>
  </si>
  <si>
    <t>Document successfully created; Document successfully merged; Run via form trigger as kemal.stafsus@gmail.com; Timestamp: Sep 24 2024 12:46 AM</t>
  </si>
  <si>
    <t>https://drive.google.com/open?id=1gmKqTnoGOADTTTiOR12fmzbStCMJyoj0</t>
  </si>
  <si>
    <t>https://drive.google.com/uc?export=view&amp;id=1gmKqTnoGOADTTTiOR12fmzbStCMJyoj0</t>
  </si>
  <si>
    <t>Ade Triandari, S.Si.</t>
  </si>
  <si>
    <t>085792269171</t>
  </si>
  <si>
    <t>5271026004010003</t>
  </si>
  <si>
    <t>Jalan Danau Segara Anak III No. 31, BTN Pagutan Permai, Mataram, Nusa Tenggara Barat</t>
  </si>
  <si>
    <t>20-04-2001</t>
  </si>
  <si>
    <t>Sains (Biologi &amp; Kimia)</t>
  </si>
  <si>
    <t>Store Manager</t>
  </si>
  <si>
    <t>adetriandariwork@gmail.com</t>
  </si>
  <si>
    <t>1wciRhe1aygrW_1fA9liWFe70Zhmd63LV8OocjyyhDkQ</t>
  </si>
  <si>
    <t>https://docs.google.com/document/d/1wciRhe1aygrW_1fA9liWFe70Zhmd63LV8OocjyyhDkQ/edit?usp=drivesdk</t>
  </si>
  <si>
    <t>Document successfully created; Document successfully merged; Run via form trigger as kemal.stafsus@gmail.com; Timestamp: Sep 24 2024 9:49 AM</t>
  </si>
  <si>
    <t>https://drive.google.com/open?id=1ZPBITjQWvkUQ7_R_V06nT_Ougj7o-psS</t>
  </si>
  <si>
    <t>https://drive.google.com/uc?export=view&amp;id=1ZPBITjQWvkUQ7_R_V06nT_Ougj7o-psS</t>
  </si>
  <si>
    <t>Ridha Ajeng Aprilia, S.Pd.</t>
  </si>
  <si>
    <t>081288915564</t>
  </si>
  <si>
    <t>3173016704000002</t>
  </si>
  <si>
    <t>Jalan Raya Swadana No.9 RT 14 RW 01 Duri Kosambi, Cengkareng, Jakarta Barat</t>
  </si>
  <si>
    <t>27-04-2000</t>
  </si>
  <si>
    <t xml:space="preserve">Universitas Sebelas Maret </t>
  </si>
  <si>
    <t>Program Profesi Guru Pendidikan IPA</t>
  </si>
  <si>
    <t>Al Azhar Syifa Budi</t>
  </si>
  <si>
    <t>SMAN 94 Jakarta</t>
  </si>
  <si>
    <t>apriliajeng27@gmail.com</t>
  </si>
  <si>
    <t>1s82nhRK59sXkhsikR0rg8Rcvo9tj3zqEaPYIy8BRLRw</t>
  </si>
  <si>
    <t>https://docs.google.com/document/d/1s82nhRK59sXkhsikR0rg8Rcvo9tj3zqEaPYIy8BRLRw/edit?usp=drivesdk</t>
  </si>
  <si>
    <t>Document successfully created; Document successfully merged; Run via form trigger as kemal.stafsus@gmail.com; Timestamp: Sep 26 2024 10:13 AM</t>
  </si>
  <si>
    <t>https://drive.google.com/open?id=1pgdT2nXdUdfSxicLR3NjaQ7jIJ0uUw9m</t>
  </si>
  <si>
    <t>https://drive.google.com/uc?export=view&amp;id=1pgdT2nXdUdfSxicLR3NjaQ7jIJ0uUw9m</t>
  </si>
  <si>
    <t xml:space="preserve">Aisyah Az Zahra </t>
  </si>
  <si>
    <t>081296063221</t>
  </si>
  <si>
    <t>3216066903020025</t>
  </si>
  <si>
    <t>29-03-2002</t>
  </si>
  <si>
    <t>Musyrifah dan Muallimah Al-Quran</t>
  </si>
  <si>
    <t>spring.daffodil29@gmail.com</t>
  </si>
  <si>
    <t>1QErYnEPGdvbLoCxsqs7aIf011qjdZn8Dj_ybdqhs6WM</t>
  </si>
  <si>
    <t>https://docs.google.com/document/d/1QErYnEPGdvbLoCxsqs7aIf011qjdZn8Dj_ybdqhs6WM/edit?usp=drivesdk</t>
  </si>
  <si>
    <t>Document successfully created; Document successfully merged; Run via form trigger as kemal.stafsus@gmail.com; Timestamp: Sep 29 2024 11:44 PM</t>
  </si>
  <si>
    <t>https://drive.google.com/open?id=1x-rYaUN0SxaJzWVaEZpL_51SxwHue0T1</t>
  </si>
  <si>
    <t>https://drive.google.com/uc?export=view&amp;id=1x-rYaUN0SxaJzWVaEZpL_51SxwHue0T1</t>
  </si>
  <si>
    <t>Lea Priscilla Putri, S.Pd</t>
  </si>
  <si>
    <t>081210826582</t>
  </si>
  <si>
    <t>3216065701020014</t>
  </si>
  <si>
    <t>Gg. Masjid Baitul Muslimin II no.404 Kel.Jatimulya, Kec. Tambun Selatan, Bekasi Timur</t>
  </si>
  <si>
    <t>17-01-2002</t>
  </si>
  <si>
    <t>S.E.M</t>
  </si>
  <si>
    <t>Lembaga Pendidikan Anak Hebat (AHE) - Guru Privat Bimbel</t>
  </si>
  <si>
    <t>Internship - Kampus Mengajar</t>
  </si>
  <si>
    <t>Praktik Kerja Lapangan - Guru Bahasa Inggris</t>
  </si>
  <si>
    <t>leapriscilla17@gmail.com</t>
  </si>
  <si>
    <t>18BDB9Iu8UwqgUxRz1Nyu6sA9q7yZaTw186vmw5s_1rg</t>
  </si>
  <si>
    <t>https://docs.google.com/document/d/18BDB9Iu8UwqgUxRz1Nyu6sA9q7yZaTw186vmw5s_1rg/edit?usp=drivesdk</t>
  </si>
  <si>
    <t>Document successfully created; Document successfully merged; Run via form trigger as kemal.stafsus@gmail.com; Timestamp: Sep 30 2024 12:01 AM</t>
  </si>
  <si>
    <t>https://drive.google.com/open?id=1i7iUekYaiowvYLz9jXBqDYl-dmqlFv0A</t>
  </si>
  <si>
    <t>https://drive.google.com/uc?export=view&amp;id=1i7iUekYaiowvYLz9jXBqDYl-dmqlFv0A</t>
  </si>
  <si>
    <t>Baiq Nurul Fajriah, S.Si</t>
  </si>
  <si>
    <t>081996247957</t>
  </si>
  <si>
    <t>5203055412010004</t>
  </si>
  <si>
    <t>Kekalik Jaya, Kecamatan Sekarbela, Kota Mataram</t>
  </si>
  <si>
    <t>14-12-2001</t>
  </si>
  <si>
    <t>Physics/Science and Math</t>
  </si>
  <si>
    <t xml:space="preserve">Guru/Tutor bimbingan belajar dan privat mandiri pada mata pelajaran IPA, Matematika, dan Fisika untuk SD-SMA. Selain itu, aktif mengajar olimpiade IPA dan Fisika baik dari bimbel atau sekolah-sekolah. </t>
  </si>
  <si>
    <t>2.300.000-2.700.000</t>
  </si>
  <si>
    <t xml:space="preserve">Asisten Penelitian Dosen pada bidang Fisika Material dengan topik Pengembangan Material Sensor Quartz Crystal Microbalance (QCM). </t>
  </si>
  <si>
    <t>500.000-800.000 (tergantung banyaknya projek penelitian yang dilakukan)</t>
  </si>
  <si>
    <t>3.500.000-4.000.000</t>
  </si>
  <si>
    <t>44.5</t>
  </si>
  <si>
    <t>baiqnurul.fajriah1412@gmail.com</t>
  </si>
  <si>
    <t>1RCo3tTCAi_Kz7488EbtN9pIMrcqVED0GFU_eJo74cA4</t>
  </si>
  <si>
    <t>https://docs.google.com/document/d/1RCo3tTCAi_Kz7488EbtN9pIMrcqVED0GFU_eJo74cA4/edit?usp=drivesdk</t>
  </si>
  <si>
    <t>Document successfully created; Document successfully merged; Run via form trigger as kemal.stafsus@gmail.com; Timestamp: Sep 30 2024 7:22 PM</t>
  </si>
  <si>
    <t>https://drive.google.com/open?id=1w2-W6X3_66nPYweK6lIDL6KWbeuPva2E</t>
  </si>
  <si>
    <t>https://drive.google.com/uc?export=view&amp;id=1w2-W6X3_66nPYweK6lIDL6KWbeuPva2E</t>
  </si>
  <si>
    <t>Fiqqi Hilman Alfafa S.Ag</t>
  </si>
  <si>
    <t>082117066772</t>
  </si>
  <si>
    <t>3204283105000003</t>
  </si>
  <si>
    <t>Jl. Dahlia no. 134 RT/RW 01/08 Rancaekek Bandung Jawa barat</t>
  </si>
  <si>
    <t>31-05-2000</t>
  </si>
  <si>
    <t>Arabic Language and Islamic Studies</t>
  </si>
  <si>
    <t>PTS - Sekolah Tinggi Dirasat Islamiyah Imam Syafi'i Jember</t>
  </si>
  <si>
    <t>Hadis</t>
  </si>
  <si>
    <t>Video Editor Wesal TV</t>
  </si>
  <si>
    <t>Part time Social Media Specialist di PKS Digital School</t>
  </si>
  <si>
    <t>Pengajar Sementara di Ponpes Jabal Rahmah</t>
  </si>
  <si>
    <t>vqhilman@gmail.com</t>
  </si>
  <si>
    <t>166zYmkM9D_uaGsBzFpC_wATeudPEEeNO77dpH71coUA</t>
  </si>
  <si>
    <t>https://docs.google.com/document/d/166zYmkM9D_uaGsBzFpC_wATeudPEEeNO77dpH71coUA/edit?usp=drivesdk</t>
  </si>
  <si>
    <t>Document successfully created; Document successfully merged; Run via form trigger as kemal.stafsus@gmail.com; Timestamp: Oct 1 2024 9:37 PM</t>
  </si>
  <si>
    <t>https://drive.google.com/open?id=1jDjFXwTsld6lUEqDAAyD2PhMVy4bFtQ1</t>
  </si>
  <si>
    <t>https://drive.google.com/uc?export=view&amp;id=1jDjFXwTsld6lUEqDAAyD2PhMVy4bFtQ1</t>
  </si>
  <si>
    <t>Rizki Fajarudin, S.H</t>
  </si>
  <si>
    <t>085524599753</t>
  </si>
  <si>
    <t>1807172310010003</t>
  </si>
  <si>
    <t>Perumahan Taman Ria Persada Blok D3 No 11 Desa Cileungsi Kec. Cileungsi Kab. Bogor</t>
  </si>
  <si>
    <t>23 oktober 2001</t>
  </si>
  <si>
    <t>STAI AL Musdariyah Kota Cimahi</t>
  </si>
  <si>
    <t>Hukum Ekonomi Syari'ah</t>
  </si>
  <si>
    <t xml:space="preserve">Staff Administrasi Pondok Pesantren Madinatul Islamiyah Bandung Barat </t>
  </si>
  <si>
    <t>Operator Sekolah/TU dan Guru TTQ ( 2 Tahun ) MI Ummul Quro' Tanimulya</t>
  </si>
  <si>
    <t xml:space="preserve">Admin Yayasan (Yayasan Kreasi Rabbani Learning Center) </t>
  </si>
  <si>
    <t>rizkiannahlul@gmail.com</t>
  </si>
  <si>
    <t>1trBn7e5XXdByJIXpyT6UduapdLmW_z9F3n7htIn3YmM</t>
  </si>
  <si>
    <t>https://docs.google.com/document/d/1trBn7e5XXdByJIXpyT6UduapdLmW_z9F3n7htIn3YmM/edit?usp=drivesdk</t>
  </si>
  <si>
    <t>Document successfully created; Document successfully merged; Run via form trigger as kemal.stafsus@gmail.com; Timestamp: Oct 3 2024 4:01 AM</t>
  </si>
  <si>
    <t>https://drive.google.com/open?id=1KvD6FhgXzvQPF2UMX07pTcX-b-R49m9J</t>
  </si>
  <si>
    <t>https://drive.google.com/uc?export=view&amp;id=1KvD6FhgXzvQPF2UMX07pTcX-b-R49m9J</t>
  </si>
  <si>
    <t>Febrinna Marchy, M.Pd.</t>
  </si>
  <si>
    <t>082382057313</t>
  </si>
  <si>
    <t>1471015302980002</t>
  </si>
  <si>
    <t>13-02-1998</t>
  </si>
  <si>
    <t>3.98</t>
  </si>
  <si>
    <t>2021-2022    Homeroom Teacher at IRGT School</t>
  </si>
  <si>
    <t>2020-2021     Math Coach at the BSI Olympic Coaching Institute</t>
  </si>
  <si>
    <t>200.000/90 minutes</t>
  </si>
  <si>
    <t>2016-2024      Private Teacher</t>
  </si>
  <si>
    <t>febrinnamarchy@gmail.com</t>
  </si>
  <si>
    <t>1LEEVBimgLN23e21hLM-IRq2YLxg6Jxm8CcBEbWzdY6M</t>
  </si>
  <si>
    <t>https://docs.google.com/document/d/1LEEVBimgLN23e21hLM-IRq2YLxg6Jxm8CcBEbWzdY6M/edit?usp=drivesdk</t>
  </si>
  <si>
    <t>Document successfully created; Document successfully merged; Run via form trigger as kemal.stafsus@gmail.com; Timestamp: Oct 3 2024 4:13 AM</t>
  </si>
  <si>
    <t>https://drive.google.com/open?id=1_essIAY588iYgi4tAexJ3NZUfhmlLIxH</t>
  </si>
  <si>
    <t>https://drive.google.com/uc?export=view&amp;id=1_essIAY588iYgi4tAexJ3NZUfhmlLIxH</t>
  </si>
  <si>
    <t>Melati Inezia Al Kahfi, S.IP</t>
  </si>
  <si>
    <t>0895378256090</t>
  </si>
  <si>
    <t>3174065402000009</t>
  </si>
  <si>
    <t>Jln. Wahyu no. 6, RT 001/RW 005, Gandaria selatan, Cilandak, Jakarta selatan</t>
  </si>
  <si>
    <t>Ilmu Politik</t>
  </si>
  <si>
    <t>Freelance English Tutor</t>
  </si>
  <si>
    <t xml:space="preserve">4.909.500 - 5.089.500 </t>
  </si>
  <si>
    <t>Guru Nuraida Islamic Boarding School</t>
  </si>
  <si>
    <t>Assistant and Cashier (untuk event)</t>
  </si>
  <si>
    <t>150.000-170.000/hari</t>
  </si>
  <si>
    <t>5.500.000-6.000.000</t>
  </si>
  <si>
    <t>melati.inezia@gmail.com</t>
  </si>
  <si>
    <t>1dtK42orBw0o3QAHkD0YBYZ5YzNaWgyNXsNcQo1WhJRs</t>
  </si>
  <si>
    <t>https://docs.google.com/document/d/1dtK42orBw0o3QAHkD0YBYZ5YzNaWgyNXsNcQo1WhJRs/edit?usp=drivesdk</t>
  </si>
  <si>
    <t>Document successfully created; Document successfully merged; Run via form trigger as kemal.stafsus@gmail.com; Timestamp: Oct 3 2024 1:45 PM</t>
  </si>
  <si>
    <t>https://drive.google.com/open?id=1V6CuOdb0FH3xkzfcFsc9PT4bVZI3fXt4</t>
  </si>
  <si>
    <t>https://drive.google.com/uc?export=view&amp;id=1V6CuOdb0FH3xkzfcFsc9PT4bVZI3fXt4</t>
  </si>
  <si>
    <t>Zainab Aqilah S,E</t>
  </si>
  <si>
    <t>+6289516670517</t>
  </si>
  <si>
    <t>3201135105920007</t>
  </si>
  <si>
    <t xml:space="preserve">Bojonggede </t>
  </si>
  <si>
    <t>11-05-1992</t>
  </si>
  <si>
    <t xml:space="preserve">Science </t>
  </si>
  <si>
    <t xml:space="preserve">Manajemen </t>
  </si>
  <si>
    <t>2.84</t>
  </si>
  <si>
    <t xml:space="preserve">Guru di Sekolah Alam Indonesia Cibinong </t>
  </si>
  <si>
    <t xml:space="preserve">Guru di SDI Baitussalam Karadenan </t>
  </si>
  <si>
    <t xml:space="preserve">Guru di TK Qur'an The Green Hill </t>
  </si>
  <si>
    <t>zainabaqilah.9223@gmail.com</t>
  </si>
  <si>
    <t>1cA-hMQr6bRqmS9sQUKV3vT99Bv7WhMtP9A9Y0P2TV8s</t>
  </si>
  <si>
    <t>https://docs.google.com/document/d/1cA-hMQr6bRqmS9sQUKV3vT99Bv7WhMtP9A9Y0P2TV8s/edit?usp=drivesdk</t>
  </si>
  <si>
    <t>Document successfully created; Document successfully merged; Run via form trigger as kemal.stafsus@gmail.com; Timestamp: Oct 5 2024 5:55 AM</t>
  </si>
  <si>
    <t>https://drive.google.com/open?id=1Z-rJWhUamw8giZUknQ79t4HD2XXhjSLi</t>
  </si>
  <si>
    <t>https://drive.google.com/uc?export=view&amp;id=1Z-rJWhUamw8giZUknQ79t4HD2XXhjSLi</t>
  </si>
  <si>
    <t>Nuris Watunnaba.S,Pd</t>
  </si>
  <si>
    <t>085776890643</t>
  </si>
  <si>
    <t>3604025809000001</t>
  </si>
  <si>
    <t>Pondok Putri Asri, Jalan H Ahmad, RT7/RW1. Kelurahan Kukusan, Beji, Kota Depok</t>
  </si>
  <si>
    <t xml:space="preserve">Serang </t>
  </si>
  <si>
    <t>18-09-2000</t>
  </si>
  <si>
    <t>Guru PKN</t>
  </si>
  <si>
    <t>S1-Universitas Pendidikan Indonesia</t>
  </si>
  <si>
    <t>Guru Sosiologi - SMAS 1 Pasundan Bandung</t>
  </si>
  <si>
    <t>Guru SDN 18 Kota Serang</t>
  </si>
  <si>
    <t>Guru Sosiologi Ganesha Operation</t>
  </si>
  <si>
    <t>0840973891</t>
  </si>
  <si>
    <t>BNI (a.n. Nuris Watunnaba)</t>
  </si>
  <si>
    <t>nuriswatunnaba189@gmail.com</t>
  </si>
  <si>
    <t>1CWMtEXEWq7iXVJa67GBf5MkvE0CHbiF-p4O-cN4f13s</t>
  </si>
  <si>
    <t>https://docs.google.com/document/d/1CWMtEXEWq7iXVJa67GBf5MkvE0CHbiF-p4O-cN4f13s/edit?usp=drivesdk</t>
  </si>
  <si>
    <t>Document successfully created; Document successfully merged; Run via form trigger as kemal.stafsus@gmail.com; Timestamp: Oct 28 2024 8:40 AM</t>
  </si>
  <si>
    <t>https://drive.google.com/open?id=100zPHKTtnxHs-lReTyTxMPM2LLGJBoKU</t>
  </si>
  <si>
    <t>https://drive.google.com/uc?export=view&amp;id=100zPHKTtnxHs-lReTyTxMPM2LLGJBoKU</t>
  </si>
  <si>
    <t>Hafizhah Farahiyati Ananda, S.Mat.</t>
  </si>
  <si>
    <t>081299599372</t>
  </si>
  <si>
    <t>3201016507000002</t>
  </si>
  <si>
    <t>PERUM BDB 2, Cibinong- Bogor.</t>
  </si>
  <si>
    <t>25-07-2000</t>
  </si>
  <si>
    <t>SEM (Science, English, Mathematics)</t>
  </si>
  <si>
    <t>Mentor Matematika at CoLearn</t>
  </si>
  <si>
    <t>Guru Matematika dan Bahasa Inggris at Dar El-Fath Quranic Boarding School</t>
  </si>
  <si>
    <t>reachfarahananda@gmail.com</t>
  </si>
  <si>
    <t>1Mz7mxIEW4suaB3xcovqD0RBquXMKRCMwVvPhP5WJwig</t>
  </si>
  <si>
    <t>https://docs.google.com/document/d/1Mz7mxIEW4suaB3xcovqD0RBquXMKRCMwVvPhP5WJwig/edit?usp=drivesdk</t>
  </si>
  <si>
    <t>Document successfully created; Document successfully merged; Run via form trigger as kemal.stafsus@gmail.com; Timestamp: Nov 22 2024 2:50 AM</t>
  </si>
  <si>
    <t>https://drive.google.com/open?id=1OPPMiijcBYN3C0k7k9UHi27SERRjvkYt</t>
  </si>
  <si>
    <t>https://drive.google.com/uc?export=view&amp;id=1OPPMiijcBYN3C0k7k9UHi27SERRjvkYt</t>
  </si>
  <si>
    <t>Nasywa Ifada B.A</t>
  </si>
  <si>
    <t>082369314433</t>
  </si>
  <si>
    <t>1107166212000001</t>
  </si>
  <si>
    <t>Komplek kejaksaan agung blok f, pasming, Jakarta selatan,</t>
  </si>
  <si>
    <t>23 thn</t>
  </si>
  <si>
    <t>Ijazah on proses</t>
  </si>
  <si>
    <t xml:space="preserve">Hanya pengatur tahfidz </t>
  </si>
  <si>
    <t>Insya Allah wa bismillah izinkan ana mengajukan 7.000.000. Semoga Allah meridhoi</t>
  </si>
  <si>
    <t>nasywaifada@8gmail.com</t>
  </si>
  <si>
    <t>1XDQfVjKLmr3QwMX9prm7oWdNKTHsFhJn4D6hd77kh1s</t>
  </si>
  <si>
    <t>https://docs.google.com/document/d/1XDQfVjKLmr3QwMX9prm7oWdNKTHsFhJn4D6hd77kh1s/edit?usp=drivesdk</t>
  </si>
  <si>
    <t>Document successfully created; Document successfully merged; Run via form trigger as kemal.stafsus@gmail.com; Timestamp: Dec 18 2024 2:28 AM</t>
  </si>
  <si>
    <t>https://drive.google.com/open?id=1NZaP0BZgkN-1plbLbA58lXMPKhnVQBp6</t>
  </si>
  <si>
    <t>https://drive.google.com/uc?export=view&amp;id=1NZaP0BZgkN-1plbLbA58lXMPKhnVQBp6</t>
  </si>
  <si>
    <t>Komplek kejaksaan agung blok f pasming jaksel</t>
  </si>
  <si>
    <t>Alqur'an dan Arabic</t>
  </si>
  <si>
    <t>Lughah Arabiyyah</t>
  </si>
  <si>
    <t>Ijazan on proses</t>
  </si>
  <si>
    <t>Musyrifah rumah quran</t>
  </si>
  <si>
    <t>Insya Allah bismillah ana ingin mengajukan 7.000.000. Smga Allah mudahkan dan Ridhoi</t>
  </si>
  <si>
    <t>nasywaifada8@gmail.com</t>
  </si>
  <si>
    <t>1EkPywKnnbkoyfOhpAKflFXmERhchWYSxbElmsDgijzI</t>
  </si>
  <si>
    <t>https://docs.google.com/document/d/1EkPywKnnbkoyfOhpAKflFXmERhchWYSxbElmsDgijzI/edit?usp=drivesdk</t>
  </si>
  <si>
    <t>Document successfully created; Document successfully merged; Run via form trigger as kemal.stafsus@gmail.com; Timestamp: Dec 18 2024 2:35 AM</t>
  </si>
  <si>
    <t>https://drive.google.com/open?id=1YdljxJYR9AX7PWlOpygfWc1Z1qVX_2Ct</t>
  </si>
  <si>
    <t>https://drive.google.com/uc?export=view&amp;id=1YdljxJYR9AX7PWlOpygfWc1Z1qVX_2Ct</t>
  </si>
  <si>
    <t>Faiza Luthfiah Hikhmah B. Sh</t>
  </si>
  <si>
    <t>082241744396</t>
  </si>
  <si>
    <t>3322136603010004</t>
  </si>
  <si>
    <t>Jalan Ketapang No. 24a, RT.7/RW.2, Jati Padang, Pasar Minggu</t>
  </si>
  <si>
    <t>Kab. Semarang</t>
  </si>
  <si>
    <t>26-03-2001</t>
  </si>
  <si>
    <t>Diniyyah, Arabic, Qur'an</t>
  </si>
  <si>
    <t>4.90/5.00</t>
  </si>
  <si>
    <t>Pengabdian Imam Bukhori bg. Pengajaran SMP.</t>
  </si>
  <si>
    <t>Tidak digaji (diberi uang saku 250.000/bulan dari ma'had)</t>
  </si>
  <si>
    <t>Pengajar TK PAUD IT Ibnu Mas'ud</t>
  </si>
  <si>
    <t>700.000 (tidak tanda tangan kontrak, hanya ikut mengajar sambil menunggu pengumuman LIPIA)</t>
  </si>
  <si>
    <t>faiza.ukays@gmail.com</t>
  </si>
  <si>
    <t>1IYA6dpnYuP6Aqgqf5QG9IAOrXSzl8W3VR1dbt2uMx5E</t>
  </si>
  <si>
    <t>https://docs.google.com/document/d/1IYA6dpnYuP6Aqgqf5QG9IAOrXSzl8W3VR1dbt2uMx5E/edit?usp=drivesdk</t>
  </si>
  <si>
    <t>Document successfully created; Document successfully merged; Run via form trigger as kemal.stafsus@gmail.com; Timestamp: Jan 2 2025 5:42 PM</t>
  </si>
  <si>
    <t>https://drive.google.com/open?id=1phwpLZqoK0RBN7DJ4eXMrM3fNJ8mXpVo</t>
  </si>
  <si>
    <t>https://drive.google.com/uc?export=view&amp;id=1phwpLZqoK0RBN7DJ4eXMrM3fNJ8mXpVo</t>
  </si>
  <si>
    <t>Abbad Zulfikri, BA.</t>
  </si>
  <si>
    <t>089530080099</t>
  </si>
  <si>
    <t>3277031408980003</t>
  </si>
  <si>
    <t>Perum Limus Pratama Regency, Jalan Tegal 2  Blok G6 No. 11 RT007 RW007, Limusnunggal, Cileungsi, Kab. BOGOR 16820.</t>
  </si>
  <si>
    <t>14-08-1998</t>
  </si>
  <si>
    <t>26 Tahun 4 Bulan</t>
  </si>
  <si>
    <t>Ilmu Syari, Hadits, Tauhid, Fiqih, Arabic.</t>
  </si>
  <si>
    <t>Luar Negeri - Universitas Islam Madinah</t>
  </si>
  <si>
    <t>Jurusan Hadits</t>
  </si>
  <si>
    <t>4.52/5.00</t>
  </si>
  <si>
    <t>Freshgraduate, ada pengalaman ngajar dan lainnya tapi belum ada yang tetap/terikat.</t>
  </si>
  <si>
    <t>abbadzul@gmail.com</t>
  </si>
  <si>
    <t>1m4GVliZGQMl2DY1kP_s74F6gRylxpp0ErBs1x4kS39g</t>
  </si>
  <si>
    <t>https://docs.google.com/document/d/1m4GVliZGQMl2DY1kP_s74F6gRylxpp0ErBs1x4kS39g/edit?usp=drivesdk</t>
  </si>
  <si>
    <t>Document successfully created; Document successfully merged; Run via form trigger as kemal.stafsus@gmail.com; Timestamp: Jan 2 2025 7:28 PM</t>
  </si>
  <si>
    <t>https://drive.google.com/open?id=1z9RNBv3Pfxn-ccCoNg3Zr8o00vDFj4A5</t>
  </si>
  <si>
    <t>https://drive.google.com/uc?export=view&amp;id=1z9RNBv3Pfxn-ccCoNg3Zr8o00vDFj4A5</t>
  </si>
  <si>
    <t>Nabillah</t>
  </si>
  <si>
    <t>082268522782</t>
  </si>
  <si>
    <t>X3013627</t>
  </si>
  <si>
    <t>Cilandak, Jakarta selatan</t>
  </si>
  <si>
    <t>Sikabu</t>
  </si>
  <si>
    <t>02 juli 2001</t>
  </si>
  <si>
    <t>Al qur’an</t>
  </si>
  <si>
    <t>D3 ma’had ‘aly alfath payakumbuh sumatera barat</t>
  </si>
  <si>
    <t>Musyrifah, guru tajwid, bahasa arab dan imla, muhafidzoh, dan  wali kelas.</t>
  </si>
  <si>
    <t>Musyrifah, dan guru qur’an</t>
  </si>
  <si>
    <t>Musyrifah dan guru qur’an.</t>
  </si>
  <si>
    <t>nnbilasya02@gmail.com</t>
  </si>
  <si>
    <t>1Izt6US7euRzIewFXOY73cH-PkG77jgAiBncnK6EIVKs</t>
  </si>
  <si>
    <t>https://docs.google.com/document/d/1Izt6US7euRzIewFXOY73cH-PkG77jgAiBncnK6EIVKs/edit?usp=drivesdk</t>
  </si>
  <si>
    <t>Document successfully created; Document successfully merged; Run via form trigger as kemal.stafsus@gmail.com; Timestamp: Jan 4 2025 3:05 AM</t>
  </si>
  <si>
    <t>https://drive.google.com/open?id=1Xz08AYrBFgUiKYx1brNqG9z2jNWficYl</t>
  </si>
  <si>
    <t>https://drive.google.com/uc?export=view&amp;id=1Xz08AYrBFgUiKYx1brNqG9z2jNWficYl</t>
  </si>
  <si>
    <t>Alifia Azzahra, S.Pd</t>
  </si>
  <si>
    <t>081555470342</t>
  </si>
  <si>
    <t>3276094403010001</t>
  </si>
  <si>
    <t>Jl. H. Terin 2 No. 43 RT 003 RW 003 Pangkalan Jati Baru,  Cinere, Depok</t>
  </si>
  <si>
    <t>4 Maret 2001</t>
  </si>
  <si>
    <t>PKN</t>
  </si>
  <si>
    <t>S1 Pendidikan Pancasila dan Kewarganegaraan</t>
  </si>
  <si>
    <t>Guru Mata Pelajaran PKN</t>
  </si>
  <si>
    <t>alifiazhr44@gmail.com</t>
  </si>
  <si>
    <t>1ymVkLwQu7DaDM0bsa1LcRbntjUKg3GbO7aCHC_ijKd8</t>
  </si>
  <si>
    <t>https://docs.google.com/document/d/1ymVkLwQu7DaDM0bsa1LcRbntjUKg3GbO7aCHC_ijKd8/edit?usp=drivesdk</t>
  </si>
  <si>
    <t>Document successfully created; Document successfully merged; Run via form trigger as kemal.stafsus@gmail.com; Timestamp: Jan 4 2025 3:25 AM</t>
  </si>
  <si>
    <t>https://drive.google.com/open?id=1nII0sJJIzS7vKhahcbu29OpAwsMQCQrv</t>
  </si>
  <si>
    <t>https://drive.google.com/uc?export=view&amp;id=1nII0sJJIzS7vKhahcbu29OpAwsMQCQrv</t>
  </si>
  <si>
    <t>Fadlina Ruhama, S.Pd., M.Pd</t>
  </si>
  <si>
    <t>083182403168</t>
  </si>
  <si>
    <t>1306144101990003</t>
  </si>
  <si>
    <t>Jl. Sunan Giri, Tambakan, Sinduharjo, Kec. Ngaglik, Kabupaten Sleman, Daerah Istimewa Yogyakarta</t>
  </si>
  <si>
    <t>01-01-1999</t>
  </si>
  <si>
    <t>26 Tahun</t>
  </si>
  <si>
    <t>guru matematika</t>
  </si>
  <si>
    <t>S1- Universitas Negeri Padang</t>
  </si>
  <si>
    <t>S2- Universitas Negeri Yogyakarta</t>
  </si>
  <si>
    <t>internship SMAN 1 Ampek Angkek</t>
  </si>
  <si>
    <t>unpaid</t>
  </si>
  <si>
    <t>internship SMKN 1 Depok</t>
  </si>
  <si>
    <t>Unpaid</t>
  </si>
  <si>
    <t>fadlinaruhama.2022@student.uny.ac.id</t>
  </si>
  <si>
    <t>19PFz-vXH82SomCFcFRQj2qjeSw4pdoW7JBgmH0mbe5s</t>
  </si>
  <si>
    <t>https://docs.google.com/document/d/19PFz-vXH82SomCFcFRQj2qjeSw4pdoW7JBgmH0mbe5s/edit?usp=drivesdk</t>
  </si>
  <si>
    <t>Document successfully created; Document successfully merged; Run via form trigger as kemal.stafsus@gmail.com; Timestamp: Jan 5 2025 2:45 AM</t>
  </si>
  <si>
    <t>https://drive.google.com/open?id=1dFh0x6VjlOFmsN9L9AcmRhglfTLiUWL5</t>
  </si>
  <si>
    <t>https://drive.google.com/uc?export=view&amp;id=1dFh0x6VjlOFmsN9L9AcmRhglfTLiUWL5</t>
  </si>
  <si>
    <t>S1-UNIVERSITAS NEGERI PADANG</t>
  </si>
  <si>
    <t>S2-UNIVERSITAS NEGERI YOGYAKARTA</t>
  </si>
  <si>
    <t>Internship in SMAN 1 Ampek Angkek</t>
  </si>
  <si>
    <t>SMKN 2 Depok, Sleman</t>
  </si>
  <si>
    <t>1pSVXwLmUaYAoRYI6roMG_OkYB6PWrz6n4ny_UiVP8oo</t>
  </si>
  <si>
    <t>https://docs.google.com/document/d/1pSVXwLmUaYAoRYI6roMG_OkYB6PWrz6n4ny_UiVP8oo/edit?usp=drivesdk</t>
  </si>
  <si>
    <t>Document successfully created; Document successfully merged; Run via form trigger as kemal.stafsus@gmail.com; Timestamp: Jan 5 2025 3:43 AM</t>
  </si>
  <si>
    <t>https://drive.google.com/open?id=1WhlNykcHAjqTkP6XhWu3kJwo5fVlfZGp</t>
  </si>
  <si>
    <t>https://drive.google.com/uc?export=view&amp;id=1WhlNykcHAjqTkP6XhWu3kJwo5fVlfZGp</t>
  </si>
  <si>
    <t>Amaturroofi Nurul Izzah B.A</t>
  </si>
  <si>
    <t>089529036629</t>
  </si>
  <si>
    <t>3316055609960003</t>
  </si>
  <si>
    <t xml:space="preserve">Jalan Alur Laut Gang Langgar No. 61, RT.6/RW.3, Kec Rawa Badak Selatan, Rawa Badak Selatan, Koja, Jakarta Utara </t>
  </si>
  <si>
    <t>16 September 1996</t>
  </si>
  <si>
    <t xml:space="preserve">LIPIA Jakarta </t>
  </si>
  <si>
    <t>rizaver96@gmail.com</t>
  </si>
  <si>
    <t>1IeQ6a4wGAMyid852NE6kXGTlbS8deaVozUM-n4gwE4k</t>
  </si>
  <si>
    <t>https://docs.google.com/document/d/1IeQ6a4wGAMyid852NE6kXGTlbS8deaVozUM-n4gwE4k/edit?usp=drivesdk</t>
  </si>
  <si>
    <t>Document successfully created; Document successfully merged; Run via form trigger as kemal.stafsus@gmail.com; Timestamp: Jan 5 2025 3:46 AM</t>
  </si>
  <si>
    <t>https://drive.google.com/open?id=1c5_l6yCQUy2b6TZqZC1PP7TCnsHkj4TS</t>
  </si>
  <si>
    <t>https://drive.google.com/uc?export=view&amp;id=1c5_l6yCQUy2b6TZqZC1PP7TCnsHkj4TS</t>
  </si>
  <si>
    <t>ABDUL HARIS, S.Pd</t>
  </si>
  <si>
    <t>085253919635</t>
  </si>
  <si>
    <t>5272010510940003</t>
  </si>
  <si>
    <t>Jl. KH. Ahmad Dahlan Petir. RT. 004/RW. 02. No. 50, Kelurahan Petir, Kec. Cipondoh, Kota Tangerang, Provinsi Banten – 15147 (Masuk Gang Masjid Al-Furqon/Planet Ban. Lurus sampai belokan pertama. Terus Belok kiri. Selang 2 rumah sebelah kiri ada gang kecil Masuk ke situ. Rumah nomor 50)</t>
  </si>
  <si>
    <t>05-10-1994</t>
  </si>
  <si>
    <t>Bahasa Indonesia, IPS, PKN</t>
  </si>
  <si>
    <t>S1 -  Universitas Terbuka</t>
  </si>
  <si>
    <t>S1 - Pendidikan Guru Sekolah Dasar</t>
  </si>
  <si>
    <t>8.000.000 - 7.000.000</t>
  </si>
  <si>
    <t>abdulharismpdi@gmail.com</t>
  </si>
  <si>
    <t>11JS09IO0xLUa0Ze_aZsUE6i2us5nF78y4K8SNJB0eBo</t>
  </si>
  <si>
    <t>https://docs.google.com/document/d/11JS09IO0xLUa0Ze_aZsUE6i2us5nF78y4K8SNJB0eBo/edit?usp=drivesdk</t>
  </si>
  <si>
    <t>Document successfully created; Document successfully merged; Run via form trigger as kemal.stafsus@gmail.com; Timestamp: Jan 9 2025 1:32 AM</t>
  </si>
  <si>
    <t>https://drive.google.com/open?id=1Vd7Ymxo12UU-dX3WrQaJmzwVysHmVd6X</t>
  </si>
  <si>
    <t>https://drive.google.com/uc?export=view&amp;id=1Vd7Ymxo12UU-dX3WrQaJmzwVysHmVd6X</t>
  </si>
  <si>
    <t>Aliya Ikhlasshafa Kirana, S.Pd.</t>
  </si>
  <si>
    <t>0895337003350</t>
  </si>
  <si>
    <t>3275115607020006</t>
  </si>
  <si>
    <t>Jl. Bima Buana 15 No. 27A, Dukuh Bima, Bekasi</t>
  </si>
  <si>
    <t>16-07-2002</t>
  </si>
  <si>
    <t>Guru Mata Pelajaran, Internship</t>
  </si>
  <si>
    <t>Guru Inval Geografi</t>
  </si>
  <si>
    <t>BNI (Konvensional)</t>
  </si>
  <si>
    <t>alshafraa167@gmail.com</t>
  </si>
  <si>
    <t>10mK00DeZfgquqrUx9pZ1tWqNy8L8xHDshxaz9nxBJB8</t>
  </si>
  <si>
    <t>https://docs.google.com/document/d/10mK00DeZfgquqrUx9pZ1tWqNy8L8xHDshxaz9nxBJB8/edit?usp=drivesdk</t>
  </si>
  <si>
    <t>Document successfully created; Document successfully merged; Run via form trigger as kemal.stafsus@gmail.com; Timestamp: Jan 9 2025 1:34 AM</t>
  </si>
  <si>
    <t>https://drive.google.com/open?id=1GLlQ0kiFPaRp_vFmlWQmQAznAn_3cEkN</t>
  </si>
  <si>
    <t>https://drive.google.com/uc?export=view&amp;id=1GLlQ0kiFPaRp_vFmlWQmQAznAn_3cEkN</t>
  </si>
  <si>
    <t>Naufal Majid</t>
  </si>
  <si>
    <t>081585197373</t>
  </si>
  <si>
    <t>3174042001020005</t>
  </si>
  <si>
    <t xml:space="preserve">JL.Kemang Raya No.14 RT/RW 03/09 KP.CIKUMPA, SUKMAJAYA, DEPOK JAWA BARAT </t>
  </si>
  <si>
    <t>20 Januari 2002</t>
  </si>
  <si>
    <t xml:space="preserve">Mapel Al-Qur'an </t>
  </si>
  <si>
    <t>Masih Proses Strata 1 di Ma'had Ustman bin Affan Jakarta</t>
  </si>
  <si>
    <t xml:space="preserve">Pengalaman Bekerja sebelumnya 3 Tahun mengajar </t>
  </si>
  <si>
    <t>naufalmajid207@gmail.com</t>
  </si>
  <si>
    <t>1OwRfusm51G6v8unoxuQyO3kCSJuLwm0qpxxzO8q_gbM</t>
  </si>
  <si>
    <t>https://docs.google.com/document/d/1OwRfusm51G6v8unoxuQyO3kCSJuLwm0qpxxzO8q_gbM/edit?usp=drivesdk</t>
  </si>
  <si>
    <t>Document successfully created; Document successfully merged; Run via form trigger as kemal.stafsus@gmail.com; Timestamp: Jan 9 2025 11:03 PM</t>
  </si>
  <si>
    <t>https://drive.google.com/open?id=1UresWBsclsJFBp33cxI0BUiQtkCPezBU</t>
  </si>
  <si>
    <t>https://drive.google.com/uc?export=view&amp;id=1UresWBsclsJFBp33cxI0BUiQtkCPezBU</t>
  </si>
  <si>
    <t>Muhammad Arif Saadilah, S.Si., M.T.</t>
  </si>
  <si>
    <t>085642715875</t>
  </si>
  <si>
    <t>3376022807920003</t>
  </si>
  <si>
    <t>Jalan Impres Raya RT 04 RW 06 Kel Parigi Kec Pondok Aren Kota Tangerang Selatan</t>
  </si>
  <si>
    <t>27-07-1992</t>
  </si>
  <si>
    <t>32 tahun 5</t>
  </si>
  <si>
    <t>Teknik Metalurgi dan Materi</t>
  </si>
  <si>
    <t>Digital Marketing Strategist PT Lavender Bina Cendikia Tbk</t>
  </si>
  <si>
    <t>Part Time Dosen Politeknik Negeri Jakarta</t>
  </si>
  <si>
    <t>arifsaadilah@gmail.com</t>
  </si>
  <si>
    <t>1tmvceWZ6jTnZDIoQMzH7iAyIAWFY10YXhhIAYCkF1eY</t>
  </si>
  <si>
    <t>https://docs.google.com/document/d/1tmvceWZ6jTnZDIoQMzH7iAyIAWFY10YXhhIAYCkF1eY/edit?usp=drivesdk</t>
  </si>
  <si>
    <t>Document successfully created; Document successfully merged; Run via form trigger as kemal.stafsus@gmail.com; Timestamp: Jan 10 2025 12:09 AM</t>
  </si>
  <si>
    <t>https://drive.google.com/open?id=1NvJDBb0figd01xylH0dtRJGCC2N1XBRC</t>
  </si>
  <si>
    <t>https://drive.google.com/uc?export=view&amp;id=1NvJDBb0figd01xylH0dtRJGCC2N1XBRC</t>
  </si>
  <si>
    <t>Diana Sukmawati, S.Pd., Gr</t>
  </si>
  <si>
    <t>08119925399</t>
  </si>
  <si>
    <t>3275036503990018</t>
  </si>
  <si>
    <t xml:space="preserve">Kp. Kalibata gg. H. Nawi RT 006 RW 007. Srengseng Sawah, Jagakarsa, Jakarta Selatan </t>
  </si>
  <si>
    <t>25-03-1999</t>
  </si>
  <si>
    <t xml:space="preserve">25 tahun 9 bulan 23 hari </t>
  </si>
  <si>
    <t>Penjas</t>
  </si>
  <si>
    <t xml:space="preserve">Guru penjas di An nahla </t>
  </si>
  <si>
    <t xml:space="preserve">Guru penjas di Al Fityan </t>
  </si>
  <si>
    <t>5.400.000 (UMR)</t>
  </si>
  <si>
    <t>dianahmad2503@gmail.com</t>
  </si>
  <si>
    <t>1gpJC7xvnkO5P9ZPK3IkKs9EvJM4ou7JB5o6t1AiEnXo</t>
  </si>
  <si>
    <t>https://docs.google.com/document/d/1gpJC7xvnkO5P9ZPK3IkKs9EvJM4ou7JB5o6t1AiEnXo/edit?usp=drivesdk</t>
  </si>
  <si>
    <t>Document successfully created; Document successfully merged; Run via form trigger as kemal.stafsus@gmail.com; Timestamp: Jan 16 2025 11:50 PM</t>
  </si>
  <si>
    <t>https://drive.google.com/open?id=1mBJhK5rZwlyYnbl979fGWX_3pMeXWQCh</t>
  </si>
  <si>
    <t>https://drive.google.com/uc?export=view&amp;id=1mBJhK5rZwlyYnbl979fGWX_3pMeXWQCh</t>
  </si>
  <si>
    <t>Lily Amelia Putri B.A.</t>
  </si>
  <si>
    <t>082147341529</t>
  </si>
  <si>
    <t>5171014112010005</t>
  </si>
  <si>
    <t>Jl. Jati Padang Utara, No. 56, Pasar Minggu, Jakarta Selatan.</t>
  </si>
  <si>
    <t>01-12-2001</t>
  </si>
  <si>
    <t xml:space="preserve">23 tahun 1 bulan </t>
  </si>
  <si>
    <t>Lembaga Ilmu Pengetahuan Islam dan Arab (LIPIA)</t>
  </si>
  <si>
    <t>Syar'iah</t>
  </si>
  <si>
    <t>Guru PAI SD (2020-2021)</t>
  </si>
  <si>
    <t>Private Bahasa Inggris &amp; Arab (2020-2021)</t>
  </si>
  <si>
    <t>Per 1 orang Rp 500.000</t>
  </si>
  <si>
    <t>Private cindekia semua mata pelajaran pertemuan 2 kali per 1 minggu (2021-2023)</t>
  </si>
  <si>
    <t>lilyamliaap@gmail.com</t>
  </si>
  <si>
    <t>13Cm_P69YrTMIdN7rVU45CDMA739T5QHIMwE-e1Syxic</t>
  </si>
  <si>
    <t>https://docs.google.com/document/d/13Cm_P69YrTMIdN7rVU45CDMA739T5QHIMwE-e1Syxic/edit?usp=drivesdk</t>
  </si>
  <si>
    <t>Document successfully created; Document successfully merged; Run via form trigger as kemal.stafsus@gmail.com; Timestamp: Jan 22 2025 11:54 PM</t>
  </si>
  <si>
    <t>https://drive.google.com/open?id=1Rhfq8opRj2hhCr8dD2OdGCU885kb0kb6</t>
  </si>
  <si>
    <t>https://drive.google.com/uc?export=view&amp;id=1Rhfq8opRj2hhCr8dD2OdGCU885kb0kb6</t>
  </si>
  <si>
    <t>DWI NANDA BANU PUTERA, S.Pd</t>
  </si>
  <si>
    <t>085883742051</t>
  </si>
  <si>
    <t>3674070502910002</t>
  </si>
  <si>
    <t>Griya indah serpong, blok L5 no 9, Gunung Sindur, Kab. Bogor</t>
  </si>
  <si>
    <t>05-02-1991</t>
  </si>
  <si>
    <t>Tentor Program ECP SMPN 4 Tangsel</t>
  </si>
  <si>
    <t>0409616357</t>
  </si>
  <si>
    <t>dwinandabanuputera@gmail.com</t>
  </si>
  <si>
    <t>1us1hHn7YBaQofpLublHrVmPsRfEinQDwKvVZiZ2VmLA</t>
  </si>
  <si>
    <t>https://docs.google.com/document/d/1us1hHn7YBaQofpLublHrVmPsRfEinQDwKvVZiZ2VmLA/edit?usp=drivesdk</t>
  </si>
  <si>
    <t>Document successfully created; Document successfully merged; Run via form trigger as kemal.stafsus@gmail.com; Timestamp: Jan 27 2025 11:53 AM</t>
  </si>
  <si>
    <t>https://drive.google.com/open?id=1GGB4iY6DmnxGhg6AMrIIZLAH25oDAsZ6</t>
  </si>
  <si>
    <t>https://drive.google.com/uc?export=view&amp;id=1GGB4iY6DmnxGhg6AMrIIZLAH25oDAsZ6</t>
  </si>
  <si>
    <t>M. Anas Ubaidillah, S. Pd.</t>
  </si>
  <si>
    <t>19 April 2000</t>
  </si>
  <si>
    <t>24 Tahun 9 Bulan</t>
  </si>
  <si>
    <t>STIT Bandung</t>
  </si>
  <si>
    <t xml:space="preserve">Guru Quran </t>
  </si>
  <si>
    <t>Musrif Kamar (AL-WILDAN 3)</t>
  </si>
  <si>
    <t>15yNU7lwxTRHPyXZJZ6xb9bHZO_qjX5qqh-4AUp3Pj8U</t>
  </si>
  <si>
    <t>https://docs.google.com/document/d/15yNU7lwxTRHPyXZJZ6xb9bHZO_qjX5qqh-4AUp3Pj8U/edit?usp=drivesdk</t>
  </si>
  <si>
    <t>Document successfully created; Document successfully merged; Run via form trigger as kemal.stafsus@gmail.com; Timestamp: Jan 28 2025 12:04 AM</t>
  </si>
  <si>
    <t>https://drive.google.com/open?id=1CZwfrtQegp6-2Lo41z5J3-ys6emlWpy-</t>
  </si>
  <si>
    <t>https://drive.google.com/uc?export=view&amp;id=1CZwfrtQegp6-2Lo41z5J3-ys6emlWpy-</t>
  </si>
  <si>
    <t>08 Agustus 2000</t>
  </si>
  <si>
    <t>Musyrif &amp; Media AL-WILDAN 3</t>
  </si>
  <si>
    <t>BSI SYARIAH</t>
  </si>
  <si>
    <t>1PIAgZc_nlBgp30Ehdy3boibB6vmLnkWTBXmCWILZfT4</t>
  </si>
  <si>
    <t>https://docs.google.com/document/d/1PIAgZc_nlBgp30Ehdy3boibB6vmLnkWTBXmCWILZfT4/edit?usp=drivesdk</t>
  </si>
  <si>
    <t>Document successfully created; Document successfully merged; Run via form trigger as kemal.stafsus@gmail.com; Timestamp: Jan 30 2025 10:25 AM</t>
  </si>
  <si>
    <t>https://drive.google.com/open?id=1mvPN0Q3coeh9kSJXDaSUvL8mf9FpXnt7</t>
  </si>
  <si>
    <t>https://drive.google.com/uc?export=view&amp;id=1mvPN0Q3coeh9kSJXDaSUvL8mf9FpXnt7</t>
  </si>
  <si>
    <t>HADI AULIA RACHMAN S.Or</t>
  </si>
  <si>
    <t>082211609660</t>
  </si>
  <si>
    <t>3275061210920011</t>
  </si>
  <si>
    <t>JL. MASJID AL MA'MURIAH RT. 001/010 NO. 217 JATIASIH KOTA BEKASI</t>
  </si>
  <si>
    <t>12-10-1992</t>
  </si>
  <si>
    <t>32 TAHUN 3 BULAN</t>
  </si>
  <si>
    <t>ILMU KEOLAHRAGAAN</t>
  </si>
  <si>
    <t>STAF HUMAS KEMENTERIAN BAPPENAS</t>
  </si>
  <si>
    <t>PELATIH PELATDA DKI JAKARTA</t>
  </si>
  <si>
    <t>SMIT AL MARJAN BEKASI</t>
  </si>
  <si>
    <t>BANK DKI</t>
  </si>
  <si>
    <t>hadiauliarachman@gmail.com</t>
  </si>
  <si>
    <t>11fqaD7ifw_jeKLxTCHagIXz4fDYz7C8_7PpAvSa1OMk</t>
  </si>
  <si>
    <t>https://docs.google.com/document/d/11fqaD7ifw_jeKLxTCHagIXz4fDYz7C8_7PpAvSa1OMk/edit?usp=drivesdk</t>
  </si>
  <si>
    <t>Document successfully created; Document successfully merged; Run via form trigger as kemal.stafsus@gmail.com; Timestamp: Feb 6 2025 11:43 PM</t>
  </si>
  <si>
    <t>https://drive.google.com/open?id=1qXWIuPIQQD8ffcwNg9H9-HEHAAq6ppHG</t>
  </si>
  <si>
    <t>https://drive.google.com/uc?export=view&amp;id=1qXWIuPIQQD8ffcwNg9H9-HEHAAq6ppHG</t>
  </si>
  <si>
    <t>Rusdi Kasim Badang</t>
  </si>
  <si>
    <t>081511381830</t>
  </si>
  <si>
    <t>7305051010940007</t>
  </si>
  <si>
    <t>Perumahan Gubernur Bukit Graha Praja Indah, Blok. C4/ No.06. 
Kel. Manggala
Kec. Manggala
Kota. Makassar
Sulawesi-Selatan</t>
  </si>
  <si>
    <t>Takalar</t>
  </si>
  <si>
    <t>10-10-1994</t>
  </si>
  <si>
    <t>30 Tahun 4 Bulan</t>
  </si>
  <si>
    <t xml:space="preserve">Bahasa Arab dan Mapel Agama Islam lainnya. </t>
  </si>
  <si>
    <t>S1 Universitas Islam Madinah, KSA</t>
  </si>
  <si>
    <t>4.5</t>
  </si>
  <si>
    <t>Pustakawan</t>
  </si>
  <si>
    <t>4.500.000- dst</t>
  </si>
  <si>
    <t>rusdi.qasim@gmail.com</t>
  </si>
  <si>
    <t>1Up5ydZPlU5rNFTFZyHHqSrf041A16qZKMDeVaP3OV2w</t>
  </si>
  <si>
    <t>https://docs.google.com/document/d/1Up5ydZPlU5rNFTFZyHHqSrf041A16qZKMDeVaP3OV2w/edit?usp=drivesdk</t>
  </si>
  <si>
    <t>Document successfully created; Document successfully merged; Run via form trigger as kemal.stafsus@gmail.com; Timestamp: Feb 12 2025 10:32 PM</t>
  </si>
  <si>
    <t>https://drive.google.com/open?id=1s4fa_nDbFlyQeFsoCFGePPpS4DYkKjIN</t>
  </si>
  <si>
    <t>https://drive.google.com/uc?export=view&amp;id=1s4fa_nDbFlyQeFsoCFGePPpS4DYkKjIN</t>
  </si>
  <si>
    <t>Friska Arismayang, S.S.,M.Pd</t>
  </si>
  <si>
    <t>083872559494</t>
  </si>
  <si>
    <t>3173055701880007</t>
  </si>
  <si>
    <t>Griya Karang Tengah Permai Jl. Mahawu Blok B4 No.11 A Kota Tangerang, Banten.</t>
  </si>
  <si>
    <t>17-1-1988</t>
  </si>
  <si>
    <t>37 th 27 hari</t>
  </si>
  <si>
    <t>PASCASARJANA UHAMKA</t>
  </si>
  <si>
    <t>LB LIA GROGOL</t>
  </si>
  <si>
    <t xml:space="preserve">KHALIFA IMS </t>
  </si>
  <si>
    <t>ENGLISH FASTER</t>
  </si>
  <si>
    <t>0853391151</t>
  </si>
  <si>
    <t>friskaferiska17@gmail.com</t>
  </si>
  <si>
    <t>1VNhTchqeIEqAtuzImteFgnybFQrq7yToJRNwcbbnBes</t>
  </si>
  <si>
    <t>https://docs.google.com/document/d/1VNhTchqeIEqAtuzImteFgnybFQrq7yToJRNwcbbnBes/edit?usp=drivesdk</t>
  </si>
  <si>
    <t>Document successfully created; Document successfully merged; Run via form trigger as kemal.stafsus@gmail.com; Timestamp: Feb 13 2025 12:01 AM</t>
  </si>
  <si>
    <t>https://drive.google.com/open?id=1gX0WLNiNlVKEIKRLahbnREuwBG12kUOY</t>
  </si>
  <si>
    <t>https://drive.google.com/uc?export=view&amp;id=1gX0WLNiNlVKEIKRLahbnREuwBG12kUOY</t>
  </si>
  <si>
    <t>Anantha Ivan Wijaya,S.Pd.</t>
  </si>
  <si>
    <t>0881025663600</t>
  </si>
  <si>
    <t>3602193107010001</t>
  </si>
  <si>
    <t>Jl.kolonel Martadisastra No.7B Rt 03 Rw 02 Kel.KedungBadak Kec.Tanah Sareal, Kota Bogor</t>
  </si>
  <si>
    <t>31-07-2001</t>
  </si>
  <si>
    <t>23 tahun 7 bulan</t>
  </si>
  <si>
    <t>Guru Fisika SMAIT Umuul Quro</t>
  </si>
  <si>
    <t>Tentor Brain Academy By Ruangguru</t>
  </si>
  <si>
    <t>ananthaivan31@gmail.com</t>
  </si>
  <si>
    <t>1nH01xjoeDOMgVfaZPuetZV9QLdZv834DojODTYfb08M</t>
  </si>
  <si>
    <t>https://docs.google.com/document/d/1nH01xjoeDOMgVfaZPuetZV9QLdZv834DojODTYfb08M/edit?usp=drivesdk</t>
  </si>
  <si>
    <t>Document successfully created; Document successfully merged; Run via form trigger as kemal.stafsus@gmail.com; Timestamp: Feb 16 2025 9:18 PM</t>
  </si>
  <si>
    <t>https://drive.google.com/open?id=1E0MypVpkHydrlzTOJkUyaM3PDz1EnINJ</t>
  </si>
  <si>
    <t>https://drive.google.com/uc?export=view&amp;id=1E0MypVpkHydrlzTOJkUyaM3PDz1EnINJ</t>
  </si>
  <si>
    <t>Taqwa Aditya Atmaja, B.Sc., M.Si.</t>
  </si>
  <si>
    <t>+6281346100191</t>
  </si>
  <si>
    <t>6171050808950004</t>
  </si>
  <si>
    <t>Jalan Dr. Wahidin S. Batara Indah I B22 Pontianak</t>
  </si>
  <si>
    <t>Pontianak</t>
  </si>
  <si>
    <t>Sains</t>
  </si>
  <si>
    <t>Tohoku University</t>
  </si>
  <si>
    <t>Ilmu Kimia</t>
  </si>
  <si>
    <t>adityaatmaja@gmx.com</t>
  </si>
  <si>
    <t>16QbUmOBm4KXdS9ASSITqeJ9dx2V2lST86vIFZ1TMFr0</t>
  </si>
  <si>
    <t>https://docs.google.com/document/d/16QbUmOBm4KXdS9ASSITqeJ9dx2V2lST86vIFZ1TMFr0/edit?usp=drivesdk</t>
  </si>
  <si>
    <t>Document successfully created; Document successfully merged; Run via form trigger as kemal.stafsus@gmail.com; Timestamp: Feb 21 2025 2:04 AM</t>
  </si>
  <si>
    <t>https://drive.google.com/open?id=1JKhy2iCsEgOpTvfNxZYPctuUwTkFHgXy</t>
  </si>
  <si>
    <t>https://drive.google.com/uc?export=view&amp;id=1JKhy2iCsEgOpTvfNxZYPctuUwTkFHgXy</t>
  </si>
  <si>
    <t>Syaza Syahana, S.Pd., M.Pd</t>
  </si>
  <si>
    <t>082388293392</t>
  </si>
  <si>
    <t>1312094505990001</t>
  </si>
  <si>
    <t>Menteng Dalam, Tebet, Jakarta Selatan</t>
  </si>
  <si>
    <t>Pasaman Barat, Padang</t>
  </si>
  <si>
    <t>05-05-1999</t>
  </si>
  <si>
    <t>PTN - Universitas Negeri Padang</t>
  </si>
  <si>
    <t xml:space="preserve">Bimbel My Rubel </t>
  </si>
  <si>
    <t>Bimbel TNI/ POLRI</t>
  </si>
  <si>
    <t>Bimbel Widya Exact Online</t>
  </si>
  <si>
    <t>syazasyahana1@gmail.com</t>
  </si>
  <si>
    <t>1obHzVmmqagq2MEG4XjPa0PZcGceLWEM8rbkRNZzLsi8</t>
  </si>
  <si>
    <t>https://docs.google.com/document/d/1obHzVmmqagq2MEG4XjPa0PZcGceLWEM8rbkRNZzLsi8/edit?usp=drivesdk</t>
  </si>
  <si>
    <t>Document successfully created; Document successfully merged; Run via form trigger as kemal.stafsus@gmail.com; Timestamp: Feb 21 2025 2:48 AM</t>
  </si>
  <si>
    <t>https://drive.google.com/open?id=1VHnUo9BwGxbT-TmjotOL_H9cTTfIySAS</t>
  </si>
  <si>
    <t>https://drive.google.com/uc?export=view&amp;id=1VHnUo9BwGxbT-TmjotOL_H9cTTfIySAS</t>
  </si>
  <si>
    <t>Muhammad Maulana S.Pd</t>
  </si>
  <si>
    <t>082339943664</t>
  </si>
  <si>
    <t>5203082705010002</t>
  </si>
  <si>
    <t>Batu Beserung Rt 005 Rw 002 Desa.Gunung Malang Kec.Pringgabaya</t>
  </si>
  <si>
    <t>27 Mei 2001</t>
  </si>
  <si>
    <t>Guru olahraga/Penjaskes</t>
  </si>
  <si>
    <t>Universitas hamzanwadi</t>
  </si>
  <si>
    <t>Admisi rekam medis Pku Muhammadiya kota bima</t>
  </si>
  <si>
    <t>Muhammad Maulana</t>
  </si>
  <si>
    <t>Lanangm60@gmail.com</t>
  </si>
  <si>
    <t>1GK8V_fCuip326z4C1WBSi2IPAMgNlvgpXS2BvARzVIE</t>
  </si>
  <si>
    <t>https://docs.google.com/document/d/1GK8V_fCuip326z4C1WBSi2IPAMgNlvgpXS2BvARzVIE/edit?usp=drivesdk</t>
  </si>
  <si>
    <t>Document successfully created; Document successfully merged; Run via form trigger as kemal.stafsus@gmail.com; Timestamp: Feb 25 2025 9:24 PM</t>
  </si>
  <si>
    <t>https://drive.google.com/open?id=1iLkWJePA50yIolJ_ZYJQQJajTHmR9vav</t>
  </si>
  <si>
    <t>https://drive.google.com/uc?export=view&amp;id=1iLkWJePA50yIolJ_ZYJQQJajTHmR9vav</t>
  </si>
  <si>
    <t>Eirlyn Zildjian, B.BA</t>
  </si>
  <si>
    <t>087860179669</t>
  </si>
  <si>
    <t>5203205810000001</t>
  </si>
  <si>
    <t>Lebak Bulus, Jakarta Selatan</t>
  </si>
  <si>
    <t>Jerowaru</t>
  </si>
  <si>
    <t>18-10-2000</t>
  </si>
  <si>
    <t>Alquran, Diniayah dan Bahasa Arab</t>
  </si>
  <si>
    <t>LN (Strata-1) - Imam Muhammad Ibn Saud Islamic University (LIPIA Jakarta)</t>
  </si>
  <si>
    <t>guru diniyah dan bahasa arab Qanita Islamic Boarding School Ceger 2022-2024</t>
  </si>
  <si>
    <t>freelance guru privat all subject dan alquran home visit dan online 2024 - sekarang</t>
  </si>
  <si>
    <t xml:space="preserve">guru bahasa arab privat online darunnisa 2024 - sekarang </t>
  </si>
  <si>
    <t>eirlynz@gmail.com</t>
  </si>
  <si>
    <t>1OfyeQ2ujoeREji5OqnGw1wIhhGi6Gyhqn9NWuG_vcVo</t>
  </si>
  <si>
    <t>https://docs.google.com/document/d/1OfyeQ2ujoeREji5OqnGw1wIhhGi6Gyhqn9NWuG_vcVo/edit?usp=drivesdk</t>
  </si>
  <si>
    <t>Document successfully created; Document successfully merged; Run via form trigger as kemal.stafsus@gmail.com; Timestamp: Mar 11 2025 3:43 AM</t>
  </si>
  <si>
    <t>https://drive.google.com/open?id=12EfLO7vIM3lDNumyXnudbWU069Wqi13P</t>
  </si>
  <si>
    <t>https://drive.google.com/uc?export=view&amp;id=12EfLO7vIM3lDNumyXnudbWU069Wqi13P</t>
  </si>
  <si>
    <t>Alif Rezky, S.Pd., M.Pd.</t>
  </si>
  <si>
    <t>085256162879</t>
  </si>
  <si>
    <t>7371100611980007</t>
  </si>
  <si>
    <t>Jl. Dg. Tata IV No.15B Makassar (saat ini masih tinggal di Jl. Raya Pebayuran Bekasi namun akan memutus kontrak dengan Al Binaa IBS untuk tahun ajaran 2025/2026)</t>
  </si>
  <si>
    <t>06-11-1998</t>
  </si>
  <si>
    <t xml:space="preserve">Universitas Negeri Makassar </t>
  </si>
  <si>
    <t>Program Pascasarjana Universitas Negeri Makassar</t>
  </si>
  <si>
    <t>SMA Negeri 2 Makassar</t>
  </si>
  <si>
    <t>SMA Islam Athirah Bukit Baruga (hanya 2 pekan saja)</t>
  </si>
  <si>
    <t>SMA IT Al Binaa Islamic Boarding School</t>
  </si>
  <si>
    <t>4lifrezky@gmail.com</t>
  </si>
  <si>
    <t>10GQXqtWdky4vER8IuPzW5MHTKacNrio0CazOoZT8SIw</t>
  </si>
  <si>
    <t>https://docs.google.com/document/d/10GQXqtWdky4vER8IuPzW5MHTKacNrio0CazOoZT8SIw/edit?usp=drivesdk</t>
  </si>
  <si>
    <t>Document successfully created; Document successfully merged; Run via form trigger as kemal.stafsus@gmail.com; Timestamp: Mar 13 2025 12:33 PM</t>
  </si>
  <si>
    <t>https://drive.google.com/open?id=1r5_dWvdPWlLCiNoAHKuT_4jpPLfIvSCR</t>
  </si>
  <si>
    <t>https://drive.google.com/uc?export=view&amp;id=1r5_dWvdPWlLCiNoAHKuT_4jpPLfIvSCR</t>
  </si>
  <si>
    <t>Fakhri Daffa Arrahman, S. T.</t>
  </si>
  <si>
    <t>3175022802030002</t>
  </si>
  <si>
    <t>Graha Indira, Citra Raya (Akan pindah dekat AW8)</t>
  </si>
  <si>
    <t>28-02-2003</t>
  </si>
  <si>
    <t>Universitas Dirgantara Marsekal Suryadarma</t>
  </si>
  <si>
    <t>Teknik Penerbangan</t>
  </si>
  <si>
    <t>Internatioal Mathematics Tutor - Private</t>
  </si>
  <si>
    <t>Internatioal Mathematics Teacher - Tutoring Company</t>
  </si>
  <si>
    <t>Math and Physics Teacher - Tutoring Company</t>
  </si>
  <si>
    <t>fdarrahman@gmail.com</t>
  </si>
  <si>
    <t>1JACQJ3en3ii6Qwl3LuP_5R_rWGpgGmu5Y2S-9zHqyEg</t>
  </si>
  <si>
    <t>https://docs.google.com/document/d/1JACQJ3en3ii6Qwl3LuP_5R_rWGpgGmu5Y2S-9zHqyEg/edit?usp=drivesdk</t>
  </si>
  <si>
    <t>Document successfully created; Document successfully merged; Run via form trigger as kemal.stafsus@gmail.com; Timestamp: Apr 10 2025 3:56 AM</t>
  </si>
  <si>
    <t>https://drive.google.com/open?id=1p5HtgZL-C1wVlU_9a3K7XHc1pNT0ruik</t>
  </si>
  <si>
    <t>https://drive.google.com/uc?export=view&amp;id=1p5HtgZL-C1wVlU_9a3K7XHc1pNT0ruik</t>
  </si>
  <si>
    <t>Muhammad Saman Nursakti, B.A., S.Pd., M.Pd.</t>
  </si>
  <si>
    <t>085871509681</t>
  </si>
  <si>
    <t>3275040403000011</t>
  </si>
  <si>
    <t>Jalan pengairan RT.006/002 No.80 Jakasetia Bekasi Selatan Kota Bekasi kode pos 17147</t>
  </si>
  <si>
    <t>04-03-2000</t>
  </si>
  <si>
    <t>Bahasa Arab, Al-Quran, &amp; Diniyyah (Fikih, Hadis, SKI, &amp; Akidah Akhlak)</t>
  </si>
  <si>
    <t>Institut Ilmu Al-Quran Jakarta (IIQ)</t>
  </si>
  <si>
    <t>MA/Mts Darul Falah</t>
  </si>
  <si>
    <t>Guru Al-Quran Cahaya Muda Qurani</t>
  </si>
  <si>
    <t>SD Al-Wildan Islamic School 2 Bekasi</t>
  </si>
  <si>
    <t>samansakti@gmail.com</t>
  </si>
  <si>
    <t>1G_EyKyF4MmL0H3tDPrXnJGotyWqJlf0fMflNLApVhMI</t>
  </si>
  <si>
    <t>https://docs.google.com/document/d/1G_EyKyF4MmL0H3tDPrXnJGotyWqJlf0fMflNLApVhMI/edit?usp=drivesdk</t>
  </si>
  <si>
    <t>Document successfully created; Document successfully merged; Run via form trigger as kemal.stafsus@gmail.com; Timestamp: Apr 10 2025 4:21 AM</t>
  </si>
  <si>
    <t>https://drive.google.com/open?id=1mFHqGtBycMzJEnFYK7XIWkVOzmDF0ox9</t>
  </si>
  <si>
    <t>https://drive.google.com/uc?export=view&amp;id=1mFHqGtBycMzJEnFYK7XIWkVOzmDF0ox9</t>
  </si>
  <si>
    <t>FURSANUL HAQ SYA'BAN LC</t>
  </si>
  <si>
    <t>082258499434</t>
  </si>
  <si>
    <t>3604102112960001</t>
  </si>
  <si>
    <t>Kecamatan Walantaka, Serang-Banten</t>
  </si>
  <si>
    <t>22-12-1996</t>
  </si>
  <si>
    <t>S1-Universitas Al-Azhar Cairo</t>
  </si>
  <si>
    <t xml:space="preserve">Syari'ah Islamiyyah </t>
  </si>
  <si>
    <t>Musyrif Tahfizh dan Guru Bahasa Arab Baina Yadaika</t>
  </si>
  <si>
    <t>0113139897100</t>
  </si>
  <si>
    <t>Bank Jabar Banten</t>
  </si>
  <si>
    <t>fursanalhaq21@gmail.com</t>
  </si>
  <si>
    <t>1_w_nnOn5gf7cghMKqR_D1okYy8wm6H9F-BABfk1aVt8</t>
  </si>
  <si>
    <t>https://docs.google.com/document/d/1_w_nnOn5gf7cghMKqR_D1okYy8wm6H9F-BABfk1aVt8/edit?usp=drivesdk</t>
  </si>
  <si>
    <t>Document successfully created; Document successfully merged; Run via form trigger as kemal.stafsus@gmail.com; Timestamp: Apr 11 2025 1:47 AM</t>
  </si>
  <si>
    <t>https://drive.google.com/open?id=1Z8DyokO7OiLu9tvpagOmf4WZHrSNK67X</t>
  </si>
  <si>
    <t>https://drive.google.com/uc?export=view&amp;id=1Z8DyokO7OiLu9tvpagOmf4WZHrSNK67X</t>
  </si>
  <si>
    <t>Aulia Aziz Salsabilla, S.S.</t>
  </si>
  <si>
    <t>089502830730</t>
  </si>
  <si>
    <t>3216075011020016</t>
  </si>
  <si>
    <t>Bekasi Regensi 1 F2/10 RT 005 RW 005 Kel. Wanasari, Kec. Cibitung, Kab. Bekasi 17520</t>
  </si>
  <si>
    <t>10-11-2002</t>
  </si>
  <si>
    <t>Diniyyah - Bandung Islamic School</t>
  </si>
  <si>
    <t>Marketing Leader</t>
  </si>
  <si>
    <t>Social Media Manager</t>
  </si>
  <si>
    <t>salsabilla8745@gmail.com</t>
  </si>
  <si>
    <t>1qAU70I-oOfWhBMycpipGbaeAa2_v87I8FlhXjTrnb4E</t>
  </si>
  <si>
    <t>https://docs.google.com/document/d/1qAU70I-oOfWhBMycpipGbaeAa2_v87I8FlhXjTrnb4E/edit?usp=drivesdk</t>
  </si>
  <si>
    <t>Document successfully created; Document successfully merged; Run via form trigger as kemal.stafsus@gmail.com; Timestamp: Apr 22 2025 8:34 AM</t>
  </si>
  <si>
    <t>https://drive.google.com/open?id=1Yer-5z8FlIcxzBI1bztliH-yzQ4iLc05</t>
  </si>
  <si>
    <t>https://drive.google.com/uc?export=view&amp;id=1Yer-5z8FlIcxzBI1bztliH-yzQ4iLc05</t>
  </si>
  <si>
    <t>Muh Rifqil Furqan, Lc. M.Si.</t>
  </si>
  <si>
    <t>081281427410</t>
  </si>
  <si>
    <t>5206132504941005</t>
  </si>
  <si>
    <t>Komp. SBS Harapan Jaya Bekasi Utara Jawa Barat</t>
  </si>
  <si>
    <t>25-04-1994</t>
  </si>
  <si>
    <t>30 Tahun 11 Bulan 27 Hari</t>
  </si>
  <si>
    <t>Al Quran Diniyyah Arabic</t>
  </si>
  <si>
    <t>Imam Muhammad Ibnu Saud (Lipia) Jakarta</t>
  </si>
  <si>
    <t>4,28 dari 5</t>
  </si>
  <si>
    <t>Dirasat Islamiyyah</t>
  </si>
  <si>
    <t>Kepala SMP - SMA Fullday Rumah Quran Ahsan</t>
  </si>
  <si>
    <t>Imam Masjid &amp; Pengisi Kajian</t>
  </si>
  <si>
    <t xml:space="preserve">Guru Privat Diniyyah &amp; Bahasa Arab </t>
  </si>
  <si>
    <t>rifqilfurqan10@gmail.com</t>
  </si>
  <si>
    <t>1I5aP1_Wuu6PD1tAWC0MJ_QguqG6NzrLizybyGgiq7LU</t>
  </si>
  <si>
    <t>https://docs.google.com/document/d/1I5aP1_Wuu6PD1tAWC0MJ_QguqG6NzrLizybyGgiq7LU/edit?usp=drivesdk</t>
  </si>
  <si>
    <t>Document successfully created; Document successfully merged; Run via form trigger as kemal.stafsus@gmail.com; Timestamp: Apr 22 2025 9:40 AM</t>
  </si>
  <si>
    <t>https://drive.google.com/open?id=17gks1CYuRhc4w-GsfxHHO35umLaE-zNT</t>
  </si>
  <si>
    <t>https://drive.google.com/uc?export=view&amp;id=17gks1CYuRhc4w-GsfxHHO35umLaE-zNT</t>
  </si>
  <si>
    <t>Deina Putri Pardanita, S.Pd.</t>
  </si>
  <si>
    <t>082315491220</t>
  </si>
  <si>
    <t>3206066403000001</t>
  </si>
  <si>
    <t>20-03-2000</t>
  </si>
  <si>
    <t>Teacher English First (EF)</t>
  </si>
  <si>
    <t>Guru Bahasa Inggris - SMP Lab UPI Tasik</t>
  </si>
  <si>
    <t xml:space="preserve">ELTI Tasikmalaya </t>
  </si>
  <si>
    <t>deinapardanata27@gmail.com</t>
  </si>
  <si>
    <t>1vUOsJ6WN6dKk9AWkk0cFu6y4bDzPtPRTce5q9QsN2xE</t>
  </si>
  <si>
    <t>https://docs.google.com/document/d/1vUOsJ6WN6dKk9AWkk0cFu6y4bDzPtPRTce5q9QsN2xE/edit?usp=drivesdk</t>
  </si>
  <si>
    <t>Document successfully created; Document successfully merged; Run via form trigger as kemal.stafsus@gmail.com; Timestamp: Apr 23 2025 8:05 AM</t>
  </si>
  <si>
    <t>https://drive.google.com/open?id=169Inn_BFxaLc0lntotbtoYp9r3_WUtG8</t>
  </si>
  <si>
    <t>https://drive.google.com/uc?export=view&amp;id=169Inn_BFxaLc0lntotbtoYp9r3_WUtG8</t>
  </si>
  <si>
    <t>NELLY SAFITRI ANWARI</t>
  </si>
  <si>
    <t>087759865473</t>
  </si>
  <si>
    <t>5202114612950001</t>
  </si>
  <si>
    <t>Jalan Darul Hikmah 2, Terong Tawah, Labuapi, Lombok Barat, NTB</t>
  </si>
  <si>
    <t>06-12-1995</t>
  </si>
  <si>
    <t>Sains dan Kimia</t>
  </si>
  <si>
    <t>Universitas Islam Negeri Maulana Malik Ibrahim Malang</t>
  </si>
  <si>
    <t>Murobbiyah di Tazkia Islamic Internasional Boarding School Malang tahun 2019</t>
  </si>
  <si>
    <t xml:space="preserve">Pernah menjadi guru sains (kimia, fisika dan biologi) di sekolah Stella Gracia Lombok selama satu tahun </t>
  </si>
  <si>
    <t>Guru private</t>
  </si>
  <si>
    <t>0562188582</t>
  </si>
  <si>
    <t>Nellysafitri.anwari@gmail.com</t>
  </si>
  <si>
    <t>1QCsYP9mJZ47pJf5i63sExw1lsEoAjzlxrT65k5Q9AXc</t>
  </si>
  <si>
    <t>https://docs.google.com/document/d/1QCsYP9mJZ47pJf5i63sExw1lsEoAjzlxrT65k5Q9AXc/edit?usp=drivesdk</t>
  </si>
  <si>
    <t>Document successfully created; Document successfully merged; Run via form trigger as kemal.stafsus@gmail.com; Timestamp: Apr 24 2025 3:16 AM</t>
  </si>
  <si>
    <t>https://drive.google.com/open?id=1jxUXDyYSnjE6i7xhRkTvYXxGEx56Ihnb</t>
  </si>
  <si>
    <t>https://drive.google.com/uc?export=view&amp;id=1jxUXDyYSnjE6i7xhRkTvYXxGEx56Ihnb</t>
  </si>
  <si>
    <t>FARHANAH</t>
  </si>
  <si>
    <t>085936645253</t>
  </si>
  <si>
    <t>5271046007990002</t>
  </si>
  <si>
    <t>JL. KELAPA TIGA NO. 45 GERISAK</t>
  </si>
  <si>
    <t>20-07-1999</t>
  </si>
  <si>
    <t>Guru Pelajaran Umum TK</t>
  </si>
  <si>
    <t>Universitas Terbuka On Going</t>
  </si>
  <si>
    <t>Pendidikan Guru Pendidikan Anak Usia Dini</t>
  </si>
  <si>
    <t>2 tahun kurang bekerja di TK Islam Birrul Walidain</t>
  </si>
  <si>
    <t>Guru Al Quran TPQ Al Mujahidin</t>
  </si>
  <si>
    <t>25000/hari</t>
  </si>
  <si>
    <t>farhanah.afghany@gmail.com</t>
  </si>
  <si>
    <t>1eSPJGp009n_XGbChPZCneA2Gj4Jvl4Rgm-fFetvwy8k</t>
  </si>
  <si>
    <t>https://docs.google.com/document/d/1eSPJGp009n_XGbChPZCneA2Gj4Jvl4Rgm-fFetvwy8k/edit?usp=drivesdk</t>
  </si>
  <si>
    <t>Document successfully created; Document successfully merged; Run via form trigger as kemal.stafsus@gmail.com; Timestamp: Apr 27 2025 10:09 PM</t>
  </si>
  <si>
    <t>https://drive.google.com/open?id=1d7ednEU4vgZMPX9sqaLHu8xNjJIBphmB</t>
  </si>
  <si>
    <t>https://drive.google.com/uc?export=view&amp;id=1d7ednEU4vgZMPX9sqaLHu8xNjJIBphmB</t>
  </si>
  <si>
    <t>Abu Muhammad Agus Fachry, Lc.</t>
  </si>
  <si>
    <t>085239500121</t>
  </si>
  <si>
    <t>2571041608700001</t>
  </si>
  <si>
    <t>Jalan Kelapa Tiga No. 45 Kekalik Jaya Sekarbela Mataram-NTB 83115</t>
  </si>
  <si>
    <t>Paruga Bima</t>
  </si>
  <si>
    <t>16-08-1970</t>
  </si>
  <si>
    <t>54 tahun 9 bulan</t>
  </si>
  <si>
    <t>Universitas Islam Muhammad bin Sa'ud</t>
  </si>
  <si>
    <t>Tarbiyyah Islamiyyah</t>
  </si>
  <si>
    <t>Guru Agama</t>
  </si>
  <si>
    <t>2.750.000,-</t>
  </si>
  <si>
    <t xml:space="preserve">Guru Agama </t>
  </si>
  <si>
    <t>10.000.000,-</t>
  </si>
  <si>
    <t xml:space="preserve">BPD NTB SYARI'AH </t>
  </si>
  <si>
    <t>amaf.afghany@gmail.com</t>
  </si>
  <si>
    <t>11WzbXqcuJa6Lh-gmbXWzQIpjX1oFL6jFt1I3x2ts8v0</t>
  </si>
  <si>
    <t>https://docs.google.com/document/d/11WzbXqcuJa6Lh-gmbXWzQIpjX1oFL6jFt1I3x2ts8v0/edit?usp=drivesdk</t>
  </si>
  <si>
    <t>Document successfully created; Document successfully merged; Run via form trigger as kemal.stafsus@gmail.com; Timestamp: Apr 27 2025 10:52 PM</t>
  </si>
  <si>
    <t>https://drive.google.com/open?id=1ERtvsxzDcB7gcTzMevGkiY5PH_1W9kjn</t>
  </si>
  <si>
    <t>https://drive.google.com/uc?export=view&amp;id=1ERtvsxzDcB7gcTzMevGkiY5PH_1W9kjn</t>
  </si>
  <si>
    <t>Agwin Darwiyanti, M.Pd.</t>
  </si>
  <si>
    <t>085741446870</t>
  </si>
  <si>
    <t>3275015608970016</t>
  </si>
  <si>
    <t>Perum Easter Polimer B.23, Aren Jaya, Bekasi Timur</t>
  </si>
  <si>
    <t>Science, English and Math</t>
  </si>
  <si>
    <t xml:space="preserve">UIN SURAKARTA </t>
  </si>
  <si>
    <t>UPI BANDUNG</t>
  </si>
  <si>
    <t>English Master Teacher</t>
  </si>
  <si>
    <t>agwindrw16@gmail.com</t>
  </si>
  <si>
    <t>1m3QxNwHbbpf9rTqvW4zhG476lae08PTx6lVT4unGiA8</t>
  </si>
  <si>
    <t>https://docs.google.com/document/d/1m3QxNwHbbpf9rTqvW4zhG476lae08PTx6lVT4unGiA8/edit?usp=drivesdk</t>
  </si>
  <si>
    <t>Document successfully created; Document successfully merged; Run via form trigger as kemal.stafsus@gmail.com; Timestamp: Apr 29 2025 1:20 AM</t>
  </si>
  <si>
    <t>https://drive.google.com/open?id=1jpVtyfrv8XV6rOQWT2_f7cD7IPUmlZPD</t>
  </si>
  <si>
    <t>https://drive.google.com/uc?export=view&amp;id=1jpVtyfrv8XV6rOQWT2_f7cD7IPUmlZPD</t>
  </si>
  <si>
    <t>Syarifah Hafizah, M.Pd.</t>
  </si>
  <si>
    <t>Perumahan Forest Hill, Blok Sherwood S10/11, Kelurahan Kabasiran, Kecamatan Parung Panjang, Kabupaten Bogor, Jawa Barat, 16360</t>
  </si>
  <si>
    <t>Science dan Mathematics</t>
  </si>
  <si>
    <t>Magister Pendidikan Fisika</t>
  </si>
  <si>
    <t>SMA IT Auliya</t>
  </si>
  <si>
    <t>SMP Jaya Plus Montessori (Part-time hanya senin dan jumat online)</t>
  </si>
  <si>
    <t>17gxZss64TDu-qQ0rK1wyf1LR9k532Tk6VNmwsA_EXHo</t>
  </si>
  <si>
    <t>https://docs.google.com/document/d/17gxZss64TDu-qQ0rK1wyf1LR9k532Tk6VNmwsA_EXHo/edit?usp=drivesdk</t>
  </si>
  <si>
    <t>Document successfully created; Document successfully merged; Run via form trigger as kemal.stafsus@gmail.com; Timestamp: Apr 29 2025 3:37 AM</t>
  </si>
  <si>
    <t>https://drive.google.com/open?id=1QcW4XPhvOp6kYcVwl7cVskoYJPWN5byN</t>
  </si>
  <si>
    <t>https://drive.google.com/uc?export=view&amp;id=1QcW4XPhvOp6kYcVwl7cVskoYJPWN5byN</t>
  </si>
  <si>
    <t>Luthfia Aufanzylla Anantyanda, S.M.</t>
  </si>
  <si>
    <t>082322298946</t>
  </si>
  <si>
    <t>3273206004960002</t>
  </si>
  <si>
    <t>Jalan Foresta Raya Naturale N8 No 5-6 BSD City</t>
  </si>
  <si>
    <t>29 tahun 0.5 bulan</t>
  </si>
  <si>
    <t>Gandhi Memorial Intercontinental School Semarang</t>
  </si>
  <si>
    <t>aufanzyllaxluthfia@gmail.com</t>
  </si>
  <si>
    <t>1G-cI8ndNzAktOArYb1eu7-tl1d0fouvw6g-Pv5xZ6ts</t>
  </si>
  <si>
    <t>https://docs.google.com/document/d/1G-cI8ndNzAktOArYb1eu7-tl1d0fouvw6g-Pv5xZ6ts/edit?usp=drivesdk</t>
  </si>
  <si>
    <t>Document successfully created; Document successfully merged; Run via form trigger as kemal.stafsus@gmail.com; Timestamp: Apr 29 2025 9:34 PM</t>
  </si>
  <si>
    <t>https://drive.google.com/open?id=1IXXK54dNAppTEDFrmhN7uEk82QX4Sxxh</t>
  </si>
  <si>
    <t>https://drive.google.com/uc?export=view&amp;id=1IXXK54dNAppTEDFrmhN7uEk82QX4Sxxh</t>
  </si>
  <si>
    <t>Yunita Rizqia S.Tp</t>
  </si>
  <si>
    <t>085253893938</t>
  </si>
  <si>
    <t>5201095105990004</t>
  </si>
  <si>
    <t>Dusun gunungsari</t>
  </si>
  <si>
    <t>Gunung sari</t>
  </si>
  <si>
    <t>11-05-99</t>
  </si>
  <si>
    <t>pelajaran kelas (berhuitung, menulis, membaca) , doa keseharian, hadist, hafalan quran</t>
  </si>
  <si>
    <t>universitas mataram</t>
  </si>
  <si>
    <t>Teknik pertanian</t>
  </si>
  <si>
    <t>saya bekerja sebagai guru TK Pada sebuah instansi swasta yang berbasis agama islam, posisi saya sebagai guru dari tahun 2022-2025</t>
  </si>
  <si>
    <t>yunitarizqya99@gmail.com</t>
  </si>
  <si>
    <t>15ecOAAPQiaRRt7KOv8t-wFBC1k6CYbLpi_TiCEFiySM</t>
  </si>
  <si>
    <t>https://docs.google.com/document/d/15ecOAAPQiaRRt7KOv8t-wFBC1k6CYbLpi_TiCEFiySM/edit?usp=drivesdk</t>
  </si>
  <si>
    <t>Document successfully created; Document successfully merged; Run via form trigger as kemal.stafsus@gmail.com; Timestamp: Apr 30 2025 1:03 AM</t>
  </si>
  <si>
    <t>https://drive.google.com/open?id=1_J11u4TA0rPCwbWeQENLNvy36Z-QNOtc</t>
  </si>
  <si>
    <t>https://drive.google.com/uc?export=view&amp;id=1_J11u4TA0rPCwbWeQENLNvy36Z-QNOtc</t>
  </si>
  <si>
    <t>Mia Adella Karnadi S.Pd</t>
  </si>
  <si>
    <t>087861645226</t>
  </si>
  <si>
    <t>5201145509990003</t>
  </si>
  <si>
    <t>pelempat meninting kec. batu layar. kab. lombok barat</t>
  </si>
  <si>
    <t>Ampenan</t>
  </si>
  <si>
    <t>15-09-1999</t>
  </si>
  <si>
    <t>Teacher Assistant in Apple Tree Pre-school Lombok</t>
  </si>
  <si>
    <t>Asisten Pembimbing in Kumon Adi Sucipto</t>
  </si>
  <si>
    <t>Reservation in Sasak Tour</t>
  </si>
  <si>
    <t>karnadi.della@gmail.com</t>
  </si>
  <si>
    <t>1g9Nc1B75jNDeA1j6mnDz8B9nT-gJYUP0PoMUYBwElPE</t>
  </si>
  <si>
    <t>https://docs.google.com/document/d/1g9Nc1B75jNDeA1j6mnDz8B9nT-gJYUP0PoMUYBwElPE/edit?usp=drivesdk</t>
  </si>
  <si>
    <t>Document successfully created; Document successfully merged; Run via form trigger as kemal.stafsus@gmail.com; Timestamp: Apr 30 2025 2:57 AM</t>
  </si>
  <si>
    <t>https://drive.google.com/open?id=1OQiM9uiT_Hd7yGifP9zX9zpgkbCae-SU</t>
  </si>
  <si>
    <t>https://drive.google.com/uc?export=view&amp;id=1OQiM9uiT_Hd7yGifP9zX9zpgkbCae-SU</t>
  </si>
  <si>
    <t>Achmad Faisal Azhari, S.Pd</t>
  </si>
  <si>
    <t>085893978147</t>
  </si>
  <si>
    <t>Kp. Tambun Permata 01/02 Pusaka Rakyat, Tarumajaya, Bekasi</t>
  </si>
  <si>
    <t>14-04-1998</t>
  </si>
  <si>
    <t>27 tahun 16 hari</t>
  </si>
  <si>
    <t>PJKR</t>
  </si>
  <si>
    <t>Guru PJOK MTs Attaqwa 06</t>
  </si>
  <si>
    <t>Guru PJOK SDN Setia Asih</t>
  </si>
  <si>
    <t>Guru PJOK MTs Al-Wathoniyah 43</t>
  </si>
  <si>
    <t>0040032864</t>
  </si>
  <si>
    <t>BCA Syariah a.n Achmad Faisal Azhari</t>
  </si>
  <si>
    <t>fazhari180@gmail.com</t>
  </si>
  <si>
    <t>1MipM7zDVtJxDbg93ozMqgZPJ5xQLutdPTn3GzdoFUIQ</t>
  </si>
  <si>
    <t>https://docs.google.com/document/d/1MipM7zDVtJxDbg93ozMqgZPJ5xQLutdPTn3GzdoFUIQ/edit?usp=drivesdk</t>
  </si>
  <si>
    <t>Document successfully created; Document successfully merged; Run via form trigger as kemal.stafsus@gmail.com; Timestamp: Apr 30 2025 9:27 AM</t>
  </si>
  <si>
    <t>https://drive.google.com/open?id=1GWzqQrUcPx1-FD6jR7W3lI6F8hhH9v8F</t>
  </si>
  <si>
    <t>https://drive.google.com/uc?export=view&amp;id=1GWzqQrUcPx1-FD6jR7W3lI6F8hhH9v8F</t>
  </si>
  <si>
    <t>Rania Aisyah Putri</t>
  </si>
  <si>
    <t>0895806732857</t>
  </si>
  <si>
    <t>7310105603000003</t>
  </si>
  <si>
    <t>Jl. Dg. Hayo, Manggala</t>
  </si>
  <si>
    <t>Pangkep</t>
  </si>
  <si>
    <t>Guru Matematika SDIT Qurthuba</t>
  </si>
  <si>
    <t>raniaaisyahputriii8@gmail.com</t>
  </si>
  <si>
    <t>1Ia37vLD0Fv0eKcEFuhxHls2uw26iX-X1vEywn2pXmr4</t>
  </si>
  <si>
    <t>https://docs.google.com/document/d/1Ia37vLD0Fv0eKcEFuhxHls2uw26iX-X1vEywn2pXmr4/edit?usp=drivesdk</t>
  </si>
  <si>
    <t>Document successfully created; Document successfully merged; Run via form trigger as kemal.stafsus@gmail.com; Timestamp: Apr 30 2025 5:37 PM</t>
  </si>
  <si>
    <t>https://drive.google.com/open?id=17S6kZ-5V-_otdEE67kymETR5roRhJwEx</t>
  </si>
  <si>
    <t>https://drive.google.com/uc?export=view&amp;id=17S6kZ-5V-_otdEE67kymETR5roRhJwEx</t>
  </si>
  <si>
    <t>Yunita Rizqia, S.Tp</t>
  </si>
  <si>
    <t>gunung sari, lombok barat</t>
  </si>
  <si>
    <t xml:space="preserve">english (TK) </t>
  </si>
  <si>
    <t>teknik pertanian</t>
  </si>
  <si>
    <t xml:space="preserve">guru TK islam </t>
  </si>
  <si>
    <t>1WJnk6Z_6S3XSR3nb-0J-mqcv4iIHawrmtAJFvYWGq9U</t>
  </si>
  <si>
    <t>https://docs.google.com/document/d/1WJnk6Z_6S3XSR3nb-0J-mqcv4iIHawrmtAJFvYWGq9U/edit?usp=drivesdk</t>
  </si>
  <si>
    <t>Document successfully created; Document successfully merged; Run via form trigger as kemal.stafsus@gmail.com; Timestamp: May 9 2025 10:34 PM</t>
  </si>
  <si>
    <t>https://drive.google.com/open?id=11hji5jRCtOdeOykoA89YW_U77u5mgB54</t>
  </si>
  <si>
    <t>https://drive.google.com/uc?export=view&amp;id=11hji5jRCtOdeOykoA89YW_U77u5mgB54</t>
  </si>
  <si>
    <t>Baiq Wimandari Safitri, M.Pd</t>
  </si>
  <si>
    <t>085253883005</t>
  </si>
  <si>
    <t>5203065605000008</t>
  </si>
  <si>
    <t>BTN Griya Sehati, Terong Tawah, Labuapi, Lombok Barat, NTB</t>
  </si>
  <si>
    <t>16-05-2000</t>
  </si>
  <si>
    <t>24 tahun, 11 bulan</t>
  </si>
  <si>
    <t xml:space="preserve">Science, English, Mathematics </t>
  </si>
  <si>
    <t xml:space="preserve">Universitas Mataram </t>
  </si>
  <si>
    <t>Tutor Bahasa Inggris di Bimbel Calon siswa POLRI</t>
  </si>
  <si>
    <t xml:space="preserve">Asisten Dosen </t>
  </si>
  <si>
    <t>baiqwimandari@gmail.com</t>
  </si>
  <si>
    <t>1sIevQHZj8dyVY4tkdswHCuK-qTu4xeC-uTswYL924pQ</t>
  </si>
  <si>
    <t>https://docs.google.com/document/d/1sIevQHZj8dyVY4tkdswHCuK-qTu4xeC-uTswYL924pQ/edit?usp=drivesdk</t>
  </si>
  <si>
    <t>Document successfully created; Document successfully merged; Run via form trigger as kemal.stafsus@gmail.com; Timestamp: May 12 2025 5:29 AM</t>
  </si>
  <si>
    <t>https://drive.google.com/open?id=1-VSjsgOhDPoozBxq2HoIFtUAJqp7ua37</t>
  </si>
  <si>
    <t>https://drive.google.com/uc?export=view&amp;id=1-VSjsgOhDPoozBxq2HoIFtUAJqp7ua37</t>
  </si>
  <si>
    <t>Ardian Syahputra, S.Pd.</t>
  </si>
  <si>
    <t>081236804294</t>
  </si>
  <si>
    <t>5204081004940001</t>
  </si>
  <si>
    <t>Jalan Segara Anak No 35 Taman Kapitan Ampenan, Kota Mataram.</t>
  </si>
  <si>
    <t>Empang, Kab. Sumbawa</t>
  </si>
  <si>
    <t>31 tahun 1 bulan</t>
  </si>
  <si>
    <t>ardianmth10@gmail.com</t>
  </si>
  <si>
    <t>15CTVlGfJ7fK-WZRadlk6VWf_jPaNvaTXfmUkU5xwpHM</t>
  </si>
  <si>
    <t>https://docs.google.com/document/d/15CTVlGfJ7fK-WZRadlk6VWf_jPaNvaTXfmUkU5xwpHM/edit?usp=drivesdk</t>
  </si>
  <si>
    <t>Document successfully created; Document successfully merged; Run via form trigger as kemal.stafsus@gmail.com; Timestamp: May 15 2025 4:24 AM</t>
  </si>
  <si>
    <t>https://drive.google.com/open?id=1lYR0uPK1NkpwAJJv92gvU0j0WGEQAdFl</t>
  </si>
  <si>
    <t>https://drive.google.com/uc?export=view&amp;id=1lYR0uPK1NkpwAJJv92gvU0j0WGEQAdFl</t>
  </si>
  <si>
    <t>Khaliza Amanda Alsyadira</t>
  </si>
  <si>
    <t>08998421444</t>
  </si>
  <si>
    <t>3275016601000017</t>
  </si>
  <si>
    <t>Perumahan Mulyapuri Blok B No 22 RT.02 RW.08 Kel. Duren Jaya Kec. Bekasi Timur Kota Bekasi</t>
  </si>
  <si>
    <t>26 Januari 2000</t>
  </si>
  <si>
    <t>25 Tahun 3 Bulan</t>
  </si>
  <si>
    <t xml:space="preserve">Freelance Public Speakers/Over Talent/Youth Facilitator </t>
  </si>
  <si>
    <t>Head Announcer</t>
  </si>
  <si>
    <t>Part Time Pelatih Ekskul</t>
  </si>
  <si>
    <t>alsyadiraacha@gmail.com</t>
  </si>
  <si>
    <t>17AHDQuRwPE5ZrSWevsGD-zBuWb4zA8V0p7w6bEf9IBo</t>
  </si>
  <si>
    <t>https://docs.google.com/document/d/17AHDQuRwPE5ZrSWevsGD-zBuWb4zA8V0p7w6bEf9IBo/edit?usp=drivesdk</t>
  </si>
  <si>
    <t>Document successfully created; Document successfully merged; Run via form trigger as kemal.stafsus@gmail.com; Timestamp: May 16 2025 2:39 AM</t>
  </si>
  <si>
    <t>https://drive.google.com/open?id=1lDGDg62hCvgBZyGcMLsAuJm2qrbroTiC</t>
  </si>
  <si>
    <t>https://drive.google.com/uc?export=view&amp;id=1lDGDg62hCvgBZyGcMLsAuJm2qrbroTiC</t>
  </si>
  <si>
    <t xml:space="preserve">Finandya Fatihasari, S.Si., M.Agr., M.Biotech. </t>
  </si>
  <si>
    <t>081393407300</t>
  </si>
  <si>
    <t>3404085507980002</t>
  </si>
  <si>
    <t>Teguhan RT 02/ RW 18, Kalitirto, Berbah, Sleman, DIY</t>
  </si>
  <si>
    <t>15-07-1998</t>
  </si>
  <si>
    <t>Bioteknologi</t>
  </si>
  <si>
    <t>International goodwill ambassador and lounge tutor</t>
  </si>
  <si>
    <t>Research team member</t>
  </si>
  <si>
    <t>Operational Excellence (HR)</t>
  </si>
  <si>
    <t>04552667401</t>
  </si>
  <si>
    <t>finandya.fatihasari@mail.ugm.ac.id</t>
  </si>
  <si>
    <t>1eFGljLbCXQCSdJcNOy2t-kvcpqWjEDPR2p9RqOOf5ug</t>
  </si>
  <si>
    <t>https://docs.google.com/document/d/1eFGljLbCXQCSdJcNOy2t-kvcpqWjEDPR2p9RqOOf5ug/edit?usp=drivesdk</t>
  </si>
  <si>
    <t>Document successfully created; Document successfully merged; Run via form trigger as kemal.stafsus@gmail.com; Timestamp: May 16 2025 8:38 PM</t>
  </si>
  <si>
    <t>https://drive.google.com/open?id=1_UlQccIt705Ajyf69OFKj58HXmY9y2lK</t>
  </si>
  <si>
    <t>https://drive.google.com/uc?export=view&amp;id=1_UlQccIt705Ajyf69OFKj58HXmY9y2lK</t>
  </si>
  <si>
    <t>Istiqomah As Sayfullooh A.Md.Kom, S.Pd, M.Pd</t>
  </si>
  <si>
    <t>081325245959</t>
  </si>
  <si>
    <t>1306073007920001</t>
  </si>
  <si>
    <t>Komplek Parupuak Raya Blok D/44, RT 03 RW 15, Kecamatan Koto Tangah, Kota Padang, Provinsi Sumatera Barat</t>
  </si>
  <si>
    <t>30-07-1992</t>
  </si>
  <si>
    <t>33 Tahun 10 Bulan</t>
  </si>
  <si>
    <t>PTS - Universitas Adzkia</t>
  </si>
  <si>
    <t>Staff Tata Usaha SD Negeri di Kota Bukittinggi</t>
  </si>
  <si>
    <t>Wali Kelas dan Guru Mata Pelajaran Agama Kelas 3 SD Swasta di Kabupaten Agam</t>
  </si>
  <si>
    <t>isticrow.safi@gmail.com</t>
  </si>
  <si>
    <t>17rEbpCey1XbP8VwaNi06rkACZIvLmLgA2AH_SFkPoYg</t>
  </si>
  <si>
    <t>https://docs.google.com/document/d/17rEbpCey1XbP8VwaNi06rkACZIvLmLgA2AH_SFkPoYg/edit?usp=drivesdk</t>
  </si>
  <si>
    <t>Document successfully created; Document successfully merged; Run via form trigger as kemal.stafsus@gmail.com; Timestamp: May 16 2025 10:06 PM</t>
  </si>
  <si>
    <t>https://drive.google.com/open?id=1-WtuG9anJApLifO1vb7lmW1pmimfIm3S</t>
  </si>
  <si>
    <t>https://drive.google.com/uc?export=view&amp;id=1-WtuG9anJApLifO1vb7lmW1pmimfIm3S</t>
  </si>
  <si>
    <t>Mar'i, S.Pd.</t>
  </si>
  <si>
    <t>085718256459</t>
  </si>
  <si>
    <t>3602212707990003</t>
  </si>
  <si>
    <t xml:space="preserve">Purwakarta </t>
  </si>
  <si>
    <t>27 Juli 1999</t>
  </si>
  <si>
    <t>Bahasa arab dan diniyyah</t>
  </si>
  <si>
    <t>Guru Al qur'an dan bahasa arab</t>
  </si>
  <si>
    <t>abutoriq99@gmail.com</t>
  </si>
  <si>
    <t>1oms4SzcSH1hW3lOKTBuWcuaLzSkMSYo1IPJaI_VjnY0</t>
  </si>
  <si>
    <t>https://docs.google.com/document/d/1oms4SzcSH1hW3lOKTBuWcuaLzSkMSYo1IPJaI_VjnY0/edit?usp=drivesdk</t>
  </si>
  <si>
    <t>Document successfully created; Document successfully merged; Run via form trigger as kemal.stafsus@gmail.com; Timestamp: May 16 2025 11:06 PM</t>
  </si>
  <si>
    <t>https://drive.google.com/open?id=1oE66pT-IYawFFnQDhEkiTjnUrnPPIgVS</t>
  </si>
  <si>
    <t>https://drive.google.com/uc?export=view&amp;id=1oE66pT-IYawFFnQDhEkiTjnUrnPPIgVS</t>
  </si>
  <si>
    <t>Wahyu Nur Azizah</t>
  </si>
  <si>
    <t>085926010228</t>
  </si>
  <si>
    <t>Masbagik, Lombok Timur, NTB</t>
  </si>
  <si>
    <t>Masbagik, Lombok Timur</t>
  </si>
  <si>
    <t>28-11-1997</t>
  </si>
  <si>
    <t xml:space="preserve">Ma'had Aisyah binti Abu-bakar Li Al-dakwah. </t>
  </si>
  <si>
    <t xml:space="preserve">Mengajar tahfidz, PAI dan bahasa Arab (online) </t>
  </si>
  <si>
    <t>wahyunurazizah028@gmail.com</t>
  </si>
  <si>
    <t>1X7d6O6UIZS-BLq0OOQZXlhSDFbSTSr8t1Xsal_YKmTw</t>
  </si>
  <si>
    <t>https://docs.google.com/document/d/1X7d6O6UIZS-BLq0OOQZXlhSDFbSTSr8t1Xsal_YKmTw/edit?usp=drivesdk</t>
  </si>
  <si>
    <t>Document successfully created; Document successfully merged; Run via form trigger as kemal.stafsus@gmail.com; Timestamp: May 17 2025 4:33 AM</t>
  </si>
  <si>
    <t>https://drive.google.com/open?id=18xhAL7rHh_G7XaDIDcszAfW-bkZuxPgc</t>
  </si>
  <si>
    <t>https://drive.google.com/uc?export=view&amp;id=18xhAL7rHh_G7XaDIDcszAfW-bkZuxPgc</t>
  </si>
  <si>
    <t>Ita Utami, S.P., M.Si.</t>
  </si>
  <si>
    <t>089644401580</t>
  </si>
  <si>
    <t>1809074305960004</t>
  </si>
  <si>
    <t>Jl. Kebon Kelapa No.86 Tambun Selatan, Kab. Bekasi</t>
  </si>
  <si>
    <t>Agroekoteknologi</t>
  </si>
  <si>
    <t>Guru Biologi MTs dan MA Ibad Ar Rohman Islamic Boarding School</t>
  </si>
  <si>
    <t xml:space="preserve">Guru IPA dan Biologi Bimbel Bintang Pelajar </t>
  </si>
  <si>
    <t>itautami35@gmail.com</t>
  </si>
  <si>
    <t>1vN0AlQtMagbXTA_4ujMkyAZYRqO2V8PCqGYJucqnpZg</t>
  </si>
  <si>
    <t>https://docs.google.com/document/d/1vN0AlQtMagbXTA_4ujMkyAZYRqO2V8PCqGYJucqnpZg/edit?usp=drivesdk</t>
  </si>
  <si>
    <t>Document successfully created; Document successfully merged; Run via form trigger as kemal.stafsus@gmail.com; Timestamp: May 20 2025 3:04 AM</t>
  </si>
  <si>
    <t>https://drive.google.com/open?id=1X6SsbqVHfxuTISgdg35to8rGl0z_rozA</t>
  </si>
  <si>
    <t>https://drive.google.com/uc?export=view&amp;id=1X6SsbqVHfxuTISgdg35to8rGl0z_rozA</t>
  </si>
  <si>
    <t>Ida Nurjelita Sani, M.Pd</t>
  </si>
  <si>
    <t>082289451969</t>
  </si>
  <si>
    <t>1705015307970001</t>
  </si>
  <si>
    <t>Kota Bengkulu, Provinsi Bengkulu</t>
  </si>
  <si>
    <t>13 Juli 1997</t>
  </si>
  <si>
    <t>SMA Mahad Rabbani 2 Putri Bengkuku</t>
  </si>
  <si>
    <t>idanurjelitasani@gmail.com</t>
  </si>
  <si>
    <t>1y4DSUHSBV61vHt1cBt7JkMXPkgbU_FFBn7E7Y_VlinQ</t>
  </si>
  <si>
    <t>https://docs.google.com/document/d/1y4DSUHSBV61vHt1cBt7JkMXPkgbU_FFBn7E7Y_VlinQ/edit?usp=drivesdk</t>
  </si>
  <si>
    <t>Document successfully created; Document successfully merged; Run via form trigger as kemal.stafsus@gmail.com; Timestamp: May 20 2025 4:08 AM</t>
  </si>
  <si>
    <t>https://drive.google.com/open?id=1uyYMZzSQd6pBdG7hSORJh5bo74860YRo</t>
  </si>
  <si>
    <t>https://drive.google.com/uc?export=view&amp;id=1uyYMZzSQd6pBdG7hSORJh5bo74860YRo</t>
  </si>
  <si>
    <t>Hafizh Nurul Huda, M.Pd.</t>
  </si>
  <si>
    <t>083871121423</t>
  </si>
  <si>
    <t>3601121109950001</t>
  </si>
  <si>
    <t>Jl. Otista 4, Bidaracina, Jakarta Timur.</t>
  </si>
  <si>
    <t>Universitas Islam Negeri SMH Banten</t>
  </si>
  <si>
    <t>English Teacher SMK Al-Wutsqo Serang</t>
  </si>
  <si>
    <t>IDR. 500.000</t>
  </si>
  <si>
    <t>English Customer Service - MNC Group</t>
  </si>
  <si>
    <t>IDR. 5.000.000 - 6.000.000</t>
  </si>
  <si>
    <t>English Customer Service - First Media</t>
  </si>
  <si>
    <t>IDR.6.000.000 - 7.000.000</t>
  </si>
  <si>
    <t>IDR.6.500.000 - 7.500.000</t>
  </si>
  <si>
    <t>BCA / Hafizh Nurul Huda</t>
  </si>
  <si>
    <t>hudahn74@gmail.com</t>
  </si>
  <si>
    <t>1FzhoiMO7Y9W0Z_Rj5H7odyFwVKZWXpWfhBAT0znvQ_k</t>
  </si>
  <si>
    <t>https://docs.google.com/document/d/1FzhoiMO7Y9W0Z_Rj5H7odyFwVKZWXpWfhBAT0znvQ_k/edit?usp=drivesdk</t>
  </si>
  <si>
    <t>Document successfully created; Document successfully merged; Run via form trigger as kemal.stafsus@gmail.com; Timestamp: May 22 2025 12:12 AM</t>
  </si>
  <si>
    <t>https://drive.google.com/open?id=1v5Dvyk5xWY3_bWQEXHpaMAkTTtG9JH88</t>
  </si>
  <si>
    <t>https://drive.google.com/uc?export=view&amp;id=1v5Dvyk5xWY3_bWQEXHpaMAkTTtG9JH88</t>
  </si>
  <si>
    <t>Riski Amelia Candra</t>
  </si>
  <si>
    <t>087755628399</t>
  </si>
  <si>
    <t>5203097112970067</t>
  </si>
  <si>
    <t>Des Bagik nyaka, Kec. Aikmel, Kab. Lombok Timur</t>
  </si>
  <si>
    <t>Bagik Nyaka</t>
  </si>
  <si>
    <t>31-12-1997</t>
  </si>
  <si>
    <t>Ma’had Aly Imam Bukhari, Solo</t>
  </si>
  <si>
    <t>kontrak kerja di ma’had imam bukhari 2022-2023</t>
  </si>
  <si>
    <t>akademi online busyro (sampai akhir juni)</t>
  </si>
  <si>
    <t>3.800.000 - 4.000.000</t>
  </si>
  <si>
    <t>rizkiameliacandra@gmail.com</t>
  </si>
  <si>
    <t>1l0jzGd82VLITlKxVJwv1HjoBAlhYcKpCCCZX86gTEgg</t>
  </si>
  <si>
    <t>https://docs.google.com/document/d/1l0jzGd82VLITlKxVJwv1HjoBAlhYcKpCCCZX86gTEgg/edit?usp=drivesdk</t>
  </si>
  <si>
    <t>Document successfully created; Document successfully merged; Run via form trigger as kemal.stafsus@gmail.com; Timestamp: May 22 2025 1:16 AM</t>
  </si>
  <si>
    <t>https://drive.google.com/open?id=1lWq_PM2CaEsKkyKSa_au3YvW9KTsbBbU</t>
  </si>
  <si>
    <t>https://drive.google.com/uc?export=view&amp;id=1lWq_PM2CaEsKkyKSa_au3YvW9KTsbBbU</t>
  </si>
  <si>
    <t>Wafa Raihanah Arwa, S.Si.</t>
  </si>
  <si>
    <t>08872095139</t>
  </si>
  <si>
    <t>3603224602010001</t>
  </si>
  <si>
    <t>Medang Lestari Blok A.IV/B.12 RT/RW 003/011, Kelurahan Medang, Kecamatan Pagedangan, Kabupaten Tangerang, Provinsi Banten</t>
  </si>
  <si>
    <t>06-02-2001</t>
  </si>
  <si>
    <t>Technical Controller pada PT. Inti Surya Laboratorium</t>
  </si>
  <si>
    <t>wafaraihanaha@gmail.com</t>
  </si>
  <si>
    <t>1YBAPsGa2Det72IjtGeSQx0d2jwa9vd-IX7byylQVmT0</t>
  </si>
  <si>
    <t>https://docs.google.com/document/d/1YBAPsGa2Det72IjtGeSQx0d2jwa9vd-IX7byylQVmT0/edit?usp=drivesdk</t>
  </si>
  <si>
    <t>Document successfully created; Document successfully merged; Run via form trigger as kemal.stafsus@gmail.com; Timestamp: May 22 2025 4:58 AM</t>
  </si>
  <si>
    <t>https://drive.google.com/open?id=1km8ud22jMJWMuIXVpMP13WTca5DR4vM1</t>
  </si>
  <si>
    <t>https://drive.google.com/uc?export=view&amp;id=1km8ud22jMJWMuIXVpMP13WTca5DR4vM1</t>
  </si>
  <si>
    <t>Raveeda Iftikhar Rahman, B.A.</t>
  </si>
  <si>
    <t>081383157625</t>
  </si>
  <si>
    <t>3674014106000001</t>
  </si>
  <si>
    <t>Cluster Golden Vienna 2 Blok C7/12, Rawa Buntu, Serpong, Tangerang Selatan, Banten</t>
  </si>
  <si>
    <t>01-06-2000</t>
  </si>
  <si>
    <t>Alquran/Diniyyah/Bahasa Arab</t>
  </si>
  <si>
    <t>Tim multimedia</t>
  </si>
  <si>
    <t>6.000.000 (saya mengharapkan kompensasi lebih menyesuaikan dengan amanah yang akan diemban)</t>
  </si>
  <si>
    <t>raveedarahmann@gmail.com</t>
  </si>
  <si>
    <t>1EEaj08Ug0pBslOJhORirc7HzIfA5Ej_h33kxnGjCMH0</t>
  </si>
  <si>
    <t>https://docs.google.com/document/d/1EEaj08Ug0pBslOJhORirc7HzIfA5Ej_h33kxnGjCMH0/edit?usp=drivesdk</t>
  </si>
  <si>
    <t>Document successfully created; Document successfully merged; Run via form trigger as kemal.stafsus@gmail.com; Timestamp: May 22 2025 10:07 AM</t>
  </si>
  <si>
    <t>https://drive.google.com/open?id=1d0SWSGt2MT69pt53rXSeGVToeL_NJS0G</t>
  </si>
  <si>
    <t>https://drive.google.com/uc?export=view&amp;id=1d0SWSGt2MT69pt53rXSeGVToeL_NJS0G</t>
  </si>
  <si>
    <t>Muh Maskuri Hardi S.Ag.</t>
  </si>
  <si>
    <t>081915639323</t>
  </si>
  <si>
    <t>5201120107990081</t>
  </si>
  <si>
    <t xml:space="preserve">Gegelang, Lingsar, Lombok barat, NTB. </t>
  </si>
  <si>
    <t xml:space="preserve">Gegelang Daye ( Lombok barat) </t>
  </si>
  <si>
    <t>15/08/1999</t>
  </si>
  <si>
    <t xml:space="preserve">Ilmu Hadis </t>
  </si>
  <si>
    <t xml:space="preserve">Sebagai Guru Tingkat SD ( Pengabdian) </t>
  </si>
  <si>
    <t>Sebagai Pembina Asrama</t>
  </si>
  <si>
    <t>2,600.000.</t>
  </si>
  <si>
    <t>mmaskurihardi@gmail.com</t>
  </si>
  <si>
    <t>1pLCn1Zhe4HOibphSCkkOeBC74v9wGTk6RMusgeHqZ38</t>
  </si>
  <si>
    <t>https://docs.google.com/document/d/1pLCn1Zhe4HOibphSCkkOeBC74v9wGTk6RMusgeHqZ38/edit?usp=drivesdk</t>
  </si>
  <si>
    <t>Document successfully created; Document successfully merged; Run via form trigger as kemal.stafsus@gmail.com; Timestamp: May 23 2025 1:22 AM</t>
  </si>
  <si>
    <t>https://drive.google.com/open?id=1AytHYyB65zAEUNirZ75bloyzERlW5z6m</t>
  </si>
  <si>
    <t>https://drive.google.com/uc?export=view&amp;id=1AytHYyB65zAEUNirZ75bloyzERlW5z6m</t>
  </si>
  <si>
    <t>Bagik Nyaka, Aikmel, Lombok Timur</t>
  </si>
  <si>
    <t xml:space="preserve">Ma’had Aly imam bukhari </t>
  </si>
  <si>
    <t xml:space="preserve">ma’had imam bukhari </t>
  </si>
  <si>
    <t>akademi busyro (online)</t>
  </si>
  <si>
    <t>3.500.000 - 4.500.000</t>
  </si>
  <si>
    <t>133M94BjuSv_eyBscqQC7-j767RWqT29EZjSD7AwPvT0</t>
  </si>
  <si>
    <t>https://docs.google.com/document/d/133M94BjuSv_eyBscqQC7-j767RWqT29EZjSD7AwPvT0/edit?usp=drivesdk</t>
  </si>
  <si>
    <t>Document successfully created; Document successfully merged; Run via form trigger as kemal.stafsus@gmail.com; Timestamp: May 23 2025 2:27 AM</t>
  </si>
  <si>
    <t>https://drive.google.com/open?id=1QuiiFP_wreGsoqHJzZDTiqw9QR2vX33K</t>
  </si>
  <si>
    <t>https://drive.google.com/uc?export=view&amp;id=1QuiiFP_wreGsoqHJzZDTiqw9QR2vX33K</t>
  </si>
  <si>
    <t>NIA MAU'IZAH, S.S</t>
  </si>
  <si>
    <t>089512353613</t>
  </si>
  <si>
    <t>5202026012990001</t>
  </si>
  <si>
    <t xml:space="preserve">Batrata, Desa Ubung, Kec. Jonggat, Kab. Lombok Tengah, NTB </t>
  </si>
  <si>
    <t>S1 Bahasa dan Sastra Inggris</t>
  </si>
  <si>
    <t>Speaking Tutor English Cafe</t>
  </si>
  <si>
    <t>Rp. 1.000.000</t>
  </si>
  <si>
    <t xml:space="preserve">English Teacher di English Club Lombok </t>
  </si>
  <si>
    <t xml:space="preserve">Rp. 2.500.000 (always increases based on the hours we teach) </t>
  </si>
  <si>
    <t>nia.mauizah@gmail.com</t>
  </si>
  <si>
    <t>1V6n4oJtNCklSPLRnrCYze8SszgpWsRkruMVx-QF9rKw</t>
  </si>
  <si>
    <t>https://docs.google.com/document/d/1V6n4oJtNCklSPLRnrCYze8SszgpWsRkruMVx-QF9rKw/edit?usp=drivesdk</t>
  </si>
  <si>
    <t>Document successfully created; Document successfully merged; Run via form trigger as kemal.stafsus@gmail.com; Timestamp: May 23 2025 6:21 PM</t>
  </si>
  <si>
    <t>https://drive.google.com/open?id=1L58kCa8OBlqRbIRmR1EgAsnz1RrYOqUw</t>
  </si>
  <si>
    <t>https://drive.google.com/uc?export=view&amp;id=1L58kCa8OBlqRbIRmR1EgAsnz1RrYOqUw</t>
  </si>
  <si>
    <t>Faris S.Kom</t>
  </si>
  <si>
    <t>081389619394</t>
  </si>
  <si>
    <t>3174032207020005</t>
  </si>
  <si>
    <t>JL.Layar III no .03 Kelapa Dua Tangerang</t>
  </si>
  <si>
    <t>Kairo</t>
  </si>
  <si>
    <t>17-06-2002</t>
  </si>
  <si>
    <t>Unisversitas Bina Sarana Informatika</t>
  </si>
  <si>
    <t>Sistem informasi</t>
  </si>
  <si>
    <t>farislegok17@gmail.com</t>
  </si>
  <si>
    <t>1gnD1zuhiLRdTP7f2zTKVEX5ZR38FCP3nYB8pmENCTbg</t>
  </si>
  <si>
    <t>https://docs.google.com/document/d/1gnD1zuhiLRdTP7f2zTKVEX5ZR38FCP3nYB8pmENCTbg/edit?usp=drivesdk</t>
  </si>
  <si>
    <t>Document successfully created; Document successfully merged; Run via form trigger as kemal.stafsus@gmail.com; Timestamp: May 28 2025 2:21 AM</t>
  </si>
  <si>
    <t>https://drive.google.com/open?id=1vuu7STchn7Aq1-Ofjg9Dqo33wRX5lEe1</t>
  </si>
  <si>
    <t>https://drive.google.com/uc?export=view&amp;id=1vuu7STchn7Aq1-Ofjg9Dqo33wRX5lEe1</t>
  </si>
  <si>
    <t xml:space="preserve">Salsabila Azzahra </t>
  </si>
  <si>
    <t>081294474097</t>
  </si>
  <si>
    <t>8271024610030003</t>
  </si>
  <si>
    <t xml:space="preserve">Ciputat Timur, Tangerang Selatan </t>
  </si>
  <si>
    <t xml:space="preserve">Ternate </t>
  </si>
  <si>
    <t>06-10-03</t>
  </si>
  <si>
    <t>Universitas PTIQ JAKARTA (sedang berlangsung)</t>
  </si>
  <si>
    <t xml:space="preserve">Ilmu Al-Qur'an dan Tafsir </t>
  </si>
  <si>
    <t>3,70 (semester 6)</t>
  </si>
  <si>
    <t>sebagai musyrifah</t>
  </si>
  <si>
    <t>chacazahra06@gmail.com</t>
  </si>
  <si>
    <t>1K1zmbuecNi_Dp3IoR6jVfnOdXKRYfGP5wxIbP9gd3KM</t>
  </si>
  <si>
    <t>https://docs.google.com/document/d/1K1zmbuecNi_Dp3IoR6jVfnOdXKRYfGP5wxIbP9gd3KM/edit?usp=drivesdk</t>
  </si>
  <si>
    <t>Document successfully created; Document successfully merged; Run via form trigger as kemal.stafsus@gmail.com; Timestamp: May 30 2025 10:30 PM</t>
  </si>
  <si>
    <t>https://drive.google.com/open?id=1sBlzHVInIV_II5KNYjH79DeYmt-kHTW6</t>
  </si>
  <si>
    <t>https://drive.google.com/uc?export=view&amp;id=1sBlzHVInIV_II5KNYjH79DeYmt-kHTW6</t>
  </si>
  <si>
    <t>Salsabila Dzahabiyyah Adzra, S.Ag.</t>
  </si>
  <si>
    <t>087863820066</t>
  </si>
  <si>
    <t>3573054202010004</t>
  </si>
  <si>
    <t>Perum Permata Akordion KAV XI, Jalan Harmonika, Malang</t>
  </si>
  <si>
    <t>02-02-2001</t>
  </si>
  <si>
    <t>Ilmu Hadist</t>
  </si>
  <si>
    <t>(Guru Pengganti) Team Teaching Kelas 4 serta Guru Quran Jenjang 1 dan 4 di SDIT Insan Permata Malang</t>
  </si>
  <si>
    <t>Sesuai UMR</t>
  </si>
  <si>
    <t>69.4</t>
  </si>
  <si>
    <t>salsabiladzahabiyyahadzra@gmail.com</t>
  </si>
  <si>
    <t>1IwSk3KtNkq0tfQ3W0MsVttdVixcM4Y-siYXZu7Ealrw</t>
  </si>
  <si>
    <t>https://docs.google.com/document/d/1IwSk3KtNkq0tfQ3W0MsVttdVixcM4Y-siYXZu7Ealrw/edit?usp=drivesdk</t>
  </si>
  <si>
    <t>Document successfully created; Document successfully merged; Run via form trigger as kemal.stafsus@gmail.com; Timestamp: May 31 2025 12:02 AM</t>
  </si>
  <si>
    <t>https://drive.google.com/open?id=1bZGRMEKPDDjTjw1xNzDZaUifnaY0BW83</t>
  </si>
  <si>
    <t>https://drive.google.com/uc?export=view&amp;id=1bZGRMEKPDDjTjw1xNzDZaUifnaY0BW83</t>
  </si>
  <si>
    <t>Rohana Ayu Fitri, M.Pd</t>
  </si>
  <si>
    <t>082170843389</t>
  </si>
  <si>
    <t>1401195412990002</t>
  </si>
  <si>
    <t>Jl. Keliling, Bukit Barisan, Tangkerang Timur, Pekanbaru</t>
  </si>
  <si>
    <t>Karya Bhakti (Pekanbaru)</t>
  </si>
  <si>
    <t>14-12-1999</t>
  </si>
  <si>
    <t>Guru Bahasa Arab dan Tahsin SD Taruna Islam Pekanbaru</t>
  </si>
  <si>
    <t>Waka Kurikulum SMP dan Guru Bahasa Arab SD-SMP Taruna Islam</t>
  </si>
  <si>
    <t>rohanaayufitri01@gmail.com</t>
  </si>
  <si>
    <t>1C3XBrlCRsjS_sM4BuPlNWvaE9R5iL9L8xahkpB4cSjQ</t>
  </si>
  <si>
    <t>https://docs.google.com/document/d/1C3XBrlCRsjS_sM4BuPlNWvaE9R5iL9L8xahkpB4cSjQ/edit?usp=drivesdk</t>
  </si>
  <si>
    <t>Document successfully created; Document successfully merged; Run via form trigger as kemal.stafsus@gmail.com; Timestamp: May 31 2025 12:22 AM</t>
  </si>
  <si>
    <t>https://drive.google.com/open?id=1qwvoqKUOS_9JdUd8OaNURptPUX8BToz3</t>
  </si>
  <si>
    <t>https://drive.google.com/uc?export=view&amp;id=1qwvoqKUOS_9JdUd8OaNURptPUX8BToz3</t>
  </si>
  <si>
    <t xml:space="preserve">Muhammad rezky Apriansyah </t>
  </si>
  <si>
    <t>08979345408</t>
  </si>
  <si>
    <t>3275012805000012</t>
  </si>
  <si>
    <t xml:space="preserve">Bekasi, jl rawa semut no 21 margahayu bekasi timur </t>
  </si>
  <si>
    <t>28-05-2000</t>
  </si>
  <si>
    <t>Cleaning servis</t>
  </si>
  <si>
    <t>BSI syariah</t>
  </si>
  <si>
    <t>rezkicing@gmail.com</t>
  </si>
  <si>
    <t>1fho_P5WpdamRkRlppODd_daBOElPlKi6KcU9L5Ed2is</t>
  </si>
  <si>
    <t>https://docs.google.com/document/d/1fho_P5WpdamRkRlppODd_daBOElPlKi6KcU9L5Ed2is/edit?usp=drivesdk</t>
  </si>
  <si>
    <t>Document successfully created; Document successfully merged; Run via form trigger as kemal.stafsus@gmail.com; Timestamp: May 31 2025 1:56 AM</t>
  </si>
  <si>
    <t>https://drive.google.com/open?id=1p7Kvepqy5MUgJ5huia4uMc0YW0PApmyq</t>
  </si>
  <si>
    <t>https://drive.google.com/uc?export=view&amp;id=1p7Kvepqy5MUgJ5huia4uMc0YW0PApmyq</t>
  </si>
  <si>
    <t xml:space="preserve">Fikri Dony Alamsyah </t>
  </si>
  <si>
    <t>081290674613</t>
  </si>
  <si>
    <t>3174061201960003</t>
  </si>
  <si>
    <t xml:space="preserve">Jalan Haji gandun rt07 rw08 karang tengah lebak bulus Jakarta Selatan </t>
  </si>
  <si>
    <t>12 January 1996</t>
  </si>
  <si>
    <t>Seles asisten Metro Pim</t>
  </si>
  <si>
    <t>Cleaning Servis JIS</t>
  </si>
  <si>
    <t xml:space="preserve">Kordinator Fcs </t>
  </si>
  <si>
    <t>Fikrialamsyah149@gmail.com</t>
  </si>
  <si>
    <t>1ZZVmc3Lu7KdKrG9YrbqRbuNBaW_QW1Zig3gB0EeuPq4</t>
  </si>
  <si>
    <t>https://docs.google.com/document/d/1ZZVmc3Lu7KdKrG9YrbqRbuNBaW_QW1Zig3gB0EeuPq4/edit?usp=drivesdk</t>
  </si>
  <si>
    <t>Document successfully created; Document successfully merged; Run via form trigger as kemal.stafsus@gmail.com; Timestamp: May 31 2025 2:07 AM</t>
  </si>
  <si>
    <t>https://drive.google.com/open?id=18Lb4cu6Y5Ll_FM9FYeyQgf4MhDuFfiGb</t>
  </si>
  <si>
    <t>https://drive.google.com/uc?export=view&amp;id=18Lb4cu6Y5Ll_FM9FYeyQgf4MhDuFfiGb</t>
  </si>
  <si>
    <t>KASTONO</t>
  </si>
  <si>
    <t>088294071299</t>
  </si>
  <si>
    <t>3302141910970002</t>
  </si>
  <si>
    <t>jln Hj nudin no 71 RT 5 RW 4 lebak bulus</t>
  </si>
  <si>
    <t>purwokerto</t>
  </si>
  <si>
    <t>19-10-1997</t>
  </si>
  <si>
    <t>Sarpras</t>
  </si>
  <si>
    <t>saspras</t>
  </si>
  <si>
    <t>BSi</t>
  </si>
  <si>
    <t>bcazton@gmail.com</t>
  </si>
  <si>
    <t>1N9ERqrcJs9RGxMaKyOecN5r0I_2Y0hnNvJr8CrRRCdk</t>
  </si>
  <si>
    <t>https://docs.google.com/document/d/1N9ERqrcJs9RGxMaKyOecN5r0I_2Y0hnNvJr8CrRRCdk/edit?usp=drivesdk</t>
  </si>
  <si>
    <t>Document successfully created; Document successfully merged; Run via form trigger as kemal.stafsus@gmail.com; Timestamp: May 31 2025 2:18 AM</t>
  </si>
  <si>
    <t>https://drive.google.com/open?id=1EjzWeQjpJZz2C36jCSy97a0cQNM9PLLJ</t>
  </si>
  <si>
    <t>https://drive.google.com/uc?export=view&amp;id=1EjzWeQjpJZz2C36jCSy97a0cQNM9PLLJ</t>
  </si>
  <si>
    <t xml:space="preserve">Dr. (Cand) Martin Daniel, M. A. </t>
  </si>
  <si>
    <t>082176713724</t>
  </si>
  <si>
    <t>Ciputat, Tangsel</t>
  </si>
  <si>
    <t>30 Tahun 7 Bulan</t>
  </si>
  <si>
    <t>Wakil Kepala Sekolah, Guru Mata Pelajaran</t>
  </si>
  <si>
    <t>QDA</t>
  </si>
  <si>
    <t>Institut Agama Islam Lampung</t>
  </si>
  <si>
    <t xml:space="preserve">Ilmu Al-Quran dan Tafsir </t>
  </si>
  <si>
    <t>Kepala Asrama Pon-Pes Baitul Muslim Lampung. 2017-2018</t>
  </si>
  <si>
    <t>Kepala Program Takhasus 30 Juz IIBS AL-BINAA Bekasi. 2018-2020</t>
  </si>
  <si>
    <t>grade3.int@gmail.com</t>
  </si>
  <si>
    <t>1vjeLT_HxNMuyKux3MD1gIRHnepy2u0R-Bw1y-Fze9Uw</t>
  </si>
  <si>
    <t>https://docs.google.com/document/d/1vjeLT_HxNMuyKux3MD1gIRHnepy2u0R-Bw1y-Fze9Uw/edit?usp=drivesdk</t>
  </si>
  <si>
    <t>Document successfully created; Document successfully merged; Run via form trigger as kemal.stafsus@gmail.com; Timestamp: May 31 2025 2:23 AM</t>
  </si>
  <si>
    <t>https://drive.google.com/open?id=1GlAWwIrb7Ma9D1-6KlaDjTrPfKW2ghWz</t>
  </si>
  <si>
    <t>https://drive.google.com/uc?export=view&amp;id=1GlAWwIrb7Ma9D1-6KlaDjTrPfKW2ghWz</t>
  </si>
  <si>
    <t>Rachmawati Mahda</t>
  </si>
  <si>
    <t>085158718867</t>
  </si>
  <si>
    <t>3174065305990005</t>
  </si>
  <si>
    <t xml:space="preserve">Jalan gunung Balong RT.007 RW.004 Lebak bulus Jakarta Selatan </t>
  </si>
  <si>
    <t>13-05-1999</t>
  </si>
  <si>
    <t>SMK</t>
  </si>
  <si>
    <t xml:space="preserve">Waiters </t>
  </si>
  <si>
    <t>2,300,000</t>
  </si>
  <si>
    <t xml:space="preserve">Cleaning service </t>
  </si>
  <si>
    <t>rachmamahda@gmail.com</t>
  </si>
  <si>
    <t>1kKFmk4jrtcsOvS-LVG-K9N8xoXqwlIp1nVeTA4fvHnE</t>
  </si>
  <si>
    <t>https://docs.google.com/document/d/1kKFmk4jrtcsOvS-LVG-K9N8xoXqwlIp1nVeTA4fvHnE/edit?usp=drivesdk</t>
  </si>
  <si>
    <t>Document successfully created; Document successfully merged; Run via form trigger as kemal.stafsus@gmail.com; Timestamp: May 31 2025 2:38 AM</t>
  </si>
  <si>
    <t>https://drive.google.com/open?id=1LOzuO7UEoQtsfjnWv_XbLJq06KYBIop8</t>
  </si>
  <si>
    <t>https://drive.google.com/uc?export=view&amp;id=1LOzuO7UEoQtsfjnWv_XbLJq06KYBIop8</t>
  </si>
  <si>
    <t>KHAIRUL ANAM, Lc.</t>
  </si>
  <si>
    <t>Kalibata jakarta selatan</t>
  </si>
  <si>
    <t>1 Juli 1992</t>
  </si>
  <si>
    <t>32 tahun 11 bulan</t>
  </si>
  <si>
    <t>KEPALA SEKOLAH</t>
  </si>
  <si>
    <t>kanam7344@gmail.com</t>
  </si>
  <si>
    <t>1Wwu03EFTYLnsLCgJz2KsnscooRsr-oBTI6srC8gKB40</t>
  </si>
  <si>
    <t>https://docs.google.com/document/d/1Wwu03EFTYLnsLCgJz2KsnscooRsr-oBTI6srC8gKB40/edit?usp=drivesdk</t>
  </si>
  <si>
    <t>Document successfully created; Document successfully merged; Run via form trigger as kemal.stafsus@gmail.com; Timestamp: May 31 2025 2:49 AM</t>
  </si>
  <si>
    <t>https://drive.google.com/open?id=15NvTlJfG34IKMbfIVi1PW0t9EzzKfojF</t>
  </si>
  <si>
    <t>https://drive.google.com/uc?export=view&amp;id=15NvTlJfG34IKMbfIVi1PW0t9EzzKfojF</t>
  </si>
  <si>
    <t>Sandra Aryani Putri</t>
  </si>
  <si>
    <t>085716983790</t>
  </si>
  <si>
    <t>3674054301970002</t>
  </si>
  <si>
    <t>Jalan cirendeu indah 3 no. 79</t>
  </si>
  <si>
    <t>3 Januari 1997</t>
  </si>
  <si>
    <t>Assistent SPV</t>
  </si>
  <si>
    <t>Kasir</t>
  </si>
  <si>
    <t>sandraputri590@gmail.com</t>
  </si>
  <si>
    <t>16VN3hvbRRwZVKe1WvjGBlhl0lNEIBmRqGJ9BB-Cr1MM</t>
  </si>
  <si>
    <t>https://docs.google.com/document/d/16VN3hvbRRwZVKe1WvjGBlhl0lNEIBmRqGJ9BB-Cr1MM/edit?usp=drivesdk</t>
  </si>
  <si>
    <t>Document successfully created; Document successfully merged; Run via form trigger as kemal.stafsus@gmail.com; Timestamp: May 31 2025 2:52 AM</t>
  </si>
  <si>
    <t>https://drive.google.com/open?id=1acD7OA2ejXG-qz42DGyJsKjEIqrvLT-m</t>
  </si>
  <si>
    <t>https://drive.google.com/uc?export=view&amp;id=1acD7OA2ejXG-qz42DGyJsKjEIqrvLT-m</t>
  </si>
  <si>
    <t>WIWI SUMBOGO</t>
  </si>
  <si>
    <t>083804302242</t>
  </si>
  <si>
    <t>3276046112900003</t>
  </si>
  <si>
    <t>Jl.h limun pangkalan jati</t>
  </si>
  <si>
    <t>21-12-1990</t>
  </si>
  <si>
    <t>34 tahun</t>
  </si>
  <si>
    <t>Waiters</t>
  </si>
  <si>
    <t xml:space="preserve">Cleaning servis </t>
  </si>
  <si>
    <t>wiwidepok@gmail.com</t>
  </si>
  <si>
    <t>1OJfQwWOKz-Zp8e4B5WQGTrUeWsILwq1tyFvsWEqLGEA</t>
  </si>
  <si>
    <t>https://docs.google.com/document/d/1OJfQwWOKz-Zp8e4B5WQGTrUeWsILwq1tyFvsWEqLGEA/edit?usp=drivesdk</t>
  </si>
  <si>
    <t>Document successfully created; Document successfully merged; Run via form trigger as kemal.stafsus@gmail.com; Timestamp: May 31 2025 2:59 AM</t>
  </si>
  <si>
    <t>https://drive.google.com/open?id=1dEb9Ks1ZU_lf5gMXglCd7vxMNWpESb-A</t>
  </si>
  <si>
    <t>https://drive.google.com/uc?export=view&amp;id=1dEb9Ks1ZU_lf5gMXglCd7vxMNWpESb-A</t>
  </si>
  <si>
    <t>Muhammad Al Qori, S.Pd.</t>
  </si>
  <si>
    <t>089622506811</t>
  </si>
  <si>
    <t>3671010507980006</t>
  </si>
  <si>
    <t>Jl. Masjid Al Ikhsan No.16 Rawa Mekar Jaya Kec. Serpong Tangerang Selatan</t>
  </si>
  <si>
    <t>05 Juli 1998</t>
  </si>
  <si>
    <t>ADA = Alquran, Diniyyah, Arabic</t>
  </si>
  <si>
    <t>Sekolah Tinggi Agama Islam Ali Bin Abi Thalib Surabaya</t>
  </si>
  <si>
    <t>Guru Al Qur'an SD Islam Al-Ikhlas Cipondoh</t>
  </si>
  <si>
    <t>Koordinator Al Qur'an Lembaga Pendidikan Qur'an Ar-Rahmah Surabaya</t>
  </si>
  <si>
    <t>Editor Video, MC, MCR di Al Iman Tv dan Guru Bahasa Arab di Kursus Al Iman</t>
  </si>
  <si>
    <t>abqori808059@gmail.com</t>
  </si>
  <si>
    <t>1L9LPaqRSDQdVU1csntWmBRrNFJszYkAPSAT2kMFIy2M</t>
  </si>
  <si>
    <t>https://docs.google.com/document/d/1L9LPaqRSDQdVU1csntWmBRrNFJszYkAPSAT2kMFIy2M/edit?usp=drivesdk</t>
  </si>
  <si>
    <t>Document successfully created; Document successfully merged; Run via form trigger as kemal.stafsus@gmail.com; Timestamp: May 31 2025 3:06 AM</t>
  </si>
  <si>
    <t>https://drive.google.com/open?id=1qn8XvSTzGkIo1HSAVO0Ugt9fsMDBwD_0</t>
  </si>
  <si>
    <t>https://drive.google.com/uc?export=view&amp;id=1qn8XvSTzGkIo1HSAVO0Ugt9fsMDBwD_0</t>
  </si>
  <si>
    <t>Anri Ibrahim, M.Pd</t>
  </si>
  <si>
    <t>085714199897</t>
  </si>
  <si>
    <t xml:space="preserve">Lebak Bulus Jakarta </t>
  </si>
  <si>
    <t>Riau</t>
  </si>
  <si>
    <t xml:space="preserve">STIBA ARRAAYAH SUKABUMI </t>
  </si>
  <si>
    <t xml:space="preserve">UIN SYARIF HIDAYATULLAH JAKARTA </t>
  </si>
  <si>
    <t xml:space="preserve">SMP NEGERI 1 CIBADAK </t>
  </si>
  <si>
    <t xml:space="preserve">FIWA </t>
  </si>
  <si>
    <t>ALWILDAN 4</t>
  </si>
  <si>
    <t>186akLkeRdJt-FRuGnbvGRRsj4w9h_ezvEPRWXdbjDWw</t>
  </si>
  <si>
    <t>https://docs.google.com/document/d/186akLkeRdJt-FRuGnbvGRRsj4w9h_ezvEPRWXdbjDWw/edit?usp=drivesdk</t>
  </si>
  <si>
    <t>Document successfully created; Document successfully merged; Run via form trigger as kemal.stafsus@gmail.com; Timestamp: May 31 2025 3:39 AM</t>
  </si>
  <si>
    <t>https://drive.google.com/open?id=1gpoHfrfigNILrGroxa9WQB_HFzwOxQGf</t>
  </si>
  <si>
    <t>https://drive.google.com/uc?export=view&amp;id=1gpoHfrfigNILrGroxa9WQB_HFzwOxQGf</t>
  </si>
  <si>
    <t>Maulida Nurcahyani</t>
  </si>
  <si>
    <t>087736908995</t>
  </si>
  <si>
    <t>3174064207030006</t>
  </si>
  <si>
    <t>Karang tengah rt003/008 lebak bulus, cilandak, jakarta selatan</t>
  </si>
  <si>
    <t>02 juli 2003</t>
  </si>
  <si>
    <t xml:space="preserve">Perawat klinik </t>
  </si>
  <si>
    <t xml:space="preserve">SPG </t>
  </si>
  <si>
    <t xml:space="preserve">PUSLABA universitas terbuka  </t>
  </si>
  <si>
    <t>maulidaeranio@gmail.com</t>
  </si>
  <si>
    <t>13MtyRZJ61JT-m6lcVQkh1scQ0qteaG4pkDoRshKJiC4</t>
  </si>
  <si>
    <t>https://docs.google.com/document/d/13MtyRZJ61JT-m6lcVQkh1scQ0qteaG4pkDoRshKJiC4/edit?usp=drivesdk</t>
  </si>
  <si>
    <t>Document successfully created; Document successfully merged; Run via form trigger as kemal.stafsus@gmail.com; Timestamp: May 31 2025 7:49 AM</t>
  </si>
  <si>
    <t>https://drive.google.com/open?id=1dyxC2YbF7EHHaOSn3pzJht0RzxrGT80X</t>
  </si>
  <si>
    <t>https://drive.google.com/uc?export=view&amp;id=1dyxC2YbF7EHHaOSn3pzJht0RzxrGT80X</t>
  </si>
  <si>
    <t xml:space="preserve">ADHELIA Tri Rahayu </t>
  </si>
  <si>
    <t>089631717670</t>
  </si>
  <si>
    <t>3174066010020003</t>
  </si>
  <si>
    <t>Jl.H Gandun RT 007/008</t>
  </si>
  <si>
    <t>20 Oktober 2002</t>
  </si>
  <si>
    <t xml:space="preserve">Badan Pusat Statistik </t>
  </si>
  <si>
    <t xml:space="preserve">Prima Freshmart </t>
  </si>
  <si>
    <t>adheliatrirahayu9817@gmail.com</t>
  </si>
  <si>
    <t>1hWnYtAZeYssQLGyoaVQPMDCQEvbJjTYWY6uT2le3gd0</t>
  </si>
  <si>
    <t>https://docs.google.com/document/d/1hWnYtAZeYssQLGyoaVQPMDCQEvbJjTYWY6uT2le3gd0/edit?usp=drivesdk</t>
  </si>
  <si>
    <t>Document successfully created; Document successfully merged; Run via form trigger as kemal.stafsus@gmail.com; Timestamp: May 31 2025 8:25 AM</t>
  </si>
  <si>
    <t>https://drive.google.com/open?id=1fVffqw-BLc0bFj3MMitNvbcawMQmowPg</t>
  </si>
  <si>
    <t>https://drive.google.com/uc?export=view&amp;id=1fVffqw-BLc0bFj3MMitNvbcawMQmowPg</t>
  </si>
  <si>
    <t>Derry eranio pratama</t>
  </si>
  <si>
    <t>081382456813</t>
  </si>
  <si>
    <t>3174062607910003</t>
  </si>
  <si>
    <t>Jl karang tengah rt 005/03 no:59 kec cilandak kel lebak bulus jaksel 12440</t>
  </si>
  <si>
    <t>26 juli 1991</t>
  </si>
  <si>
    <t>Ilnostro laundry</t>
  </si>
  <si>
    <t>Restaurant</t>
  </si>
  <si>
    <t xml:space="preserve">Dealer yamaha </t>
  </si>
  <si>
    <t>Bank syariah indonesia</t>
  </si>
  <si>
    <t>derryeranio46@gmail.com</t>
  </si>
  <si>
    <t>1geJZBVpaebH35Qtr20P-fg9d_KDWnoq9wUQyjYMmDoo</t>
  </si>
  <si>
    <t>https://docs.google.com/document/d/1geJZBVpaebH35Qtr20P-fg9d_KDWnoq9wUQyjYMmDoo/edit?usp=drivesdk</t>
  </si>
  <si>
    <t>Document successfully created; Document successfully merged; Run via form trigger as kemal.stafsus@gmail.com; Timestamp: May 31 2025 8:50 AM</t>
  </si>
  <si>
    <t>https://drive.google.com/open?id=1wRw6CimokK5p7eqsL9N42UsEM9wDeUY5</t>
  </si>
  <si>
    <t>https://drive.google.com/uc?export=view&amp;id=1wRw6CimokK5p7eqsL9N42UsEM9wDeUY5</t>
  </si>
  <si>
    <t>Nur Rohmah, S.Ag.</t>
  </si>
  <si>
    <t>Kav. wisma bahagia RT 006/007 no. 88 kel. Bahagia kec. Babelan Bekasi Utara</t>
  </si>
  <si>
    <t>Diniyyah, Arabic</t>
  </si>
  <si>
    <t>Guru Private Kelas Bahasa Arab (Lembaga online Daarunnisa)</t>
  </si>
  <si>
    <t>Guru Diniyyah dan Arabic (Al-Wildan Islamic School 2)</t>
  </si>
  <si>
    <t>Musyrifah  (Al-Wildan Islamic School 16)</t>
  </si>
  <si>
    <t>nurmalilac@gmail.com</t>
  </si>
  <si>
    <t>1hx_31AnjtqboAIBX5RJo5LffmrqKCfZbhQU_rAWLVBg</t>
  </si>
  <si>
    <t>https://docs.google.com/document/d/1hx_31AnjtqboAIBX5RJo5LffmrqKCfZbhQU_rAWLVBg/edit?usp=drivesdk</t>
  </si>
  <si>
    <t>Document successfully created; Document successfully merged; Run via form trigger as kemal.stafsus@gmail.com; Timestamp: May 31 2025 11:15 PM</t>
  </si>
  <si>
    <t>https://drive.google.com/open?id=1l-2wdulcECdIodBRxz2GuUj27AQXeVdu</t>
  </si>
  <si>
    <t>https://drive.google.com/uc?export=view&amp;id=1l-2wdulcECdIodBRxz2GuUj27AQXeVdu</t>
  </si>
  <si>
    <t>Munadih</t>
  </si>
  <si>
    <t>085888308054</t>
  </si>
  <si>
    <t>3174061004740016</t>
  </si>
  <si>
    <t>Jl karang tengah rt005/08 no:65</t>
  </si>
  <si>
    <t>10 april 1974</t>
  </si>
  <si>
    <t>51 tahun 10 bulan</t>
  </si>
  <si>
    <t>Garuda sebagi foter</t>
  </si>
  <si>
    <t>3,000,000</t>
  </si>
  <si>
    <t>Restoran</t>
  </si>
  <si>
    <t>Wendis</t>
  </si>
  <si>
    <t>munadih58@gmail.com</t>
  </si>
  <si>
    <t>15fj2LblxtdMY1ZPemcEgCsQXKkznB1d9V7u6fKiF7FM</t>
  </si>
  <si>
    <t>https://docs.google.com/document/d/15fj2LblxtdMY1ZPemcEgCsQXKkznB1d9V7u6fKiF7FM/edit?usp=drivesdk</t>
  </si>
  <si>
    <t>Document successfully created; Document successfully merged; Run via form trigger as kemal.stafsus@gmail.com; Timestamp: Jun 1 2025 12:10 AM</t>
  </si>
  <si>
    <t>https://drive.google.com/open?id=1ihSGmNDNRVgit3DGsZ0MuTzl47FwTt4Y</t>
  </si>
  <si>
    <t>https://drive.google.com/uc?export=view&amp;id=1ihSGmNDNRVgit3DGsZ0MuTzl47FwTt4Y</t>
  </si>
  <si>
    <t>Saddam Said Muchasin, Lc</t>
  </si>
  <si>
    <t>Purwokerto</t>
  </si>
  <si>
    <t>33 Tahun 10 bulan</t>
  </si>
  <si>
    <t>Diniyyah dan Native</t>
  </si>
  <si>
    <t xml:space="preserve">Penasehat dan Guru Diniyyah AW4 </t>
  </si>
  <si>
    <t>Pernah menjadi tim kurikulum dan penelitian kurikulum diniyyah</t>
  </si>
  <si>
    <t>saddam140891@gmail.com</t>
  </si>
  <si>
    <t>1FiXGxTIE_wFgKVTRp8K5pdVzLT1mQ8SYcj4RNmOHghs</t>
  </si>
  <si>
    <t>https://docs.google.com/document/d/1FiXGxTIE_wFgKVTRp8K5pdVzLT1mQ8SYcj4RNmOHghs/edit?usp=drivesdk</t>
  </si>
  <si>
    <t>Document successfully created; Document successfully merged; Run via form trigger as kemal.stafsus@gmail.com; Timestamp: Jun 1 2025 2:15 AM</t>
  </si>
  <si>
    <t>https://drive.google.com/open?id=1Z1eUfNXFXoUCBXHFSbALlZ4M3xggLKIi</t>
  </si>
  <si>
    <t>https://drive.google.com/uc?export=view&amp;id=1Z1eUfNXFXoUCBXHFSbALlZ4M3xggLKIi</t>
  </si>
  <si>
    <t xml:space="preserve">Jihan Fauziah </t>
  </si>
  <si>
    <t>08987073635</t>
  </si>
  <si>
    <t>3174065305030009</t>
  </si>
  <si>
    <t xml:space="preserve">Jl Margasatwa GG H Beden </t>
  </si>
  <si>
    <t>13-05-2003</t>
  </si>
  <si>
    <t>Fcs</t>
  </si>
  <si>
    <t>jihanfauziahfauziah@gmail.com</t>
  </si>
  <si>
    <t>17zsCa1F75Ajr5iprsyefEAR32I59nZmwsNoEmQQmPEA</t>
  </si>
  <si>
    <t>https://docs.google.com/document/d/17zsCa1F75Ajr5iprsyefEAR32I59nZmwsNoEmQQmPEA/edit?usp=drivesdk</t>
  </si>
  <si>
    <t>Document successfully created; Document successfully merged; Run via form trigger as kemal.stafsus@gmail.com; Timestamp: Jun 1 2025 8:03 PM</t>
  </si>
  <si>
    <t>https://drive.google.com/open?id=1f6AouDNnXWsgeQ7_v1AwmW-KFTBmgP2N</t>
  </si>
  <si>
    <t>https://drive.google.com/uc?export=view&amp;id=1f6AouDNnXWsgeQ7_v1AwmW-KFTBmgP2N</t>
  </si>
  <si>
    <t>Muhammad Anzar, Lc</t>
  </si>
  <si>
    <t>Lebak Bulus - Jakarta Selatan</t>
  </si>
  <si>
    <t>32 Tahun 6 Bulan</t>
  </si>
  <si>
    <t>Guru Mata Pelajaran, Guru Olahraga/Penjaskes</t>
  </si>
  <si>
    <t>Guru Diniyah, Al-Quran, Bahasa Arab</t>
  </si>
  <si>
    <t>Guru Diniyah, Arabic, Qur’an dan Wali Kelas</t>
  </si>
  <si>
    <t>1Z_VpG02uAk-YfcqzFhVEac7UwjXsnK88zRNI2O1Zqn8</t>
  </si>
  <si>
    <t>https://docs.google.com/document/d/1Z_VpG02uAk-YfcqzFhVEac7UwjXsnK88zRNI2O1Zqn8/edit?usp=drivesdk</t>
  </si>
  <si>
    <t>Document successfully created; Document successfully merged; Run via form trigger as kemal.stafsus@gmail.com; Timestamp: Jun 1 2025 9:40 PM</t>
  </si>
  <si>
    <t>https://drive.google.com/open?id=1WM1x4HGJVitJg7edFqhwfLKr0sMbblS7</t>
  </si>
  <si>
    <t>https://drive.google.com/uc?export=view&amp;id=1WM1x4HGJVitJg7edFqhwfLKr0sMbblS7</t>
  </si>
  <si>
    <t>Tubagus Rifqi Hasbi Fauzan S.Ag</t>
  </si>
  <si>
    <t>Karang tengah jl.h.nudin no.33 (belakang ujung tk mutiara) rt.05/03 lebak bulus cilandak jaksel 12440</t>
  </si>
  <si>
    <t>30-07-1998</t>
  </si>
  <si>
    <t>Al-Quran, Arabic dan Diniyah</t>
  </si>
  <si>
    <t>Sekolah Tinggi Ilmu Quran (STIQ) Zad Cianjur</t>
  </si>
  <si>
    <t>On Progress</t>
  </si>
  <si>
    <t xml:space="preserve">Pengajar SD Kuttab </t>
  </si>
  <si>
    <t>Pengajar SD Al Wildan</t>
  </si>
  <si>
    <t>hasbifauzan36@gmail.com</t>
  </si>
  <si>
    <t>1LrLqDg6PXKcO8LquH1zboc66GJlxBzwjNohDBqCulfw</t>
  </si>
  <si>
    <t>https://docs.google.com/document/d/1LrLqDg6PXKcO8LquH1zboc66GJlxBzwjNohDBqCulfw/edit?usp=drivesdk</t>
  </si>
  <si>
    <t>Document successfully created; Document successfully merged; Run via form trigger as kemal.stafsus@gmail.com; Timestamp: Jun 1 2025 10:07 PM</t>
  </si>
  <si>
    <t>https://drive.google.com/open?id=1-BkKMrV3gW2pVogNJRsXpuAIc7hP-f01</t>
  </si>
  <si>
    <t>https://drive.google.com/uc?export=view&amp;id=1-BkKMrV3gW2pVogNJRsXpuAIc7hP-f01</t>
  </si>
  <si>
    <t>Amrina Rosyada S.Ag</t>
  </si>
  <si>
    <t>Lebak bulus Jl.H.Nudin Karang tengah Kecamatan Cilandak</t>
  </si>
  <si>
    <t>03-09-1996</t>
  </si>
  <si>
    <t>ITBA-1 / Asy-Syukriyah</t>
  </si>
  <si>
    <t>On Progress (Al-Mawa Bogor)</t>
  </si>
  <si>
    <t>SD Al Wildan</t>
  </si>
  <si>
    <t>amrina.alwildan@gmail.com</t>
  </si>
  <si>
    <t>1FrHqMLoke_1JfFGBHOcO_DKJ49U8h2Tad34TQVZw6Ek</t>
  </si>
  <si>
    <t>https://docs.google.com/document/d/1FrHqMLoke_1JfFGBHOcO_DKJ49U8h2Tad34TQVZw6Ek/edit?usp=drivesdk</t>
  </si>
  <si>
    <t>Document successfully created; Document successfully merged; Run via form trigger as kemal.stafsus@gmail.com; Timestamp: Jun 1 2025 10:28 PM</t>
  </si>
  <si>
    <t>https://drive.google.com/open?id=1us4L8qvEP9uusABlocBgv1VyfxoRB-TF</t>
  </si>
  <si>
    <t>https://drive.google.com/uc?export=view&amp;id=1us4L8qvEP9uusABlocBgv1VyfxoRB-TF</t>
  </si>
  <si>
    <t>AGUS SONY</t>
  </si>
  <si>
    <t>081284927738</t>
  </si>
  <si>
    <t>H. GanduN rt007/RW008 kel Lebak bulus kec. Cilandak jak sel</t>
  </si>
  <si>
    <t>17-08-1987</t>
  </si>
  <si>
    <t>37tahun 9bkn</t>
  </si>
  <si>
    <t xml:space="preserve">Secure parking  </t>
  </si>
  <si>
    <t xml:space="preserve">PLN </t>
  </si>
  <si>
    <t>Mencukupi kebutuhan keluarga</t>
  </si>
  <si>
    <t>ayuagay3@gmail.com</t>
  </si>
  <si>
    <t>12WfJSF8wjcZsWQgFd3gFhxm0bvZrag-Zu1NFIAdGQ3k</t>
  </si>
  <si>
    <t>https://docs.google.com/document/d/12WfJSF8wjcZsWQgFd3gFhxm0bvZrag-Zu1NFIAdGQ3k/edit?usp=drivesdk</t>
  </si>
  <si>
    <t>Document successfully created; Document successfully merged; Run via form trigger as kemal.stafsus@gmail.com; Timestamp: Jun 1 2025 10:36 PM</t>
  </si>
  <si>
    <t>https://drive.google.com/open?id=10OfikwMqI0xxge5-9sJTHIQRCFjKH1HA</t>
  </si>
  <si>
    <t>https://drive.google.com/uc?export=view&amp;id=10OfikwMqI0xxge5-9sJTHIQRCFjKH1HA</t>
  </si>
  <si>
    <t>Dadang</t>
  </si>
  <si>
    <t>087817369447</t>
  </si>
  <si>
    <t>3174060304720007</t>
  </si>
  <si>
    <t>Jl.H. Gandun Rt.006/08, karang tengah, lebak Bulus,, Cilandak, Jakarta Selatan.</t>
  </si>
  <si>
    <t>03 April 1972</t>
  </si>
  <si>
    <t>53 tahun</t>
  </si>
  <si>
    <t>satria030472@gmail.com</t>
  </si>
  <si>
    <t>1r16AKGHk4IBOKSSmDg11kVpO_0MwOrgnpb_-dt5ZEwc</t>
  </si>
  <si>
    <t>https://docs.google.com/document/d/1r16AKGHk4IBOKSSmDg11kVpO_0MwOrgnpb_-dt5ZEwc/edit?usp=drivesdk</t>
  </si>
  <si>
    <t>Document successfully created; Document successfully merged; Run via form trigger as kemal.stafsus@gmail.com; Timestamp: Jun 1 2025 11:18 PM</t>
  </si>
  <si>
    <t>https://drive.google.com/open?id=1Pe2gs4Y6WpKqjzFm-sslL4jgrDAgoGzS</t>
  </si>
  <si>
    <t>https://drive.google.com/uc?export=view&amp;id=1Pe2gs4Y6WpKqjzFm-sslL4jgrDAgoGzS</t>
  </si>
  <si>
    <t>Tazkia Aulia S.Tr.Ap</t>
  </si>
  <si>
    <t>085691413542</t>
  </si>
  <si>
    <t>3276014211010005</t>
  </si>
  <si>
    <t>Griya Artha Samudera, Bojong Kulur, Kec. Gn. Putri, Kabupaten Bogor, Jawa Barat 16969</t>
  </si>
  <si>
    <t>02-11-2001</t>
  </si>
  <si>
    <t>Politeknik STIA LAN Bandung</t>
  </si>
  <si>
    <t xml:space="preserve">Manajemen Sumber Daya Manusia </t>
  </si>
  <si>
    <t xml:space="preserve">Staff Perencanaan Human Capital &amp; Organisasi (Magang) </t>
  </si>
  <si>
    <t xml:space="preserve">Production Finance Assistant </t>
  </si>
  <si>
    <t>tazkia195@gmail.com</t>
  </si>
  <si>
    <t>1ITNRI1aCtIpMcf5DVi3Wcr-UTcUd0s5cjzR4l9RqyT0</t>
  </si>
  <si>
    <t>https://docs.google.com/document/d/1ITNRI1aCtIpMcf5DVi3Wcr-UTcUd0s5cjzR4l9RqyT0/edit?usp=drivesdk</t>
  </si>
  <si>
    <t>Document successfully created; Document successfully merged; Run via form trigger as kemal.stafsus@gmail.com; Timestamp: Jun 2 2025 4:31 AM</t>
  </si>
  <si>
    <t>https://drive.google.com/open?id=1fantLUAGj3YV5eAsdYTCOZU0ZASr_qWP</t>
  </si>
  <si>
    <t>https://drive.google.com/uc?export=view&amp;id=1fantLUAGj3YV5eAsdYTCOZU0ZASr_qWP</t>
  </si>
  <si>
    <t>Jl. Bukit Cinere No.26, Depok</t>
  </si>
  <si>
    <t>Quran, Arabic, Diniyah</t>
  </si>
  <si>
    <t>Jalan S1 Lipia Jakarta</t>
  </si>
  <si>
    <t>Jalan S1</t>
  </si>
  <si>
    <t>Guru di SDIP Al-Ittiba Klaten</t>
  </si>
  <si>
    <t>Al-Wildan Islamic School (Tahun ke 8 di Alwildan)</t>
  </si>
  <si>
    <t>khodimulh@gmail.com</t>
  </si>
  <si>
    <t>1k_dgiD7x0aqGHhdfCTi_jhhIrIXLwxhigINZ0SvxaQc</t>
  </si>
  <si>
    <t>https://docs.google.com/document/d/1k_dgiD7x0aqGHhdfCTi_jhhIrIXLwxhigINZ0SvxaQc/edit?usp=drivesdk</t>
  </si>
  <si>
    <t>Document successfully created; Document successfully merged; Run via form trigger as kemal.stafsus@gmail.com; Timestamp: Jun 2 2025 12:01 PM</t>
  </si>
  <si>
    <t>https://drive.google.com/open?id=1jGLhhLyKWc9PbzsR6tQD7bIKMLH7i013</t>
  </si>
  <si>
    <t>https://drive.google.com/uc?export=view&amp;id=1jGLhhLyKWc9PbzsR6tQD7bIKMLH7i013</t>
  </si>
  <si>
    <t xml:space="preserve">Rizki Ramadan </t>
  </si>
  <si>
    <t>5204130211970001</t>
  </si>
  <si>
    <t>Jl. H. Nudin No.34 5, RT.5/RW.3, Lb. Bulus, Kec. Cilandak, Kota Jakarta Selatan, Daerah Khusus Ibukota Jakarta 12440</t>
  </si>
  <si>
    <t>Melayu</t>
  </si>
  <si>
    <t>28 tahun 5 Bulan</t>
  </si>
  <si>
    <t xml:space="preserve">Al Qur’an </t>
  </si>
  <si>
    <t xml:space="preserve">Guru Al Qur’an </t>
  </si>
  <si>
    <t>1qlwzcHs6pc8q-lEmgpm2Hgd_JFwBLtQe1_ZPX1B_Kas</t>
  </si>
  <si>
    <t>https://docs.google.com/document/d/1qlwzcHs6pc8q-lEmgpm2Hgd_JFwBLtQe1_ZPX1B_Kas/edit?usp=drivesdk</t>
  </si>
  <si>
    <t>Document successfully created; Document successfully merged; Run via form trigger as kemal.stafsus@gmail.com; Timestamp: Jun 2 2025 10:12 PM</t>
  </si>
  <si>
    <t>https://drive.google.com/open?id=111TUSfYdVP_HJz8kxwImqFzDuVvs3txz</t>
  </si>
  <si>
    <t>https://drive.google.com/uc?export=view&amp;id=111TUSfYdVP_HJz8kxwImqFzDuVvs3txz</t>
  </si>
  <si>
    <t>Citra Dinanty Putri Nugroho S. Tr. Tl</t>
  </si>
  <si>
    <t>081807553380</t>
  </si>
  <si>
    <t>3216064910020015</t>
  </si>
  <si>
    <t>Perumahan Mahkota Indah Blok GC5 No. 27 RT 001 RW 030</t>
  </si>
  <si>
    <t>Kabupaten Bekasi</t>
  </si>
  <si>
    <t>09-10-2002</t>
  </si>
  <si>
    <t>Sekolah Vokasi IPB University</t>
  </si>
  <si>
    <t>Teknik dan Manajemen Lingkungan</t>
  </si>
  <si>
    <t>citrajoon9@gmail.com</t>
  </si>
  <si>
    <t>1WdIAJyq_yulaEVgDZtf82ITLtWlgYswyN8Bu2ehBswM</t>
  </si>
  <si>
    <t>https://docs.google.com/document/d/1WdIAJyq_yulaEVgDZtf82ITLtWlgYswyN8Bu2ehBswM/edit?usp=drivesdk</t>
  </si>
  <si>
    <t>Document successfully created; Document successfully merged; Run via form trigger as kemal.stafsus@gmail.com; Timestamp: Jun 5 2025 1:39 AM</t>
  </si>
  <si>
    <t>https://drive.google.com/open?id=17r-2XJTv9tJEOMmv6rk7QY-g6K9mm9NZ</t>
  </si>
  <si>
    <t>https://drive.google.com/uc?export=view&amp;id=17r-2XJTv9tJEOMmv6rk7QY-g6K9mm9NZ</t>
  </si>
  <si>
    <t>Dwi Karunia Arti M.H</t>
  </si>
  <si>
    <t>+6285974865726</t>
  </si>
  <si>
    <t>3603016610990001</t>
  </si>
  <si>
    <t>Villa Balaraja Blok E 6 No 18, Kec. Balaraja Kab. Tangerang - Banten</t>
  </si>
  <si>
    <t>26-20-1999</t>
  </si>
  <si>
    <t>25 Tahun  7 Bulan 9 Hari</t>
  </si>
  <si>
    <t xml:space="preserve">Staff Bendahara Fakultas Syariah </t>
  </si>
  <si>
    <t>dkaruniaarti@gmail.com</t>
  </si>
  <si>
    <t>1Z8M1oF0Cs12niyeceK7Y3BLcmWTH3EJZLnlCigr4n64</t>
  </si>
  <si>
    <t>https://docs.google.com/document/d/1Z8M1oF0Cs12niyeceK7Y3BLcmWTH3EJZLnlCigr4n64/edit?usp=drivesdk</t>
  </si>
  <si>
    <t>Document successfully created; Document successfully merged; Run via form trigger as kemal.stafsus@gmail.com; Timestamp: Jun 5 2025 1:57 AM</t>
  </si>
  <si>
    <t>https://drive.google.com/open?id=1h4MeeCkgdGf1_yYHgHCPlHUUgKgj2uXc</t>
  </si>
  <si>
    <t>https://drive.google.com/uc?export=view&amp;id=1h4MeeCkgdGf1_yYHgHCPlHUUgKgj2uXc</t>
  </si>
  <si>
    <t>Rabiah Ramadhani S.Sos</t>
  </si>
  <si>
    <t>085256293121</t>
  </si>
  <si>
    <t>7408105903000001</t>
  </si>
  <si>
    <t xml:space="preserve">Cipinang Muara, Rt.16 Rw. 2, Jatinegara, Kota Jakarta Timur, DKI Jakarta
</t>
  </si>
  <si>
    <t xml:space="preserve">Lanipa </t>
  </si>
  <si>
    <t>19 maret 2000</t>
  </si>
  <si>
    <t>Guru dan Musyrifah</t>
  </si>
  <si>
    <t>robiah19032001@gmail.com</t>
  </si>
  <si>
    <t>1PeaHe_TxieIte75aGAdjizvciBs-YmwtRgO6r9KdwuA</t>
  </si>
  <si>
    <t>https://docs.google.com/document/d/1PeaHe_TxieIte75aGAdjizvciBs-YmwtRgO6r9KdwuA/edit?usp=drivesdk</t>
  </si>
  <si>
    <t>Document successfully created; Document successfully merged; Run via form trigger as kemal.stafsus@gmail.com; Timestamp: Jun 5 2025 2:22 AM</t>
  </si>
  <si>
    <t>https://drive.google.com/open?id=16i8Uy0TJi1kWQ4AnRP4q0krSG6YHcKQX</t>
  </si>
  <si>
    <t>https://drive.google.com/uc?export=view&amp;id=16i8Uy0TJi1kWQ4AnRP4q0krSG6YHcKQX</t>
  </si>
  <si>
    <t>La Aco</t>
  </si>
  <si>
    <t>087885101279</t>
  </si>
  <si>
    <t>7472011007990001</t>
  </si>
  <si>
    <t>Sulawesi Tenggara, Kota Baubau.</t>
  </si>
  <si>
    <t>Baubau</t>
  </si>
  <si>
    <t>10-07-1999</t>
  </si>
  <si>
    <t>Markaz Tahfidz Al Wafa</t>
  </si>
  <si>
    <t>Imam masjid</t>
  </si>
  <si>
    <t>Sesuai dengan ketentuan yang berlaku di yayasan.</t>
  </si>
  <si>
    <t>acorahim720@gmail.com</t>
  </si>
  <si>
    <t>1h0wQ09O8hgtByYEfBWqGOrPFH4wSpuxN0KkoAQEVK80</t>
  </si>
  <si>
    <t>https://docs.google.com/document/d/1h0wQ09O8hgtByYEfBWqGOrPFH4wSpuxN0KkoAQEVK80/edit?usp=drivesdk</t>
  </si>
  <si>
    <t>https://drive.google.com/open?id=1lbjVQwc2oAQjoJ5zeu4V-5IgSNg8r4S1</t>
  </si>
  <si>
    <t>https://drive.google.com/uc?export=view&amp;id=1lbjVQwc2oAQjoJ5zeu4V-5IgSNg8r4S1</t>
  </si>
  <si>
    <t>Muhammad Takdir Ali Syahbana, A.Md., S.E.</t>
  </si>
  <si>
    <t>0895635286991</t>
  </si>
  <si>
    <t>BTN Pandawa 5 Regency Blok A 02</t>
  </si>
  <si>
    <t>11-November-1992</t>
  </si>
  <si>
    <t>STIEM Bongaya Makassar</t>
  </si>
  <si>
    <t>muhammad.takdir.ali@gmail.com</t>
  </si>
  <si>
    <t>1-DjbQ2-VZgiA6xQMIkg3E_HgBkb5aXNSjuQ3bee97UQ</t>
  </si>
  <si>
    <t>https://docs.google.com/document/d/1-DjbQ2-VZgiA6xQMIkg3E_HgBkb5aXNSjuQ3bee97UQ/edit?usp=drivesdk</t>
  </si>
  <si>
    <t>Document successfully created; Document successfully merged; Run via form trigger as kemal.stafsus@gmail.com; Timestamp: Jun 5 2025 2:45 AM</t>
  </si>
  <si>
    <t>https://drive.google.com/open?id=1US6fuiZdQOMTik-bb7bPTNx9nEZMR2r_</t>
  </si>
  <si>
    <t>https://drive.google.com/uc?export=view&amp;id=1US6fuiZdQOMTik-bb7bPTNx9nEZMR2r_</t>
  </si>
  <si>
    <t>Anisah, M.Si.</t>
  </si>
  <si>
    <t>087801712875</t>
  </si>
  <si>
    <t>1671036611970006</t>
  </si>
  <si>
    <t>Jalan Cisitu Lama V Rt/Rw.02/010 No.141/154C Kel.Dago Kec.Coblong Kota Bandung Jawa Barat</t>
  </si>
  <si>
    <t>26-11-1997</t>
  </si>
  <si>
    <t>Master Teacher in MIPA, Brain Academy and Ruangguru Privat Bandung</t>
  </si>
  <si>
    <t>Tutor MIPA, Eduosmo Privat</t>
  </si>
  <si>
    <t>BSI an.Anisah</t>
  </si>
  <si>
    <t>anisahbae27@gmail.com</t>
  </si>
  <si>
    <t>1s-PQTupEXFTp-hx8pFRDiBqeSvQD4iQ4PC6d6sipmEA</t>
  </si>
  <si>
    <t>https://docs.google.com/document/d/1s-PQTupEXFTp-hx8pFRDiBqeSvQD4iQ4PC6d6sipmEA/edit?usp=drivesdk</t>
  </si>
  <si>
    <t>Document successfully created; Document successfully merged; Run via form trigger as kemal.stafsus@gmail.com; Timestamp: Jun 5 2025 7:08 AM</t>
  </si>
  <si>
    <t>https://drive.google.com/open?id=1OmYQt2uLeF_qqrzw30Fnhnqweepxa-g5</t>
  </si>
  <si>
    <t>https://drive.google.com/uc?export=view&amp;id=1OmYQt2uLeF_qqrzw30Fnhnqweepxa-g5</t>
  </si>
  <si>
    <t>Jayanti Eka Sari Ningsih, S.Pd</t>
  </si>
  <si>
    <t>085710830215</t>
  </si>
  <si>
    <t>Kranggan Lembur No 38 RT 02/04 Kelurahan Jatirangga, Kecamatan Jatisampurna, Kota Bekasi</t>
  </si>
  <si>
    <t>14-01-2000</t>
  </si>
  <si>
    <t>25 Tahun  4 Bulan</t>
  </si>
  <si>
    <t>Homeroom teacher at Teruna Muda School</t>
  </si>
  <si>
    <t>jayantieka0@gmail.com</t>
  </si>
  <si>
    <t>1dOaqpxjnuDrOpJjCPnscxHTGGl9TxTYuFaHtdiLVipc</t>
  </si>
  <si>
    <t>https://docs.google.com/document/d/1dOaqpxjnuDrOpJjCPnscxHTGGl9TxTYuFaHtdiLVipc/edit?usp=drivesdk</t>
  </si>
  <si>
    <t>Document successfully created; Document successfully merged; Run via form trigger as kemal.stafsus@gmail.com; Timestamp: Jun 5 2025 9:11 PM</t>
  </si>
  <si>
    <t>https://drive.google.com/open?id=1ZP6OYFvz8iIscR4IZqyjX471KwlI2-OA</t>
  </si>
  <si>
    <t>https://drive.google.com/uc?export=view&amp;id=1ZP6OYFvz8iIscR4IZqyjX471KwlI2-OA</t>
  </si>
  <si>
    <t>T Hadi Fitra, S.Pd.</t>
  </si>
  <si>
    <t>082322566317</t>
  </si>
  <si>
    <t>1471091001010024</t>
  </si>
  <si>
    <t>10-01-2001</t>
  </si>
  <si>
    <t>Arabic, Alquran dan Diniyah</t>
  </si>
  <si>
    <t>Guru Mata Pelajaran dan Musyrif</t>
  </si>
  <si>
    <t>tengkuhadiarabic@gmail.com</t>
  </si>
  <si>
    <t>1FjxSFi0df2Leboi2r82lvSqKPMI3S94lGVZ2oxZsX_U</t>
  </si>
  <si>
    <t>https://docs.google.com/document/d/1FjxSFi0df2Leboi2r82lvSqKPMI3S94lGVZ2oxZsX_U/edit?usp=drivesdk</t>
  </si>
  <si>
    <t>Document successfully created; Document successfully merged; Run via form trigger as kemal.stafsus@gmail.com; Timestamp: Jun 6 2025 1:35 AM</t>
  </si>
  <si>
    <t>https://drive.google.com/open?id=17YcHLcsrWKSk5qsUfa7ii27nHcpq83Gu</t>
  </si>
  <si>
    <t>https://drive.google.com/uc?export=view&amp;id=17YcHLcsrWKSk5qsUfa7ii27nHcpq83Gu</t>
  </si>
  <si>
    <t>Feri Ihmawan Nurfauzi S.Pd</t>
  </si>
  <si>
    <t>082323640391</t>
  </si>
  <si>
    <t>3302170702000001</t>
  </si>
  <si>
    <t>Desa Sumberejo, Batu, Kota Batu Jawa Timur</t>
  </si>
  <si>
    <t>07 Februari 2000</t>
  </si>
  <si>
    <t>Al Quran, Diniyah, Arabic ( A.D.A )</t>
  </si>
  <si>
    <t>Musyrif Asrama</t>
  </si>
  <si>
    <t>feriihmawan7@gmail.com</t>
  </si>
  <si>
    <t>10U7GGwiFKKGM2csB6p6VW92oGwTg8rrXuTabfQ6oFn8</t>
  </si>
  <si>
    <t>https://docs.google.com/document/d/10U7GGwiFKKGM2csB6p6VW92oGwTg8rrXuTabfQ6oFn8/edit?usp=drivesdk</t>
  </si>
  <si>
    <t>Document successfully created; Document successfully merged; Run via form trigger as kemal.stafsus@gmail.com; Timestamp: Jun 6 2025 3:52 AM</t>
  </si>
  <si>
    <t>https://drive.google.com/open?id=1TrxPqzPbWJshV-f241OeNQ0kQSKAW4sP</t>
  </si>
  <si>
    <t>https://drive.google.com/uc?export=view&amp;id=1TrxPqzPbWJshV-f241OeNQ0kQSKAW4sP</t>
  </si>
  <si>
    <t>Sayid Hanif Ayatullah, B.A.</t>
  </si>
  <si>
    <t>0882000269082</t>
  </si>
  <si>
    <t>3216091704980016</t>
  </si>
  <si>
    <t>Alamat :
Jl. Cendana 1 C7 No 10, RT.04/RW.06, Perum Bumi Citra Lestari, Ds.Waluya, Kec. Cikarang Utara, Bekasi Jawa Barat 17550
(Rumah Biru)</t>
  </si>
  <si>
    <t>17-04-1998</t>
  </si>
  <si>
    <t>Arabiyyah, Diniyyah, Al-Qur'an</t>
  </si>
  <si>
    <t>Mudir Rumah Quran</t>
  </si>
  <si>
    <t>Guru Bidang</t>
  </si>
  <si>
    <t>hanifbinsukma@gmail.com</t>
  </si>
  <si>
    <t>1pgD3dUjnS53q4g1RXU5lmZp5zfF6L8BBE_5I-5o-8UM</t>
  </si>
  <si>
    <t>https://docs.google.com/document/d/1pgD3dUjnS53q4g1RXU5lmZp5zfF6L8BBE_5I-5o-8UM/edit?usp=drivesdk</t>
  </si>
  <si>
    <t>Document successfully created; Document successfully merged; Run via form trigger as kemal.stafsus@gmail.com; Timestamp: Jun 9 2025 3:27 AM</t>
  </si>
  <si>
    <t>https://drive.google.com/open?id=1i_XIsEviXEoy1O9kPhpyZHzjgM_ED5zu</t>
  </si>
  <si>
    <t>https://drive.google.com/uc?export=view&amp;id=1i_XIsEviXEoy1O9kPhpyZHzjgM_ED5zu</t>
  </si>
  <si>
    <t xml:space="preserve">
Jl. Cendana 1 C7 No 10, RT.04/RW.06, Perum Bumi Citra Lestari, Ds.Waluya, Kec. Cikarang Utara, Bekasi Jawa Barat 17550
(Rumah Biru)</t>
  </si>
  <si>
    <t>Mudir Rumah Qur'an</t>
  </si>
  <si>
    <t>1qtr_Oa7hixAjX3kff8cUEilv35BC0arP10SkgMoruU0</t>
  </si>
  <si>
    <t>https://docs.google.com/document/d/1qtr_Oa7hixAjX3kff8cUEilv35BC0arP10SkgMoruU0/edit?usp=drivesdk</t>
  </si>
  <si>
    <t>Document successfully created; Document successfully merged; Run via form trigger as kemal.stafsus@gmail.com; Timestamp: Jun 9 2025 6:04 AM</t>
  </si>
  <si>
    <t>https://drive.google.com/open?id=1pCCwBEhJkGJUpLdAAITSgAd_o2Kl1oOH</t>
  </si>
  <si>
    <t>https://drive.google.com/uc?export=view&amp;id=1pCCwBEhJkGJUpLdAAITSgAd_o2Kl1oOH</t>
  </si>
  <si>
    <t>Sayyidatu Rifdah Berelvi Khairani, B.A</t>
  </si>
  <si>
    <t>089516557372</t>
  </si>
  <si>
    <t>3173076707011002 / E7748988</t>
  </si>
  <si>
    <t>Jalan Palem Merah Raya No 1 Masjid Al Ukhuwah Palem Semi RT 004 RW 019 Kabupaten Tangerang Banten 15810</t>
  </si>
  <si>
    <t>27-07-2001</t>
  </si>
  <si>
    <t>Al Qur'an, Diniyyah, Arabic</t>
  </si>
  <si>
    <t>Al Qasimia University</t>
  </si>
  <si>
    <t>Sharia and Islamic Studies (Jurisprudence and Its Foundation)</t>
  </si>
  <si>
    <t>ITBA GURU (PPL), Al Qur'an dan Diniyyah + wali kelas unit SD, Al Wildan Islamic School (Agustus 2019 - Desember 2020)</t>
  </si>
  <si>
    <t>Guru Private Al Qur'an dan Diniyyah, 5 anak unit SD - SMA (Januari 2020 - April 2023)</t>
  </si>
  <si>
    <t>Guru Private Al Qur'an dan diniyyah, 2 anak unit SMP - SMA, (Mei 2025 - sekarang)</t>
  </si>
  <si>
    <t>sayyidaturifdah01@gmail.com</t>
  </si>
  <si>
    <t>1-ExMIXWWcXS-YHFppNGoRgxZ-oU4xrPIo5kGqBQtag0</t>
  </si>
  <si>
    <t>https://docs.google.com/document/d/1-ExMIXWWcXS-YHFppNGoRgxZ-oU4xrPIo5kGqBQtag0/edit?usp=drivesdk</t>
  </si>
  <si>
    <t>Document successfully created; Document successfully merged; Run via form trigger as kemal.stafsus@gmail.com; Timestamp: Jun 9 2025 9:06 AM</t>
  </si>
  <si>
    <t>https://drive.google.com/open?id=11-d1slXQNdXRqgqH3Qqf5uafQGDlnuf3</t>
  </si>
  <si>
    <t>https://drive.google.com/uc?export=view&amp;id=11-d1slXQNdXRqgqH3Qqf5uafQGDlnuf3</t>
  </si>
  <si>
    <t>Salman Abu Al Khair, S.Pd.</t>
  </si>
  <si>
    <t>02 Desember 1996</t>
  </si>
  <si>
    <t>salmanhamzha@gmail.com</t>
  </si>
  <si>
    <t>13heWhEbATGPcmdRYY4z9SVpeCfuHo2fdhEqUXdyxg7o</t>
  </si>
  <si>
    <t>https://docs.google.com/document/d/13heWhEbATGPcmdRYY4z9SVpeCfuHo2fdhEqUXdyxg7o/edit?usp=drivesdk</t>
  </si>
  <si>
    <t>Document successfully created; Document successfully merged; Run via form trigger as kemal.stafsus@gmail.com; Timestamp: Jun 10 2025 3:40 AM</t>
  </si>
  <si>
    <t>https://drive.google.com/open?id=1Tt9JQjq0_LevBXFoiZJ-3d4slIewNrzE</t>
  </si>
  <si>
    <t>https://drive.google.com/uc?export=view&amp;id=1Tt9JQjq0_LevBXFoiZJ-3d4slIewNrzE</t>
  </si>
  <si>
    <t>Dhea Maitsa Rajni</t>
  </si>
  <si>
    <t>085865332472</t>
  </si>
  <si>
    <t>5171016908020001</t>
  </si>
  <si>
    <t>Medina Apartemen</t>
  </si>
  <si>
    <t>Denpasar Bali</t>
  </si>
  <si>
    <t>29-080-2002</t>
  </si>
  <si>
    <t>Guru Al-Qur’an</t>
  </si>
  <si>
    <t xml:space="preserve">Ekonomi ( manajemen bisnis ) </t>
  </si>
  <si>
    <t>( masih semester 4 )</t>
  </si>
  <si>
    <t>Musyrifah + guru tahfidz  + koordinator keamanan</t>
  </si>
  <si>
    <t>dheamaitsarajni290802@gmail.com</t>
  </si>
  <si>
    <t>1dmejkhhi3wXlQkbCq1MdXqLhauTaiH7mHTnS7T3J0hw</t>
  </si>
  <si>
    <t>https://docs.google.com/document/d/1dmejkhhi3wXlQkbCq1MdXqLhauTaiH7mHTnS7T3J0hw/edit?usp=drivesdk</t>
  </si>
  <si>
    <t>Document successfully created; Document successfully merged; Run via form trigger as kemal.stafsus@gmail.com; Timestamp: Jun 10 2025 3:52 AM</t>
  </si>
  <si>
    <t>https://drive.google.com/open?id=1SbzC0K9Y-tZWI7MF0uO-9yOQk-Bb0-Z6</t>
  </si>
  <si>
    <t>https://drive.google.com/uc?export=view&amp;id=1SbzC0K9Y-tZWI7MF0uO-9yOQk-Bb0-Z6</t>
  </si>
  <si>
    <t>M SIDIK VASNI, Lc.</t>
  </si>
  <si>
    <t>Jl. Syamsi Raya</t>
  </si>
  <si>
    <t>21-04-1990</t>
  </si>
  <si>
    <t>Wakil Kesiswaan</t>
  </si>
  <si>
    <t>akunsekolah58@gmail.com</t>
  </si>
  <si>
    <t>18mPI9d1k4XTCKbfAuvSfVa-YqHeIW89sDqu5hipPIAk</t>
  </si>
  <si>
    <t>https://docs.google.com/document/d/18mPI9d1k4XTCKbfAuvSfVa-YqHeIW89sDqu5hipPIAk/edit?usp=drivesdk</t>
  </si>
  <si>
    <t>Document successfully created; Document successfully merged; Run via form trigger as kemal.stafsus@gmail.com; Timestamp: Jun 10 2025 6:12 AM</t>
  </si>
  <si>
    <t>https://drive.google.com/open?id=10I5s7CW5lyONF-N3GZ1itoK_GP7_aH53</t>
  </si>
  <si>
    <t>https://drive.google.com/uc?export=view&amp;id=10I5s7CW5lyONF-N3GZ1itoK_GP7_aH53</t>
  </si>
  <si>
    <t>Rabiah Ramadhani Syarif S.Sos</t>
  </si>
  <si>
    <t>Cipinang Muara RT.16/RW/.2, kec. Jatinegera, Kota Jakarta Timur, DKI</t>
  </si>
  <si>
    <t>19-03-2001</t>
  </si>
  <si>
    <t xml:space="preserve">Arabic / Diniyyah </t>
  </si>
  <si>
    <t>komunikasi Penyiaran Islam</t>
  </si>
  <si>
    <t>Musyrifah Tahfidz</t>
  </si>
  <si>
    <t>1r9rGXG1m3y_L_pCq_-9klMBQVdf_INiETsvda6FjNpk</t>
  </si>
  <si>
    <t>https://docs.google.com/document/d/1r9rGXG1m3y_L_pCq_-9klMBQVdf_INiETsvda6FjNpk/edit?usp=drivesdk</t>
  </si>
  <si>
    <t>Document successfully created; Document successfully merged; Run via form trigger as kemal.stafsus@gmail.com; Timestamp: Jun 10 2025 9:57 PM</t>
  </si>
  <si>
    <t>https://drive.google.com/open?id=1v6TpSBP7cPnnwk-0lv6_smA0eEpNQIoy</t>
  </si>
  <si>
    <t>https://drive.google.com/uc?export=view&amp;id=1v6TpSBP7cPnnwk-0lv6_smA0eEpNQIoy</t>
  </si>
  <si>
    <t>Rian Sahputra, Lc.</t>
  </si>
  <si>
    <t>085212630855</t>
  </si>
  <si>
    <t>3276070707950001</t>
  </si>
  <si>
    <t>Jl. Margonda Raya GG Swadaya Rt01 RW 07 Kp Bulak. kota Depok</t>
  </si>
  <si>
    <t>07-07-1995</t>
  </si>
  <si>
    <t>Arabic dan diniyyah</t>
  </si>
  <si>
    <t xml:space="preserve">Kuliyyah Dakwah Islamiyyah Tripoli - Libya </t>
  </si>
  <si>
    <t>UIN Jakarta ( Sekarang )</t>
  </si>
  <si>
    <t>Guru Diberbagai Yayasan Sekolah</t>
  </si>
  <si>
    <t>riansahputra844@gmail.com</t>
  </si>
  <si>
    <t>1tzaNfks3GTeZrX1310bTywSsDSYjWsjQrc2qT3bGkBY</t>
  </si>
  <si>
    <t>https://docs.google.com/document/d/1tzaNfks3GTeZrX1310bTywSsDSYjWsjQrc2qT3bGkBY/edit?usp=drivesdk</t>
  </si>
  <si>
    <t>Document successfully created; Document successfully merged; Run via form trigger as kemal.stafsus@gmail.com; Timestamp: Jun 11 2025 3:03 AM</t>
  </si>
  <si>
    <t>https://drive.google.com/open?id=1Mad_vhT4IcgBNGankL3n3WRXwp3JJWM0</t>
  </si>
  <si>
    <t>https://drive.google.com/uc?export=view&amp;id=1Mad_vhT4IcgBNGankL3n3WRXwp3JJWM0</t>
  </si>
  <si>
    <t>Andika</t>
  </si>
  <si>
    <t>081776678247</t>
  </si>
  <si>
    <t>3174061904941001</t>
  </si>
  <si>
    <t>Jl h gandun RT 07/08</t>
  </si>
  <si>
    <t>19/04/1994</t>
  </si>
  <si>
    <t xml:space="preserve">Imperial kitchen </t>
  </si>
  <si>
    <t>andika199404@gmail.com</t>
  </si>
  <si>
    <t>1S2yQxLP1eALHG-yfHim814IyKotlH0pB-Cu8viNEps8</t>
  </si>
  <si>
    <t>https://docs.google.com/document/d/1S2yQxLP1eALHG-yfHim814IyKotlH0pB-Cu8viNEps8/edit?usp=drivesdk</t>
  </si>
  <si>
    <t>Document successfully created; Document successfully merged; Run via form trigger as kemal.stafsus@gmail.com; Timestamp: Jun 13 2025 4:06 AM</t>
  </si>
  <si>
    <t>https://drive.google.com/open?id=1wrKpnqBBQJIv53kUdahfoJM5bxnvGfaM</t>
  </si>
  <si>
    <t>https://drive.google.com/uc?export=view&amp;id=1wrKpnqBBQJIv53kUdahfoJM5bxnvGfaM</t>
  </si>
  <si>
    <t xml:space="preserve">Hadan Mustikin </t>
  </si>
  <si>
    <t>082114868533</t>
  </si>
  <si>
    <t>3271050309820023</t>
  </si>
  <si>
    <t>03 September 1982</t>
  </si>
  <si>
    <t xml:space="preserve">42 tahun  </t>
  </si>
  <si>
    <t xml:space="preserve">CV legasol supplier kimia textile </t>
  </si>
  <si>
    <t>PT. Catur swadaya perkasa</t>
  </si>
  <si>
    <t>mustikin003@gmail.com</t>
  </si>
  <si>
    <t>1YZs1nOVSbNPfWsitCson51iu2PYuhUsp4jfei8JpUTg</t>
  </si>
  <si>
    <t>https://docs.google.com/document/d/1YZs1nOVSbNPfWsitCson51iu2PYuhUsp4jfei8JpUTg/edit?usp=drivesdk</t>
  </si>
  <si>
    <t>Document successfully created; Document successfully merged; Run via form trigger as kemal.stafsus@gmail.com; Timestamp: Jun 14 2025 8:49 PM</t>
  </si>
  <si>
    <t>https://drive.google.com/open?id=11rReaS-mL0V_uR4rC5vQ0d15dLu4RUtp</t>
  </si>
  <si>
    <t>https://drive.google.com/uc?export=view&amp;id=11rReaS-mL0V_uR4rC5vQ0d15dLu4RUtp</t>
  </si>
  <si>
    <t xml:space="preserve">Ahmad zaelani </t>
  </si>
  <si>
    <t>081292638269</t>
  </si>
  <si>
    <t>3174061905960003</t>
  </si>
  <si>
    <t>Jl.Taman Cilandak Raya Rt001 Rw004 cilandak barat jakarta selatan</t>
  </si>
  <si>
    <t>Jakarta selatan</t>
  </si>
  <si>
    <t>19-05-1996</t>
  </si>
  <si>
    <t>Delivery pizza hut</t>
  </si>
  <si>
    <t>ahmadzaelani055@gmail.com</t>
  </si>
  <si>
    <t>1-s8eEMgLVCJx_s0hk_sTwbp3p1SQXivXfgKmO_LDMUE</t>
  </si>
  <si>
    <t>https://docs.google.com/document/d/1-s8eEMgLVCJx_s0hk_sTwbp3p1SQXivXfgKmO_LDMUE/edit?usp=drivesdk</t>
  </si>
  <si>
    <t>Document successfully created; Document successfully merged; Run via form trigger as kemal.stafsus@gmail.com; Timestamp: Jun 15 2025 1:15 AM</t>
  </si>
  <si>
    <t>https://drive.google.com/open?id=1SEYBggG88B_EvZ_Hc6lNuvZBkdHFBJLb</t>
  </si>
  <si>
    <t>https://drive.google.com/uc?export=view&amp;id=1SEYBggG88B_EvZ_Hc6lNuvZBkdHFBJLb</t>
  </si>
  <si>
    <t xml:space="preserve">Nadia Alkhatib </t>
  </si>
  <si>
    <t>087761442936</t>
  </si>
  <si>
    <t>3504014804000002</t>
  </si>
  <si>
    <t xml:space="preserve">Jln bidar v no.9 kelapa dua, gading Serpong, tangerang </t>
  </si>
  <si>
    <t>8 april 2000</t>
  </si>
  <si>
    <t xml:space="preserve">25th 2bln </t>
  </si>
  <si>
    <t xml:space="preserve">Quran </t>
  </si>
  <si>
    <t xml:space="preserve">Musyrifah 
Guru Quran </t>
  </si>
  <si>
    <t xml:space="preserve">3jt </t>
  </si>
  <si>
    <t>nadiachotib@gmail.com</t>
  </si>
  <si>
    <t>1EBy6ym14cnlvL0QgZ9XVDi2gEXK6lySnUWWI9KywGTY</t>
  </si>
  <si>
    <t>https://docs.google.com/document/d/1EBy6ym14cnlvL0QgZ9XVDi2gEXK6lySnUWWI9KywGTY/edit?usp=drivesdk</t>
  </si>
  <si>
    <t>Document successfully created; Document successfully merged; Run via form trigger as kemal.stafsus@gmail.com; Timestamp: Jun 16 2025 4:47 AM</t>
  </si>
  <si>
    <t>https://drive.google.com/open?id=1ASaqgkoMSZy45iN22RIoIGLyJlbikrDp</t>
  </si>
  <si>
    <t>https://drive.google.com/uc?export=view&amp;id=1ASaqgkoMSZy45iN22RIoIGLyJlbikrDp</t>
  </si>
  <si>
    <t xml:space="preserve">CHAERUL FEBRIAN </t>
  </si>
  <si>
    <t>085809513032</t>
  </si>
  <si>
    <t>1802200802050001</t>
  </si>
  <si>
    <t>Jalan Mesjid Al Akhyar No. 25, RT.7/RW.8, Gandul, Cinere</t>
  </si>
  <si>
    <t>taman sari , Lampung Tengah.kec.selagai lingga</t>
  </si>
  <si>
    <t>08-febuary-2004 ,taman sari</t>
  </si>
  <si>
    <t>febriifebri99@gmail.com</t>
  </si>
  <si>
    <t>1oTKtJpRWUtzUkaBtXbjeF8YGmFcHflC5jUdEbjhGwLU</t>
  </si>
  <si>
    <t>https://docs.google.com/document/d/1oTKtJpRWUtzUkaBtXbjeF8YGmFcHflC5jUdEbjhGwLU/edit?usp=drivesdk</t>
  </si>
  <si>
    <t>Document successfully created; Document successfully merged; Run via form trigger as kemal.stafsus@gmail.com; Timestamp: Jun 17 2025 4:46 AM</t>
  </si>
  <si>
    <t>https://drive.google.com/open?id=1GJZZdaPE0gywN0C3PPZeHZDxEv656gsx</t>
  </si>
  <si>
    <t>https://drive.google.com/uc?export=view&amp;id=1GJZZdaPE0gywN0C3PPZeHZDxEv656gsx</t>
  </si>
  <si>
    <t xml:space="preserve">Fahri Kamniansyah </t>
  </si>
  <si>
    <t>083894995050</t>
  </si>
  <si>
    <t xml:space="preserve">Karang Tengah Lebak bulus </t>
  </si>
  <si>
    <t>27 Maret 1997</t>
  </si>
  <si>
    <t xml:space="preserve">5 tahun </t>
  </si>
  <si>
    <t xml:space="preserve">FCS </t>
  </si>
  <si>
    <t>kamniansyah@gmail.com</t>
  </si>
  <si>
    <t>1VId61JxFqjChJzjZCm9RvRebvtK6UYGKPlYvYN07c8E</t>
  </si>
  <si>
    <t>https://docs.google.com/document/d/1VId61JxFqjChJzjZCm9RvRebvtK6UYGKPlYvYN07c8E/edit?usp=drivesdk</t>
  </si>
  <si>
    <t>Document successfully created; Document successfully merged; Run via form trigger as kemal.stafsus@gmail.com; Timestamp: Jun 17 2025 4:47 AM</t>
  </si>
  <si>
    <t>https://drive.google.com/open?id=1OGCNMo2ibYEqvX-YwDiuz_0fuarw2Vxs</t>
  </si>
  <si>
    <t>https://drive.google.com/uc?export=view&amp;id=1OGCNMo2ibYEqvX-YwDiuz_0fuarw2Vxs</t>
  </si>
  <si>
    <t>Bela Zainun Yatin, S.Mat.</t>
  </si>
  <si>
    <t>085936730854</t>
  </si>
  <si>
    <t>5271025508010005</t>
  </si>
  <si>
    <t>15-08-2001</t>
  </si>
  <si>
    <t>Freelancer</t>
  </si>
  <si>
    <t>005201190288509</t>
  </si>
  <si>
    <t>bellazy4@gmail.com</t>
  </si>
  <si>
    <t>1K95se4wU0RJWJKgN94HyZnEMfBEuOJWxVd5Azl4uN5k</t>
  </si>
  <si>
    <t>https://docs.google.com/document/d/1K95se4wU0RJWJKgN94HyZnEMfBEuOJWxVd5Azl4uN5k/edit?usp=drivesdk</t>
  </si>
  <si>
    <t>Document successfully created; Document successfully merged; Run via form trigger as kemal.stafsus@gmail.com; Timestamp: Jun 24 2025 2:00 AM</t>
  </si>
  <si>
    <t>https://drive.google.com/open?id=1l5aV7A2xZoc5S7ucJYlObY5o2TFFW3Aq</t>
  </si>
  <si>
    <t>https://drive.google.com/uc?export=view&amp;id=1l5aV7A2xZoc5S7ucJYlObY5o2TFFW3Aq</t>
  </si>
  <si>
    <t>Ana Febrianti B.A</t>
  </si>
  <si>
    <t>087701022522</t>
  </si>
  <si>
    <t>5201084107000252</t>
  </si>
  <si>
    <t xml:space="preserve"> Dusun Tangkeban, desa Merembu, kec Labuapi, lombok barat </t>
  </si>
  <si>
    <t xml:space="preserve">Lombok Barat </t>
  </si>
  <si>
    <t>anafebrianti234@gmail.com</t>
  </si>
  <si>
    <t>1-UFfar4mxQxMSAVQQeD1IEE0kfvw1nzOQzEVYNG4hfY</t>
  </si>
  <si>
    <t>https://docs.google.com/document/d/1-UFfar4mxQxMSAVQQeD1IEE0kfvw1nzOQzEVYNG4hfY/edit?usp=drivesdk</t>
  </si>
  <si>
    <t>Document successfully created; Document successfully merged; Run via form trigger as kemal.stafsus@gmail.com; Timestamp: Jun 24 2025 3:03 AM</t>
  </si>
  <si>
    <t>https://drive.google.com/open?id=1kfSWRhqnddutXVBzjGaAzssivgmAj8hO</t>
  </si>
  <si>
    <t>https://drive.google.com/uc?export=view&amp;id=1kfSWRhqnddutXVBzjGaAzssivgmAj8hO</t>
  </si>
  <si>
    <t>Dini Apriyani Sopiah S.Or</t>
  </si>
  <si>
    <t>08561309786</t>
  </si>
  <si>
    <t>3174106804990002</t>
  </si>
  <si>
    <t>Jl.Rajai Rt.13/Rw.004 Kel.Ulujami Kec. Pesanggrahan Jakarta Selatan</t>
  </si>
  <si>
    <t>28-04-1999</t>
  </si>
  <si>
    <t xml:space="preserve">S1 Universitas Negeri Jakarta </t>
  </si>
  <si>
    <t>Kepelatihan Kecabangan Olahraga</t>
  </si>
  <si>
    <t>Guru PJOK SDIT AL-MARJAN 2023-2025</t>
  </si>
  <si>
    <t>Guru PJOK SMK FAHD ISLAMIC SCHOOL 2022</t>
  </si>
  <si>
    <t>GURU PJOK SDIT AL ABIDIN 2017</t>
  </si>
  <si>
    <t>dinisopiah1@gmail.com</t>
  </si>
  <si>
    <t>16f9XTOZIubkIcI_g7Pnc9Qcp7fM8-Si4BYZMmktjyuw</t>
  </si>
  <si>
    <t>https://docs.google.com/document/d/16f9XTOZIubkIcI_g7Pnc9Qcp7fM8-Si4BYZMmktjyuw/edit?usp=drivesdk</t>
  </si>
  <si>
    <t>Document successfully created; Document successfully merged; Run via form trigger as kemal.stafsus@gmail.com; Timestamp: Jun 24 2025 6:20 AM</t>
  </si>
  <si>
    <t>https://drive.google.com/open?id=1ctsoaWEgVqIqtSUZSoq_VqzF9hNo3Vwv</t>
  </si>
  <si>
    <t>https://drive.google.com/uc?export=view&amp;id=1ctsoaWEgVqIqtSUZSoq_VqzF9hNo3Vwv</t>
  </si>
  <si>
    <t>Jl.Rajai RT.013/RW.004 Kel.Ulujami Kec.Pesanggrahan Jakarta Selatan</t>
  </si>
  <si>
    <t>Guru PJOK DI SDIT AL-ABIDIN TAHUN 2017</t>
  </si>
  <si>
    <t>Guru PJOK SMK FAHD ISLAMIC SCHOOL TAHUN 2022</t>
  </si>
  <si>
    <t>Guru PJOK SDIT AL-MARJAN TAHUN 2023-2025</t>
  </si>
  <si>
    <t>1YcZ7P2OMXqDu9d6AsqdRF-3cqxIMVbf6VYdUAAOL3WE</t>
  </si>
  <si>
    <t>https://docs.google.com/document/d/1YcZ7P2OMXqDu9d6AsqdRF-3cqxIMVbf6VYdUAAOL3WE/edit?usp=drivesdk</t>
  </si>
  <si>
    <t>Document successfully created; Document successfully merged; Run via form trigger as kemal.stafsus@gmail.com; Timestamp: Jun 24 2025 6:34 AM</t>
  </si>
  <si>
    <t>https://drive.google.com/open?id=1rLQJT_J2blFlMCE1YJofME0FvWd-YDM9</t>
  </si>
  <si>
    <t>https://drive.google.com/uc?export=view&amp;id=1rLQJT_J2blFlMCE1YJofME0FvWd-YDM9</t>
  </si>
  <si>
    <t>Anggun Wahyuni, S.T.,M.Sc</t>
  </si>
  <si>
    <t>087704761231</t>
  </si>
  <si>
    <t>5207064607970001</t>
  </si>
  <si>
    <t>Jln. Bakung No. 7 Gomong Timur, Selaparang, Mataram, NTB.</t>
  </si>
  <si>
    <t>PTS - Universitas Cordova</t>
  </si>
  <si>
    <t>LN - Universiti Teknologi MARA</t>
  </si>
  <si>
    <t>Dosen Tetap Universitas Cordova</t>
  </si>
  <si>
    <t>Guru - Pondok Pesantren Al- Ikhlas Taliwang</t>
  </si>
  <si>
    <t>0604681176</t>
  </si>
  <si>
    <t>anggunwahyunimz@gmail.com</t>
  </si>
  <si>
    <t>14XmQiW1kRXOTKI0yk2Grp0jDNXiSeRuTBD6WWoLM9SY</t>
  </si>
  <si>
    <t>https://docs.google.com/document/d/14XmQiW1kRXOTKI0yk2Grp0jDNXiSeRuTBD6WWoLM9SY/edit?usp=drivesdk</t>
  </si>
  <si>
    <t>Document successfully created; Document successfully merged; Run via form trigger as kemal.stafsus@gmail.com; Timestamp: Jun 24 2025 11:46 AM</t>
  </si>
  <si>
    <t>https://drive.google.com/open?id=1JFVU1zznqt_E0ovArqyqmWuBo3ntF4NC</t>
  </si>
  <si>
    <t>https://drive.google.com/uc?export=view&amp;id=1JFVU1zznqt_E0ovArqyqmWuBo3ntF4NC</t>
  </si>
  <si>
    <t>Ahmad ahsan natsir.Lc, S.PdI</t>
  </si>
  <si>
    <t>082193245448</t>
  </si>
  <si>
    <t>7210080805870001</t>
  </si>
  <si>
    <t>08-05-1988</t>
  </si>
  <si>
    <t>Universitas islam negri palu</t>
  </si>
  <si>
    <t>Alfityan makassar wakil kepsek</t>
  </si>
  <si>
    <t>Nurul fikri makassar kepala departemen pengembangan usaha</t>
  </si>
  <si>
    <t>Sesuai umr</t>
  </si>
  <si>
    <t>muhammadihsannatsir@gmail.com</t>
  </si>
  <si>
    <t>1c96-giu-akcv-W9ZMUVzkRfCv7bHhrxMFOmVTqOOgRc</t>
  </si>
  <si>
    <t>https://docs.google.com/document/d/1c96-giu-akcv-W9ZMUVzkRfCv7bHhrxMFOmVTqOOgRc/edit?usp=drivesdk</t>
  </si>
  <si>
    <t>Document successfully created; Document successfully merged; Run via form trigger as kemal.stafsus@gmail.com; Timestamp: Jun 25 2025 2:26 AM</t>
  </si>
  <si>
    <t>https://drive.google.com/open?id=1nvWfKm0TpyTW2fBdjAI5oc8-LHQ6hbvq</t>
  </si>
  <si>
    <t>https://drive.google.com/uc?export=view&amp;id=1nvWfKm0TpyTW2fBdjAI5oc8-LHQ6hbvq</t>
  </si>
  <si>
    <t>Nurul Annisa Husain, S.Pd. Gr., M.Pd.</t>
  </si>
  <si>
    <t>082292111014</t>
  </si>
  <si>
    <t>7309035205960001</t>
  </si>
  <si>
    <t>Lingkungan Leang-leang, Kel. Leang-leang, Kec. Bantimurung, Kab. Maros, Provinsi Sulawesi Selatan</t>
  </si>
  <si>
    <t>Bone</t>
  </si>
  <si>
    <t>12-05-1996</t>
  </si>
  <si>
    <t>PTN S1 - Universitas Negeri Makassar</t>
  </si>
  <si>
    <t>PTN S2 - Universitas Negeri Malang</t>
  </si>
  <si>
    <t xml:space="preserve">Guru infal (SD) </t>
  </si>
  <si>
    <t>nurulannisa.icp@gmail.com</t>
  </si>
  <si>
    <t>1U-M1X2xKCULi4ofi8Cld07MUbDO5fypaaNQqc4dR5XY</t>
  </si>
  <si>
    <t>https://docs.google.com/document/d/1U-M1X2xKCULi4ofi8Cld07MUbDO5fypaaNQqc4dR5XY/edit?usp=drivesdk</t>
  </si>
  <si>
    <t>Document successfully created; Document successfully merged; Run via form trigger as kemal.stafsus@gmail.com; Timestamp: Jun 25 2025 3:17 AM</t>
  </si>
  <si>
    <t>https://drive.google.com/open?id=1bX3AW7ywWU7ULzEI-jTDK6TR1P7C6K-o</t>
  </si>
  <si>
    <t>https://drive.google.com/uc?export=view&amp;id=1bX3AW7ywWU7ULzEI-jTDK6TR1P7C6K-o</t>
  </si>
  <si>
    <t>Abu Bakar Nurrahman, S. Ag.</t>
  </si>
  <si>
    <t>0895329590076</t>
  </si>
  <si>
    <t>5271011604000002</t>
  </si>
  <si>
    <t xml:space="preserve">Ciater BSD </t>
  </si>
  <si>
    <t>16-04-2000</t>
  </si>
  <si>
    <t>Al-Qur'an Dan Tafsir</t>
  </si>
  <si>
    <t xml:space="preserve">Mengajar Al-Qur'an </t>
  </si>
  <si>
    <t>elburahm@gmail.com</t>
  </si>
  <si>
    <t>1pDF--5THmnUxcQaVcvtiPSoe-O2wNPnxV-4x-9hAt1E</t>
  </si>
  <si>
    <t>https://docs.google.com/document/d/1pDF--5THmnUxcQaVcvtiPSoe-O2wNPnxV-4x-9hAt1E/edit?usp=drivesdk</t>
  </si>
  <si>
    <t>Document successfully created; Document successfully merged; Run via form trigger as kemal.stafsus@gmail.com; Timestamp: Jun 25 2025 4:10 AM</t>
  </si>
  <si>
    <t>https://drive.google.com/open?id=15TVUQN4uarObWD_vQznWH2emJdSISlKp</t>
  </si>
  <si>
    <t>https://drive.google.com/uc?export=view&amp;id=15TVUQN4uarObWD_vQznWH2emJdSISlKp</t>
  </si>
  <si>
    <t>Akbar Rafiq Sholeh, S.Pd.</t>
  </si>
  <si>
    <t>082114609740</t>
  </si>
  <si>
    <t>3604052710000003</t>
  </si>
  <si>
    <t>Jl. Swadarma Raya No19B, Kp. Baru 2, Ulujami, Pesanggrahan, Jakarta Selatan</t>
  </si>
  <si>
    <t>27-10-2000</t>
  </si>
  <si>
    <t>akbarafiq32@gmail.com</t>
  </si>
  <si>
    <t>1SAp5Ukv9ZEFLuOSXyREztitDqQhhMNqW79qvH1rrqdY</t>
  </si>
  <si>
    <t>https://docs.google.com/document/d/1SAp5Ukv9ZEFLuOSXyREztitDqQhhMNqW79qvH1rrqdY/edit?usp=drivesdk</t>
  </si>
  <si>
    <t>Document successfully created; Document successfully merged; Run via form trigger as kemal.stafsus@gmail.com; Timestamp: Jun 25 2025 4:22 AM</t>
  </si>
  <si>
    <t>https://drive.google.com/open?id=1SzJjL1B7tpVb-cLQbx60W7Ih7hUz4kld</t>
  </si>
  <si>
    <t>https://drive.google.com/uc?export=view&amp;id=1SzJjL1B7tpVb-cLQbx60W7Ih7hUz4kld</t>
  </si>
  <si>
    <t xml:space="preserve">Ahmad Hadi Sultoni </t>
  </si>
  <si>
    <t>081578078260</t>
  </si>
  <si>
    <t>5201022811960001</t>
  </si>
  <si>
    <t xml:space="preserve">KERANGKENG BARAT </t>
  </si>
  <si>
    <t>28 November 1996</t>
  </si>
  <si>
    <t xml:space="preserve">AL-QUR’AN </t>
  </si>
  <si>
    <t xml:space="preserve">STAI ASY-SYUKRIYYAH </t>
  </si>
  <si>
    <t>Al-wildan islamic School 3 BSD</t>
  </si>
  <si>
    <t>5. 000.000</t>
  </si>
  <si>
    <t>ahmadhadisulthoni97@gmail.com</t>
  </si>
  <si>
    <t>1tPJU3XL-XXPxEhLhmOxVtU7pobHo9x4xIGd96sq_bto</t>
  </si>
  <si>
    <t>https://docs.google.com/document/d/1tPJU3XL-XXPxEhLhmOxVtU7pobHo9x4xIGd96sq_bto/edit?usp=drivesdk</t>
  </si>
  <si>
    <t>Document successfully created; Document successfully merged; Run via form trigger as kemal.stafsus@gmail.com; Timestamp: Jun 25 2025 7:18 AM</t>
  </si>
  <si>
    <t>https://drive.google.com/open?id=1Iv1ghvwcVuMCn4u9RP2CH1XTzDE6t3da</t>
  </si>
  <si>
    <t>https://drive.google.com/uc?export=view&amp;id=1Iv1ghvwcVuMCn4u9RP2CH1XTzDE6t3da</t>
  </si>
  <si>
    <t>Imam Saimun, S.Ag.</t>
  </si>
  <si>
    <t>082284892423</t>
  </si>
  <si>
    <t>1471080402010022</t>
  </si>
  <si>
    <t xml:space="preserve">Jl. Ciater Raya BSD, GANG samping RUMAH MAKAN PAK.H.SARI Gg.H.ASLIM DIUN depan Lap.Bulutangkis No.42 RT/RW 002/003 Kel RAWA MEKAR JAYA kec SERPONG KOTA TANGGERANG SELATAN </t>
  </si>
  <si>
    <t>STAI ASYUKRIYYAH</t>
  </si>
  <si>
    <t>imamsaimun04@gmail.com</t>
  </si>
  <si>
    <t>1sOzQXVQdy0nLroY6kRBLIKNaEXsxOXc3l7XW5bABNlk</t>
  </si>
  <si>
    <t>https://docs.google.com/document/d/1sOzQXVQdy0nLroY6kRBLIKNaEXsxOXc3l7XW5bABNlk/edit?usp=drivesdk</t>
  </si>
  <si>
    <t>Document successfully created; Document successfully merged; Run via form trigger as kemal.stafsus@gmail.com; Timestamp: Jun 25 2025 8:11 AM</t>
  </si>
  <si>
    <t>https://drive.google.com/open?id=1q1302vbW9cCVX4ZxU8j1Dv9LHyVjKoNv</t>
  </si>
  <si>
    <t>https://drive.google.com/uc?export=view&amp;id=1q1302vbW9cCVX4ZxU8j1Dv9LHyVjKoNv</t>
  </si>
  <si>
    <t>Muhammad Faqqih El Fawwaz S.Ag</t>
  </si>
  <si>
    <t>08977543418</t>
  </si>
  <si>
    <t>3604051711000001</t>
  </si>
  <si>
    <t xml:space="preserve">Cilegon </t>
  </si>
  <si>
    <t>17/11/2000</t>
  </si>
  <si>
    <t>STAI asy-syukriyyah</t>
  </si>
  <si>
    <t xml:space="preserve">Guru Al-Qur'an Al-Wildan Islamic School 3 BSD </t>
  </si>
  <si>
    <t>faqqiihelfawwaz@gmail.com</t>
  </si>
  <si>
    <t>17InnGotfx4DnsIh2chqnp1KzxnbZ19y8bf81rHc8JaA</t>
  </si>
  <si>
    <t>https://docs.google.com/document/d/17InnGotfx4DnsIh2chqnp1KzxnbZ19y8bf81rHc8JaA/edit?usp=drivesdk</t>
  </si>
  <si>
    <t>Document successfully created; Document successfully merged; Run via form trigger as kemal.stafsus@gmail.com; Timestamp: Jun 25 2025 8:29 AM</t>
  </si>
  <si>
    <t>https://drive.google.com/open?id=13EnmR-1cGPlyq9CG_NnXVo3eMFhgQ7rW</t>
  </si>
  <si>
    <t>https://drive.google.com/uc?export=view&amp;id=13EnmR-1cGPlyq9CG_NnXVo3eMFhgQ7rW</t>
  </si>
  <si>
    <t>Nilzon Farhan Fadila, S.Ag</t>
  </si>
  <si>
    <t>081280691147</t>
  </si>
  <si>
    <t>1371031607020005</t>
  </si>
  <si>
    <t>tangerang selatan</t>
  </si>
  <si>
    <t>STAI Asy-Syukriyyah</t>
  </si>
  <si>
    <t>Guru Al-Quran Al-Wildan Islamic School 3 BSD City</t>
  </si>
  <si>
    <t>nilzonfarhan@gmail.com</t>
  </si>
  <si>
    <t>1mCtGq1kN_IPAD976djjnyLAcXr8UkmGHWLjKVgHwGPw</t>
  </si>
  <si>
    <t>https://docs.google.com/document/d/1mCtGq1kN_IPAD976djjnyLAcXr8UkmGHWLjKVgHwGPw/edit?usp=drivesdk</t>
  </si>
  <si>
    <t>https://drive.google.com/open?id=171Op78u78-JIulnMmJdfZsjXw5SiodUa</t>
  </si>
  <si>
    <t>https://drive.google.com/uc?export=view&amp;id=171Op78u78-JIulnMmJdfZsjXw5SiodUa</t>
  </si>
  <si>
    <t>Muhammad Haidar, S.Ag.</t>
  </si>
  <si>
    <t>082322413920</t>
  </si>
  <si>
    <t>3376011002010002</t>
  </si>
  <si>
    <t>10-02-2001</t>
  </si>
  <si>
    <t>Guru Al-Quran Al Wildan Islamic School 3 BSD City</t>
  </si>
  <si>
    <t>haidarbass34@gmail.com</t>
  </si>
  <si>
    <t>1jDNZM0NXjxGW08OKLNac0I1QyhJQcpJBEQ31uRZvJq0</t>
  </si>
  <si>
    <t>https://docs.google.com/document/d/1jDNZM0NXjxGW08OKLNac0I1QyhJQcpJBEQ31uRZvJq0/edit?usp=drivesdk</t>
  </si>
  <si>
    <t>Document successfully created; Document successfully merged; Run via form trigger as kemal.stafsus@gmail.com; Timestamp: Jun 25 2025 8:35 AM</t>
  </si>
  <si>
    <t>https://drive.google.com/open?id=1DuiSMhCPX30SuDtErWn0sStCwTr6g-3W</t>
  </si>
  <si>
    <t>https://drive.google.com/uc?export=view&amp;id=1DuiSMhCPX30SuDtErWn0sStCwTr6g-3W</t>
  </si>
  <si>
    <t>Ramzi, S.H</t>
  </si>
  <si>
    <t>085210735802</t>
  </si>
  <si>
    <t>3175032009010007</t>
  </si>
  <si>
    <t xml:space="preserve">jalan kesadaran IV no 55 Cipinang muara Jatinegara Jakarta Timur </t>
  </si>
  <si>
    <t xml:space="preserve">jakarta </t>
  </si>
  <si>
    <t>20-09-2001</t>
  </si>
  <si>
    <t xml:space="preserve">STDI IMAM SYAFI'I JEMBER </t>
  </si>
  <si>
    <t>HUKUM KELUARGA ISLAM</t>
  </si>
  <si>
    <t>bungramzi2@gmail.com</t>
  </si>
  <si>
    <t>1RlvCvrRo0S056oRtNKt6jCZprqGQRphkb5o5bMxgKPI</t>
  </si>
  <si>
    <t>https://docs.google.com/document/d/1RlvCvrRo0S056oRtNKt6jCZprqGQRphkb5o5bMxgKPI/edit?usp=drivesdk</t>
  </si>
  <si>
    <t>Document successfully created; Document successfully merged; Run via form trigger as kemal.stafsus@gmail.com; Timestamp: Jun 25 2025 9:35 AM</t>
  </si>
  <si>
    <t>https://drive.google.com/open?id=1Y0FUu7vqwy-MoOukrMwO1mNy3CoR0dvq</t>
  </si>
  <si>
    <t>https://drive.google.com/uc?export=view&amp;id=1Y0FUu7vqwy-MoOukrMwO1mNy3CoR0dvq</t>
  </si>
  <si>
    <t>STAI ASY-SYUKRIYYAH</t>
  </si>
  <si>
    <t>IILMU AL-QUR'AN DAN TAFSIR</t>
  </si>
  <si>
    <t>Mengajarkan mapel Al-Qur'an</t>
  </si>
  <si>
    <t>1wFiXOo7B5MtMndUD2DXHTN-tIWPTLX8kJQpIecHJGIE</t>
  </si>
  <si>
    <t>https://docs.google.com/document/d/1wFiXOo7B5MtMndUD2DXHTN-tIWPTLX8kJQpIecHJGIE/edit?usp=drivesdk</t>
  </si>
  <si>
    <t>Document successfully created; Document successfully merged; Run via form trigger as kemal.stafsus@gmail.com; Timestamp: Jun 25 2025 9:47 AM</t>
  </si>
  <si>
    <t>https://drive.google.com/open?id=1kf9tXaUZQEBXqNRIzrrxkjb20GA9PP_F</t>
  </si>
  <si>
    <t>https://drive.google.com/uc?export=view&amp;id=1kf9tXaUZQEBXqNRIzrrxkjb20GA9PP_F</t>
  </si>
  <si>
    <t>Intan Cahya Hidayatullah, S.Pd</t>
  </si>
  <si>
    <t>085712850430</t>
  </si>
  <si>
    <t>1806195306000001</t>
  </si>
  <si>
    <t>Gisting</t>
  </si>
  <si>
    <t>13 Juni 2000</t>
  </si>
  <si>
    <t>Stitma Yogyakarta</t>
  </si>
  <si>
    <t>Musyrifah dan guru</t>
  </si>
  <si>
    <t>intancahya1306@gmail.com</t>
  </si>
  <si>
    <t>1TdD2bNmeRJC6Va-EL2vsdO8dRHC4875iiPtLySHaKiE</t>
  </si>
  <si>
    <t>https://docs.google.com/document/d/1TdD2bNmeRJC6Va-EL2vsdO8dRHC4875iiPtLySHaKiE/edit?usp=drivesdk</t>
  </si>
  <si>
    <t>Document successfully created; Document successfully merged; Run via form trigger as kemal.stafsus@gmail.com; Timestamp: Jun 25 2025 10:19 PM</t>
  </si>
  <si>
    <t>https://drive.google.com/open?id=1OmeKGPDyyBNJd_xczS8kt5qNQf8mGEHf</t>
  </si>
  <si>
    <t>https://drive.google.com/uc?export=view&amp;id=1OmeKGPDyyBNJd_xczS8kt5qNQf8mGEHf</t>
  </si>
  <si>
    <t>Ilham Taufik Himawan</t>
  </si>
  <si>
    <t>081284757337</t>
  </si>
  <si>
    <t>3329102112980004</t>
  </si>
  <si>
    <t>Makasar, Jakarta Timur</t>
  </si>
  <si>
    <t>21-12-1998</t>
  </si>
  <si>
    <t>Arabic, Dinyah, Alquran</t>
  </si>
  <si>
    <t>King Saud University</t>
  </si>
  <si>
    <t>Qur'anic Studies, Faculty of Education</t>
  </si>
  <si>
    <t>4.78 dari 5</t>
  </si>
  <si>
    <t>Guru dan pengurus Kantor Dakwah Jaliyat Naseem, Riyadh</t>
  </si>
  <si>
    <t>1.000sar / Rp 4.300.000</t>
  </si>
  <si>
    <t>Guru (online) Kantor Dakwah Jaliyat Rabwah, Riyadh</t>
  </si>
  <si>
    <t>Penerjemah &amp; pendamping (freelance)</t>
  </si>
  <si>
    <t>500sar/hari atau Rp 2.150.000</t>
  </si>
  <si>
    <t>8.000.000 atau 9.000.000</t>
  </si>
  <si>
    <t>0985629222</t>
  </si>
  <si>
    <t>ilham.hmwn21@gmail.com</t>
  </si>
  <si>
    <t>1_nZknHujQLsk1PER8Gkg5oIlbsK9EB7c3cGC8S1j31c</t>
  </si>
  <si>
    <t>https://docs.google.com/document/d/1_nZknHujQLsk1PER8Gkg5oIlbsK9EB7c3cGC8S1j31c/edit?usp=drivesdk</t>
  </si>
  <si>
    <t>Document successfully created; Document successfully merged; Run via form trigger as kemal.stafsus@gmail.com; Timestamp: Jun 25 2025 10:44 PM</t>
  </si>
  <si>
    <t>https://drive.google.com/open?id=1aqPsAlWpYw3Z61rTrN_ql7mNRXNWltuT</t>
  </si>
  <si>
    <t>https://drive.google.com/uc?export=view&amp;id=1aqPsAlWpYw3Z61rTrN_ql7mNRXNWltuT</t>
  </si>
  <si>
    <t>Faris Nazal Akbar, S.Ag.</t>
  </si>
  <si>
    <t>082297177156</t>
  </si>
  <si>
    <t>3174062606970009</t>
  </si>
  <si>
    <t xml:space="preserve">Perum Pakujaya Permai Blok A3 No.20, RT </t>
  </si>
  <si>
    <t>Ilmu Al-qur'an dan Tafsir</t>
  </si>
  <si>
    <t>faris595@gmail.com</t>
  </si>
  <si>
    <t>1mAZM41BP15vFyE7c2DRea4F7ik3iVkRo-GEB_V5HJHU</t>
  </si>
  <si>
    <t>https://docs.google.com/document/d/1mAZM41BP15vFyE7c2DRea4F7ik3iVkRo-GEB_V5HJHU/edit?usp=drivesdk</t>
  </si>
  <si>
    <t>Document successfully created; Document successfully merged; Run via form trigger as kemal.stafsus@gmail.com; Timestamp: Jun 27 2025 7:13 AM</t>
  </si>
  <si>
    <t>https://drive.google.com/open?id=1Ahoeo6M3vTwJLeWKueRQgMn1JBtA8lyk</t>
  </si>
  <si>
    <t>https://drive.google.com/uc?export=view&amp;id=1Ahoeo6M3vTwJLeWKueRQgMn1JBtA8lyk</t>
  </si>
  <si>
    <t>Resti Habibah, S.Pd</t>
  </si>
  <si>
    <t>089510670530</t>
  </si>
  <si>
    <t>3175045411930001</t>
  </si>
  <si>
    <t>Jl. Catur Tunggal no:77 RT 12 RW 01 Kelurahan Cipinang Muara Kecamatan Jatinegara Jakarta Timur</t>
  </si>
  <si>
    <t>Madarasah Istiqlal Jakarta - Guru Sosiologi Cambridge (part time)</t>
  </si>
  <si>
    <t>SMAN 62 Jakarta - Guru Sosiologi</t>
  </si>
  <si>
    <t>SMAN 81 Jakarta - Guru Sosiologi</t>
  </si>
  <si>
    <t>resti.bibeh@gmail.com</t>
  </si>
  <si>
    <t>1mse6EzCLI7ByBjcLoLnKJZ9xKLq45ho5EVohuoNC_aY</t>
  </si>
  <si>
    <t>https://docs.google.com/document/d/1mse6EzCLI7ByBjcLoLnKJZ9xKLq45ho5EVohuoNC_aY/edit?usp=drivesdk</t>
  </si>
  <si>
    <t>Document successfully created; Document successfully merged; Run via form trigger as kemal.stafsus@gmail.com; Timestamp: Jun 29 2025 11:52 PM</t>
  </si>
  <si>
    <t>https://drive.google.com/open?id=1ka1i5Zn-9JzmNDoSCgRrZOtnq1qWu2up</t>
  </si>
  <si>
    <t>https://drive.google.com/uc?export=view&amp;id=1ka1i5Zn-9JzmNDoSCgRrZOtnq1qWu2up</t>
  </si>
  <si>
    <t>Asro Mulyono, Lc., S.H</t>
  </si>
  <si>
    <t>082252630822</t>
  </si>
  <si>
    <t>3602211308930002</t>
  </si>
  <si>
    <t>Link. Ciceri Jaya RT/RW 002/007 no.100C desa sumur pecung kec.serang Kota Serang-Banten</t>
  </si>
  <si>
    <t xml:space="preserve">Lebak, Rangkasbitung </t>
  </si>
  <si>
    <t>13-08-1993</t>
  </si>
  <si>
    <t>Omdurman Islamic University, Sudan</t>
  </si>
  <si>
    <t xml:space="preserve">Tafsir Qur'an dan Hadits </t>
  </si>
  <si>
    <t>Mengajar Bahasa Arab, Daar El Ihsan</t>
  </si>
  <si>
    <t>Mengajar Bahasa Arab, Al-Muhaimin</t>
  </si>
  <si>
    <t>Mengajar Bahasa Arab, Pesantren Ardaniah</t>
  </si>
  <si>
    <t>asro.13ag93@gmail.com</t>
  </si>
  <si>
    <t>1w3Zh3xx833XTXk9z5yQjMUU0bQV7CAAi1MW6pdDHvhU</t>
  </si>
  <si>
    <t>https://docs.google.com/document/d/1w3Zh3xx833XTXk9z5yQjMUU0bQV7CAAi1MW6pdDHvhU/edit?usp=drivesdk</t>
  </si>
  <si>
    <t>Document successfully created; Document successfully merged; Run via form trigger as kemal.stafsus@gmail.com; Timestamp: Jun 30 2025 12:47 AM</t>
  </si>
  <si>
    <t>https://drive.google.com/open?id=1SGq5Tc2ltevBfJZizl4hkdu2VdAAgUBf</t>
  </si>
  <si>
    <t>https://drive.google.com/uc?export=view&amp;id=1SGq5Tc2ltevBfJZizl4hkdu2VdAAgUBf</t>
  </si>
  <si>
    <t>Indah Oktaviani, S.Pd.</t>
  </si>
  <si>
    <t>081312823948</t>
  </si>
  <si>
    <t>3215264610000008</t>
  </si>
  <si>
    <t>Kp. Cimahi Rt/Rw 005/003, Kel. Sukamahi, Kec. Cikarang Pusat, Kab. Bekasi, Jawa Barat</t>
  </si>
  <si>
    <t>06 Oktober 2000</t>
  </si>
  <si>
    <t>IPS/Ekonomi</t>
  </si>
  <si>
    <t>Universitas Pasundan</t>
  </si>
  <si>
    <t>Staff Bookeeping - PT. QST Agung Jaya Juli 2024-Juli 2025</t>
  </si>
  <si>
    <t>Range 3.700.00 - 4.200.0000</t>
  </si>
  <si>
    <t>Guru Tematik - Sekolah Dasar Islam Terpadu Sekolah Alam Islami Nasirusunnah- Agustus-Desember 2023</t>
  </si>
  <si>
    <t>1.500.000-2.000.000</t>
  </si>
  <si>
    <t>Lebih dari 3.700.000</t>
  </si>
  <si>
    <t>indahoktavianii.0610@gmail.com</t>
  </si>
  <si>
    <t>1kZc5MjBsLalv5VXb3H8czv9mvV363WOIII47SeeS12s</t>
  </si>
  <si>
    <t>https://docs.google.com/document/d/1kZc5MjBsLalv5VXb3H8czv9mvV363WOIII47SeeS12s/edit?usp=drivesdk</t>
  </si>
  <si>
    <t>Document successfully created; Document successfully merged; Run via form trigger as kemal.stafsus@gmail.com; Timestamp: Jun 30 2025 1:15 AM</t>
  </si>
  <si>
    <t>https://drive.google.com/open?id=1C0-pZHf-E4IKM1dt0XC-wOd2YC_4Ljr9</t>
  </si>
  <si>
    <t>https://drive.google.com/uc?export=view&amp;id=1C0-pZHf-E4IKM1dt0XC-wOd2YC_4Ljr9</t>
  </si>
  <si>
    <t>Anggia Fitri Damayanti, S.Pd.</t>
  </si>
  <si>
    <t>089502861108</t>
  </si>
  <si>
    <t>3273175912020034</t>
  </si>
  <si>
    <t>Jln. Inhoftank Gg. Panyeuseuhan RT 04/02 No. 8 Kel. Kebon Lega, Kec. Bojong Loa Kidul, Kota Bandung 40235. Jawa Barat, Indonesia</t>
  </si>
  <si>
    <t>19 Desember 2002</t>
  </si>
  <si>
    <t>S1 - Universitas Pendidikan Indonesia</t>
  </si>
  <si>
    <t>Biology Teacher di Bimbingan Belajar SmartClub (2023 - sekarang)</t>
  </si>
  <si>
    <t>5.000.000 (full time)</t>
  </si>
  <si>
    <t>BCA a.n Anggia Fitri Damayanti</t>
  </si>
  <si>
    <t>anggiafitri5@gmail.com</t>
  </si>
  <si>
    <t>1iA7-EnAHRkB60i2K7SGt0wCwVihppE37A4vHPQGOgb0</t>
  </si>
  <si>
    <t>https://docs.google.com/document/d/1iA7-EnAHRkB60i2K7SGt0wCwVihppE37A4vHPQGOgb0/edit?usp=drivesdk</t>
  </si>
  <si>
    <t>Document successfully created; Document successfully merged; Run via form trigger as kemal.stafsus@gmail.com; Timestamp: Jun 30 2025 2:50 AM</t>
  </si>
  <si>
    <t>https://drive.google.com/open?id=1IdFq77takeg7Pkk6XqAa4Xu4NErIYFhc</t>
  </si>
  <si>
    <t>https://drive.google.com/uc?export=view&amp;id=1IdFq77takeg7Pkk6XqAa4Xu4NErIYFhc</t>
  </si>
  <si>
    <t xml:space="preserve">Nurlaili Azizah, Lc. </t>
  </si>
  <si>
    <t>087865858779</t>
  </si>
  <si>
    <t>5271054302990004</t>
  </si>
  <si>
    <t>JL.Dr.Soetomo GG.Bentoel Marong kr.tatah karang baru mataram lombok NTB</t>
  </si>
  <si>
    <t>4.90</t>
  </si>
  <si>
    <t>Guru Bahasa arab dan Diniyah di EL-GHUROBA ISLAMIC SCHOOL BELENCONG</t>
  </si>
  <si>
    <t>azdoner99@gmail.com</t>
  </si>
  <si>
    <t>15NrV2UuO5M5OGAED633i-R8mokK0UEnqTLp-op1qReI</t>
  </si>
  <si>
    <t>https://docs.google.com/document/d/15NrV2UuO5M5OGAED633i-R8mokK0UEnqTLp-op1qReI/edit?usp=drivesdk</t>
  </si>
  <si>
    <t>Document successfully created; Document successfully merged; Run via form trigger as kemal.stafsus@gmail.com; Timestamp: Jun 30 2025 6:44 AM</t>
  </si>
  <si>
    <t>https://drive.google.com/open?id=1AGmffF-UZ3JIchGQ1KDUzCB-g1dtKLSG</t>
  </si>
  <si>
    <t>https://drive.google.com/uc?export=view&amp;id=1AGmffF-UZ3JIchGQ1KDUzCB-g1dtKLSG</t>
  </si>
  <si>
    <t>Mutiatun Walidaini, B.A.</t>
  </si>
  <si>
    <t>087873570484</t>
  </si>
  <si>
    <t>5201094909010002</t>
  </si>
  <si>
    <t>Jalan Sebret Dalam No. 47, RT.2/RW.2, Jati Padang, KOTA JAKARTA SELATAN, PASAR MINGGU, DKI JAKARTA, ID, 12540</t>
  </si>
  <si>
    <t>9 September 2001</t>
  </si>
  <si>
    <t>A. D. A</t>
  </si>
  <si>
    <t>Guru Bahasa Arab online</t>
  </si>
  <si>
    <t>Guru Al-Qur'an dan diniyah</t>
  </si>
  <si>
    <t>1.250.000 - 2.000.000</t>
  </si>
  <si>
    <t>mutiatunw@gmail.com</t>
  </si>
  <si>
    <t>1FKMcI4eNImagvrfWEdlPMt3cG72uFkWX-cg4OMqgN8M</t>
  </si>
  <si>
    <t>https://docs.google.com/document/d/1FKMcI4eNImagvrfWEdlPMt3cG72uFkWX-cg4OMqgN8M/edit?usp=drivesdk</t>
  </si>
  <si>
    <t>Document successfully created; Document successfully merged; Run via form trigger as kemal.stafsus@gmail.com; Timestamp: Jun 30 2025 7:18 AM</t>
  </si>
  <si>
    <t>https://drive.google.com/open?id=1t9H1ZWdSuQPodNu5N5sEz0j6GhtuD2H7</t>
  </si>
  <si>
    <t>https://drive.google.com/uc?export=view&amp;id=1t9H1ZWdSuQPodNu5N5sEz0j6GhtuD2H7</t>
  </si>
  <si>
    <t>Rizka Nur Hamidah, S.Pd</t>
  </si>
  <si>
    <t>085888726435</t>
  </si>
  <si>
    <t>3202067101000002</t>
  </si>
  <si>
    <t>Kp.Cimapag RT.007/RW.005 Ds. Cikarae Thoyyibah Kec. Cikidang Kab. Sukabumi Jawa Barat</t>
  </si>
  <si>
    <t>Tanggerang</t>
  </si>
  <si>
    <t>25 tahun, bulan januari</t>
  </si>
  <si>
    <t>PTS - Universitas Ibn Khaldun Bogor</t>
  </si>
  <si>
    <t>Bimbingan dan Konseling Pendidikan Islam</t>
  </si>
  <si>
    <t>3.99</t>
  </si>
  <si>
    <t>Guru Bimbingan Konseling di Al-Matuq Islamic Boarding School</t>
  </si>
  <si>
    <t>rizkanurhamidah54@gmail.com</t>
  </si>
  <si>
    <t>1eM7wPNZZXcHfc-Snnw9z4n_9VnkNEx4ICZtJjCryb04</t>
  </si>
  <si>
    <t>https://docs.google.com/document/d/1eM7wPNZZXcHfc-Snnw9z4n_9VnkNEx4ICZtJjCryb04/edit?usp=drivesdk</t>
  </si>
  <si>
    <t>Document successfully created; Document successfully merged; Run via form trigger as kemal.stafsus@gmail.com; Timestamp: Jun 30 2025 7:48 AM</t>
  </si>
  <si>
    <t>https://drive.google.com/open?id=1pwMCrqyUfWYT5a1IJY8IZV8qx-y0ndGP</t>
  </si>
  <si>
    <t>https://drive.google.com/uc?export=view&amp;id=1pwMCrqyUfWYT5a1IJY8IZV8qx-y0ndGP</t>
  </si>
  <si>
    <t>Ahmad haviy hizbullah, B.A.</t>
  </si>
  <si>
    <t>085886867535</t>
  </si>
  <si>
    <t>3601121403950001</t>
  </si>
  <si>
    <t>14-03-1995</t>
  </si>
  <si>
    <t>4.25</t>
  </si>
  <si>
    <t>Guru diniyyah SMA</t>
  </si>
  <si>
    <t>Guru diniyyah &amp; bahasa SMP</t>
  </si>
  <si>
    <t>4.500.000 - 4.700.000</t>
  </si>
  <si>
    <t>hapiy.anha@gmail.com</t>
  </si>
  <si>
    <t>1JiCvCKvTiTM3HTE-ufKkPy7GCbcpqNmRU1bknIHu8ak</t>
  </si>
  <si>
    <t>https://docs.google.com/document/d/1JiCvCKvTiTM3HTE-ufKkPy7GCbcpqNmRU1bknIHu8ak/edit?usp=drivesdk</t>
  </si>
  <si>
    <t>Document successfully created; Document successfully merged; Run via form trigger as kemal.stafsus@gmail.com; Timestamp: Jun 30 2025 11:02 PM</t>
  </si>
  <si>
    <t>https://drive.google.com/open?id=19UikpsLGzjwJh20FOvd6-Yuzbol9Nt0B</t>
  </si>
  <si>
    <t>https://drive.google.com/uc?export=view&amp;id=19UikpsLGzjwJh20FOvd6-Yuzbol9Nt0B</t>
  </si>
  <si>
    <t>Dr. Tausiff Firaque Mohammad</t>
  </si>
  <si>
    <t>+918018801551</t>
  </si>
  <si>
    <t>S0814036</t>
  </si>
  <si>
    <t>Kemayoran, Jakarta Pusat</t>
  </si>
  <si>
    <t>Belpahar, India</t>
  </si>
  <si>
    <t>38 y 7 m</t>
  </si>
  <si>
    <t>Manipal Institute of Technology, Manipal University, India</t>
  </si>
  <si>
    <t>Mechatronics Engineering</t>
  </si>
  <si>
    <t>8.21/10.0</t>
  </si>
  <si>
    <t>King Fahd University of Petroleum and Minerals, Saudi Arabia</t>
  </si>
  <si>
    <t>Mechanical Engineering</t>
  </si>
  <si>
    <t>3.607/ 4.00</t>
  </si>
  <si>
    <t>Post Doctoral Fellow Researcher, BRIN, Bandung</t>
  </si>
  <si>
    <t>Lecturer, King Fahd University of Petroleum and Minerals</t>
  </si>
  <si>
    <t>tausiffzone@gmail.com</t>
  </si>
  <si>
    <t>1oZpHXHw2e1Xj7B2lJZx4w1vSOas3cQI5ZmZkcjB-xro</t>
  </si>
  <si>
    <t>https://docs.google.com/document/d/1oZpHXHw2e1Xj7B2lJZx4w1vSOas3cQI5ZmZkcjB-xro/edit?usp=drivesdk</t>
  </si>
  <si>
    <t>Document successfully created; Document successfully merged; Run via form trigger as kemal.stafsus@gmail.com; Timestamp: Jun 30 2025 11:19 PM</t>
  </si>
  <si>
    <t>https://drive.google.com/open?id=17vJ6ZFYokIPCSAJz-9bcb4yJHWm1lq40</t>
  </si>
  <si>
    <t>https://drive.google.com/uc?export=view&amp;id=17vJ6ZFYokIPCSAJz-9bcb4yJHWm1lq40</t>
  </si>
  <si>
    <t>Muhamad Ilham Hafizh, S. Pd.</t>
  </si>
  <si>
    <t>081398605140</t>
  </si>
  <si>
    <t>3671032303010002</t>
  </si>
  <si>
    <t>Batu Ceper , Tangerang</t>
  </si>
  <si>
    <t>23 09 2001</t>
  </si>
  <si>
    <t>23 tahun , 6 bulan</t>
  </si>
  <si>
    <t>STIT At-Taqwa</t>
  </si>
  <si>
    <t>ilhafizh66@gmail.com</t>
  </si>
  <si>
    <t>1xzHwtd90vFB2kpIwJyCRwxAs7EK7_Jqr8wOoj8wYQoA</t>
  </si>
  <si>
    <t>https://docs.google.com/document/d/1xzHwtd90vFB2kpIwJyCRwxAs7EK7_Jqr8wOoj8wYQoA/edit?usp=drivesdk</t>
  </si>
  <si>
    <t>Document successfully created; Document successfully merged; Run via form trigger as kemal.stafsus@gmail.com; Timestamp: Jul 2 2025 10:35 PM</t>
  </si>
  <si>
    <t>https://drive.google.com/open?id=1vNyeUZkdAVumNExviCVUswQqLzSPF9yR</t>
  </si>
  <si>
    <t>https://drive.google.com/uc?export=view&amp;id=1vNyeUZkdAVumNExviCVUswQqLzSPF9yR</t>
  </si>
  <si>
    <t>Muhamad sobirin,S.S,G.r</t>
  </si>
  <si>
    <t>075718789137</t>
  </si>
  <si>
    <t>3275033011860016</t>
  </si>
  <si>
    <t>babelan bekasi utara,</t>
  </si>
  <si>
    <t>jakarta pusat</t>
  </si>
  <si>
    <t>30-11-1986</t>
  </si>
  <si>
    <t>stiba iec jakarta</t>
  </si>
  <si>
    <t>guru dan komisi mutu bahasa inggris</t>
  </si>
  <si>
    <t>aburafli9090@gmail.com</t>
  </si>
  <si>
    <t>1N2eLOsn-MU2Mr_rf_I8xKPjGPdgEwcf6OpiouFHb6Gg</t>
  </si>
  <si>
    <t>https://docs.google.com/document/d/1N2eLOsn-MU2Mr_rf_I8xKPjGPdgEwcf6OpiouFHb6Gg/edit?usp=drivesdk</t>
  </si>
  <si>
    <t>Document successfully created; Document successfully merged; Run via form trigger as kemal.stafsus@gmail.com; Timestamp: Jul 2 2025 10:55 PM</t>
  </si>
  <si>
    <t>https://drive.google.com/open?id=11hUd3vZDbVLbpGl04mM6GDjOwfRP6MA9</t>
  </si>
  <si>
    <t>https://drive.google.com/uc?export=view&amp;id=11hUd3vZDbVLbpGl04mM6GDjOwfRP6MA9</t>
  </si>
  <si>
    <t>ABDUL WAHAB, S.E</t>
  </si>
  <si>
    <t>081296813911</t>
  </si>
  <si>
    <t>3201122210660002</t>
  </si>
  <si>
    <t xml:space="preserve">JL. RAYA PARUNG KM 47,5 PERUMAHAN TELAGA KAHURIPAN GUGUS CANDRALOKA BLOK DD2 NO. 27 RT 004 RW 010 DESA TEGAL KEC. KEMANG KAB. BOGOR JAWA BARAT 16310 </t>
  </si>
  <si>
    <t>RAHA, KAB. MUNA, SULAWESI TENGGARA</t>
  </si>
  <si>
    <t>22 OKTOBER 1966</t>
  </si>
  <si>
    <t>58 TAHUN 8 BULAN</t>
  </si>
  <si>
    <t>ECONOMICS, SOCIOLOGY , ENGLISH</t>
  </si>
  <si>
    <t>UNIVERSITAS HALUOLEO</t>
  </si>
  <si>
    <t>EKONOMI DAN STUDI PEMBANGUNAN</t>
  </si>
  <si>
    <t>KOMISI MUTU BAHASA INGGRIS DAN GURU BAHASA INGGRIS ALWILDAN ISLAMIC SCHOOL 2 BEKASI</t>
  </si>
  <si>
    <t>5.500.000 - 7.000.000</t>
  </si>
  <si>
    <t>wahabfs@gmail.com</t>
  </si>
  <si>
    <t>1neZi3Nz29OgjBUE6uROmY6y7UlN5XHFjD1xp2CHvqxU</t>
  </si>
  <si>
    <t>https://docs.google.com/document/d/1neZi3Nz29OgjBUE6uROmY6y7UlN5XHFjD1xp2CHvqxU/edit?usp=drivesdk</t>
  </si>
  <si>
    <t>Document successfully created; Document successfully merged; Run via form trigger as kemal.stafsus@gmail.com; Timestamp: Jul 3 2025 12:32 AM</t>
  </si>
  <si>
    <t>https://drive.google.com/open?id=1V4haugQT7zn_K7NZy-cFqddWYZW-wCNP</t>
  </si>
  <si>
    <t>https://drive.google.com/uc?export=view&amp;id=1V4haugQT7zn_K7NZy-cFqddWYZW-wCNP</t>
  </si>
  <si>
    <t>Athifah S.Si</t>
  </si>
  <si>
    <t>081339465930</t>
  </si>
  <si>
    <t>5203076905970005</t>
  </si>
  <si>
    <t>Link. Dayan Masjid, RT:005, Pancor, Lombok Timur, Nusa Tenggara barat</t>
  </si>
  <si>
    <t>Pancor (Lombok Timur)</t>
  </si>
  <si>
    <t>29 Mei 1997</t>
  </si>
  <si>
    <t>S1 Biolgi</t>
  </si>
  <si>
    <t>Pegawai Tata Usaha SMAN 1 Selong</t>
  </si>
  <si>
    <t>Virtual Assistant (Assistant Administraton &amp; Communication Intern)</t>
  </si>
  <si>
    <t>Asisten Laboratorium Biologi Dasar Universitas Mataram</t>
  </si>
  <si>
    <t>athifa.ifah@gmail.com</t>
  </si>
  <si>
    <t>1CRBWdSvwNqF95P-TNtUDjDLa-fs55GpKJx9KgF3eyIU</t>
  </si>
  <si>
    <t>https://docs.google.com/document/d/1CRBWdSvwNqF95P-TNtUDjDLa-fs55GpKJx9KgF3eyIU/edit?usp=drivesdk</t>
  </si>
  <si>
    <t>Document successfully created; Document successfully merged; Run via form trigger as kemal.stafsus@gmail.com; Timestamp: Jul 3 2025 2:16 AM</t>
  </si>
  <si>
    <t>https://drive.google.com/open?id=1vLGSwYbMrvyodwiVR3TCC618vVIhuPAM</t>
  </si>
  <si>
    <t>https://drive.google.com/uc?export=view&amp;id=1vLGSwYbMrvyodwiVR3TCC618vVIhuPAM</t>
  </si>
  <si>
    <t>AD Laila Khasanah Nurrahmah, Lc., S.Ag.</t>
  </si>
  <si>
    <t>085772505297</t>
  </si>
  <si>
    <t>3173086505030002</t>
  </si>
  <si>
    <t>Jl H Merin, Meruya selatan, kecamatan Kembangan, Jakarta Barat</t>
  </si>
  <si>
    <t>25 Mei 2003</t>
  </si>
  <si>
    <t xml:space="preserve">masih fresh graduate </t>
  </si>
  <si>
    <t>rahmah.laila25@gmail.com</t>
  </si>
  <si>
    <t>1l2ZFHQurc7DXQONej_LBt_7uz1_lCiZyS9roFlUKb80</t>
  </si>
  <si>
    <t>https://docs.google.com/document/d/1l2ZFHQurc7DXQONej_LBt_7uz1_lCiZyS9roFlUKb80/edit?usp=drivesdk</t>
  </si>
  <si>
    <t>Document successfully created; Document successfully merged; Run via form trigger as kemal.stafsus@gmail.com; Timestamp: Jul 4 2025 3:34 AM</t>
  </si>
  <si>
    <t>https://drive.google.com/open?id=1q2FcSgj4x6wK7WCkjxvlOKHYpRjpS-cH</t>
  </si>
  <si>
    <t>https://drive.google.com/uc?export=view&amp;id=1q2FcSgj4x6wK7WCkjxvlOKHYpRjpS-cH</t>
  </si>
  <si>
    <t>Q Kamilan, S.Pd.</t>
  </si>
  <si>
    <t>087870811782</t>
  </si>
  <si>
    <t>3271041703920002</t>
  </si>
  <si>
    <t>Perum. Alam Tirta Lestari Jl. Jaya Wijaya 2 Blok C21, Pagelaran, Ciomas, KAB. Bogor, Ciomas Jawa Barat</t>
  </si>
  <si>
    <t>17-03-1992</t>
  </si>
  <si>
    <t>Universitas Pakuan Bogor</t>
  </si>
  <si>
    <t>0954994461</t>
  </si>
  <si>
    <t>mqkamilan@gmail.com</t>
  </si>
  <si>
    <t>1kqZnHUanQ0FoaspFjM0SrmYUhBpfUhZzwEuPaohfU9g</t>
  </si>
  <si>
    <t>https://docs.google.com/document/d/1kqZnHUanQ0FoaspFjM0SrmYUhBpfUhZzwEuPaohfU9g/edit?usp=drivesdk</t>
  </si>
  <si>
    <t>Document successfully created; Document successfully merged; Run via form trigger as kemal.stafsus@gmail.com; Timestamp: Jul 4 2025 3:41 AM</t>
  </si>
  <si>
    <t>https://drive.google.com/open?id=1t4cp8bV6Sv9s4km6CO9BsdI9lxFo5jqm</t>
  </si>
  <si>
    <t>https://drive.google.com/uc?export=view&amp;id=1t4cp8bV6Sv9s4km6CO9BsdI9lxFo5jqm</t>
  </si>
  <si>
    <t>Muhammad Rijal Abdurahman, S.M.</t>
  </si>
  <si>
    <t>085175294249</t>
  </si>
  <si>
    <t>3275010501960023</t>
  </si>
  <si>
    <t xml:space="preserve">Margahayu, Bekasi timur </t>
  </si>
  <si>
    <t>05 Januari 1996</t>
  </si>
  <si>
    <t>29th 6bln</t>
  </si>
  <si>
    <t xml:space="preserve">Universitas Bhayangkara </t>
  </si>
  <si>
    <t xml:space="preserve">Ekonomi manajemen </t>
  </si>
  <si>
    <t>abdurrahmanrijal@gmail.com</t>
  </si>
  <si>
    <t>1hKbsyYWGEnfNJET-6eNT4CXnitWkg_3GHEoutXoRYfg</t>
  </si>
  <si>
    <t>https://docs.google.com/document/d/1hKbsyYWGEnfNJET-6eNT4CXnitWkg_3GHEoutXoRYfg/edit?usp=drivesdk</t>
  </si>
  <si>
    <t>Document successfully created; Document successfully merged; Run via form trigger as kemal.stafsus@gmail.com; Timestamp: Jul 4 2025 10:43 PM</t>
  </si>
  <si>
    <t>https://drive.google.com/open?id=1EW35wS2LnSxrHJFbl3VpWIR-0ShVDxO2</t>
  </si>
  <si>
    <t>https://drive.google.com/uc?export=view&amp;id=1EW35wS2LnSxrHJFbl3VpWIR-0ShVDxO2</t>
  </si>
  <si>
    <t>Aulia Salsabilla, S.Pd.</t>
  </si>
  <si>
    <t>085376395170</t>
  </si>
  <si>
    <t>1305025911010001</t>
  </si>
  <si>
    <t>Padang Pariaman</t>
  </si>
  <si>
    <t>19-11-20001</t>
  </si>
  <si>
    <t>Lulusan PTN (S1)-Univeresitas Pendidikan Indonesia</t>
  </si>
  <si>
    <t>Tutor (Guru)</t>
  </si>
  <si>
    <t>auliasbl01@gmail.com</t>
  </si>
  <si>
    <t>1qOpHDGXM9C39y4YRKbex1u1K22vAqIHsagdPufr0MPs</t>
  </si>
  <si>
    <t>https://docs.google.com/document/d/1qOpHDGXM9C39y4YRKbex1u1K22vAqIHsagdPufr0MPs/edit?usp=drivesdk</t>
  </si>
  <si>
    <t>Document successfully created; Document successfully merged; Run via form trigger as kemal.stafsus@gmail.com; Timestamp: Jul 5 2025 3:44 AM</t>
  </si>
  <si>
    <t>https://drive.google.com/open?id=1oE0wvsYQLcFPJldw2RryBPVK5NBSyeuD</t>
  </si>
  <si>
    <t>https://drive.google.com/uc?export=view&amp;id=1oE0wvsYQLcFPJldw2RryBPVK5NBSyeuD</t>
  </si>
  <si>
    <t>Firana Fadzan, S.Pd.</t>
  </si>
  <si>
    <t>085171614233</t>
  </si>
  <si>
    <t>3210075405020001</t>
  </si>
  <si>
    <t>Jl. KH Abdul Halim No. 383, Kabupaten Majalengka, Jawa Barat, 45411</t>
  </si>
  <si>
    <t>14-05-2002</t>
  </si>
  <si>
    <t>23 tahun 1 bulan 22 hari</t>
  </si>
  <si>
    <t>Freelance - Tutor Private untuk Bimbingan Skripsi</t>
  </si>
  <si>
    <t>100.000 - 300.000/bulan (Freelance tutor)</t>
  </si>
  <si>
    <t xml:space="preserve">Editor Modul - Kontrak 1 Bulan hanya untuk 1 Modul </t>
  </si>
  <si>
    <t>3.700.000 - 4.500.000/bulan</t>
  </si>
  <si>
    <t>firanafadzan@gmail.com</t>
  </si>
  <si>
    <t>1nH95y4l8FxnbmeDFXDa8irAx4YtwVSnityZv4SE3Oj0</t>
  </si>
  <si>
    <t>https://docs.google.com/document/d/1nH95y4l8FxnbmeDFXDa8irAx4YtwVSnityZv4SE3Oj0/edit?usp=drivesdk</t>
  </si>
  <si>
    <t>Document successfully created; Document successfully merged; Run via form trigger as kemal.stafsus@gmail.com; Timestamp: Jul 5 2025 6:05 AM</t>
  </si>
  <si>
    <t>https://drive.google.com/open?id=14_UIk1MtmPx9oKKRYVne9grGVwnrh5DD</t>
  </si>
  <si>
    <t>https://drive.google.com/uc?export=view&amp;id=14_UIk1MtmPx9oKKRYVne9grGVwnrh5DD</t>
  </si>
  <si>
    <t>Belinda Azalia, S.Pd.</t>
  </si>
  <si>
    <t>082387864845</t>
  </si>
  <si>
    <t>1771026302020002</t>
  </si>
  <si>
    <t>Citra Arka Kapuas Blok E2 No.27 Linkar Barat Kota Bengkulu</t>
  </si>
  <si>
    <t>Kota Bengkulu</t>
  </si>
  <si>
    <t>23-02-2002</t>
  </si>
  <si>
    <t>PTN- Universitas Bengkulu</t>
  </si>
  <si>
    <t>Guru Privat matematika tahun 2021-2025</t>
  </si>
  <si>
    <t xml:space="preserve">Guru pengganti Matematika </t>
  </si>
  <si>
    <t>Bellabelinda23@gmail.com</t>
  </si>
  <si>
    <t>1d3VxGkWn9u71-wzZj1YyN8-ZCw88R6RxyF4kdmxNXHE</t>
  </si>
  <si>
    <t>https://docs.google.com/document/d/1d3VxGkWn9u71-wzZj1YyN8-ZCw88R6RxyF4kdmxNXHE/edit?usp=drivesdk</t>
  </si>
  <si>
    <t>Document successfully created; Document successfully merged; Run via form trigger as kemal.stafsus@gmail.com; Timestamp: Jul 5 2025 6:19 AM</t>
  </si>
  <si>
    <t>https://drive.google.com/open?id=13Ngo7jOUUNr4cQ_m1XE9wQoCT794-62Y</t>
  </si>
  <si>
    <t>https://drive.google.com/uc?export=view&amp;id=13Ngo7jOUUNr4cQ_m1XE9wQoCT794-62Y</t>
  </si>
  <si>
    <t>Mona Srianisah, S.TP</t>
  </si>
  <si>
    <t>085380964303</t>
  </si>
  <si>
    <t>1805115012920006</t>
  </si>
  <si>
    <t>10-12-1992</t>
  </si>
  <si>
    <t>PTS (Strata S1) Universitas Mercu Buana Yogyakarta, PTN (Strata D3) Universitas Gadjah Mada</t>
  </si>
  <si>
    <t>Teknologi Pertanian</t>
  </si>
  <si>
    <t>Guru Science merangkap Guru Quran dan jabatan Waka Kesiswaan di SMART Islamic School of Pangkalpinang, Kepulauan Bangka Belitung</t>
  </si>
  <si>
    <t>Freelancer sebagai asisten dosen di matakuliah Pengembangan Diri AlQuran (PDQ), Fakultas Bisnis dan Ekonomika, Universitas Islam Indonesia Yogyakarta</t>
  </si>
  <si>
    <t xml:space="preserve">CRM and Junior Market Place </t>
  </si>
  <si>
    <t>monasrianisah@gmail.com</t>
  </si>
  <si>
    <t>11A19NYUGMTHusqvYeZ3HrdYNM06ARjNhx16uwaQzzL8</t>
  </si>
  <si>
    <t>https://docs.google.com/document/d/11A19NYUGMTHusqvYeZ3HrdYNM06ARjNhx16uwaQzzL8/edit?usp=drivesdk</t>
  </si>
  <si>
    <t>Document successfully created; Document successfully merged; Run via form trigger as kemal.stafsus@gmail.com; Timestamp: Jul 5 2025 9:37 AM</t>
  </si>
  <si>
    <t>https://drive.google.com/open?id=1ful_xbynrpjLWMQ4OrZmJwCryzKDRSoA</t>
  </si>
  <si>
    <t>https://drive.google.com/uc?export=view&amp;id=1ful_xbynrpjLWMQ4OrZmJwCryzKDRSoA</t>
  </si>
  <si>
    <t>Nafis Saiful Arsyi, S.Mat.</t>
  </si>
  <si>
    <t>08568455344</t>
  </si>
  <si>
    <t>3603091612990001</t>
  </si>
  <si>
    <t>Jl. Pusdiklat Depnaker Kp. Makasar, Jakarta Timur</t>
  </si>
  <si>
    <t>16-12-1999</t>
  </si>
  <si>
    <t>Lulusan PTN (Strata-1) - Universitas Sebelas Maret</t>
  </si>
  <si>
    <t>Pengajar Matematika di BKB Nurul Fikri</t>
  </si>
  <si>
    <t>Master Teacher of Mathematics di Ruangguru</t>
  </si>
  <si>
    <t>nafis.saiful162@gmail.com</t>
  </si>
  <si>
    <t>1-QyVm93qLFrFrWNM3OhZnHWAMzGOeen-zr8QXMZyf-o</t>
  </si>
  <si>
    <t>https://docs.google.com/document/d/1-QyVm93qLFrFrWNM3OhZnHWAMzGOeen-zr8QXMZyf-o/edit?usp=drivesdk</t>
  </si>
  <si>
    <t>Document successfully created; Document successfully merged; Run via form trigger as kemal.stafsus@gmail.com; Timestamp: Jul 5 2025 10:28 PM</t>
  </si>
  <si>
    <t>https://drive.google.com/open?id=1Uo03l7tsjIwB1-TNNOFqq0OqwSUetH_D</t>
  </si>
  <si>
    <t>https://drive.google.com/uc?export=view&amp;id=1Uo03l7tsjIwB1-TNNOFqq0OqwSUetH_D</t>
  </si>
  <si>
    <t>Muhammad Nur Huda</t>
  </si>
  <si>
    <t>082133070110</t>
  </si>
  <si>
    <t>3216020710040003</t>
  </si>
  <si>
    <t>Ujung Harapan, kel Bahagia Kec Babelan
Rt 06 Rw 07</t>
  </si>
  <si>
    <t>07 october 2004</t>
  </si>
  <si>
    <t>Tahfidz, Diniyah, Arab</t>
  </si>
  <si>
    <t>Ponpes Iclamic Centre Bin Baz</t>
  </si>
  <si>
    <t>Guru Tahfidz dan Diniyah</t>
  </si>
  <si>
    <t>muhammadnurhuda071004@gmail.com</t>
  </si>
  <si>
    <t>1RoszI9feZEuAvyvfSkYIsmxtZznCpbngq_8kM0Rc-xQ</t>
  </si>
  <si>
    <t>https://docs.google.com/document/d/1RoszI9feZEuAvyvfSkYIsmxtZznCpbngq_8kM0Rc-xQ/edit?usp=drivesdk</t>
  </si>
  <si>
    <t>Document successfully created; Document successfully merged; Run via form trigger as kemal.stafsus@gmail.com; Timestamp: Jul 5 2025 11:00 PM</t>
  </si>
  <si>
    <t>https://drive.google.com/open?id=1xxEUwsZrpIotc2FFr4tbh8jQMFKPRq1Y</t>
  </si>
  <si>
    <t>https://drive.google.com/uc?export=view&amp;id=1xxEUwsZrpIotc2FFr4tbh8jQMFKPRq1Y</t>
  </si>
  <si>
    <t>Dr. Sulistiawati, S.Pd., M.Pd.</t>
  </si>
  <si>
    <t>082126263701</t>
  </si>
  <si>
    <t>3314016006830006</t>
  </si>
  <si>
    <t>Serpong Terrace Blok E1 No.31, Buaran, Serpong, Tangerang Selatan</t>
  </si>
  <si>
    <t>20-06-1983</t>
  </si>
  <si>
    <t>42 tahun 0 bulan</t>
  </si>
  <si>
    <t>Math Camb</t>
  </si>
  <si>
    <t>2.69</t>
  </si>
  <si>
    <t>Lecturer di UNIPREP (University Preparation) BSD</t>
  </si>
  <si>
    <t>Lecturer di STKIP Surya Tangerang</t>
  </si>
  <si>
    <t>Guru di SMA Negeri 2 Sekayu</t>
  </si>
  <si>
    <t>0387002473</t>
  </si>
  <si>
    <t>sulistiawati.su@gmail.com</t>
  </si>
  <si>
    <t>1TVq8wlD5PCIRI--DkF4wT3oxpKwDoMz05T1mTUpDzt0</t>
  </si>
  <si>
    <t>https://docs.google.com/document/d/1TVq8wlD5PCIRI--DkF4wT3oxpKwDoMz05T1mTUpDzt0/edit?usp=drivesdk</t>
  </si>
  <si>
    <t>Document successfully created; Document successfully merged; Run via form trigger as kemal.stafsus@gmail.com; Timestamp: Jul 7 2025 1:23 AM</t>
  </si>
  <si>
    <t>https://drive.google.com/open?id=1VIqCNekDmz88kbybJrR-9-6nRbeC-Fab</t>
  </si>
  <si>
    <t>https://drive.google.com/uc?export=view&amp;id=1VIqCNekDmz88kbybJrR-9-6nRbeC-Fab</t>
  </si>
  <si>
    <t>Surya Firmansyah</t>
  </si>
  <si>
    <t>081398028456</t>
  </si>
  <si>
    <t>3208210411910001</t>
  </si>
  <si>
    <t xml:space="preserve">Perum Telaga Harapan, Blok K1/9. Desa telaga Murni, Cikarang Barat </t>
  </si>
  <si>
    <t>04/11/1991</t>
  </si>
  <si>
    <t>English, Sience &amp; Math</t>
  </si>
  <si>
    <t>PTS (Strata  1) - Universitas Kuningan</t>
  </si>
  <si>
    <t>PTS (Strata-2) - Universitas Islam 45 Bekasi</t>
  </si>
  <si>
    <t>4.000.000 - 5.000.000 (Fluktuatif)</t>
  </si>
  <si>
    <t>Kepala Sekolah PKBM Abu Dzar Al Aghifari</t>
  </si>
  <si>
    <t>Kepala TPQ Daarul Huffadz Al Muttaqin</t>
  </si>
  <si>
    <t>suryamasta77@gmail.com</t>
  </si>
  <si>
    <t>1jen2Gx5k7NDuAaxoK442q5awWAYY0Y3Fuosa5AXcBDE</t>
  </si>
  <si>
    <t>https://docs.google.com/document/d/1jen2Gx5k7NDuAaxoK442q5awWAYY0Y3Fuosa5AXcBDE/edit?usp=drivesdk</t>
  </si>
  <si>
    <t>Document successfully created; Document successfully merged; Run via form trigger as kemal.stafsus@gmail.com; Timestamp: Jul 10 2025 4:17 AM</t>
  </si>
  <si>
    <t>https://drive.google.com/open?id=1vBYd5fMqxwfZZ4W1BUNh8bZ1ERPsgrln</t>
  </si>
  <si>
    <t>https://drive.google.com/uc?export=view&amp;id=1vBYd5fMqxwfZZ4W1BUNh8bZ1ERPsgrln</t>
  </si>
  <si>
    <t>Utan Panjang, Kemayoran, Jakarta Pusat</t>
  </si>
  <si>
    <t>39y 8m</t>
  </si>
  <si>
    <t>8.21/10.00</t>
  </si>
  <si>
    <t>3.6/ 4.0</t>
  </si>
  <si>
    <t>Post Doctoral Fellow, Badan Riset dan Inovasi Nasional (BRIN), Bandung</t>
  </si>
  <si>
    <t>Lecturer, King Fahd University of Petroleum and Minerals, Saudi Arabia</t>
  </si>
  <si>
    <t>Research Assistant, King Fahd University of Petroleum and Minerals, Saudi Arabia</t>
  </si>
  <si>
    <t>1Y_21wug5qXb35ofYc0uEJwo7Dz134k7jHmN0WqjLQy0</t>
  </si>
  <si>
    <t>https://docs.google.com/document/d/1Y_21wug5qXb35ofYc0uEJwo7Dz134k7jHmN0WqjLQy0/edit?usp=drivesdk</t>
  </si>
  <si>
    <t>Document successfully created; Document successfully merged; Run via form trigger as kemal.stafsus@gmail.com; Timestamp: Jul 10 2025 10:57 PM</t>
  </si>
  <si>
    <t>https://drive.google.com/open?id=17NQZV0KvTxp9-nWFjjdkUD8byw5xhd8j</t>
  </si>
  <si>
    <t>https://drive.google.com/uc?export=view&amp;id=17NQZV0KvTxp9-nWFjjdkUD8byw5xhd8j</t>
  </si>
  <si>
    <t>Hauraa Syaikhah, S.Pd.</t>
  </si>
  <si>
    <t>081315450308</t>
  </si>
  <si>
    <t>3175106806980005</t>
  </si>
  <si>
    <t>Jl. Damai No.43 Setu Cipayung, Jakarta Timur.</t>
  </si>
  <si>
    <t>28 Juni 1998</t>
  </si>
  <si>
    <t>27 Tahun</t>
  </si>
  <si>
    <t>Muhammadiyah Prof. Dr. Hamka</t>
  </si>
  <si>
    <t>hauraa.syaikhah@gmail.com</t>
  </si>
  <si>
    <t>13MpHs3wkc_ebTHv2oqWp3NrBxrC96vt23xKciSPujsk</t>
  </si>
  <si>
    <t>https://docs.google.com/document/d/13MpHs3wkc_ebTHv2oqWp3NrBxrC96vt23xKciSPujsk/edit?usp=drivesdk</t>
  </si>
  <si>
    <t>Document successfully created; Document successfully merged; Run via form trigger as kemal.stafsus@gmail.com; Timestamp: Jul 11 2025 9:57 PM</t>
  </si>
  <si>
    <t>https://drive.google.com/open?id=18buWDVkq6DcLmiLS-6FJuk1UEC0_M6MW</t>
  </si>
  <si>
    <t>https://drive.google.com/uc?export=view&amp;id=18buWDVkq6DcLmiLS-6FJuk1UEC0_M6MW</t>
  </si>
  <si>
    <t>Miqdad, Lc. M.Pd.</t>
  </si>
  <si>
    <t>0895395925715</t>
  </si>
  <si>
    <t>3511110805890002</t>
  </si>
  <si>
    <t>Jember, Jawa Timur</t>
  </si>
  <si>
    <t>08 -05- 1989</t>
  </si>
  <si>
    <t>36 Tahun 1 Bulan</t>
  </si>
  <si>
    <t>Arabic, Fiqih, Aqidah, Akhlak, Hadist, Tafsir, ushul Fiqh Faroid.</t>
  </si>
  <si>
    <t>SYARI`AH</t>
  </si>
  <si>
    <t>UIN MALIKI MALANG</t>
  </si>
  <si>
    <t>GURU MAPEL DAN WALAS</t>
  </si>
  <si>
    <t>KEPALA SEKOLAH MTs</t>
  </si>
  <si>
    <t>migks89@gmai.com</t>
  </si>
  <si>
    <t>1rdL9phgBw1KjctmPGwoSJzdMQ_lk-A_7j6Rb0RuPi-Q</t>
  </si>
  <si>
    <t>https://docs.google.com/document/d/1rdL9phgBw1KjctmPGwoSJzdMQ_lk-A_7j6Rb0RuPi-Q/edit?usp=drivesdk</t>
  </si>
  <si>
    <t>Document successfully created; Document successfully merged; Run via form trigger as kemal.stafsus@gmail.com; Timestamp: Jul 11 2025 10:51 PM</t>
  </si>
  <si>
    <t>https://drive.google.com/open?id=13foF4g-6zm_Aq0Yt2TUxNZ5CWPvFMPS1</t>
  </si>
  <si>
    <t>https://drive.google.com/uc?export=view&amp;id=13foF4g-6zm_Aq0Yt2TUxNZ5CWPvFMPS1</t>
  </si>
  <si>
    <t>08-05-1989</t>
  </si>
  <si>
    <t>36 Tahun  1 Bulan</t>
  </si>
  <si>
    <t>Kepala Sekolah, Wakil Kepala Sekolah, Guru Mata Pelajaran, Tim Litbang, Tim Pusat Penelitian Kurikulum</t>
  </si>
  <si>
    <t>SMA-IT AL-KAHFI LIDO BOGOR</t>
  </si>
  <si>
    <t>AL-WILDAN ISLAMIC SCHOOL SERPONG</t>
  </si>
  <si>
    <t>PIAT 6 BONDOWOSO</t>
  </si>
  <si>
    <t>migks89@gmail.com</t>
  </si>
  <si>
    <t>1dQvJ6dhsfwvNz_XfiMXSzu8WIfyh-iQ2d-LRtOxdkP0</t>
  </si>
  <si>
    <t>https://docs.google.com/document/d/1dQvJ6dhsfwvNz_XfiMXSzu8WIfyh-iQ2d-LRtOxdkP0/edit?usp=drivesdk</t>
  </si>
  <si>
    <t>Document successfully created; Document successfully merged; Run via form trigger as kemal.stafsus@gmail.com; Timestamp: Jul 12 2025 12:00 AM</t>
  </si>
  <si>
    <t>https://drive.google.com/open?id=1VRbV5ELpQ10jEcwvG8StbAtCblHDfUe5</t>
  </si>
  <si>
    <t>https://drive.google.com/uc?export=view&amp;id=1VRbV5ELpQ10jEcwvG8StbAtCblHDfUe5</t>
  </si>
  <si>
    <t>Azzam Hassan Mohamed Abdall. Ma. MM</t>
  </si>
  <si>
    <t>08952554942</t>
  </si>
  <si>
    <t>P09249641</t>
  </si>
  <si>
    <t>komplek bumi asri jl. marga asri VI G no. C 156
kelurahan Gempol Sari, Kecamatan Bandung Kulon, Kota Bandung
Kode pos 40215</t>
  </si>
  <si>
    <t>Ammran, Yemen</t>
  </si>
  <si>
    <t>13-02-1991</t>
  </si>
  <si>
    <t>Al-Neelain University</t>
  </si>
  <si>
    <t>Geography</t>
  </si>
  <si>
    <t>Alzaiem Alazhari University/ Muhammadiyah University of Purwokerto</t>
  </si>
  <si>
    <t xml:space="preserve">Geography/ Islamic Management </t>
  </si>
  <si>
    <t>Riset /3.8</t>
  </si>
  <si>
    <t>Yayasan Omar Almukhtar</t>
  </si>
  <si>
    <t>Tidak Tau</t>
  </si>
  <si>
    <t>bandgzam@gmail.com</t>
  </si>
  <si>
    <t>1Pwyzlgr4SMFDMUFf_jwXgbUe-bfnU7vdpW-ANjK_vZ0</t>
  </si>
  <si>
    <t>https://docs.google.com/document/d/1Pwyzlgr4SMFDMUFf_jwXgbUe-bfnU7vdpW-ANjK_vZ0/edit?usp=drivesdk</t>
  </si>
  <si>
    <t>Document successfully created; Document successfully merged; Run via form trigger as kemal.stafsus@gmail.com; Timestamp: Jul 14 2025 2:39 AM</t>
  </si>
  <si>
    <t>https://drive.google.com/open?id=1BbNb0sM8pW4OuYBrNQZNsenoJ66MnBqk</t>
  </si>
  <si>
    <t>https://drive.google.com/uc?export=view&amp;id=1BbNb0sM8pW4OuYBrNQZNsenoJ66MnBqk</t>
  </si>
  <si>
    <t>Siti Faida Masyitoh S.Pd</t>
  </si>
  <si>
    <t>081215965662</t>
  </si>
  <si>
    <t>3323064202020004</t>
  </si>
  <si>
    <t>Kota Malang</t>
  </si>
  <si>
    <t>Temanggung</t>
  </si>
  <si>
    <t>02-02-2002</t>
  </si>
  <si>
    <t>S-1 Pendidikan Biology</t>
  </si>
  <si>
    <t>FIB School of Talent</t>
  </si>
  <si>
    <t>Tutor Bio;ogy, science, math, english</t>
  </si>
  <si>
    <t>003101013657536</t>
  </si>
  <si>
    <t>faida.masyitoh@gmail.com</t>
  </si>
  <si>
    <t>1qTAFiENVqcdzRnvobaYvc49aACv0pSc2jsfEugRWoAg</t>
  </si>
  <si>
    <t>https://docs.google.com/document/d/1qTAFiENVqcdzRnvobaYvc49aACv0pSc2jsfEugRWoAg/edit?usp=drivesdk</t>
  </si>
  <si>
    <t>Document successfully created; Document successfully merged; Run via form trigger as kemal.stafsus@gmail.com; Timestamp: Jul 14 2025 2:44 AM</t>
  </si>
  <si>
    <t>https://drive.google.com/open?id=11ZX0DVf_C4imRcIgFb4Y3kg9lIt-DYyf</t>
  </si>
  <si>
    <t>https://drive.google.com/uc?export=view&amp;id=11ZX0DVf_C4imRcIgFb4Y3kg9lIt-DYyf</t>
  </si>
  <si>
    <t>Muhammad Hisyam Abdillah, BA</t>
  </si>
  <si>
    <t>085922061998</t>
  </si>
  <si>
    <t>3604052206980006</t>
  </si>
  <si>
    <t>Cikarang</t>
  </si>
  <si>
    <t>Serang 22 Juni 1998</t>
  </si>
  <si>
    <t>Aqidah &amp; Adyan</t>
  </si>
  <si>
    <t>4.48</t>
  </si>
  <si>
    <t>Guru kelas 4 SD</t>
  </si>
  <si>
    <t>abdillah2298@gmail.com</t>
  </si>
  <si>
    <t>1QNJ6WrlFV3LE7Ix_DB7UYEkr4zN6-CIeOi81TgYusU0</t>
  </si>
  <si>
    <t>https://docs.google.com/document/d/1QNJ6WrlFV3LE7Ix_DB7UYEkr4zN6-CIeOi81TgYusU0/edit?usp=drivesdk</t>
  </si>
  <si>
    <t>Document successfully created; Document successfully merged; Run via form trigger as kemal.stafsus@gmail.com; Timestamp: Jul 14 2025 3:07 AM</t>
  </si>
  <si>
    <t>https://drive.google.com/open?id=1ZqlrV8xtyfxYFsi7PwngHPOBx2E3kFql</t>
  </si>
  <si>
    <t>https://drive.google.com/uc?export=view&amp;id=1ZqlrV8xtyfxYFsi7PwngHPOBx2E3kFql</t>
  </si>
  <si>
    <t>Nada Amira, S.Pd., M.Pd.</t>
  </si>
  <si>
    <t>085221010926</t>
  </si>
  <si>
    <t>3217025603930004</t>
  </si>
  <si>
    <t>BTN Terong Tawah Regency Blok A No.17</t>
  </si>
  <si>
    <t>16-03-1993</t>
  </si>
  <si>
    <t>International Program on Science Education (IPSE)</t>
  </si>
  <si>
    <t>Pendidikan Ilmu Pengetahuan Alam (IPA)</t>
  </si>
  <si>
    <t>Maths &amp; Science Teacher Temasek Independent School, Bandung</t>
  </si>
  <si>
    <t>Maths Intensive Teacher for Ujian Nasional at Al - Azhar Syifa Budi Parahyangan, Bandung</t>
  </si>
  <si>
    <t>Maths &amp; Computer Teacher at Rama Global Indian School, Purwakarta</t>
  </si>
  <si>
    <t>0464502446</t>
  </si>
  <si>
    <t>amiranada414@gmail.com</t>
  </si>
  <si>
    <t>1CVXSSEb1ToPiQQVZFzhw9rbZ3xfwWaCLpr7dWqrOIGE</t>
  </si>
  <si>
    <t>https://docs.google.com/document/d/1CVXSSEb1ToPiQQVZFzhw9rbZ3xfwWaCLpr7dWqrOIGE/edit?usp=drivesdk</t>
  </si>
  <si>
    <t>Document successfully created; Document successfully merged; Run via form trigger as kemal.stafsus@gmail.com; Timestamp: Jul 14 2025 4:56 AM</t>
  </si>
  <si>
    <t>https://drive.google.com/open?id=1EJ76aOOQeoca-m1i49LTr3uaBP6Al6A2</t>
  </si>
  <si>
    <t>https://drive.google.com/uc?export=view&amp;id=1EJ76aOOQeoca-m1i49LTr3uaBP6Al6A2</t>
  </si>
  <si>
    <t>Komplek Walikota Blok A4 No.29, Kelapa Gading, Jakarta Utara</t>
  </si>
  <si>
    <t>28/03/1992</t>
  </si>
  <si>
    <t>Universitas Sahid Jakarta</t>
  </si>
  <si>
    <t>Guru (Al Wildan 15 Kompas)</t>
  </si>
  <si>
    <t>Guru (Al Wildan 10 Cipinang)</t>
  </si>
  <si>
    <t>15sqqgxx4hye5XO6sAMcDI67BtRBnAaXxBst1p0wFCOc</t>
  </si>
  <si>
    <t>https://docs.google.com/document/d/15sqqgxx4hye5XO6sAMcDI67BtRBnAaXxBst1p0wFCOc/edit?usp=drivesdk</t>
  </si>
  <si>
    <t>Document successfully created; Document successfully merged; Run via form trigger as kemal.stafsus@gmail.com; Timestamp: Jul 14 2025 7:59 AM</t>
  </si>
  <si>
    <t>https://drive.google.com/open?id=10cb0ZMwKBeVukV9c5E-inKcJzFsWz_x2</t>
  </si>
  <si>
    <t>https://drive.google.com/uc?export=view&amp;id=10cb0ZMwKBeVukV9c5E-inKcJzFsWz_x2</t>
  </si>
  <si>
    <t>Awanda Yusuf Kurniadi, S.Kom</t>
  </si>
  <si>
    <t>085710783316</t>
  </si>
  <si>
    <t>3275061208990023</t>
  </si>
  <si>
    <t>KP. PINTU AIR RT.02/07 KEL. HARAPAN MULYA KEC. MEDAN SATRIA BEKASI UTARA</t>
  </si>
  <si>
    <t>BEKASI (KOTA)</t>
  </si>
  <si>
    <t>12-08-1999</t>
  </si>
  <si>
    <t xml:space="preserve">Universitas Nusa Mandiri </t>
  </si>
  <si>
    <t xml:space="preserve">Teknik Informatika </t>
  </si>
  <si>
    <t xml:space="preserve">Tata Usaha Yayasan Operator/Guru Informatika </t>
  </si>
  <si>
    <t>3.500.000-4.500.000</t>
  </si>
  <si>
    <t>awandayusuf12@gmail.com</t>
  </si>
  <si>
    <t>1iPhF4NaJGHBBrfjbhS0JodrrItK_fBTCZkbOzk4j8kc</t>
  </si>
  <si>
    <t>https://docs.google.com/document/d/1iPhF4NaJGHBBrfjbhS0JodrrItK_fBTCZkbOzk4j8kc/edit?usp=drivesdk</t>
  </si>
  <si>
    <t>Document successfully created; Document successfully merged; Run via form trigger as kemal.stafsus@gmail.com; Timestamp: Jul 17 2025 6:45 AM</t>
  </si>
  <si>
    <t>https://drive.google.com/open?id=1H95D_d0CDZgw1x6W9YdGjJU0K5tDixzT</t>
  </si>
  <si>
    <t>https://drive.google.com/uc?export=view&amp;id=1H95D_d0CDZgw1x6W9YdGjJU0K5tDixzT</t>
  </si>
  <si>
    <t>Unzila Munawaroh S.H</t>
  </si>
  <si>
    <t>085215580209</t>
  </si>
  <si>
    <t>1605175802010001</t>
  </si>
  <si>
    <t>Jember</t>
  </si>
  <si>
    <t xml:space="preserve">Lubuklinggau </t>
  </si>
  <si>
    <t>17 Februari 2001</t>
  </si>
  <si>
    <t>Matkul diniyah</t>
  </si>
  <si>
    <t>STDI Imam Syafi'i jember</t>
  </si>
  <si>
    <t>Belum keluar, nnt akan minta surat SKL sementara sebelum wisuda</t>
  </si>
  <si>
    <t>Guru diniyah SD, guru tahfidz SD,SMA, guru diniyah smp</t>
  </si>
  <si>
    <t xml:space="preserve">3-4jt+tempat tinggal </t>
  </si>
  <si>
    <t>7jt-8jt</t>
  </si>
  <si>
    <t>002101045467530</t>
  </si>
  <si>
    <t>unzilamunawaroh@gmail.com</t>
  </si>
  <si>
    <t>1iCHxoWvPex_Yln2WiHZ4tm3YE__H0cdpIoBy9WY0b7s</t>
  </si>
  <si>
    <t>https://docs.google.com/document/d/1iCHxoWvPex_Yln2WiHZ4tm3YE__H0cdpIoBy9WY0b7s/edit?usp=drivesdk</t>
  </si>
  <si>
    <t>Document successfully created; Document successfully merged; Run via form trigger as kemal.stafsus@gmail.com; Timestamp: Jul 17 2025 11:25 AM</t>
  </si>
  <si>
    <t>https://drive.google.com/open?id=1-hExaODm4NmhgnIdkETXp1M2mjDLzNl8</t>
  </si>
  <si>
    <t>https://drive.google.com/uc?export=view&amp;id=1-hExaODm4NmhgnIdkETXp1M2mjDLzNl8</t>
  </si>
  <si>
    <t>Lisda Asmida, S.T</t>
  </si>
  <si>
    <t>089638310020</t>
  </si>
  <si>
    <t>3201035111910007 / B 1880527</t>
  </si>
  <si>
    <t>Perumahan Metland Cileungsi Jalan Aralia 1 Blok AB3 No.24 RT 04 RW 10 Desa Cipenjo Kec. Cileungsi Kab. Bogor, Jawa Barat,16820</t>
  </si>
  <si>
    <t xml:space="preserve">Laboratorium RnD Supervisor - PT Clariant Adsorbents Indonesia </t>
  </si>
  <si>
    <t>Guru TK - Bimba Plus Tahfidz Metland Cileungsi</t>
  </si>
  <si>
    <t>lisdaasmida@gmail.com</t>
  </si>
  <si>
    <t>1SQBg_1Ox8Ll22BttXL1b_qQ7ZeGDT3kH1sraEoKh_yA</t>
  </si>
  <si>
    <t>https://docs.google.com/document/d/1SQBg_1Ox8Ll22BttXL1b_qQ7ZeGDT3kH1sraEoKh_yA/edit?usp=drivesdk</t>
  </si>
  <si>
    <t>Document successfully created; Document successfully merged; Run via form trigger as kemal.stafsus@gmail.com; Timestamp: Jul 17 2025 7:27 PM</t>
  </si>
  <si>
    <t>https://drive.google.com/open?id=1m8Uwp39_wL34hkEbtSLUB6Jkj8cza7TZ</t>
  </si>
  <si>
    <t>https://drive.google.com/uc?export=view&amp;id=1m8Uwp39_wL34hkEbtSLUB6Jkj8cza7TZ</t>
  </si>
  <si>
    <t>Annisa Bella, S.Pi</t>
  </si>
  <si>
    <t>08988032055</t>
  </si>
  <si>
    <t>3604094512000002</t>
  </si>
  <si>
    <t>05-12-2000</t>
  </si>
  <si>
    <t>Teknologi Hasil Perairan</t>
  </si>
  <si>
    <t>-Guru matematika SMA BPIBS 2024/2025
-Tutor freelance Master Institut 2023-2025
-Tutor freelance Primagama 2023-2024</t>
  </si>
  <si>
    <t>Rp. 5000.000</t>
  </si>
  <si>
    <t xml:space="preserve">Rp. 5.500.000 </t>
  </si>
  <si>
    <t>Annisa Bella</t>
  </si>
  <si>
    <t>annisabellawork@gmail.com</t>
  </si>
  <si>
    <t>1DgpNe0_AlBG1BKTs2VHjweWsdbIIAS2xsMoQ3W6Bj2k</t>
  </si>
  <si>
    <t>https://docs.google.com/document/d/1DgpNe0_AlBG1BKTs2VHjweWsdbIIAS2xsMoQ3W6Bj2k/edit?usp=drivesdk</t>
  </si>
  <si>
    <t>Document successfully created; Document successfully merged; Run via form trigger as kemal.stafsus@gmail.com; Timestamp: Jul 18 2025 4:40 AM</t>
  </si>
  <si>
    <t>https://drive.google.com/open?id=1RRIGTNR_hFg7gKeUCn4Koqh2gbWUD0mx</t>
  </si>
  <si>
    <t>https://drive.google.com/uc?export=view&amp;id=1RRIGTNR_hFg7gKeUCn4Koqh2gbWUD0mx</t>
  </si>
  <si>
    <t>Zaenal Anggara S.Pd</t>
  </si>
  <si>
    <t>087708978874</t>
  </si>
  <si>
    <t>3211170706010006</t>
  </si>
  <si>
    <t>Bandung(Gegerkalong)</t>
  </si>
  <si>
    <t xml:space="preserve">Guru PJOK </t>
  </si>
  <si>
    <t>PGSD PENJAS</t>
  </si>
  <si>
    <t xml:space="preserve">Freelance </t>
  </si>
  <si>
    <t>zaenalanggara97@gmail.com</t>
  </si>
  <si>
    <t>1aZpl8rh9novqj7yMIgqK5FMol9ATzKwlM4C1I7sOacQ</t>
  </si>
  <si>
    <t>https://docs.google.com/document/d/1aZpl8rh9novqj7yMIgqK5FMol9ATzKwlM4C1I7sOacQ/edit?usp=drivesdk</t>
  </si>
  <si>
    <t>Document successfully created; Document successfully merged; Run via form trigger as kemal.stafsus@gmail.com; Timestamp: Jul 20 2025 11:33 PM</t>
  </si>
  <si>
    <t>https://drive.google.com/open?id=1j8zb-go35G0b2y3G9TScgzEDo9ohs8a2</t>
  </si>
  <si>
    <t>https://drive.google.com/uc?export=view&amp;id=1j8zb-go35G0b2y3G9TScgzEDo9ohs8a2</t>
  </si>
  <si>
    <t>Aulia Azka, SH., MH.</t>
  </si>
  <si>
    <t>081904201013</t>
  </si>
  <si>
    <t>5271056501990001</t>
  </si>
  <si>
    <t>Jalan Udayana Gang Eka Jaya IV No.1 Mataram</t>
  </si>
  <si>
    <t>Guru Ekonomi Cambridge</t>
  </si>
  <si>
    <t>Universitas Tazkia Bogor</t>
  </si>
  <si>
    <t>Ana terbuka terkait nominal, dan percaya Al Wildan memiliki sistem yang adil. Prioritas ana adalah kontribusi dan pengembangan diri.</t>
  </si>
  <si>
    <t>auliaazka25@gmail.com</t>
  </si>
  <si>
    <t>1Iuph5Dj9nenWsshfljURkTbYQx8gXVno-mmJF_vZ8B4</t>
  </si>
  <si>
    <t>https://docs.google.com/document/d/1Iuph5Dj9nenWsshfljURkTbYQx8gXVno-mmJF_vZ8B4/edit?usp=drivesdk</t>
  </si>
  <si>
    <t>Document successfully created; Document successfully merged; Run via form trigger as kemal.stafsus@gmail.com; Timestamp: Jul 21 2025 3:00 AM</t>
  </si>
  <si>
    <t>https://drive.google.com/open?id=1ZaHaJ0r74gykaOGAirDyOy0jENinerTa</t>
  </si>
  <si>
    <t>https://drive.google.com/uc?export=view&amp;id=1ZaHaJ0r74gykaOGAirDyOy0jENinerTa</t>
  </si>
  <si>
    <t>Wan Fadlyriza, S.Pd</t>
  </si>
  <si>
    <t>081374213074</t>
  </si>
  <si>
    <t>1471110807930022</t>
  </si>
  <si>
    <t>Jl. Rajawali XI No. 191, perum. Sidomulyo, Kel. Perhentian Marpoyan, Kec. Marpoyan Damai, Kota Pekanbaru, Provinsi Riau</t>
  </si>
  <si>
    <t>08/07/1993</t>
  </si>
  <si>
    <t>Universiras Islam Riau</t>
  </si>
  <si>
    <t>Guru Bahasa Inggris di SMP IT Imam Syafi'i 2 Pekanbaru</t>
  </si>
  <si>
    <t xml:space="preserve">Guru Bahasa Inggris di Ma'had Tahfizh Abu Darda  </t>
  </si>
  <si>
    <t>Senior Akademia Coach di English Academy Center by Ruangguru branch Pekanbaru</t>
  </si>
  <si>
    <t>wan.fadlyriza8@gmail.com</t>
  </si>
  <si>
    <t>1tSyZ8pRBkIuC7coJVQt-1DFVS49UmTU78mv5xGtwBhM</t>
  </si>
  <si>
    <t>https://docs.google.com/document/d/1tSyZ8pRBkIuC7coJVQt-1DFVS49UmTU78mv5xGtwBhM/edit?usp=drivesdk</t>
  </si>
  <si>
    <t>Document successfully created; Document successfully merged; Run via form trigger as kemal.stafsus@gmail.com; Timestamp: Jul 21 2025 6:29 AM</t>
  </si>
  <si>
    <t>https://drive.google.com/open?id=1veuklItTgQGgBCz-5pwhTiLnaP5bvt41</t>
  </si>
  <si>
    <t>https://drive.google.com/uc?export=view&amp;id=1veuklItTgQGgBCz-5pwhTiLnaP5bvt41</t>
  </si>
  <si>
    <t>Salvira Nuryunda Setiadi</t>
  </si>
  <si>
    <t>082124737308</t>
  </si>
  <si>
    <t>3175075412000004</t>
  </si>
  <si>
    <t>Villa Bintaro Indah Blok C5/10</t>
  </si>
  <si>
    <t>14-12-2000</t>
  </si>
  <si>
    <t xml:space="preserve">Universitas Persada Indonesia </t>
  </si>
  <si>
    <t>Behavior Therapist for Special Needs Children at Happy Kids Therapy (May 2024-May 2025)</t>
  </si>
  <si>
    <t>3.764.000-4.046.000</t>
  </si>
  <si>
    <t>Teaching Assistang Intern and Pyschology Peer Counseling at Sanggar Ananda Kawula Muda (September-December 2022)</t>
  </si>
  <si>
    <t>salviranuryunda14@gmail.com</t>
  </si>
  <si>
    <t>1bXueo5cevBHbVWuv66Gzi1-3XR8p2UA9sqF4w8gqk-g</t>
  </si>
  <si>
    <t>https://docs.google.com/document/d/1bXueo5cevBHbVWuv66Gzi1-3XR8p2UA9sqF4w8gqk-g/edit?usp=drivesdk</t>
  </si>
  <si>
    <t>Document successfully created; Document successfully merged; Run via form trigger as kemal.stafsus@gmail.com; Timestamp: Jul 21 2025 7:01 AM</t>
  </si>
  <si>
    <t>https://drive.google.com/open?id=12rZSV94FN9ttSfkcKEoBUTcdqBwxVj4s</t>
  </si>
  <si>
    <t>https://drive.google.com/uc?export=view&amp;id=12rZSV94FN9ttSfkcKEoBUTcdqBwxVj4s</t>
  </si>
  <si>
    <t>Wan Fadlyriza</t>
  </si>
  <si>
    <t>Jl. Rajawali XI No. 191, perum. Griya Sidomulyo, Kel. Perhentian Marpoyan, Kec. Marpoyan Damai, Kota Pekanbaru, Provinsi Riau</t>
  </si>
  <si>
    <t xml:space="preserve">Bahas Inggria </t>
  </si>
  <si>
    <t>Universitas Islam Riau</t>
  </si>
  <si>
    <t xml:space="preserve">Guru Bahasa Inggris di SMP IT Imam Syafi'i 2 Pekanbaru (2017-2020) </t>
  </si>
  <si>
    <t>Ma'had Tahfizh Abu Darda</t>
  </si>
  <si>
    <t xml:space="preserve">Senior Akademia Coach di English Academy Center by Ruangguru (Pekanbaru branch) </t>
  </si>
  <si>
    <t>17PSCGVlWl7CqeOXsYQC2wwQVaQlLTBaXXdsIvmbUvCo</t>
  </si>
  <si>
    <t>https://docs.google.com/document/d/17PSCGVlWl7CqeOXsYQC2wwQVaQlLTBaXXdsIvmbUvCo/edit?usp=drivesdk</t>
  </si>
  <si>
    <t>Document successfully created; Document successfully merged; Run via form trigger as kemal.stafsus@gmail.com; Timestamp: Jul 21 2025 7:53 AM</t>
  </si>
  <si>
    <t>https://drive.google.com/open?id=1QsqPJjnc41ouzRl2EUBx6z5akx91_Lis</t>
  </si>
  <si>
    <t>https://drive.google.com/uc?export=view&amp;id=1QsqPJjnc41ouzRl2EUBx6z5akx91_Lis</t>
  </si>
  <si>
    <t>Salvira Nuryunda Setiadi,S.Psi</t>
  </si>
  <si>
    <t>Universitas Persada Indonesia YAI</t>
  </si>
  <si>
    <t>Behavior Therapist For Special Needs Children at Happy Kids Therapy (May 2024-May 2025)</t>
  </si>
  <si>
    <t>Teaching Assistant Intern and Psychology Peer Counseling at Sanggar Ananda Kawula Muda (September-December 2022)</t>
  </si>
  <si>
    <t>1-BBjqsn7r5Q40HyZ8uX5U8TgvqxuaGMXCKYKJHjnucM</t>
  </si>
  <si>
    <t>https://docs.google.com/document/d/1-BBjqsn7r5Q40HyZ8uX5U8TgvqxuaGMXCKYKJHjnucM/edit?usp=drivesdk</t>
  </si>
  <si>
    <t>Document successfully created; Document successfully merged; Run via form trigger as kemal.stafsus@gmail.com; Timestamp: Jul 21 2025 9:55 AM</t>
  </si>
  <si>
    <t>https://drive.google.com/open?id=1GCwmlfJlDLJml6LNBw6gOMUbEe5El7ga</t>
  </si>
  <si>
    <t>https://drive.google.com/uc?export=view&amp;id=1GCwmlfJlDLJml6LNBw6gOMUbEe5El7ga</t>
  </si>
  <si>
    <t>Teguh Agus Wahyuda, S.Pd., C.EQ</t>
  </si>
  <si>
    <t>Cirendeu, Ciputat Timur, Tangerang Selatan, Banten.</t>
  </si>
  <si>
    <t xml:space="preserve">Pendidikan Bahasa Sastra Indonesia </t>
  </si>
  <si>
    <t xml:space="preserve">Mengajar </t>
  </si>
  <si>
    <t>1SplwTqD0aTP-g14qUS-IdIs_0hMcZfRbrB5zkqMx3CE</t>
  </si>
  <si>
    <t>https://docs.google.com/document/d/1SplwTqD0aTP-g14qUS-IdIs_0hMcZfRbrB5zkqMx3CE/edit?usp=drivesdk</t>
  </si>
  <si>
    <t>Document successfully created; Document successfully merged; Run via form trigger as kemal.stafsus@gmail.com; Timestamp: Jul 22 2025 2:58 AM</t>
  </si>
  <si>
    <t>https://drive.google.com/open?id=1KxccQ2eQsgzhgIdhkHJAa1rB8JaW0OuL</t>
  </si>
  <si>
    <t>https://drive.google.com/uc?export=view&amp;id=1KxccQ2eQsgzhgIdhkHJAa1rB8JaW0OuL</t>
  </si>
  <si>
    <t>Elvina Iryuanita, S.Pd</t>
  </si>
  <si>
    <t>08967453278</t>
  </si>
  <si>
    <t>3671136905020001</t>
  </si>
  <si>
    <t>Jl. H Ten IV RT/RW : 06/03, Rawamangun Pulo Gadung, Jakarta Timur</t>
  </si>
  <si>
    <t>29 Mei 2002</t>
  </si>
  <si>
    <t>23 Tahun 2 Bulan</t>
  </si>
  <si>
    <t>Private Tutor</t>
  </si>
  <si>
    <t>elvinairynt583@gmail.com</t>
  </si>
  <si>
    <t>1W5I3o3i6_CUu0CL5OkhczB_a9cf2loMvjO9uD41DZB4</t>
  </si>
  <si>
    <t>https://docs.google.com/document/d/1W5I3o3i6_CUu0CL5OkhczB_a9cf2loMvjO9uD41DZB4/edit?usp=drivesdk</t>
  </si>
  <si>
    <t>Document successfully created; Document successfully merged; Run via form trigger as kemal.stafsus@gmail.com; Timestamp: Jul 27 2025 9:49 PM</t>
  </si>
  <si>
    <t>https://drive.google.com/open?id=1edRvvzDzV3t1yECm87huSAbYLEgz1Jyx</t>
  </si>
  <si>
    <t>https://drive.google.com/uc?export=view&amp;id=1edRvvzDzV3t1yECm87huSAbYLEgz1Jyx</t>
  </si>
  <si>
    <t>ANNISA CHAIRIA, SE</t>
  </si>
  <si>
    <t>087775562433</t>
  </si>
  <si>
    <t>3275037012870021</t>
  </si>
  <si>
    <t>JL. PISANG MAS RAYA NO. 139 B DUREN JAYA, BEKASI TIMUR</t>
  </si>
  <si>
    <t>30-12-1987</t>
  </si>
  <si>
    <t>37 TAHUN 7 BULAN</t>
  </si>
  <si>
    <t>STIE INDONESIA</t>
  </si>
  <si>
    <t>MANAJEMEN EKONOMI</t>
  </si>
  <si>
    <t>CUSTOMER SERVICE</t>
  </si>
  <si>
    <t>annisachairiadugaf@gmail.com</t>
  </si>
  <si>
    <t>1TTPDmMkKTpR1WWUo2Hoedsk-DABX0FcSqYxuN4WfY3I</t>
  </si>
  <si>
    <t>https://docs.google.com/document/d/1TTPDmMkKTpR1WWUo2Hoedsk-DABX0FcSqYxuN4WfY3I/edit?usp=drivesdk</t>
  </si>
  <si>
    <t>Document successfully created; Document successfully merged; Run via form trigger as kemal.stafsus@gmail.com; Timestamp: Jul 28 2025 9:09 PM</t>
  </si>
  <si>
    <t>https://drive.google.com/open?id=1FN2KygJExiBfDCGDr6s04vmCkori1Bkf</t>
  </si>
  <si>
    <t>https://drive.google.com/uc?export=view&amp;id=1FN2KygJExiBfDCGDr6s04vmCkori1Bkf</t>
  </si>
  <si>
    <t>Niswatun Warok, S.Pd.</t>
  </si>
  <si>
    <t>087851264454</t>
  </si>
  <si>
    <t>5201086506010001</t>
  </si>
  <si>
    <t xml:space="preserve">Jl. TGH Ibrahim Al Khalidy, Dusun Bengkel Timur, RT.4, Desa Bengkel, Kecamatan Labuapi, Kabupaten Lombok Barat, Nusa Tenggara Barat. 83361. </t>
  </si>
  <si>
    <t>25-06-2001</t>
  </si>
  <si>
    <t>Mengajar Ekstrakurikuler Drumband</t>
  </si>
  <si>
    <t xml:space="preserve">BRI (NISWATUN WAROK) </t>
  </si>
  <si>
    <t>Niswachua29@gmail.com</t>
  </si>
  <si>
    <t>1rBZzewTajiydQTD1qrlmqW6JCorWqrLJNk_IFKLG9RU</t>
  </si>
  <si>
    <t>https://docs.google.com/document/d/1rBZzewTajiydQTD1qrlmqW6JCorWqrLJNk_IFKLG9RU/edit?usp=drivesdk</t>
  </si>
  <si>
    <t>Document successfully created; Document successfully merged; Run via form trigger as kemal.stafsus@gmail.com; Timestamp: Jul 29 2025 9:06 PM</t>
  </si>
  <si>
    <t>https://drive.google.com/open?id=1G11_bqAu0lb3ySpeFtLPcLszOfXggD3Z</t>
  </si>
  <si>
    <t>https://drive.google.com/uc?export=view&amp;id=1G11_bqAu0lb3ySpeFtLPcLszOfXggD3Z</t>
  </si>
  <si>
    <t xml:space="preserve">Niswatun Warok </t>
  </si>
  <si>
    <t>1CRLhH0KaXjuGoSFSyHoAIgAOYSVTsz_KmoNOzH3zYeU</t>
  </si>
  <si>
    <t>https://docs.google.com/document/d/1CRLhH0KaXjuGoSFSyHoAIgAOYSVTsz_KmoNOzH3zYeU/edit?usp=drivesdk</t>
  </si>
  <si>
    <t>Document successfully created; Document successfully merged; Run via form trigger as kemal.stafsus@gmail.com; Timestamp: Jul 31 2025 4:01 AM</t>
  </si>
  <si>
    <t>https://drive.google.com/open?id=1ejMQZalH5BsDeVJKMWwCKO9ah6U-lp19</t>
  </si>
  <si>
    <t>https://drive.google.com/uc?export=view&amp;id=1ejMQZalH5BsDeVJKMWwCKO9ah6U-lp19</t>
  </si>
  <si>
    <t>Salah Eldin Faiz Adam Abaker</t>
  </si>
  <si>
    <t>08988048932</t>
  </si>
  <si>
    <t>P09013356</t>
  </si>
  <si>
    <t>Jl.Kano || NO.28A, Klp Dua, Kec.Klp. Dua, Kabupaten Tangerang, Banten 15810</t>
  </si>
  <si>
    <t>Sudan</t>
  </si>
  <si>
    <t>25/04/1976</t>
  </si>
  <si>
    <t>salaheldin0077@gmail.com</t>
  </si>
  <si>
    <t>1c5xGmpKI9TMULYnlAZbMiPs0A9-2YzPZThEGlRNyEdk</t>
  </si>
  <si>
    <t>https://docs.google.com/document/d/1c5xGmpKI9TMULYnlAZbMiPs0A9-2YzPZThEGlRNyEdk/edit?usp=drivesdk</t>
  </si>
  <si>
    <t>Document successfully created; Document successfully merged; Run via form trigger as kemal.stafsus@gmail.com; Timestamp: Jul 31 2025 6:08 AM</t>
  </si>
  <si>
    <t>https://drive.google.com/open?id=1F4K2zsqDNQ7Oti8EBXl3G9Aj0KWaV-zm</t>
  </si>
  <si>
    <t>https://drive.google.com/uc?export=view&amp;id=1F4K2zsqDNQ7Oti8EBXl3G9Aj0KWaV-zm</t>
  </si>
  <si>
    <t>Muhammad Bagis , Lc</t>
  </si>
  <si>
    <t>087765281119</t>
  </si>
  <si>
    <t>5271040404890004</t>
  </si>
  <si>
    <t>Jl.Swakarya3 no 1, Kekalik, Mataram</t>
  </si>
  <si>
    <t>Cakranegara</t>
  </si>
  <si>
    <t>04-04-1989</t>
  </si>
  <si>
    <t>36 tahun 3 bulan</t>
  </si>
  <si>
    <t>Arabic dan Diniyah</t>
  </si>
  <si>
    <t>Syariat Islam</t>
  </si>
  <si>
    <t>Dosen di Universitas Mataram</t>
  </si>
  <si>
    <t>Guru di AlWILDAN 20 MATARAM</t>
  </si>
  <si>
    <t>bagez1945@gmail.com</t>
  </si>
  <si>
    <t>1nQa-iGuB1RsdnVLpPdRWqKJ2HYT6vDI5sgNTcgh8QnI</t>
  </si>
  <si>
    <t>https://docs.google.com/document/d/1nQa-iGuB1RsdnVLpPdRWqKJ2HYT6vDI5sgNTcgh8QnI/edit?usp=drivesdk</t>
  </si>
  <si>
    <t>Document successfully created; Document successfully merged; Run via form trigger as kemal.stafsus@gmail.com; Timestamp: Aug 1 2025 3:00 AM</t>
  </si>
  <si>
    <t>https://drive.google.com/open?id=1mK4PodnE5HMae2k2xrBDRZg2n3rMiJpA</t>
  </si>
  <si>
    <t>https://drive.google.com/uc?export=view&amp;id=1mK4PodnE5HMae2k2xrBDRZg2n3rMiJpA</t>
  </si>
  <si>
    <t>Muh. Ulumuddin, S.Ag.</t>
  </si>
  <si>
    <t>085238947498</t>
  </si>
  <si>
    <t>5205050110000009</t>
  </si>
  <si>
    <t>J.L Danau Semayang no 8 Pagutan Permai</t>
  </si>
  <si>
    <t>01-10-2000</t>
  </si>
  <si>
    <t xml:space="preserve">Ilmu Al-Qur'an Dan Tafsir </t>
  </si>
  <si>
    <t>ulumuddin008@gmail.com</t>
  </si>
  <si>
    <t>1wNd6ikj2jV_BXMVy1Bpii6tmZEV64feM1CDTxJb-NKA</t>
  </si>
  <si>
    <t>https://docs.google.com/document/d/1wNd6ikj2jV_BXMVy1Bpii6tmZEV64feM1CDTxJb-NKA/edit?usp=drivesdk</t>
  </si>
  <si>
    <t>Document successfully created; Document successfully merged; Run via form trigger as kemal.stafsus@gmail.com; Timestamp: Aug 1 2025 3:27 AM</t>
  </si>
  <si>
    <t>https://drive.google.com/open?id=1UAgWDwVSrZhTy0zPa4mKraGEddW0eCE9</t>
  </si>
  <si>
    <t>https://drive.google.com/uc?export=view&amp;id=1UAgWDwVSrZhTy0zPa4mKraGEddW0eCE9</t>
  </si>
  <si>
    <t>Eva Apriliana, B.B.A</t>
  </si>
  <si>
    <t>081917089200</t>
  </si>
  <si>
    <t>52033116804990001</t>
  </si>
  <si>
    <t>Mataram, NTB</t>
  </si>
  <si>
    <t>Manajemen Bisnis</t>
  </si>
  <si>
    <t>4.33</t>
  </si>
  <si>
    <t>Guru di ALKHOIR ISLAMIC HOMESCHOOLING</t>
  </si>
  <si>
    <t>evaapriliana402@gmail.com</t>
  </si>
  <si>
    <t>14CKnAXv0HwiYV0HWyZaQEBH1OIeSPmq5ZgC66ScoLv4</t>
  </si>
  <si>
    <t>https://docs.google.com/document/d/14CKnAXv0HwiYV0HWyZaQEBH1OIeSPmq5ZgC66ScoLv4/edit?usp=drivesdk</t>
  </si>
  <si>
    <t>Document successfully created; Document successfully merged; Run via form trigger as kemal.stafsus@gmail.com; Timestamp: Aug 1 2025 9:09 AM</t>
  </si>
  <si>
    <t>https://drive.google.com/open?id=1WOemBofrUCMYDXwtoF-8guwnOUhDltf-</t>
  </si>
  <si>
    <t>https://drive.google.com/uc?export=view&amp;id=1WOemBofrUCMYDXwtoF-8guwnOUhDltf-</t>
  </si>
  <si>
    <t>Muhammad Ryan Kurniawan, M.Pd.</t>
  </si>
  <si>
    <t>082342868600</t>
  </si>
  <si>
    <t>5272012901000003</t>
  </si>
  <si>
    <t>Jl. Lingkar Selatan No.RT.01 369, Jempong Baru, Kec. Sekarbela, Kota Mataram, Nusa Tenggara Bar. 83361</t>
  </si>
  <si>
    <t>29-01-2000</t>
  </si>
  <si>
    <t>muhammadryankurniawan29@gmail.com</t>
  </si>
  <si>
    <t>1kTkVRTWnwhVcorcqbhpuPAP6DOyh4YULMdj_tigc-to</t>
  </si>
  <si>
    <t>https://docs.google.com/document/d/1kTkVRTWnwhVcorcqbhpuPAP6DOyh4YULMdj_tigc-to/edit?usp=drivesdk</t>
  </si>
  <si>
    <t>Document successfully created; Document successfully merged; Run via form trigger as kemal.stafsus@gmail.com; Timestamp: Aug 6 2025 12:30 AM</t>
  </si>
  <si>
    <t>https://drive.google.com/open?id=19YQzCUKhLqiDLHDBDZju4UG4HG4HR-Y8</t>
  </si>
  <si>
    <t>https://drive.google.com/uc?export=view&amp;id=19YQzCUKhLqiDLHDBDZju4UG4HG4HR-Y8</t>
  </si>
  <si>
    <t>5203116804990001</t>
  </si>
  <si>
    <t>Mnajemen Bisnis</t>
  </si>
  <si>
    <t xml:space="preserve">Guru di Alkhoir Islamic Homeschooling </t>
  </si>
  <si>
    <t>1Q_TZ5jLCTVIGI-ioQ2pxy2menmasCg5IC9yQIm-5OTA</t>
  </si>
  <si>
    <t>https://docs.google.com/document/d/1Q_TZ5jLCTVIGI-ioQ2pxy2menmasCg5IC9yQIm-5OTA/edit?usp=drivesdk</t>
  </si>
  <si>
    <t>Document successfully created; Document successfully merged; Run via form trigger as kemal.stafsus@gmail.com; Timestamp: Aug 7 2025 7:55 PM</t>
  </si>
  <si>
    <t>https://drive.google.com/open?id=1KJncVM2RDH74ZfZCvQhYvshF7ISIs9ci</t>
  </si>
  <si>
    <t>https://drive.google.com/uc?export=view&amp;id=1KJncVM2RDH74ZfZCvQhYvshF7ISIs9ci</t>
  </si>
  <si>
    <t>Ahmad Molpin Nazir, S.Ag.</t>
  </si>
  <si>
    <t>085591909167</t>
  </si>
  <si>
    <t>5201080203960002</t>
  </si>
  <si>
    <t xml:space="preserve">Jln.Rasamala 2, Utan Kayu, Jakarta Timur </t>
  </si>
  <si>
    <t xml:space="preserve">Bengkel, Lombok Barat, Nusa Tenggara Barat </t>
  </si>
  <si>
    <t>02-03-1996</t>
  </si>
  <si>
    <t>29 thn</t>
  </si>
  <si>
    <t xml:space="preserve">STAI Jakarta </t>
  </si>
  <si>
    <t xml:space="preserve">Ilmu Al Qur'an dan Tafsir </t>
  </si>
  <si>
    <t xml:space="preserve">Dalam bidang Al Qur'an </t>
  </si>
  <si>
    <t>3-4 juta</t>
  </si>
  <si>
    <t xml:space="preserve">Pelajaran sejarah </t>
  </si>
  <si>
    <t>ahmadnadzier7@gmail.com</t>
  </si>
  <si>
    <t>1t37vklcuOkIH7JcUaRGBf0xQnVpxbesSu0yUD9tuPbU</t>
  </si>
  <si>
    <t>https://docs.google.com/document/d/1t37vklcuOkIH7JcUaRGBf0xQnVpxbesSu0yUD9tuPbU/edit?usp=drivesdk</t>
  </si>
  <si>
    <t>Document successfully created; Document successfully merged; Run via form trigger as kemal.stafsus@gmail.com; Timestamp: Aug 8 2025 2:07 AM</t>
  </si>
  <si>
    <t>https://drive.google.com/open?id=1r9ey3bfGP8CP77pxdt-jsmF5ERyjfwaf</t>
  </si>
  <si>
    <t>https://drive.google.com/uc?export=view&amp;id=1r9ey3bfGP8CP77pxdt-jsmF5ERyjfwaf</t>
  </si>
  <si>
    <t xml:space="preserve">Ihab seiamjee </t>
  </si>
  <si>
    <t>081299542459</t>
  </si>
  <si>
    <t>N 016623873</t>
  </si>
  <si>
    <t xml:space="preserve">Jakarta kelapa Gading </t>
  </si>
  <si>
    <t xml:space="preserve">Syrian Damascus </t>
  </si>
  <si>
    <t>21/04/1965</t>
  </si>
  <si>
    <t>siamji123456@gmail.com</t>
  </si>
  <si>
    <t>18D5dk1EjBmy-WwPQUoBfjaP3OxQn_wNKvyw5cFNpcPc</t>
  </si>
  <si>
    <t>https://docs.google.com/document/d/18D5dk1EjBmy-WwPQUoBfjaP3OxQn_wNKvyw5cFNpcPc/edit?usp=drivesdk</t>
  </si>
  <si>
    <t>Document successfully created; Document successfully merged; Run via form trigger as kemal.stafsus@gmail.com; Timestamp: Aug 11 2025 11:44 PM</t>
  </si>
  <si>
    <t>https://drive.google.com/open?id=1f6LhwhUjMJu7FQgb5J0UTQK1m0_FBJh8</t>
  </si>
  <si>
    <t>https://drive.google.com/uc?export=view&amp;id=1f6LhwhUjMJu7FQgb5J0UTQK1m0_FBJh8</t>
  </si>
  <si>
    <t>YUSUF PRATAMA PUTRA, S.T., M.Si</t>
  </si>
  <si>
    <t>087877237105</t>
  </si>
  <si>
    <t>3471132212940003</t>
  </si>
  <si>
    <t>Perumahan PPH 2 Blok A69, Kab. Subang</t>
  </si>
  <si>
    <t>22-12-1994</t>
  </si>
  <si>
    <t>Ilmu Lingkungan</t>
  </si>
  <si>
    <t xml:space="preserve">Asyifa Khoeriyah </t>
  </si>
  <si>
    <t>Brightchamps</t>
  </si>
  <si>
    <t>Ruang Guru</t>
  </si>
  <si>
    <t>yusufpratamaputra944@gmail.com</t>
  </si>
  <si>
    <t>1xuHTaXgJBrGa8QLPnKWINCsCiUDvnT77tELL3W2IUDc</t>
  </si>
  <si>
    <t>https://docs.google.com/document/d/1xuHTaXgJBrGa8QLPnKWINCsCiUDvnT77tELL3W2IUDc/edit?usp=drivesdk</t>
  </si>
  <si>
    <t>Document successfully created; Document successfully merged; Run via form trigger as kemal.stafsus@gmail.com; Timestamp: Aug 12 2025 10:44 AM</t>
  </si>
  <si>
    <t>https://drive.google.com/open?id=1vh0AUUYptF-fJtcrZ8Ldwt8y9SZ6te9U</t>
  </si>
  <si>
    <t>https://drive.google.com/uc?export=view&amp;id=1vh0AUUYptF-fJtcrZ8Ldwt8y9SZ6te9U</t>
  </si>
  <si>
    <t>Syifa Sabriyani, S.Pd.</t>
  </si>
  <si>
    <t>081529432008</t>
  </si>
  <si>
    <t>5204086512020002</t>
  </si>
  <si>
    <t>Telaga Waru, Labu Api</t>
  </si>
  <si>
    <t>25-12-2002</t>
  </si>
  <si>
    <t>Guru (Math in English, Matematika, English) di Aishaa Learning Center</t>
  </si>
  <si>
    <t>005201035451534</t>
  </si>
  <si>
    <t>syifasabriyanii@gmail.com</t>
  </si>
  <si>
    <t>1wgx9WRZ21B7nETXgU-yUj7dEhHFwsfCP5PbNzuUCWJM</t>
  </si>
  <si>
    <t>https://docs.google.com/document/d/1wgx9WRZ21B7nETXgU-yUj7dEhHFwsfCP5PbNzuUCWJM/edit?usp=drivesdk</t>
  </si>
  <si>
    <t>Document successfully created; Document successfully merged; Run via form trigger as kemal.stafsus@gmail.com; Timestamp: Aug 26 2025 9:08 PM</t>
  </si>
  <si>
    <t>https://drive.google.com/open?id=1NKAz_m3pfZx6wNcUBNGHltxNYzWSXbxd</t>
  </si>
  <si>
    <t>https://drive.google.com/uc?export=view&amp;id=1NKAz_m3pfZx6wNcUBNGHltxNYzWSXbxd</t>
  </si>
  <si>
    <t>Shahia Hasna Zahirah Cindary, S.Gz</t>
  </si>
  <si>
    <t>+6285285467121</t>
  </si>
  <si>
    <t>3216026212010001</t>
  </si>
  <si>
    <t>Pondok Babelan Indah, Jln. Merdeka II, blok A no. 229, RT 01 RW 08, KAB. BEKASI, BABELAN, JAWA BARAT, ID, 17610</t>
  </si>
  <si>
    <t>22-12-2001</t>
  </si>
  <si>
    <t>Science, Math, English</t>
  </si>
  <si>
    <t>Ilmu Gizi</t>
  </si>
  <si>
    <t>Private Home Visit Teacher - Albata</t>
  </si>
  <si>
    <t>1.000.000 (dalam 1 term dengan rincian 8 pertemuan, 1 pertemuan 1 jam)</t>
  </si>
  <si>
    <t>Nutritionist Consultant - SIRKA</t>
  </si>
  <si>
    <t>250.000 per hari in total dalam 1 bulan 6.000.000</t>
  </si>
  <si>
    <t>47.5</t>
  </si>
  <si>
    <t>shahiahasnazahirahc@gmail.com</t>
  </si>
  <si>
    <t>1QN3dRNv0EOTIRc-Ibir4dsJufcu91DKZ3zeQB0jcVmI</t>
  </si>
  <si>
    <t>https://docs.google.com/document/d/1QN3dRNv0EOTIRc-Ibir4dsJufcu91DKZ3zeQB0jcVmI/edit?usp=drivesdk</t>
  </si>
  <si>
    <t>Document successfully created; Document successfully merged; Run via form trigger as kemal.stafsus@gmail.com; Timestamp: Sep 9 2025 9:10 AM</t>
  </si>
  <si>
    <t>https://drive.google.com/open?id=1Tugaxa8rfbfzuANBIX8x8Iy2EVkho82l</t>
  </si>
  <si>
    <t>https://drive.google.com/uc?export=view&amp;id=1Tugaxa8rfbfzuANBIX8x8Iy2EVkho82l</t>
  </si>
  <si>
    <t>Muhamad Ardhy Haidar Alhaq, S.Pd.</t>
  </si>
  <si>
    <t>085156195902</t>
  </si>
  <si>
    <t>3173061505920003</t>
  </si>
  <si>
    <t>Gg. Alpukat, Jl. Sumatera, Jombang, Ciputat, Tangerang Selatan</t>
  </si>
  <si>
    <t>33, 4</t>
  </si>
  <si>
    <t>Tematik SD</t>
  </si>
  <si>
    <t>Universitas Muhammadiyah Prof. DR. Hamka</t>
  </si>
  <si>
    <t>SD Islam Abu Dzar sebagai Guru Umum/Tematik dan Halaqoh</t>
  </si>
  <si>
    <t>Kuttab Al Ashlein sebagai Guru Umum/Tematik dan Halaqoh</t>
  </si>
  <si>
    <t>muhardhyofficial@gmail.com</t>
  </si>
  <si>
    <t>1OwDrH5CxveonVeroWmxY0K4bJGuVJ7yBrqR4KladD0Y</t>
  </si>
  <si>
    <t>https://docs.google.com/document/d/1OwDrH5CxveonVeroWmxY0K4bJGuVJ7yBrqR4KladD0Y/edit?usp=drivesdk</t>
  </si>
  <si>
    <t>Document successfully created; Document successfully merged; Run via form trigger as kemal.stafsus@gmail.com; Timestamp: Sep 18 2025 5:36 AM</t>
  </si>
  <si>
    <t>https://drive.google.com/open?id=1bKqAJuVfnHpYoUXUaKtWRFi3EYDdapyC</t>
  </si>
  <si>
    <t>https://drive.google.com/uc?export=view&amp;id=1bKqAJuVfnHpYoUXUaKtWRFi3EYDdapyC</t>
  </si>
  <si>
    <t>MOCHAMAD FAUJAN NUR AKBAR, S. PD., AIFO-P</t>
  </si>
  <si>
    <t>08988221206</t>
  </si>
  <si>
    <t>3271042205000006</t>
  </si>
  <si>
    <t>Pondok Suryakancana Blok B.2 No.7 Rt.Rw 001.010</t>
  </si>
  <si>
    <t>22-05-2000</t>
  </si>
  <si>
    <t>S1 Pendidikan Kepelatihan Olahraga</t>
  </si>
  <si>
    <t>SMK TELKOM JAKARTA</t>
  </si>
  <si>
    <t>MOCHAMAD FAUJAN NUR
Bank Mandiri
1330027926930</t>
  </si>
  <si>
    <t>fjnkbr@gmail.com</t>
  </si>
  <si>
    <t>1H92QFcbrGHCzHgWyx-qlr-ZKgZ-oRP8UgaLM4RKbvb8</t>
  </si>
  <si>
    <t>https://docs.google.com/document/d/1H92QFcbrGHCzHgWyx-qlr-ZKgZ-oRP8UgaLM4RKbvb8/edit?usp=drivesdk</t>
  </si>
  <si>
    <t>Document successfully created; Document successfully merged; Run via form trigger as kemal.stafsus@gmail.com; Timestamp: Sep 18 2025 11:27 PM</t>
  </si>
  <si>
    <t>https://drive.google.com/open?id=1STav8Sqc0ztV41QRYHpcSORY3YC7_YQQ</t>
  </si>
  <si>
    <t>https://drive.google.com/uc?export=view&amp;id=1STav8Sqc0ztV41QRYHpcSORY3YC7_YQQ</t>
  </si>
  <si>
    <t>Nabila Ardelia Az Zahra, S.Pd.</t>
  </si>
  <si>
    <t>089658430399</t>
  </si>
  <si>
    <t>3275015206000028</t>
  </si>
  <si>
    <t>Jalan pulau timor 2 no.50, Rt05/Rw09, Perumnas 3, Aren jaya, Bekasi Timur</t>
  </si>
  <si>
    <t xml:space="preserve">Tutor Freelance Bahasa Indonesia dan TKP di Patriot Muda </t>
  </si>
  <si>
    <t>Tutor Freelance Bahasa Indonesia dan TKP di Asia Digital</t>
  </si>
  <si>
    <t xml:space="preserve">Tutor Bahasa Indonesia di Genza </t>
  </si>
  <si>
    <t>nabilaardelia47@gmail.com</t>
  </si>
  <si>
    <t>1xQdn1bA4p7u4gBPgZNJQC7zAdkrcKdzpxCT9Uy0x8IU</t>
  </si>
  <si>
    <t>https://docs.google.com/document/d/1xQdn1bA4p7u4gBPgZNJQC7zAdkrcKdzpxCT9Uy0x8IU/edit?usp=drivesdk</t>
  </si>
  <si>
    <t>Document successfully created; Document successfully merged; Run via form trigger as kemal.stafsus@gmail.com; Timestamp: Sep 20 2025 12:53 AM</t>
  </si>
  <si>
    <t>https://drive.google.com/open?id=1J34c3EqaYG6ZGA0d_2N1_xRMx4b-ZyRl</t>
  </si>
  <si>
    <t>https://drive.google.com/uc?export=view&amp;id=1J34c3EqaYG6ZGA0d_2N1_xRMx4b-ZyRl</t>
  </si>
  <si>
    <t>Gazwan Firdaus, S.Pd</t>
  </si>
  <si>
    <t>081334855294</t>
  </si>
  <si>
    <t>5271061806990005</t>
  </si>
  <si>
    <t>Jln. Gora Link.I Nyangget Selagalas Mataram.</t>
  </si>
  <si>
    <t xml:space="preserve">Mataram, </t>
  </si>
  <si>
    <t>18-06-1999</t>
  </si>
  <si>
    <t xml:space="preserve">26 Tahun 3 bulan </t>
  </si>
  <si>
    <t xml:space="preserve">Ma'had Ar Rahmah </t>
  </si>
  <si>
    <t xml:space="preserve">Ma'had Imam Asy-Syafi'i Balikpapan </t>
  </si>
  <si>
    <t>gazwanfirdaus@gmail.com</t>
  </si>
  <si>
    <t>1x1-dOT3S29zObGZQeqmEt0igCCfdezhUS_d1o2y93r0</t>
  </si>
  <si>
    <t>https://docs.google.com/document/d/1x1-dOT3S29zObGZQeqmEt0igCCfdezhUS_d1o2y93r0/edit?usp=drivesdk</t>
  </si>
  <si>
    <t>Document successfully created; Document successfully merged; Run via form trigger as kemal.stafsus@gmail.com; Timestamp: Sep 27 2025 7:56 AM</t>
  </si>
  <si>
    <t>https://drive.google.com/open?id=1Zv4i5SCBMuOix-F6Iat3bcg7JkLufR6q</t>
  </si>
  <si>
    <t>https://drive.google.com/uc?export=view&amp;id=1Zv4i5SCBMuOix-F6Iat3bcg7JkLufR6q</t>
  </si>
  <si>
    <t>Salma Nurintan Savira, S.P.</t>
  </si>
  <si>
    <t>0895336875556</t>
  </si>
  <si>
    <t>3277035908010011</t>
  </si>
  <si>
    <t>Jl. Bromo II Blok D2 No.9, Jombang, Kec. Ciputat, Kota Tangerang Selatan, Banten, 15414</t>
  </si>
  <si>
    <t>19/08/2001</t>
  </si>
  <si>
    <t>PTS - Universitas Muhammadiyah Jakarta</t>
  </si>
  <si>
    <t>Agroteknologi</t>
  </si>
  <si>
    <t>English First (EF) - English Teacher</t>
  </si>
  <si>
    <t>English Academy by Ruangguru - Master Teacher Coach</t>
  </si>
  <si>
    <t>6.300.000 - 7.000.000</t>
  </si>
  <si>
    <t>BCA A/N Salma Nurintan Savira</t>
  </si>
  <si>
    <t>intan.nur.intan19@gmail.com</t>
  </si>
  <si>
    <t>18vSvKX8MlvPqehul7mMZNZKQnRgUbJCcNEVWrcDilVs</t>
  </si>
  <si>
    <t>https://docs.google.com/document/d/18vSvKX8MlvPqehul7mMZNZKQnRgUbJCcNEVWrcDilVs/edit?usp=drivesdk</t>
  </si>
  <si>
    <t>Document successfully created; Document successfully merged; Run via form trigger as kemal.stafsus@gmail.com; Timestamp: Sep 29 2025 2:38 AM</t>
  </si>
  <si>
    <t>https://drive.google.com/open?id=1SFivxXLGb8fG6WZK_m7T5B8UzNIOZbA5</t>
  </si>
  <si>
    <t>https://drive.google.com/uc?export=view&amp;id=1SFivxXLGb8fG6WZK_m7T5B8UzNIOZbA5</t>
  </si>
  <si>
    <t>Indriani Dewi Trisnawati, S.Si., M.Pd.</t>
  </si>
  <si>
    <t>085773775310</t>
  </si>
  <si>
    <t>3175094311940003</t>
  </si>
  <si>
    <t>Griya Suradita Indah Blok H8 No.24, Cisauk, Tangerang</t>
  </si>
  <si>
    <t>03-11-1994</t>
  </si>
  <si>
    <t>Science (Primary School) or Biology (Senior High School)</t>
  </si>
  <si>
    <t>Guru Biologi dan Kimia</t>
  </si>
  <si>
    <t>Wakil Kepala Sekolah Kurikulum &amp; Kesiswaan, Guru Science, Math, English (Kurikulum Cambridge) &amp; Guru Kurikulum Dinas</t>
  </si>
  <si>
    <t>Rp 5.000.000 - Rp 7.000.000</t>
  </si>
  <si>
    <t>Lebih dari Rp 7.000.000</t>
  </si>
  <si>
    <t>0264982315</t>
  </si>
  <si>
    <t>indrianidewi9@gmail.com</t>
  </si>
  <si>
    <t>11FOe4QuOZo5o7dko6CftrkFkXIVRYozgRgqL3SjTo6A</t>
  </si>
  <si>
    <t>https://docs.google.com/document/d/11FOe4QuOZo5o7dko6CftrkFkXIVRYozgRgqL3SjTo6A/edit?usp=drivesdk</t>
  </si>
  <si>
    <t>Document successfully created; Document successfully merged; Run via form trigger as kemal.stafsus@gmail.com; Timestamp: Oct 4 2025 11:52 PM</t>
  </si>
  <si>
    <t>https://drive.google.com/open?id=140eRNVTZSktnosVTaJ80m408HlIkqPjp</t>
  </si>
  <si>
    <t>https://drive.google.com/uc?export=view&amp;id=140eRNVTZSktnosVTaJ80m408HlIkqPjp</t>
  </si>
  <si>
    <t>Azhura Nabila Febda Kurnia, S.Si., M.Sc</t>
  </si>
  <si>
    <t>0895355317812</t>
  </si>
  <si>
    <t>3201024309970007</t>
  </si>
  <si>
    <t>Bumi Mutiara Blok JF 7/13, Bojong Kulur, Gunung Putri, Bogor</t>
  </si>
  <si>
    <t>03-09-1997</t>
  </si>
  <si>
    <t>Yildiz Technical University, Turkiye</t>
  </si>
  <si>
    <t>Statistika</t>
  </si>
  <si>
    <t>Baby Sitter dan mengajar anak bahasa inggris</t>
  </si>
  <si>
    <t>Staff Taratak Restaurant Istanbul, Turkiye</t>
  </si>
  <si>
    <t>azhuranabila97@gmail.com</t>
  </si>
  <si>
    <t>1GogGrJzbxxhnyvZZzyLnaOqJvNdTxZNYi5wG2HV3PYA</t>
  </si>
  <si>
    <t>https://docs.google.com/document/d/1GogGrJzbxxhnyvZZzyLnaOqJvNdTxZNYi5wG2HV3PYA/edit?usp=drivesdk</t>
  </si>
  <si>
    <t>Document successfully created; Document successfully merged; Run via form trigger as kemal.stafsus@gmail.com; Timestamp: Oct 6 2025 8:51 PM</t>
  </si>
  <si>
    <t>https://drive.google.com/open?id=1UX2Le9D1I6d7XW5sBxlbBf8NX38baWG5</t>
  </si>
  <si>
    <t>https://drive.google.com/uc?export=view&amp;id=1UX2Le9D1I6d7XW5sBxlbBf8NX38baWG5</t>
  </si>
  <si>
    <t>Teguh Iman Perdana, B.Sc., M.Sc.</t>
  </si>
  <si>
    <t>081319225801</t>
  </si>
  <si>
    <t>7204071612980003</t>
  </si>
  <si>
    <t>Tolitoli, Sulawesi Tengah</t>
  </si>
  <si>
    <t>16-12-1998</t>
  </si>
  <si>
    <t>Universitas Gadjah Mada - Kanazawa University</t>
  </si>
  <si>
    <t>Laboran di UGM - saat ini</t>
  </si>
  <si>
    <t>Guru Privat IELTS dan Fisika (online) - saat ini</t>
  </si>
  <si>
    <t>Cleaning service hotel (part-time) - saat di Kanazawa</t>
  </si>
  <si>
    <t>teguh.i@mail.ugm.ac.id</t>
  </si>
  <si>
    <t>1IAv3D18TXeFXF3MH8vzxOkM-07i0dFqscL61EAiWO3Q</t>
  </si>
  <si>
    <t>https://docs.google.com/document/d/1IAv3D18TXeFXF3MH8vzxOkM-07i0dFqscL61EAiWO3Q/edit?usp=drivesdk</t>
  </si>
  <si>
    <t>Document successfully created; Document successfully merged; Run via form trigger as kemal.stafsus@gmail.com; Timestamp: Oct 6 2025 9:40 PM</t>
  </si>
  <si>
    <t>https://drive.google.com/open?id=1ibfxOi5FZFhNqPfBWhpbUznk5wMcGQFK</t>
  </si>
  <si>
    <t>https://drive.google.com/uc?export=view&amp;id=1ibfxOi5FZFhNqPfBWhpbUznk5wMcGQFK</t>
  </si>
  <si>
    <t>Uswah Zilhaya, S. Si., M.Si</t>
  </si>
  <si>
    <t>082172142239</t>
  </si>
  <si>
    <t>06074407020003</t>
  </si>
  <si>
    <t>Pamulang Timur, Kota Tangerang Selatan</t>
  </si>
  <si>
    <t>Agam</t>
  </si>
  <si>
    <t>04/07/2002</t>
  </si>
  <si>
    <t>Universitas Syiah Kuala</t>
  </si>
  <si>
    <t>Bimbingan Belajar Sony Sugema College (Freelance)</t>
  </si>
  <si>
    <t>SMP IT Nurul Ishlah - Banda Aceh</t>
  </si>
  <si>
    <t>Asisten Laboratorium - Universitas Syiah Kuala</t>
  </si>
  <si>
    <t>uswahzilhaya04@gmail.com</t>
  </si>
  <si>
    <t>1sjvvQCOoj_xatj0VIElCRd2EzkBNm6aJSZWbZgfrDXs</t>
  </si>
  <si>
    <t>https://docs.google.com/document/d/1sjvvQCOoj_xatj0VIElCRd2EzkBNm6aJSZWbZgfrDXs/edit?usp=drivesdk</t>
  </si>
  <si>
    <t>Document successfully created; Document successfully merged; Run via form trigger as kemal.stafsus@gmail.com; Timestamp: Oct 6 2025 10:08 PM</t>
  </si>
  <si>
    <t>https://drive.google.com/open?id=1fQ4Ba8hZvrRC_q3Ob9HyyuwxqR58feoS</t>
  </si>
  <si>
    <t>https://drive.google.com/uc?export=view&amp;id=1fQ4Ba8hZvrRC_q3Ob9HyyuwxqR58feoS</t>
  </si>
  <si>
    <t>Febiola Paquita Bakri, S.Pd., M.Pd</t>
  </si>
  <si>
    <t>085770311138</t>
  </si>
  <si>
    <t>3275035007980014</t>
  </si>
  <si>
    <t>Jl. Waru II No. 59, Pamulang Barat, Pamulang, Tangerang Selatan</t>
  </si>
  <si>
    <t>10-07-1998</t>
  </si>
  <si>
    <t>PENDIDIKAN FISIKA</t>
  </si>
  <si>
    <t>SMA PGRI 1 BEKASI</t>
  </si>
  <si>
    <t>SMAIT AULADY</t>
  </si>
  <si>
    <t>febiolapaquitabakri@gmail.com</t>
  </si>
  <si>
    <t>1Sg7c3o7SgSI11Jde4s9Zla5RvTOAwuSuRz8KL56yXQA</t>
  </si>
  <si>
    <t>https://docs.google.com/document/d/1Sg7c3o7SgSI11Jde4s9Zla5RvTOAwuSuRz8KL56yXQA/edit?usp=drivesdk</t>
  </si>
  <si>
    <t>Document successfully created; Document successfully merged; Run via form trigger as kemal.stafsus@gmail.com; Timestamp: Oct 7 2025 3:11 AM</t>
  </si>
  <si>
    <t>https://drive.google.com/open?id=1qLuewM2fTMlJDyY4Mb0y4XxRdXCFWAag</t>
  </si>
  <si>
    <t>https://drive.google.com/uc?export=view&amp;id=1qLuewM2fTMlJDyY4Mb0y4XxRdXCFWAag</t>
  </si>
  <si>
    <t>Abdul Qawy Attamimi, Lc.</t>
  </si>
  <si>
    <t>085117562656</t>
  </si>
  <si>
    <t>8171012307980006</t>
  </si>
  <si>
    <t>jl. Condet baru no.B/16, rt.17/rw.3, Batu Ampar, Kec. Kramat Jati, Jakarta Timur</t>
  </si>
  <si>
    <t>Ambon</t>
  </si>
  <si>
    <t>23-07-1998</t>
  </si>
  <si>
    <t>gawya21@gmail.com</t>
  </si>
  <si>
    <t>1uTpyIxave6OwQYmtWxxecgP8mMgapt0-LB5DhisvLH8</t>
  </si>
  <si>
    <t>https://docs.google.com/document/d/1uTpyIxave6OwQYmtWxxecgP8mMgapt0-LB5DhisvLH8/edit?usp=drivesdk</t>
  </si>
  <si>
    <t>Document successfully created; Document successfully merged; Run via form trigger as kemal.stafsus@gmail.com; Timestamp: Oct 8 2025 1:59 PM</t>
  </si>
  <si>
    <t>https://drive.google.com/open?id=1YGnzZzBfuBW11rhtAonSTDQoXKTgq3YQ</t>
  </si>
  <si>
    <t>https://drive.google.com/uc?export=view&amp;id=1YGnzZzBfuBW11rhtAonSTDQoXKTgq3YQ</t>
  </si>
  <si>
    <t>Muhammad Ziaulhaq.S.Pd.M.Pd.</t>
  </si>
  <si>
    <t>085225917321</t>
  </si>
  <si>
    <t>5272052209930001</t>
  </si>
  <si>
    <t>Jln H Gandun Jakarta Selatan</t>
  </si>
  <si>
    <t>22-09-1993</t>
  </si>
  <si>
    <t>Universitas Islam Negeri Alauddin Makassar</t>
  </si>
  <si>
    <t>Univeraitas Negeri Makassar</t>
  </si>
  <si>
    <t>Karyawan PT Dian Nugraha (Staf) Tahun 2015</t>
  </si>
  <si>
    <t>Rp. 2.404.500.-</t>
  </si>
  <si>
    <t>Asisten Profesor (Mengajar) dan Asisten Penelitian.</t>
  </si>
  <si>
    <t>Rp. 4.700.000.-</t>
  </si>
  <si>
    <t>Dosen Tetap Yayasa dengan Tugas Tambahan Humas Protokoler dan Bidang Kerja Sama.</t>
  </si>
  <si>
    <t>Rp. 6.820.000.-</t>
  </si>
  <si>
    <t>Berdasarkan kualifikasi pendidikan S2 dengan pengalaman sebagai Dosen Tetap Yayasan, serta tugas tambahan di bidang Humas, Protokoler, dan Kerja sama, saya mengharapkan gaji di kisaran Rp 8.700.000.- –10.000.000.- juta per bulan.</t>
  </si>
  <si>
    <t>0306613896</t>
  </si>
  <si>
    <t>Bank Negara Indonesia (BNI)</t>
  </si>
  <si>
    <t>Uzihad78@gmail.com</t>
  </si>
  <si>
    <t>1HgnqEfSpoC32-KUxvBx42YLrS6WkD-Mv19F4jElZizs</t>
  </si>
  <si>
    <t>https://docs.google.com/document/d/1HgnqEfSpoC32-KUxvBx42YLrS6WkD-Mv19F4jElZizs/edit?usp=drivesdk</t>
  </si>
  <si>
    <t>Document successfully created; Document successfully merged; Run via form trigger as kemal.stafsus@gmail.com; Timestamp: Oct 12 2025 1:38 AM</t>
  </si>
  <si>
    <t>https://drive.google.com/open?id=14t0oph4uWKiMJ4zi3gYHz674nFFt0DYK</t>
  </si>
  <si>
    <t>https://drive.google.com/uc?export=view&amp;id=14t0oph4uWKiMJ4zi3gYHz674nFFt0DYK</t>
  </si>
  <si>
    <t>Lidya, S.Pd</t>
  </si>
  <si>
    <t>085783436266</t>
  </si>
  <si>
    <t>3671115111980007</t>
  </si>
  <si>
    <t>jalan h rasuna said no. 1 rt/rw 002/002 pakojan pinang Kota Tangerang</t>
  </si>
  <si>
    <t>Penjaskes</t>
  </si>
  <si>
    <t>Pendidikan Olahraga</t>
  </si>
  <si>
    <t>Guru Penjas Al Azhar BSD</t>
  </si>
  <si>
    <t>Club Beavers Basketball Jakarta</t>
  </si>
  <si>
    <t>lidya3816@gmail.com</t>
  </si>
  <si>
    <t>1ni_84SIB9sYDdt563BTRsfsauRb-_MqBnurM6iFRduQ</t>
  </si>
  <si>
    <t>https://docs.google.com/document/d/1ni_84SIB9sYDdt563BTRsfsauRb-_MqBnurM6iFRduQ/edit?usp=drivesdk</t>
  </si>
  <si>
    <t>Document successfully created; Document successfully merged; Run via form trigger as kemal.stafsus@gmail.com; Timestamp: Oct 16 2025 1:37 AM</t>
  </si>
  <si>
    <t>https://drive.google.com/open?id=1zPFbckdSYoP-DwEHmsbmZWzCYvRDbbHJ</t>
  </si>
  <si>
    <t>https://drive.google.com/uc?export=view&amp;id=1zPFbckdSYoP-DwEHmsbmZWzCYvRDbbHJ</t>
  </si>
  <si>
    <t>Didik Pratama, S.Pd.</t>
  </si>
  <si>
    <t>087816450964</t>
  </si>
  <si>
    <t>5201032301000001</t>
  </si>
  <si>
    <t>Dusun Saba Lendang, Ds. Keru, Kec. Narmada, Kab. Lombok Barat, Nusa Tenggara Barat</t>
  </si>
  <si>
    <t>Saba Lendang</t>
  </si>
  <si>
    <t>23 Januari 2000</t>
  </si>
  <si>
    <t>25 Tahun 10 Bulan</t>
  </si>
  <si>
    <t>Science and English</t>
  </si>
  <si>
    <t xml:space="preserve">SMAIT Anak Sholeh Mataram </t>
  </si>
  <si>
    <t>&lt;1.500.000</t>
  </si>
  <si>
    <t>Titik Nol English Course, Kampung Inggris Pare Kediri, Jawa Timur (Online)</t>
  </si>
  <si>
    <t>&lt;500.000 - 550.000</t>
  </si>
  <si>
    <t>Bimbel Fardu Mathematics Course (FMC)</t>
  </si>
  <si>
    <t>&lt; 100.000</t>
  </si>
  <si>
    <t>3.000.000 - 3.500.000</t>
  </si>
  <si>
    <t>didikpratama.didik2000@gmail.com</t>
  </si>
  <si>
    <t>1H7g6-8vwm49CIRq3c__n1M2y5jI6K09sYS_9_6NEm6Q</t>
  </si>
  <si>
    <t>https://docs.google.com/document/d/1H7g6-8vwm49CIRq3c__n1M2y5jI6K09sYS_9_6NEm6Q/edit?usp=drivesdk</t>
  </si>
  <si>
    <t>Document successfully created; Document successfully merged; Run via form trigger as kemal.stafsus@gmail.com; Timestamp: Oct 30 2025 4:01 AM</t>
  </si>
  <si>
    <t>https://drive.google.com/open?id=1zxPIcJNOwS5DBwUGQBnZIU7SjGDyRIYh</t>
  </si>
  <si>
    <t>https://drive.google.com/uc?export=view&amp;id=1zxPIcJNOwS5DBwUGQBnZIU7SjGDyRIYh</t>
  </si>
  <si>
    <t>26 tahun 11 hari</t>
  </si>
  <si>
    <t>Science - Physics</t>
  </si>
  <si>
    <t>Al-Wildan Islamic School 12 Bekasi</t>
  </si>
  <si>
    <t>1LZ2LPyjcwFOyk4fBoofXHsNBltYM2rAtepA1BGxI3Mw</t>
  </si>
  <si>
    <t>https://docs.google.com/document/d/1LZ2LPyjcwFOyk4fBoofXHsNBltYM2rAtepA1BGxI3Mw/edit?usp=drivesdk</t>
  </si>
  <si>
    <t>Document successfully created; Document successfully merged; Run via form trigger as kemal.stafsus@gmail.com; Timestamp: Oct 31 2025 9:11 AM</t>
  </si>
  <si>
    <t>https://drive.google.com/open?id=1FeAUPD-ptK5D4tWj-twhdNogy_8PelWe</t>
  </si>
  <si>
    <t>https://drive.google.com/uc?export=view&amp;id=1FeAUPD-ptK5D4tWj-twhdNogy_8PelWe</t>
  </si>
  <si>
    <t>Raudhatul Hanifah, S.Or, Gr, M.Pd</t>
  </si>
  <si>
    <t>082246931970</t>
  </si>
  <si>
    <t>1307094504970001</t>
  </si>
  <si>
    <t xml:space="preserve">Kota Padang
</t>
  </si>
  <si>
    <t>Lima Puluh Kota</t>
  </si>
  <si>
    <t>05-04-1997</t>
  </si>
  <si>
    <t xml:space="preserve">Guru Olahraga / Penjaskes </t>
  </si>
  <si>
    <t xml:space="preserve">Ilmu Keolahragaan </t>
  </si>
  <si>
    <t xml:space="preserve">Pendidikan Olahraga </t>
  </si>
  <si>
    <t>Asisten Dosen dan melatih bolavoli</t>
  </si>
  <si>
    <t>raudhatulhanifah1997@gmail.com</t>
  </si>
  <si>
    <t>1eS4EU_wNWsxoG6TfRsjJAoD8L59M4T3uRBkB5UGmR24</t>
  </si>
  <si>
    <t>https://docs.google.com/document/d/1eS4EU_wNWsxoG6TfRsjJAoD8L59M4T3uRBkB5UGmR24/edit?usp=drivesdk</t>
  </si>
  <si>
    <t>Document successfully created; Document successfully merged; Run via form trigger as kemal.stafsus@gmail.com; Timestamp: Nov 4 2025 2:12 AM</t>
  </si>
  <si>
    <t>https://drive.google.com/open?id=1xEn6B_N4bArrEpCTQMeYe3DtAcbLsu-L</t>
  </si>
  <si>
    <t>https://drive.google.com/uc?export=view&amp;id=1xEn6B_N4bArrEpCTQMeYe3DtAcbLsu-L</t>
  </si>
  <si>
    <t>Burhanuddin, S.Pd.</t>
  </si>
  <si>
    <t>+6285280490533</t>
  </si>
  <si>
    <t>1603070910020006</t>
  </si>
  <si>
    <t>AL-WILDAN Islamic School 3 BSD City. Jl. Ciater Raya No.48, RW. Mekar Jaya, Kec. Serpong, Kota Tangerang Selatan, Banten</t>
  </si>
  <si>
    <t>Tanjung Enim</t>
  </si>
  <si>
    <t>PTN - STIT AT-TAQWA Bandung</t>
  </si>
  <si>
    <t>S1 Pendidikan Agama Islam</t>
  </si>
  <si>
    <t>burhanuddins0910@gmail.com</t>
  </si>
  <si>
    <t>1yQ3Ux0e3iV2YaB9fJIKxeKDkyS8g2Iywl5I-L5wMIRk</t>
  </si>
  <si>
    <t>https://docs.google.com/document/d/1yQ3Ux0e3iV2YaB9fJIKxeKDkyS8g2Iywl5I-L5wMIRk/edit?usp=drivesdk</t>
  </si>
  <si>
    <t>Document successfully created; Document successfully merged; Run via form trigger as kemal.stafsus@gmail.com; Timestamp: Nov 8 2025 10:09 PM</t>
  </si>
  <si>
    <t>https://drive.google.com/open?id=1DGlUrMdW3sWzw2HYxDWl2Uy9iRXX85IT</t>
  </si>
  <si>
    <t>https://drive.google.com/uc?export=view&amp;id=1DGlUrMdW3sWzw2HYxDWl2Uy9iRXX85IT</t>
  </si>
  <si>
    <t>Shelini, S.Pd, Gr.</t>
  </si>
  <si>
    <t>087841355814</t>
  </si>
  <si>
    <t>7306024112000005</t>
  </si>
  <si>
    <t>Jl. Maradekaya Coring, Kel. Kalebajeng, Kec. Bajeng, Kab. Gowa</t>
  </si>
  <si>
    <t>01-12-2000</t>
  </si>
  <si>
    <t>Pendidikan IPA Bilingual (International Class Program)</t>
  </si>
  <si>
    <t>Asisten laboratorium</t>
  </si>
  <si>
    <t>Guru Science</t>
  </si>
  <si>
    <t xml:space="preserve">Tentor Les Privat </t>
  </si>
  <si>
    <t>shelini.asdiya@gmail.com</t>
  </si>
  <si>
    <t>1O0n2PHKj4hL_3eHuknOCnYQLQL7B129_60nXUr15HTk</t>
  </si>
  <si>
    <t>https://docs.google.com/document/d/1O0n2PHKj4hL_3eHuknOCnYQLQL7B129_60nXUr15HTk/edit?usp=drivesdk</t>
  </si>
  <si>
    <t>Document successfully created; Document successfully merged; Run via form trigger as kemal.stafsus@gmail.com; Timestamp: Nov 18 2025 3:02 AM</t>
  </si>
  <si>
    <t>https://drive.google.com/open?id=1vWbJSz8Mmd3ftumTOJCGw2cVdl22I9Td</t>
  </si>
  <si>
    <t>https://drive.google.com/uc?export=view&amp;id=1vWbJSz8Mmd3ftumTOJCGw2cVdl22I9Td</t>
  </si>
  <si>
    <t xml:space="preserve">Siti Iqra Mulatifah </t>
  </si>
  <si>
    <t>081224642473</t>
  </si>
  <si>
    <t>5206155703010001</t>
  </si>
  <si>
    <t xml:space="preserve">Pasar Minggu Jakarta Selatan </t>
  </si>
  <si>
    <t>05-03-2001</t>
  </si>
  <si>
    <t xml:space="preserve">Bahasa arab </t>
  </si>
  <si>
    <t>Guru bahasa arab online</t>
  </si>
  <si>
    <t>Guru privat ngaji online</t>
  </si>
  <si>
    <t xml:space="preserve">Guru privat ngaji offline </t>
  </si>
  <si>
    <t>sitiiqroml@gmail.com</t>
  </si>
  <si>
    <t>1RM9dtUN8nS6JreM7dWqQWMXAM6HM9C3E958lUZsVG5o</t>
  </si>
  <si>
    <t>https://docs.google.com/document/d/1RM9dtUN8nS6JreM7dWqQWMXAM6HM9C3E958lUZsVG5o/edit?usp=drivesdk</t>
  </si>
  <si>
    <t>Document successfully created; Document successfully merged; Run via form trigger as kemal.stafsus@gmail.com; Timestamp: Nov 25 2025 10:52 AM</t>
  </si>
  <si>
    <t>https://drive.google.com/open?id=111V6qJfX6vAlTJM3fOTudaf1h3flz-Am</t>
  </si>
  <si>
    <t>https://drive.google.com/uc?export=view&amp;id=111V6qJfX6vAlTJM3fOTudaf1h3flz-Am</t>
  </si>
  <si>
    <t xml:space="preserve">Nayla Salsabila </t>
  </si>
  <si>
    <t>083113108580</t>
  </si>
  <si>
    <t>1801065806020006</t>
  </si>
  <si>
    <t>Papan Mas</t>
  </si>
  <si>
    <t>Kalianda, Lampung Tengah</t>
  </si>
  <si>
    <t>18 Juni 2002</t>
  </si>
  <si>
    <t xml:space="preserve">24 Tahun </t>
  </si>
  <si>
    <t xml:space="preserve">Pembimbing halaqoh Quran </t>
  </si>
  <si>
    <t xml:space="preserve">Masih kuliah </t>
  </si>
  <si>
    <t>Ma'had Zaid Bin Tsabit Lampung</t>
  </si>
  <si>
    <t>SDIT Ibnu Katsir Lampung</t>
  </si>
  <si>
    <t>Surau Quran Hilyatul Aulia dan Tahsin Ummahat</t>
  </si>
  <si>
    <t>nays53773@gmail.com</t>
  </si>
  <si>
    <t>15oG6OXtPgdHHKvEKrJT5rWE9nMxUQeDcVgUlNGzxSyI</t>
  </si>
  <si>
    <t>https://docs.google.com/document/d/15oG6OXtPgdHHKvEKrJT5rWE9nMxUQeDcVgUlNGzxSyI/edit?usp=drivesdk</t>
  </si>
  <si>
    <t>Document successfully created; Document successfully merged; Run via form trigger as kemal.stafsus@gmail.com; Timestamp: Nov 30 2025 3:34 AM</t>
  </si>
  <si>
    <t>https://drive.google.com/open?id=1eb3S1owY8Tk_TIQycr5VM6xYFV5ZJV6A</t>
  </si>
  <si>
    <t>https://drive.google.com/uc?export=view&amp;id=1eb3S1owY8Tk_TIQycr5VM6xYFV5ZJV6A</t>
  </si>
  <si>
    <t xml:space="preserve">Ivana Fauziah Sesfa'o, S.Pd., M.Pd. </t>
  </si>
  <si>
    <t>081324254476</t>
  </si>
  <si>
    <t>5302014601000003</t>
  </si>
  <si>
    <t>OEKEFAN, RT/RW 001/001, KOTA SOE, KABUPATEN TIMOR TENGAH SELATAN, NUSA TENGGARA TIMUR</t>
  </si>
  <si>
    <t>06-01-2000</t>
  </si>
  <si>
    <t>PTS - Universitas Islam Indonesia</t>
  </si>
  <si>
    <t>PTN - Universitas Pendidikan Indonesia</t>
  </si>
  <si>
    <t>Privat Tutor</t>
  </si>
  <si>
    <t>016101058281509</t>
  </si>
  <si>
    <t>ivanakupang@gmail.com</t>
  </si>
  <si>
    <t>1irWiYAk4RC8n200vmT2ra5XJoI6oWIlfcQhXryaAu48</t>
  </si>
  <si>
    <t>https://docs.google.com/document/d/1irWiYAk4RC8n200vmT2ra5XJoI6oWIlfcQhXryaAu48/edit?usp=drivesdk</t>
  </si>
  <si>
    <t>Document successfully created; Document successfully merged; Run via form trigger as kemal.stafsus@gmail.com; Timestamp: Dec 9 2025 4:36 AM</t>
  </si>
  <si>
    <t>https://drive.google.com/open?id=1poOllMDqL8a4lUs0KESrwpcpY3h5xE3B</t>
  </si>
  <si>
    <t>https://drive.google.com/uc?export=view&amp;id=1poOllMDqL8a4lUs0KESrwpcpY3h5xE3B</t>
  </si>
  <si>
    <t>Latansa Naelal Izzati, S.Pd.</t>
  </si>
  <si>
    <t>085293563505</t>
  </si>
  <si>
    <t>3329025610020002</t>
  </si>
  <si>
    <t>Sawangan RT 02 RW 02, Pangebatan, Kec. Bantarkawung, Kab. Brebes, Jawa Tengah</t>
  </si>
  <si>
    <t>16-10-2002</t>
  </si>
  <si>
    <t>SEM (Science, English, Mathematic)</t>
  </si>
  <si>
    <t>PTN - UIN Sunan Kalijaga Yogyakarta</t>
  </si>
  <si>
    <t>Koordinator dan Guru Sains &amp; Kimia</t>
  </si>
  <si>
    <t>PT. Transcosmos Indonesia</t>
  </si>
  <si>
    <t>latansanaelal44@gmail.com</t>
  </si>
  <si>
    <t>1gyik5UNsC9fJnplqmB5QKxhnGyr_gl-XqpN3OPx8M0w</t>
  </si>
  <si>
    <t>https://docs.google.com/document/d/1gyik5UNsC9fJnplqmB5QKxhnGyr_gl-XqpN3OPx8M0w/edit?usp=drivesdk</t>
  </si>
  <si>
    <t>https://drive.google.com/open?id=1-pXbVwRouTD2GuL6jerRw5OuQKHeWd6O</t>
  </si>
  <si>
    <t>https://drive.google.com/uc?export=view&amp;id=1-pXbVwRouTD2GuL6jerRw5OuQKHeWd6O</t>
  </si>
  <si>
    <t>Nurul Maghfiroh, S.Pd</t>
  </si>
  <si>
    <t>0895332170193</t>
  </si>
  <si>
    <t>1810044112020001</t>
  </si>
  <si>
    <t>Jl. H. Nudin No.71, RT.5/RW.3, Lb. Bulus, Kec. Cilandak, Kota Jakarta Selatan, Daerah Khusus Ibukota Jakarta 12440</t>
  </si>
  <si>
    <t>Pardasuka</t>
  </si>
  <si>
    <t>1 Desember 2002</t>
  </si>
  <si>
    <t>Institut Agama Islam Al-Aqidah Al -Hasyimiyyah Jakarta</t>
  </si>
  <si>
    <t>Wali kelas 
Guru Qur'an 
Musyrifah rumah tahfidz</t>
  </si>
  <si>
    <t>1,6 (Gaji dari Al Wildan)</t>
  </si>
  <si>
    <t>maghfirohnurul54@gmail.com</t>
  </si>
  <si>
    <t>1AAfcIyrjEAHXiO0Fr0nQTasYCxIUrqdHo6jf0_P_6WA</t>
  </si>
  <si>
    <t>https://docs.google.com/document/d/1AAfcIyrjEAHXiO0Fr0nQTasYCxIUrqdHo6jf0_P_6WA/edit?usp=drivesdk</t>
  </si>
  <si>
    <t>Document successfully created; Document successfully merged; Run via form trigger as kemal.stafsus@gmail.com; Timestamp: Dec 16 2025 5:16 AM</t>
  </si>
  <si>
    <t>https://drive.google.com/open?id=1CZM3GRszoZH3HhIayju8QmW2WZGnfDFk</t>
  </si>
  <si>
    <t>https://drive.google.com/uc?export=view&amp;id=1CZM3GRszoZH3HhIayju8QmW2WZGnfDFk</t>
  </si>
  <si>
    <t>Ikananda, S.Pd.</t>
  </si>
  <si>
    <t>085158342772</t>
  </si>
  <si>
    <t>7371036803010002</t>
  </si>
  <si>
    <t>Perumahan Bumi Bosowa Permai A1/14, Minasa Upa, Rappocini, Makassar, Sulawesi Selatan</t>
  </si>
  <si>
    <t>Talabangi</t>
  </si>
  <si>
    <t>Pendidikan Matematika Bilingual</t>
  </si>
  <si>
    <t>Guru Matematika di SMKS Farmasi Yamasi Makassar</t>
  </si>
  <si>
    <t>Tutor Privat di Rizki Privat Makassar</t>
  </si>
  <si>
    <t>Sekitar 2.000.000</t>
  </si>
  <si>
    <t>005001155068506</t>
  </si>
  <si>
    <t>ikananda.sk@gmail.com</t>
  </si>
  <si>
    <t>1TgEgvx2SdnCv7smKSRDeAqyl9NZ5aUV_8HuthIG0xOo</t>
  </si>
  <si>
    <t>https://docs.google.com/document/d/1TgEgvx2SdnCv7smKSRDeAqyl9NZ5aUV_8HuthIG0xOo/edit?usp=drivesdk</t>
  </si>
  <si>
    <t>Document successfully created; Document successfully merged; Run via form trigger as kemal.stafsus@gmail.com; Timestamp: Dec 23 2025 10:39 PM</t>
  </si>
  <si>
    <t>https://drive.google.com/open?id=1sepXEQqpjVrNEQR8P4FgnfKzIfNflMcl</t>
  </si>
  <si>
    <t>https://drive.google.com/uc?export=view&amp;id=1sepXEQqpjVrNEQR8P4FgnfKzIfNflMcl</t>
  </si>
  <si>
    <t>Masakti Brojo Wijoyo, S.Pd.</t>
  </si>
  <si>
    <t>087882145223</t>
  </si>
  <si>
    <t>3216060908920013</t>
  </si>
  <si>
    <t>Jalan Selang Cironggeng, RT 01 RW 04, Cibitung, Kabupaten Bekasi, 17520.</t>
  </si>
  <si>
    <t>09-08-1992</t>
  </si>
  <si>
    <t>SMP Islam Panglima Besar Soedirman</t>
  </si>
  <si>
    <t>SMA Islam Al Azhar 22</t>
  </si>
  <si>
    <t>masaktibrojo.wijoyo@smaialazhar22.sch.id</t>
  </si>
  <si>
    <t>1xmF-0lxhHIGvyiuS7N8dnsX6kwZ8D_f4KQ7VAaaYjmk</t>
  </si>
  <si>
    <t>https://docs.google.com/document/d/1xmF-0lxhHIGvyiuS7N8dnsX6kwZ8D_f4KQ7VAaaYjmk/edit?usp=drivesdk</t>
  </si>
  <si>
    <t>Document successfully created; Document successfully merged; Run via form trigger as kemal.stafsus@gmail.com; Timestamp: Dec 24 2025 12:39 AM</t>
  </si>
  <si>
    <t>https://drive.google.com/open?id=1hb60HVhj_M400sMtcZpZvLxRirBaKRp9</t>
  </si>
  <si>
    <t>https://drive.google.com/uc?export=view&amp;id=1hb60HVhj_M400sMtcZpZvLxRirBaKRp9</t>
  </si>
  <si>
    <t>Nafsi Latifah, S.Pd</t>
  </si>
  <si>
    <t>083180257485</t>
  </si>
  <si>
    <t>1371116405990011</t>
  </si>
  <si>
    <t>Jln Bekasi Timur IV, kelurahan Cipinang Besar Utara, kecamatan Jatinegara, kotamadya Jakarta Timur, propinsi DKI Jakarta 13410</t>
  </si>
  <si>
    <t>Kerinci</t>
  </si>
  <si>
    <t>24-05-1999</t>
  </si>
  <si>
    <t>Universitas Adzkia</t>
  </si>
  <si>
    <t>Guru Pendidikan Sekolah Dasar</t>
  </si>
  <si>
    <t>Guru Kelas 2 dan 3 SD</t>
  </si>
  <si>
    <t>nafsylatifah@gmail.com</t>
  </si>
  <si>
    <t>1Q2HfrwBGeHCJYbMi2YCj7m5IWiSO3LLe_jkEiaBJEHc</t>
  </si>
  <si>
    <t>https://docs.google.com/document/d/1Q2HfrwBGeHCJYbMi2YCj7m5IWiSO3LLe_jkEiaBJEHc/edit?usp=drivesdk</t>
  </si>
  <si>
    <t>Document successfully created; Document successfully merged; Run via form trigger as kemal.stafsus@gmail.com; Timestamp: Jan 8 2026 5:24 AM</t>
  </si>
  <si>
    <t>https://drive.google.com/open?id=1Miiu3yEWqa9X4c1EiMIydyLMrKM2PySE</t>
  </si>
  <si>
    <t>https://drive.google.com/uc?export=view&amp;id=1Miiu3yEWqa9X4c1EiMIydyLMrKM2PySE</t>
  </si>
  <si>
    <t>Ria Zulfa, S.Pd.</t>
  </si>
  <si>
    <t>087752848472</t>
  </si>
  <si>
    <t>5201086606010002</t>
  </si>
  <si>
    <t>Perampuan Barat, Labuapi, Lombok Barat</t>
  </si>
  <si>
    <t>26-06-2001</t>
  </si>
  <si>
    <t>Guru Privat IPA dan Matematika (Bimbel Jendela Ilmu)</t>
  </si>
  <si>
    <t>Guru Privat IPA dan Matematika (Optima Learning Center)</t>
  </si>
  <si>
    <t>Tutor Kimia untuk Olimpiade (MAN 2 Mataram)</t>
  </si>
  <si>
    <t>riaazulfaa@gmail.com</t>
  </si>
  <si>
    <t>1BtIVpe70vL1JvpWDwGMGtXmlfdMM4r5SnVkRXu2jHWs</t>
  </si>
  <si>
    <t>https://docs.google.com/document/d/1BtIVpe70vL1JvpWDwGMGtXmlfdMM4r5SnVkRXu2jHWs/edit?usp=drivesdk</t>
  </si>
  <si>
    <t>Document successfully created; Document successfully merged; Run via form trigger as kemal.stafsus@gmail.com; Timestamp: Jan 23 2026 4:19 AM</t>
  </si>
  <si>
    <t>https://drive.google.com/open?id=1ZmWk_ZZG3VbWzE5EZ_W1Xm9u9_SK_hgm</t>
  </si>
  <si>
    <t>https://drive.google.com/uc?export=view&amp;id=1ZmWk_ZZG3VbWzE5EZ_W1Xm9u9_SK_hgm</t>
  </si>
  <si>
    <t>IMAM JA'FAR ASSHADIQ, S.Pd.</t>
  </si>
  <si>
    <t>085218871429</t>
  </si>
  <si>
    <t>7316013103020002</t>
  </si>
  <si>
    <t>Jl. Ciater Raya No.48, Rw. Mekar Jaya, Kec. Serpong, Kota Tangerang Selatan, Banten.</t>
  </si>
  <si>
    <t>Makassar, Sulawesi Selatan.</t>
  </si>
  <si>
    <t>31-03-2002</t>
  </si>
  <si>
    <t>Tim Kreatif, ITBA - MUSYRIF/AH PPL</t>
  </si>
  <si>
    <t>Sarjana Pendidikan (S1) - Sekolah Tinggi Ilmu Tarbiyah At-Taqwa (PTS)</t>
  </si>
  <si>
    <t>Sarjana Pendidikan (S1)</t>
  </si>
  <si>
    <t>Musyrif &amp; Tim Media AL-WILDAN 3 BSD CITY</t>
  </si>
  <si>
    <t>± 8.000.000</t>
  </si>
  <si>
    <t>imamjafarasshadiq@gmail.com</t>
  </si>
  <si>
    <t>1wlMxjc7uHgt1Mm8Oj4qQ4oKT_jFQUdqXNS5rjRQ6UmU</t>
  </si>
  <si>
    <t>https://docs.google.com/document/d/1wlMxjc7uHgt1Mm8Oj4qQ4oKT_jFQUdqXNS5rjRQ6UmU/edit?usp=drivesdk</t>
  </si>
  <si>
    <t>Document successfully created; Document successfully merged; Run via form trigger as kemal.stafsus@gmail.com; Timestamp: Jan 24 2026 11:03 AM</t>
  </si>
  <si>
    <t>https://drive.google.com/open?id=1fKF7tFOI-pWtC5VfnzwXa1ewz7vveoO-</t>
  </si>
  <si>
    <t>https://drive.google.com/uc?export=view&amp;id=1fKF7tFOI-pWtC5VfnzwXa1ewz7vveoO-</t>
  </si>
  <si>
    <t>MUHAMMAD IHSAN, S.Si</t>
  </si>
  <si>
    <t>3276050906830012</t>
  </si>
  <si>
    <t>Jalan Pajaha 3 Depok 2 Tengah Sukmajaya Mekarjaya Depok Jawa Barat</t>
  </si>
  <si>
    <t>09-06-1983</t>
  </si>
  <si>
    <t>41 tahun 7 bulan</t>
  </si>
  <si>
    <t>MATHS</t>
  </si>
  <si>
    <t>Matematika Murni</t>
  </si>
  <si>
    <t xml:space="preserve">Kampus (UI) + Lembaga Foundation Course untuk calon peminat Study Abroad </t>
  </si>
  <si>
    <t>Double-digit</t>
  </si>
  <si>
    <t>Dosen
Foundation Years Lecturer
Curriculum Developer</t>
  </si>
  <si>
    <t>College with Affiliated Body - NCUK</t>
  </si>
  <si>
    <t>I believe that Al Wildan will compensate professionally in which I can have peace of mind and sustainable means of earning just as what I have sustained from previous employers.</t>
  </si>
  <si>
    <t>094601044345539</t>
  </si>
  <si>
    <t>Maths.Ed789@proton.Me</t>
  </si>
  <si>
    <t>1u-Tcmv3Kek--8z1PQIM5NkuiMeBIONns0zZGFQCkZ5A</t>
  </si>
  <si>
    <t>https://docs.google.com/document/d/1u-Tcmv3Kek--8z1PQIM5NkuiMeBIONns0zZGFQCkZ5A/edit?usp=drivesdk</t>
  </si>
  <si>
    <t>Document successfully created; Document successfully merged; Run via form trigger as kemal.stafsus@gmail.com; Timestamp: Feb 3 2026 10:33 PM</t>
  </si>
  <si>
    <t>https://drive.google.com/open?id=1esQZGYVJuBeESpQ9hD1DGjYb0E2xQkR_</t>
  </si>
  <si>
    <t>https://drive.google.com/uc?export=view&amp;id=1esQZGYVJuBeESpQ9hD1DGjYb0E2xQkR_</t>
  </si>
  <si>
    <t>Rizqika Amalia, S.Pd.</t>
  </si>
  <si>
    <t>082279567462</t>
  </si>
  <si>
    <t>1671074505010013</t>
  </si>
  <si>
    <t>Jl.Daksinapati Timur 3 No 1 Rt008/Rw014 Rawamangun, Pulo Gadung, Jakarta Timur, 13220</t>
  </si>
  <si>
    <t>05-05-2001</t>
  </si>
  <si>
    <t>Bahasa Inggris (INVAL teacher)</t>
  </si>
  <si>
    <t>S1 - UIN Syarif Hidayatullah Jakarta</t>
  </si>
  <si>
    <t>2.000.000 - 3.000.000</t>
  </si>
  <si>
    <t>rizqikaamalia12@gmail.com</t>
  </si>
  <si>
    <t>1lyyHez3r_iZC6JNQZjUp8P33eM_UWkdzFYO2lIUSOTg</t>
  </si>
  <si>
    <t>https://docs.google.com/document/d/1lyyHez3r_iZC6JNQZjUp8P33eM_UWkdzFYO2lIUSOTg/edit?usp=drivesdk</t>
  </si>
  <si>
    <t>Document successfully created; Document successfully merged; Run via form trigger as kemal.stafsus@gmail.com; Timestamp: Feb 6 2026 2:31 AM</t>
  </si>
  <si>
    <t>https://drive.google.com/open?id=1PvGijOVyAeFiDYYqpiaw9yyRzrGZyxvq</t>
  </si>
  <si>
    <t>https://drive.google.com/uc?export=view&amp;id=1PvGijOVyAeFiDYYqpiaw9yyRzrGZyxvq</t>
  </si>
  <si>
    <t>Darmawan Widian Saputra</t>
  </si>
  <si>
    <t>08979118901</t>
  </si>
  <si>
    <t>3271052406920003</t>
  </si>
  <si>
    <t xml:space="preserve">Perumahan Alam Tirta Lestari, Jl. Wijaya Kusuma Blok B2 No. 12 A. RT 9 RW 14. Desa Pagelaran, Kec. Ciomas, Kab. Bogor, Jawa Barat. </t>
  </si>
  <si>
    <t>24-06-1992</t>
  </si>
  <si>
    <t>HR Generalist</t>
  </si>
  <si>
    <t>darmawanwidian7@gmail.com</t>
  </si>
  <si>
    <t>1uPZL_2b-asQnn8kv-aUqW_4r0YPqn6hbY0xsz1wt6oI</t>
  </si>
  <si>
    <t>https://docs.google.com/document/d/1uPZL_2b-asQnn8kv-aUqW_4r0YPqn6hbY0xsz1wt6oI/edit?usp=drivesdk</t>
  </si>
  <si>
    <t>Document successfully created; Document successfully merged; Run via form trigger as kemal.stafsus@gmail.com; Timestamp: Feb 11 2026 10:48 PM</t>
  </si>
  <si>
    <t>https://drive.google.com/open?id=136-bYVGaqUc4bRm3rn9ruEzTBCAGOPgH</t>
  </si>
  <si>
    <t>https://drive.google.com/uc?export=view&amp;id=136-bYVGaqUc4bRm3rn9ruEzTBCAGOPgH</t>
  </si>
  <si>
    <t>Rizq Zein Ben Hussain</t>
  </si>
  <si>
    <t>087788787070</t>
  </si>
  <si>
    <t>3674040805030001</t>
  </si>
  <si>
    <t>Dusun serang, Desa Mekarjaya, RT./Rw/RW.12/06, Mekarjaya, Kec. Purwasari, Karawang, Jawa Barat 41373</t>
  </si>
  <si>
    <t>08 Mei 2003</t>
  </si>
  <si>
    <t>22 tahun, 9 bulan, 20 hari</t>
  </si>
  <si>
    <t>Public Relations / Humas, Tim Kreatif, Tim Marketing</t>
  </si>
  <si>
    <t>Al-Wildan 32 JAKARTA TIMUR</t>
  </si>
  <si>
    <t>Creative Director</t>
  </si>
  <si>
    <t>BSI Payroll</t>
  </si>
  <si>
    <t>rizqzein@gmail.com</t>
  </si>
  <si>
    <t>128grHd4P1YoaTDqvuhgczNK7_1HmaEm59AwW_lFKkmo</t>
  </si>
  <si>
    <t>https://docs.google.com/document/d/128grHd4P1YoaTDqvuhgczNK7_1HmaEm59AwW_lFKkmo/edit?usp=drivesdk</t>
  </si>
  <si>
    <t>Document successfully created; Document successfully merged; Run via form trigger as kemal.stafsus@gmail.com; Timestamp: Mar 1 2026 9:04 AM</t>
  </si>
  <si>
    <t>https://drive.google.com/open?id=1yZV2vHppuNmhCqPyur7iVWp1S_LDhRpX</t>
  </si>
  <si>
    <t>https://drive.google.com/uc?export=view&amp;id=1yZV2vHppuNmhCqPyur7iVWp1S_LDhRpX</t>
  </si>
  <si>
    <t>Annisa Urrachmah</t>
  </si>
  <si>
    <t>081802172364</t>
  </si>
  <si>
    <t>3201374303000004</t>
  </si>
  <si>
    <t xml:space="preserve">Perum pura Bojonggede, Jl madura IV, blok o3 no 5,kec. TajurHalang Bogor Jawa Barat. </t>
  </si>
  <si>
    <t>3 Maret 2000</t>
  </si>
  <si>
    <t>Ekonomi Syari'ah</t>
  </si>
  <si>
    <t>Mengajar di Pondok Pesantren ketika mengabdi</t>
  </si>
  <si>
    <t xml:space="preserve">Mengajar bahasa Arab di SDIT Imam Syafi'i Pasar Minggu dan private online ketika kuliah. </t>
  </si>
  <si>
    <t xml:space="preserve">Bank Syari'ah Indonesia </t>
  </si>
  <si>
    <t>anisaurahmah03@gmail.com</t>
  </si>
  <si>
    <t>1_pQpzbOgmgo5py9BhThUxgMgLFLEmNh_PZDaOV96uqU</t>
  </si>
  <si>
    <t>https://docs.google.com/document/d/1_pQpzbOgmgo5py9BhThUxgMgLFLEmNh_PZDaOV96uqU/edit?usp=drivesdk</t>
  </si>
  <si>
    <t>Document successfully created; Document successfully merged; Run via form trigger as kemal.stafsus@gmail.com; Timestamp: Mar 4 2026 2:20 AM</t>
  </si>
  <si>
    <t>https://drive.google.com/open?id=1tOlx3nLlPnE4QswFuCCYdCUghe1HLRKL</t>
  </si>
  <si>
    <t>https://drive.google.com/uc?export=view&amp;id=1tOlx3nLlPnE4QswFuCCYdCUghe1HLRKL</t>
  </si>
  <si>
    <t>Lestariyanto Firdaus</t>
  </si>
  <si>
    <t>082110850495</t>
  </si>
  <si>
    <t>3216062603990015</t>
  </si>
  <si>
    <t>Tridaya Nuansa Indah Blok. BA1 No 14-15 Rt.01//010, Desa Sumber Jaya, Kecamatan Tambun Selatan, Kabupaten Bekasi</t>
  </si>
  <si>
    <t>26-03-1999</t>
  </si>
  <si>
    <t>4.23</t>
  </si>
  <si>
    <t>Guru dan Wali kelas di Al Hilal Islamic School</t>
  </si>
  <si>
    <t>Guru Pengampu Halaqah di SHQ Al Fath Hafizh</t>
  </si>
  <si>
    <t>firdaus.ba114@gmail.com</t>
  </si>
  <si>
    <t>16Oenn4SxXS9iZr0nu9Y6w7OuJ2XCFrNIPJuWIFrNtIc</t>
  </si>
  <si>
    <t>https://docs.google.com/document/d/16Oenn4SxXS9iZr0nu9Y6w7OuJ2XCFrNIPJuWIFrNtIc/edit?usp=drivesdk</t>
  </si>
  <si>
    <t>Document successfully created; Document successfully merged; Run via form trigger as kemal.stafsus@gmail.com; Timestamp: Mar 10 2026 2:39 AM</t>
  </si>
  <si>
    <t>https://drive.google.com/open?id=1ZsV9Co_xH7rkIG7YbSVhCdHiL-UzY14W</t>
  </si>
  <si>
    <t>https://drive.google.com/uc?export=view&amp;id=1ZsV9Co_xH7rkIG7YbSVhCdHiL-UzY14W</t>
  </si>
  <si>
    <t>Ainun Banawa, S.Kep., Ns.</t>
  </si>
  <si>
    <t>085157221104</t>
  </si>
  <si>
    <t>7317085406990004</t>
  </si>
  <si>
    <t xml:space="preserve">Cluster Jasmine Perum. Legok Permai Blok J2 No. C 12.A Kel. Legok Kec. Legok Kab. Tangerang </t>
  </si>
  <si>
    <t>Bua</t>
  </si>
  <si>
    <t>14-06-1999</t>
  </si>
  <si>
    <t>STIKES BHAKTI PERTIWI - Luwu Raya Palopo</t>
  </si>
  <si>
    <t>Perawat Unit Kesehatan Sekolah - Pesantren Modern Ummul Quro Al-Islami Leuwiliang, Bogor</t>
  </si>
  <si>
    <t>0523187074</t>
  </si>
  <si>
    <t>ainunbanawa14@gmail.com</t>
  </si>
  <si>
    <t>15A4P76QL4PjDybztlQoFYF8-RYPuT-LNBYjutUuPZwA</t>
  </si>
  <si>
    <t>https://docs.google.com/document/d/15A4P76QL4PjDybztlQoFYF8-RYPuT-LNBYjutUuPZwA/edit?usp=drivesdk</t>
  </si>
  <si>
    <t>Document successfully created; Document successfully merged; Run via form trigger as kemal.stafsus@gmail.com; Timestamp: Mar 27 2026 9:44 AM</t>
  </si>
  <si>
    <t>https://drive.google.com/open?id=1RuhPVa73mshdE3h7mgU9n_HiRTk0l8aI</t>
  </si>
  <si>
    <t>https://drive.google.com/uc?export=view&amp;id=1RuhPVa73mshdE3h7mgU9n_HiRTk0l8aI</t>
  </si>
  <si>
    <t>Dwi Imas Wisudawati, S.Pd</t>
  </si>
  <si>
    <t>081395416130</t>
  </si>
  <si>
    <t>3209164910930001</t>
  </si>
  <si>
    <t>Desa Sindangjawa Kec. Dukupuntang Kab. Cirebon</t>
  </si>
  <si>
    <t>09-10-1994</t>
  </si>
  <si>
    <t>Universitas Swadaya Gunung Jati</t>
  </si>
  <si>
    <t>English Teacher di I Can Read Yogyakarta (Pekerjaan Utama)</t>
  </si>
  <si>
    <t>Rp. 5.150.000</t>
  </si>
  <si>
    <t>Student Employee di UNY (Pekerjaan Sampingan)</t>
  </si>
  <si>
    <t>Rp.1.500.000</t>
  </si>
  <si>
    <t>Rp.6.150.000</t>
  </si>
  <si>
    <t>Rp. 7.000.000-7.750.000</t>
  </si>
  <si>
    <t>dwisudawatiproject@gmail.com</t>
  </si>
  <si>
    <t>16pjYj9SNQHMtfZWONHbvjk9542R5kB8DGzEoH0-wCt8</t>
  </si>
  <si>
    <t>https://docs.google.com/document/d/16pjYj9SNQHMtfZWONHbvjk9542R5kB8DGzEoH0-wCt8/edit?usp=drivesdk</t>
  </si>
  <si>
    <t>Document successfully created; Document successfully merged; Run via form trigger as kemal.stafsus@gmail.com; Timestamp: Mar 27 2026 5:48 PM</t>
  </si>
  <si>
    <t>https://drive.google.com/open?id=1V1AxgRxWVpoBuEqQJ23FNdR1dJ6mAs7K</t>
  </si>
  <si>
    <t>https://drive.google.com/uc?export=view&amp;id=1V1AxgRxWVpoBuEqQJ23FNdR1dJ6mAs7K</t>
  </si>
  <si>
    <t>Muhammad Adnan Wijaya S.M.</t>
  </si>
  <si>
    <t>085713410335</t>
  </si>
  <si>
    <t>3322022610000002</t>
  </si>
  <si>
    <t>Kabupaten Semarang</t>
  </si>
  <si>
    <t>26-10-2000</t>
  </si>
  <si>
    <t>adnanwjy00@gmail.com</t>
  </si>
  <si>
    <t>1X5c4tsLT5P8ObtUVrYw8Kc1xAXETzMO8YvKuSQI_ju8</t>
  </si>
  <si>
    <t>https://docs.google.com/document/d/1X5c4tsLT5P8ObtUVrYw8Kc1xAXETzMO8YvKuSQI_ju8/edit?usp=drivesdk</t>
  </si>
  <si>
    <t>Document successfully created; Document successfully merged; Run via form trigger as kemal.stafsus@gmail.com; Timestamp: Mar 29 2026 9:45 PM</t>
  </si>
  <si>
    <t>https://drive.google.com/open?id=1L1nx7UvMIZUT2htMSfnmLJBWZpQjLfq7</t>
  </si>
  <si>
    <t>https://drive.google.com/uc?export=view&amp;id=1L1nx7UvMIZUT2htMSfnmLJBWZpQjLfq7</t>
  </si>
  <si>
    <t>Taqiyyatuz Zahrah, S.Pd.</t>
  </si>
  <si>
    <t>089662107397</t>
  </si>
  <si>
    <t>1106075001030001</t>
  </si>
  <si>
    <t>Jalan kano 13 Kelapa dua</t>
  </si>
  <si>
    <t>10-01-2003</t>
  </si>
  <si>
    <t>STAI AT-TAQWA Bandung</t>
  </si>
  <si>
    <t xml:space="preserve">PAI </t>
  </si>
  <si>
    <t>Sudah mengajar di cabang Al-Wildan 1 sejak 2022</t>
  </si>
  <si>
    <t>Masa Pengabdian 2.500.000</t>
  </si>
  <si>
    <t xml:space="preserve">Al-Wildan 21 </t>
  </si>
  <si>
    <t>Masa pengabdian 3.100.000</t>
  </si>
  <si>
    <t>azzhrtaqiyya@gmail.com</t>
  </si>
  <si>
    <t>1MmDt3aBYZEcaVuhc9DEfMRo8j0kh91zSO6icQY0zmDw</t>
  </si>
  <si>
    <t>https://docs.google.com/document/d/1MmDt3aBYZEcaVuhc9DEfMRo8j0kh91zSO6icQY0zmDw/edit?usp=drivesdk</t>
  </si>
  <si>
    <t>Document successfully created; Document successfully merged; Run via form trigger as kemal.stafsus@gmail.com; Timestamp: Mar 29 2026 10:40 PM</t>
  </si>
  <si>
    <t>https://drive.google.com/open?id=14aM0DJNtLqz72Nci02vp2Fr2esZWPdeC</t>
  </si>
  <si>
    <t>https://drive.google.com/uc?export=view&amp;id=14aM0DJNtLqz72Nci02vp2Fr2esZWPdeC</t>
  </si>
  <si>
    <t>Auligya Asy'Ari, S.Ak.</t>
  </si>
  <si>
    <t>087761823621</t>
  </si>
  <si>
    <t>5203094501010007</t>
  </si>
  <si>
    <t>Bali, Indonesia.</t>
  </si>
  <si>
    <t>05-01-2001</t>
  </si>
  <si>
    <t>Kindergarten English Teacher</t>
  </si>
  <si>
    <t>Universitas Jember</t>
  </si>
  <si>
    <t>First Grade Teacher in Umah Rare International School Bali</t>
  </si>
  <si>
    <t>Pre School Teacher in Caterpillar Internationa School Bali Umalas</t>
  </si>
  <si>
    <t>auligya05@gmail.com</t>
  </si>
  <si>
    <t>16ijiiDMwEh9tr9Duh0mc2Uqv3fiezR9-IRKyfWYWdmQ</t>
  </si>
  <si>
    <t>https://docs.google.com/document/d/16ijiiDMwEh9tr9Duh0mc2Uqv3fiezR9-IRKyfWYWdmQ/edit?usp=drivesdk</t>
  </si>
  <si>
    <t>Document successfully created; Document successfully merged; Run via form trigger as kemal.stafsus@gmail.com; Timestamp: Apr 8 2026 3:43 AM</t>
  </si>
  <si>
    <t>https://drive.google.com/open?id=1n_UblbK5EmC_BfQS4-KPOvOSuyaPYz29</t>
  </si>
  <si>
    <t>https://drive.google.com/uc?export=view&amp;id=1n_UblbK5EmC_BfQS4-KPOvOSuyaPYz29</t>
  </si>
  <si>
    <t>Adinda Maysarah, S. Pd., Gr.</t>
  </si>
  <si>
    <t>085255252141</t>
  </si>
  <si>
    <t>7371146105980002</t>
  </si>
  <si>
    <t>BTP BLOK A NO.466</t>
  </si>
  <si>
    <t>UJUNG PANDANG (Makassar)</t>
  </si>
  <si>
    <t>21-05-1998</t>
  </si>
  <si>
    <t>PTS - UNIVERSITAS MUSLIM INDONESIA</t>
  </si>
  <si>
    <t>Mentor/Tutor Bahasa Inggris</t>
  </si>
  <si>
    <t>Guru Mata Pelajaran Bahasa Inggris (SD)</t>
  </si>
  <si>
    <t>Guru Mata Pelajaran Bahasa Inggris (SMA)</t>
  </si>
  <si>
    <t>dindamays@gmail.com</t>
  </si>
  <si>
    <t>1-nzRAsOqDsIYie-Jn2cIJ1orD1m6NMwkiZLzrBCAqCc</t>
  </si>
  <si>
    <t>https://docs.google.com/document/d/1-nzRAsOqDsIYie-Jn2cIJ1orD1m6NMwkiZLzrBCAqCc/edit?usp=drivesdk</t>
  </si>
  <si>
    <t>Document successfully created; Document successfully merged; Run via form trigger as kemal.stafsus@gmail.com; Timestamp: Apr 8 2026 5:28 AM</t>
  </si>
  <si>
    <t>https://drive.google.com/open?id=1cD0Q5cupfvhUYuVAgvnFPjaOXJTAoOfR</t>
  </si>
  <si>
    <t>https://drive.google.com/uc?export=view&amp;id=1cD0Q5cupfvhUYuVAgvnFPjaOXJTAoOfR</t>
  </si>
  <si>
    <t>Bagus Santoso, S.Pd, Gr</t>
  </si>
  <si>
    <t>085604831181</t>
  </si>
  <si>
    <t>3175022411910001</t>
  </si>
  <si>
    <t>Jalan daya guna II nomor 97 kota depok</t>
  </si>
  <si>
    <t>24/11/1991</t>
  </si>
  <si>
    <t>35 tahun 5 bulan</t>
  </si>
  <si>
    <t>Tata usaha</t>
  </si>
  <si>
    <t>Universitas muhammadiyah prof dr hamka</t>
  </si>
  <si>
    <t>Operator sekolah</t>
  </si>
  <si>
    <t>bagus2411santoso@gmail.com</t>
  </si>
  <si>
    <t>1LbJfj4C3981ReLQjMiYicHojfEQ1lHS5OVNH_pK2Q28</t>
  </si>
  <si>
    <t>https://docs.google.com/document/d/1LbJfj4C3981ReLQjMiYicHojfEQ1lHS5OVNH_pK2Q28/edit?usp=drivesdk</t>
  </si>
  <si>
    <t>Document successfully created; Document successfully merged; Run via form trigger as kemal.stafsus@gmail.com; Timestamp: Apr 9 2026 9:45 PM</t>
  </si>
  <si>
    <t>https://drive.google.com/open?id=1AK5Cag6BAXSAmCIN3cl7ZBzW8XUgfIk2</t>
  </si>
  <si>
    <t>https://drive.google.com/uc?export=view&amp;id=1AK5Cag6BAXSAmCIN3cl7ZBzW8XUgfIk2</t>
  </si>
  <si>
    <t>Muhammad Nur Ikhsan Rasyid, S.Pd.</t>
  </si>
  <si>
    <t>085343807713</t>
  </si>
  <si>
    <t>7310101007020002</t>
  </si>
  <si>
    <t>Jln. Toddopuli IV, Setapak III, Nomor 7</t>
  </si>
  <si>
    <t>Pangkajene</t>
  </si>
  <si>
    <t>10-07-2002</t>
  </si>
  <si>
    <t>23 Tahun 9 Bulan</t>
  </si>
  <si>
    <t>Fisika dan Matematika</t>
  </si>
  <si>
    <t>Universitas Negeri Makssar</t>
  </si>
  <si>
    <t>Pengajar Fulltime Fisika - SMP dan SMA Metroschool Makassar</t>
  </si>
  <si>
    <t>Pengajar Part-time, Edulab Indonesia cabang Makassar</t>
  </si>
  <si>
    <t>BNI - Muh Nur Ikhsan Rasyid</t>
  </si>
  <si>
    <t>mirroreye07@gmail.com</t>
  </si>
  <si>
    <t>15m3orWgjADkrs7Ca2i4yBYWSgCA4N2DqSaGg1L-x9jY</t>
  </si>
  <si>
    <t>https://docs.google.com/document/d/15m3orWgjADkrs7Ca2i4yBYWSgCA4N2DqSaGg1L-x9jY/edit?usp=drivesdk</t>
  </si>
  <si>
    <t>Document successfully created; Document successfully merged; Run via form trigger as kemal.stafsus@gmail.com; Timestamp: Apr 10 2026 4:07 AM</t>
  </si>
  <si>
    <t>https://drive.google.com/open?id=1BuRLEzOW9i8Q_eyGSy9Eo-VIATI1ZS2G</t>
  </si>
  <si>
    <t>https://drive.google.com/uc?export=view&amp;id=1BuRLEzOW9i8Q_eyGSy9Eo-VIATI1ZS2G</t>
  </si>
  <si>
    <t>SILPIANA S.Pd</t>
  </si>
  <si>
    <t>085238768354</t>
  </si>
  <si>
    <t>5201095410920001</t>
  </si>
  <si>
    <t xml:space="preserve">Jln Bhineka Dusun Kapek Atas. Kecamatan Gunungsari. Lombok Barat. NTB </t>
  </si>
  <si>
    <t>Kapek Atas</t>
  </si>
  <si>
    <t>14-10-1992</t>
  </si>
  <si>
    <t>33 Tahun 6 Bulan</t>
  </si>
  <si>
    <t>S1 PENDIDIKAN BAHASA INGGRIS</t>
  </si>
  <si>
    <t>Guru Les KUMON</t>
  </si>
  <si>
    <t>BRI (BANK RAKYAT INDONESIA)</t>
  </si>
  <si>
    <t>nanasviamakmun@gmail.com</t>
  </si>
  <si>
    <t>1zPYm2QeIepJsB5JYzBZ86VDycug1LExRml4yQ3PsKo0</t>
  </si>
  <si>
    <t>https://docs.google.com/document/d/1zPYm2QeIepJsB5JYzBZ86VDycug1LExRml4yQ3PsKo0/edit?usp=drivesdk</t>
  </si>
  <si>
    <t>Document successfully created; Document successfully merged; Run via form trigger as kemal.stafsus@gmail.com; Timestamp: Apr 14 2026 9:22 AM</t>
  </si>
  <si>
    <t>https://drive.google.com/open?id=14THFSNhNQ6KNBLx5OmNPTjuKcvrXaXf2</t>
  </si>
  <si>
    <t>https://drive.google.com/uc?export=view&amp;id=14THFSNhNQ6KNBLx5OmNPTjuKcvrXaXf2</t>
  </si>
  <si>
    <t>Syamsul Bahri HS</t>
  </si>
  <si>
    <t>+6285242320685</t>
  </si>
  <si>
    <t>7307021212950004</t>
  </si>
  <si>
    <t>Perum. Bakung Garden Blok M/68. Jl. Poros Macanda, Kel. Mawang Kec. Somba Opu Kab Gowa, Sul-sel</t>
  </si>
  <si>
    <t>12-12-1995</t>
  </si>
  <si>
    <t>Higher and Post-secondary Education</t>
  </si>
  <si>
    <t>Freelancer Edulab Makassar (Part-Time)</t>
  </si>
  <si>
    <t>500 ribu-1 jutaan</t>
  </si>
  <si>
    <t>Guru Biologi SMA Hang Tuah Makassar</t>
  </si>
  <si>
    <t>3 - 3,5 juta</t>
  </si>
  <si>
    <t>syamsulbahrihs798@gmail.com</t>
  </si>
  <si>
    <t>1iP-UiE5Axyi3Ku3CchF_KrNlrLTkopBEIlOYY4H3TWM</t>
  </si>
  <si>
    <t>https://docs.google.com/document/d/1iP-UiE5Axyi3Ku3CchF_KrNlrLTkopBEIlOYY4H3TWM/edit?usp=drivesdk</t>
  </si>
  <si>
    <t>Document successfully created; Document successfully merged; Run via form trigger as kemal.stafsus@gmail.com; Timestamp: Apr 15 2026 2:36 AM</t>
  </si>
  <si>
    <t>https://drive.google.com/open?id=1YZ7GamFvBd28St1qjzzwEOmGHALv6ElX</t>
  </si>
  <si>
    <t>https://drive.google.com/uc?export=view&amp;id=1YZ7GamFvBd28St1qjzzwEOmGHALv6ElX</t>
  </si>
  <si>
    <t>MUADZ ZIDAN ALWAFI, S.Kom</t>
  </si>
  <si>
    <t>081294993836</t>
  </si>
  <si>
    <t>3275052711000018</t>
  </si>
  <si>
    <t>27-11-2000</t>
  </si>
  <si>
    <t>UNIVERSITAS BINA SARANA INFORMATIKA</t>
  </si>
  <si>
    <t>TEKNOLOGI INFORMASI</t>
  </si>
  <si>
    <t>Guru &amp; Operator Sekolah</t>
  </si>
  <si>
    <t>muadzzidan123@gmail.com</t>
  </si>
  <si>
    <t>10YrwElcr2ZJ1dWzYWJ2_dqJLr8VNzw5rdNfVZCR1ozM</t>
  </si>
  <si>
    <t>https://docs.google.com/document/d/10YrwElcr2ZJ1dWzYWJ2_dqJLr8VNzw5rdNfVZCR1ozM/edit?usp=drivesdk</t>
  </si>
  <si>
    <t>Document successfully created; Document successfully merged; Run via form trigger as kemal.stafsus@gmail.com; Timestamp: Apr 18 2026 12:14 AM</t>
  </si>
  <si>
    <t>https://drive.google.com/open?id=1EKb4W9ZcNznFDUPrilR3rI5E-vcNJA6C</t>
  </si>
  <si>
    <t>https://drive.google.com/uc?export=view&amp;id=1EKb4W9ZcNznFDUPrilR3rI5E-vcNJA6C</t>
  </si>
  <si>
    <t>HIND MOHAMMED AHMED ABOUGHUFFAH. B.A., M.Edu.</t>
  </si>
  <si>
    <t>AC598445</t>
  </si>
  <si>
    <t>Paramount Serpong Cluster Malibu, Cijantra, Tangernag</t>
  </si>
  <si>
    <t>Trpoli</t>
  </si>
  <si>
    <t>30 Years 2 months</t>
  </si>
  <si>
    <t>Institution of Medical Studies</t>
  </si>
  <si>
    <t>Medical technology</t>
  </si>
  <si>
    <t>Universitas Persatuan Guru Republik Indonesia Semarang</t>
  </si>
  <si>
    <t>Biology Education</t>
  </si>
  <si>
    <t>Teacher</t>
  </si>
  <si>
    <t xml:space="preserve">Analytical Technician </t>
  </si>
  <si>
    <t>1.60</t>
  </si>
  <si>
    <t>atc.student1.atc@gmail.com</t>
  </si>
  <si>
    <t>1bWD9UtXCv0P7yUAHe_POKf_q8ybUQ4z-kJ8OQx_yB_E</t>
  </si>
  <si>
    <t>https://docs.google.com/document/d/1bWD9UtXCv0P7yUAHe_POKf_q8ybUQ4z-kJ8OQx_yB_E/edit?usp=drivesdk</t>
  </si>
  <si>
    <t>Document successfully created; Document successfully merged; Run via form trigger as kemal.stafsus@gmail.com; Timestamp: Apr 23 2026 10:28 PM</t>
  </si>
  <si>
    <t>https://drive.google.com/open?id=1BlWg4c6oI2szkMiX9UQv-PG55zBJtOym</t>
  </si>
  <si>
    <t>https://drive.google.com/uc?export=view&amp;id=1BlWg4c6oI2szkMiX9UQv-PG55zBJtOym</t>
  </si>
  <si>
    <t>Agus Salim, B.B.A.</t>
  </si>
  <si>
    <t>087773823611</t>
  </si>
  <si>
    <t>3602151708960002</t>
  </si>
  <si>
    <t>17-08-1996</t>
  </si>
  <si>
    <t>29 tahun 7 bulan</t>
  </si>
  <si>
    <t>Al Ulum Al Idariyyah</t>
  </si>
  <si>
    <t>Guru Diniyah, Guru Bahasa Arab, Guru Kelas, dan Wakil Kepala Sekolah di SMP Islam Daarul Ilmi Depok</t>
  </si>
  <si>
    <t>Guru Diniyah, Guru Kelas, Koordinator Pembelajaran Tahfizh Al Quran SD-SMP-SMA Islam Daarul Ilmi Depok</t>
  </si>
  <si>
    <t>Agus Salim</t>
  </si>
  <si>
    <t>asalim1796@gmail.com</t>
  </si>
  <si>
    <t>1jWgKhQpQkiVdCArSfhsjLZEgtFFFBro0Aa5d983QNEM</t>
  </si>
  <si>
    <t>https://docs.google.com/document/d/1jWgKhQpQkiVdCArSfhsjLZEgtFFFBro0Aa5d983QNEM/edit?usp=drivesdk</t>
  </si>
  <si>
    <t>Document successfully created; Document successfully merged; Run via form trigger as kemal.stafsus@gmail.com; Timestamp: Apr 23 2026 10:57 PM</t>
  </si>
  <si>
    <t>https://drive.google.com/open?id=1_ZlEYDlSHn1asCCVFhKbR9Q40QBUpIio</t>
  </si>
  <si>
    <t>https://drive.google.com/uc?export=view&amp;id=1_ZlEYDlSHn1asCCVFhKbR9Q40QBUpIio</t>
  </si>
  <si>
    <t>Aditya Dwi Pratama, S.Pd., M.Pd., Gr.</t>
  </si>
  <si>
    <t>081398235125</t>
  </si>
  <si>
    <t>32750126040000014</t>
  </si>
  <si>
    <t>Kp. Rawa Semut, RT 003/012. No.02, Kel. Margahayu, Bekasi Timur. Kota Bekasi</t>
  </si>
  <si>
    <t>26-04-2000</t>
  </si>
  <si>
    <t>26 Tahun 0 Bulan</t>
  </si>
  <si>
    <t xml:space="preserve">Science, Math, English </t>
  </si>
  <si>
    <t>SDIT Al-Marzukiyah</t>
  </si>
  <si>
    <t>Bimbel Edu-Corner</t>
  </si>
  <si>
    <t>adwipratama26@gmail.com</t>
  </si>
  <si>
    <t>191n6jxSBb8Yvfsnh22c-P3l8PqYsSTaMpo2HDY6RJjk</t>
  </si>
  <si>
    <t>https://docs.google.com/document/d/191n6jxSBb8Yvfsnh22c-P3l8PqYsSTaMpo2HDY6RJjk/edit?usp=drivesdk</t>
  </si>
  <si>
    <t>Document successfully created; Document successfully merged; Run via form trigger as kemal.stafsus@gmail.com; Timestamp: Apr 24 2026 4:23 AM</t>
  </si>
  <si>
    <t>https://drive.google.com/open?id=148gZrb3Y6arLCidN19Tfqta02_6SWN8p</t>
  </si>
  <si>
    <t>https://drive.google.com/uc?export=view&amp;id=148gZrb3Y6arLCidN19Tfqta02_6SWN8p</t>
  </si>
  <si>
    <t>Imam Maulana Septiyandi S.Pd.</t>
  </si>
  <si>
    <t>081311844377</t>
  </si>
  <si>
    <t>3201010209990005</t>
  </si>
  <si>
    <t>Bogor, Cibinong, Nanggewer, Perumahan Bogor Asri Blok E7/17</t>
  </si>
  <si>
    <t>02-09-1999</t>
  </si>
  <si>
    <t>PTS - Universitas Indraprasta PGRI</t>
  </si>
  <si>
    <t xml:space="preserve">- Internship / SMP Toenas Harapan Bojonggede
</t>
  </si>
  <si>
    <t>- Guru Bahasa Inggris - Supervisor / SD Tazkia Global Islamic School</t>
  </si>
  <si>
    <t>- Freelancer / English Coach Academy</t>
  </si>
  <si>
    <t>imammaulana107@gmail.com</t>
  </si>
  <si>
    <t>1cQnnrub2mW5Wirn30HYFVHidqiTLVmv6nE8CEM0rs1s</t>
  </si>
  <si>
    <t>https://docs.google.com/document/d/1cQnnrub2mW5Wirn30HYFVHidqiTLVmv6nE8CEM0rs1s/edit?usp=drivesdk</t>
  </si>
  <si>
    <t>Document successfully created; Document successfully merged; Run via form trigger as kemal.stafsus@gmail.com; Timestamp: Apr 24 2026 8:06 AM</t>
  </si>
  <si>
    <t>https://drive.google.com/open?id=1uLAnqY2FRRoBYdboHTuoeAAO2t9a6fUo</t>
  </si>
  <si>
    <t>https://drive.google.com/uc?export=view&amp;id=1uLAnqY2FRRoBYdboHTuoeAAO2t9a6fUo</t>
  </si>
  <si>
    <t>Bagas Fauzi Pasha, B.A.</t>
  </si>
  <si>
    <t>081293781274</t>
  </si>
  <si>
    <t>Jl. Cendrawasih 2 No.1 Blok X RT 013 RW 008 Perum. Griya Alam Sentosa Des. Pasir Angin Kec. Cileungsi Kab. Bogor Jawa Barat 16820</t>
  </si>
  <si>
    <t xml:space="preserve">Indramayu </t>
  </si>
  <si>
    <t>25 Tahun 8 Bulan</t>
  </si>
  <si>
    <t>Al Qur'an - Diniyyah - Arabic</t>
  </si>
  <si>
    <t>King Kholid University, Abha, KSA</t>
  </si>
  <si>
    <t xml:space="preserve">Ushuluddin </t>
  </si>
  <si>
    <t>4.93 dari 5</t>
  </si>
  <si>
    <t>belum</t>
  </si>
  <si>
    <t>tidak ada</t>
  </si>
  <si>
    <t xml:space="preserve">belum </t>
  </si>
  <si>
    <t>Guru Halaqah Tahfidz Al Qur'an dan Hadist, Bagian KBM Ponpes Al Matuq (Khidmah) 2018-2019</t>
  </si>
  <si>
    <t>&lt; 1.000.000</t>
  </si>
  <si>
    <t>Guru Tahfidz Al Qur'an dan Bahasa Arab di SDQ Mutiara Sunnah Legenda Wisata 2020-2021</t>
  </si>
  <si>
    <t>&lt; 3.000.000</t>
  </si>
  <si>
    <t>Pengajar Halaqoh Tahfidz Al Qur'an bersanad di King Kholid University (2025-2026)</t>
  </si>
  <si>
    <t>fauzipasha08@gmail.com</t>
  </si>
  <si>
    <t>1IBzHjLKU88h0F1T5yiYsRV1BFwB3Jr92GH2WxAAdhOc</t>
  </si>
  <si>
    <t>https://docs.google.com/document/d/1IBzHjLKU88h0F1T5yiYsRV1BFwB3Jr92GH2WxAAdhOc/edit?usp=drivesdk</t>
  </si>
  <si>
    <t>Document successfully created; Document successfully merged; Run via form trigger as kemal.stafsus@gmail.com; Timestamp: Apr 24 2026 10:55 AM</t>
  </si>
  <si>
    <t>https://drive.google.com/open?id=18PWABE7hrXpTO_29qAz3pSCfiSBFeU9C</t>
  </si>
  <si>
    <t>https://drive.google.com/uc?export=view&amp;id=18PWABE7hrXpTO_29qAz3pSCfiSBFeU9C</t>
  </si>
  <si>
    <t>Kartika Surya Utami Sinaga, S.Psi</t>
  </si>
  <si>
    <t>085974448679</t>
  </si>
  <si>
    <t>1207264108910004</t>
  </si>
  <si>
    <t>Taman wanasari indah blok B4 no 16</t>
  </si>
  <si>
    <t xml:space="preserve">Medan </t>
  </si>
  <si>
    <t>11 Agustus 1991</t>
  </si>
  <si>
    <t>Universitas Medan Area</t>
  </si>
  <si>
    <t>Smp IT Roudhotul Jannah Ciawi, Bogor</t>
  </si>
  <si>
    <t>kartikasurya1991@gmail.com</t>
  </si>
  <si>
    <t>1fTIOML5U7KkXKlEcwfsZ36o7mylPJe3f0abEeExuUAA</t>
  </si>
  <si>
    <t>https://docs.google.com/document/d/1fTIOML5U7KkXKlEcwfsZ36o7mylPJe3f0abEeExuUAA/edit?usp=drivesdk</t>
  </si>
  <si>
    <t>Document successfully created; Document successfully merged; Run via form trigger as kemal.stafsus@gmail.com; Timestamp: Apr 27 2026 1:58 AM</t>
  </si>
  <si>
    <t>https://drive.google.com/open?id=1fUTUeRq6i74M_J65IFGCLZWTgcZyKJBz</t>
  </si>
  <si>
    <t>https://drive.google.com/uc?export=view&amp;id=1fUTUeRq6i74M_J65IFGCLZWTgcZyKJBz</t>
  </si>
  <si>
    <t>Andina Alifia Ulfizannati Tandean</t>
  </si>
  <si>
    <t>085175228191</t>
  </si>
  <si>
    <t>3216066008000016</t>
  </si>
  <si>
    <t>Taman Tridaya Indah 2 Blok i 16 no 34, RT/RW 007/015, Tridaya sakti, Tambun selatan, Bekasi.</t>
  </si>
  <si>
    <t>20 Agustus 2000</t>
  </si>
  <si>
    <t>STIT Nurul Hikmah</t>
  </si>
  <si>
    <t>Musyrifah dan Guru Al-Qur'an</t>
  </si>
  <si>
    <t xml:space="preserve">guru Al-Qur'an </t>
  </si>
  <si>
    <t>andinaalifia20@gmail.com</t>
  </si>
  <si>
    <t>1xwjAODe6cBLoM-DNM6Vwu648NqWjM8r-kl5Gtp3Tv0o</t>
  </si>
  <si>
    <t>https://docs.google.com/document/d/1xwjAODe6cBLoM-DNM6Vwu648NqWjM8r-kl5Gtp3Tv0o/edit?usp=drivesdk</t>
  </si>
  <si>
    <t>Document successfully created; Document successfully merged; Run via form trigger as kemal.stafsus@gmail.com; Timestamp: Apr 27 2026 5:47 AM</t>
  </si>
  <si>
    <t>https://drive.google.com/open?id=1qyg277FOQSgriw-G9Dxw1lWr8MbDZ-9j</t>
  </si>
  <si>
    <t>https://drive.google.com/uc?export=view&amp;id=1qyg277FOQSgriw-G9Dxw1lWr8MbDZ-9j</t>
  </si>
  <si>
    <t>Gania Sri Rizki Munawwaroh S.Ag LC.</t>
  </si>
  <si>
    <t>083101860830</t>
  </si>
  <si>
    <t>3205164510010002</t>
  </si>
  <si>
    <t>Cianjur jawa barat</t>
  </si>
  <si>
    <t>05/10/2001</t>
  </si>
  <si>
    <t>24 thn 6 bulan</t>
  </si>
  <si>
    <t>Mata pelajaran Diniyyah, dan AlQur'an</t>
  </si>
  <si>
    <t>IAT (ilmu alqur'an dan tafsir)-STIQ ZAD CIANJUR</t>
  </si>
  <si>
    <t>Pengajar diniyyah dan musyrifah</t>
  </si>
  <si>
    <t>muslimahproduktif235@gmail.com</t>
  </si>
  <si>
    <t>1az8ryxkIlBzJH5rydj1oycf-xERw7lU1BbKDVXQrYf4</t>
  </si>
  <si>
    <t>https://docs.google.com/document/d/1az8ryxkIlBzJH5rydj1oycf-xERw7lU1BbKDVXQrYf4/edit?usp=drivesdk</t>
  </si>
  <si>
    <t>Document successfully created; Document successfully merged; Run via form trigger as kemal.stafsus@gmail.com; Timestamp: Apr 27 2026 9:57 AM</t>
  </si>
  <si>
    <t>https://drive.google.com/open?id=1876AHqTditoG5RTU-Nl-LIRuumoru72V</t>
  </si>
  <si>
    <t>https://drive.google.com/uc?export=view&amp;id=1876AHqTditoG5RTU-Nl-LIRuumoru72V</t>
  </si>
  <si>
    <t>Wahid Agman Hidayat, S.E</t>
  </si>
  <si>
    <t>081382686114</t>
  </si>
  <si>
    <t>3201101208940003</t>
  </si>
  <si>
    <t>jln letda natsir kp parung rt 1 rw 11desabojongkulur kec gn putri kab bogor
jln letda natsir kp parung rt 1 rw 11desabojongkulur kec gn putri kab bogor</t>
  </si>
  <si>
    <t>12 08 1994</t>
  </si>
  <si>
    <t>32 tahun 7 Bulan</t>
  </si>
  <si>
    <t>Ekonomi, Geografi, Sosiologi</t>
  </si>
  <si>
    <t>UIKA Bogor</t>
  </si>
  <si>
    <t xml:space="preserve">GUru dan Musyrif darul muttaqin </t>
  </si>
  <si>
    <t>Fundarising ZIS Rumah Zakat</t>
  </si>
  <si>
    <t>Directur Sosial Rumah Infaq</t>
  </si>
  <si>
    <t>wahid.agman.career@gmail.com</t>
  </si>
  <si>
    <t>1Xu9NLi9OnSsTV6P_NJQ2xx3JoQbbawxmWR0C1kDiZBE</t>
  </si>
  <si>
    <t>https://docs.google.com/document/d/1Xu9NLi9OnSsTV6P_NJQ2xx3JoQbbawxmWR0C1kDiZBE/edit?usp=drivesdk</t>
  </si>
  <si>
    <t>Document successfully created; Document successfully merged; Run via form trigger as kemal.stafsus@gmail.com; Timestamp: Apr 28 2026 5:16 AM</t>
  </si>
  <si>
    <t>https://drive.google.com/open?id=1ew1iJ-InE9_iYrY0AA-3CuBIhRwWWatt</t>
  </si>
  <si>
    <t>https://drive.google.com/uc?export=view&amp;id=1ew1iJ-InE9_iYrY0AA-3CuBIhRwWWatt</t>
  </si>
  <si>
    <t>Mufaddal B.A</t>
  </si>
  <si>
    <t>085363490836</t>
  </si>
  <si>
    <t>1402122101020001</t>
  </si>
  <si>
    <t xml:space="preserve">Jl.adyhaksa II no.25, Cilandak, Lebak Bulus Jakarta Selatan </t>
  </si>
  <si>
    <t>Pekanbaru,riau</t>
  </si>
  <si>
    <t>21 November 2002</t>
  </si>
  <si>
    <t>Guru IT</t>
  </si>
  <si>
    <t>Al-Qur'an, Diniyyah, arabic</t>
  </si>
  <si>
    <t>Strata - 1, Lipia</t>
  </si>
  <si>
    <t>Private less online</t>
  </si>
  <si>
    <t xml:space="preserve">Pondok pesantren Al furqon </t>
  </si>
  <si>
    <t xml:space="preserve">Tkit ummahatul mu'minin </t>
  </si>
  <si>
    <t>fadalmunais@gmail.com</t>
  </si>
  <si>
    <t>1g9zOkc_LofS0xidgHjtUe-qYfz48T3gqEm_Gi9-vrV0</t>
  </si>
  <si>
    <t>https://docs.google.com/document/d/1g9zOkc_LofS0xidgHjtUe-qYfz48T3gqEm_Gi9-vrV0/edit?usp=drivesdk</t>
  </si>
  <si>
    <t>Document successfully created; Document successfully merged; Run via form trigger as kemal.stafsus@gmail.com; Timestamp: Apr 29 2026 12:23 PM</t>
  </si>
  <si>
    <t>https://drive.google.com/open?id=1_1vjC-kaYIpmI766Jdke1cqAbMTBDzQd</t>
  </si>
  <si>
    <t>https://drive.google.com/uc?export=view&amp;id=1_1vjC-kaYIpmI766Jdke1cqAbMTBDzQd</t>
  </si>
  <si>
    <t>Medina Aulia Hapsari, S.Pd</t>
  </si>
  <si>
    <t>089649464087</t>
  </si>
  <si>
    <t>3506174101960003</t>
  </si>
  <si>
    <t xml:space="preserve">Perum Griya Pelem Indah Persada Blok A6 Ds. Pelem Kec. Pare Kab. Kediri </t>
  </si>
  <si>
    <t>IAIN Surakarta and now has changed the name into UIN R.M Said Surakarta</t>
  </si>
  <si>
    <t>English Tutor - BIAS Education (present)</t>
  </si>
  <si>
    <t>English Tutor - English Madany (present)</t>
  </si>
  <si>
    <t>English Teacher - SMP Islam Al-Falah Deltasari, Sidoarjo</t>
  </si>
  <si>
    <t>4.000.000 - 4.500.000</t>
  </si>
  <si>
    <t>medinaauliahapsari@gmail.com</t>
  </si>
  <si>
    <t>1UA-DpAYUNCIGdX-02QtDpRLuUqGAtigDFx_ACAISgqY</t>
  </si>
  <si>
    <t>https://docs.google.com/document/d/1UA-DpAYUNCIGdX-02QtDpRLuUqGAtigDFx_ACAISgqY/edit?usp=drivesdk</t>
  </si>
  <si>
    <t>Document successfully created; Document successfully merged; Run via form trigger as kemal.stafsus@gmail.com; Timestamp: Apr 30 2026 5:12 AM</t>
  </si>
  <si>
    <t>https://drive.google.com/open?id=1_Z_NfDr4yyBl79qsLnf_9Yv3jXDToAmX</t>
  </si>
  <si>
    <t>https://drive.google.com/uc?export=view&amp;id=1_Z_NfDr4yyBl79qsLnf_9Yv3jXDToAmX</t>
  </si>
  <si>
    <t>Shelfy Rahma Andi Sofian, S.Pd., M.Pd</t>
  </si>
  <si>
    <t>081329443333</t>
  </si>
  <si>
    <t>3509214409960002</t>
  </si>
  <si>
    <t>Perumahan Bedadung Indah W-14 Jember</t>
  </si>
  <si>
    <t>4 September 1996</t>
  </si>
  <si>
    <t>Science-English-Math</t>
  </si>
  <si>
    <t>MTs Negeri 2 Jember</t>
  </si>
  <si>
    <t>rahasia</t>
  </si>
  <si>
    <t>SD IIS PSM Magetan</t>
  </si>
  <si>
    <t>Rahasia</t>
  </si>
  <si>
    <t>SMA Fitrah Islamic World Academy</t>
  </si>
  <si>
    <t>rahmashelfy@gmail.com</t>
  </si>
  <si>
    <t>1hW-6ue87doIKlVbr3VwUgtpOdqYQEDmmvKOFu4OtRJI</t>
  </si>
  <si>
    <t>https://docs.google.com/document/d/1hW-6ue87doIKlVbr3VwUgtpOdqYQEDmmvKOFu4OtRJI/edit?usp=drivesdk</t>
  </si>
  <si>
    <t>Document successfully created; Document successfully merged; Run via form trigger as kemal.stafsus@gmail.com; Timestamp: May 5 2026 3:58 AM</t>
  </si>
  <si>
    <t>https://drive.google.com/open?id=1Qr6Leyco0Z768jTHJE5Tw60YqBDzb5TJ</t>
  </si>
  <si>
    <t>https://drive.google.com/uc?export=view&amp;id=1Qr6Leyco0Z768jTHJE5Tw60YqBDzb5TJ</t>
  </si>
  <si>
    <t>Ghina</t>
  </si>
  <si>
    <t>0895381502020</t>
  </si>
  <si>
    <t>3202106301010003</t>
  </si>
  <si>
    <t>Kp. Ciangsana 2, desa Sukamulya, kec. Cikembar, kab. Sukabumi, Jawa Barat</t>
  </si>
  <si>
    <t>23-01-2001</t>
  </si>
  <si>
    <t>Institut Muslim Cendekia</t>
  </si>
  <si>
    <t>Komunikasi dan Penyiaran Islam</t>
  </si>
  <si>
    <t>(Pengabdian wajib dari pesantren) guru fiqh dan khot, musyrifah asrama</t>
  </si>
  <si>
    <t>Guru tahfidz (setoran dan sima'ah) - magang</t>
  </si>
  <si>
    <t>aghina707@gmail.com</t>
  </si>
  <si>
    <t>1rBSivnPlnS--YUfeL-lSu_quu4VJOaVOJg3I0_rquF0</t>
  </si>
  <si>
    <t>https://docs.google.com/document/d/1rBSivnPlnS--YUfeL-lSu_quu4VJOaVOJg3I0_rquF0/edit?usp=drivesdk</t>
  </si>
  <si>
    <t>Document successfully created; Document successfully merged; Run via form trigger as kemal.stafsus@gmail.com; Timestamp: May 5 2026 5:45 AM</t>
  </si>
  <si>
    <t>https://drive.google.com/open?id=1qLPsqJB-lCYXIo3eAWi9L40Knt8K3fu9</t>
  </si>
  <si>
    <t>https://drive.google.com/uc?export=view&amp;id=1qLPsqJB-lCYXIo3eAWi9L40Knt8K3fu9</t>
  </si>
  <si>
    <t xml:space="preserve">Faqih Ahmad Rizki </t>
  </si>
  <si>
    <t>085785027408</t>
  </si>
  <si>
    <t>3216192402970003</t>
  </si>
  <si>
    <t>Perumahan Sukatani Permai, Sukatani Tapos Depok</t>
  </si>
  <si>
    <t>24 Februari 1997</t>
  </si>
  <si>
    <t>Aqidan dan Dakwah</t>
  </si>
  <si>
    <t>Musyrif dan Guru Tahfizh</t>
  </si>
  <si>
    <t xml:space="preserve">Staff Guru dan Sekertaris </t>
  </si>
  <si>
    <t>Wakil Kepala Sekolah dan Kesiswaan</t>
  </si>
  <si>
    <t>faqih240297@gmail.com</t>
  </si>
  <si>
    <t>1MyyWYmx2XY_51tGLBYFP4freVFLyzMG5FaBS-8pWbcE</t>
  </si>
  <si>
    <t>https://docs.google.com/document/d/1MyyWYmx2XY_51tGLBYFP4freVFLyzMG5FaBS-8pWbcE/edit?usp=drivesdk</t>
  </si>
  <si>
    <t>Document successfully created; Document successfully merged; Run via form trigger as kemal.stafsus@gmail.com; Timestamp: May 6 2026 1:31 AM</t>
  </si>
  <si>
    <t>https://drive.google.com/open?id=1sIwE7qrAmEzGJ1tDHKMn4WkXkF_E_w-k</t>
  </si>
  <si>
    <t>https://drive.google.com/uc?export=view&amp;id=1sIwE7qrAmEzGJ1tDHKMn4WkXkF_E_w-k</t>
  </si>
  <si>
    <t>Ghina Akhiru Syawaliyah, S.Sos</t>
  </si>
  <si>
    <t>kp.Ciangsana 2, desa Sukamulya, kec.Cikembar, kab.Sukabumi, Jawa Barat</t>
  </si>
  <si>
    <t>Guru diniyyah &amp; Musyrifah asrama</t>
  </si>
  <si>
    <t>Guru tahfidz (magang)</t>
  </si>
  <si>
    <t>13HNa_sgX_ygm9_a1iq_bB-If9q7o0iP8Zhbt5PgQDXo</t>
  </si>
  <si>
    <t>https://docs.google.com/document/d/13HNa_sgX_ygm9_a1iq_bB-If9q7o0iP8Zhbt5PgQDXo/edit?usp=drivesdk</t>
  </si>
  <si>
    <t>Document successfully created; Document successfully merged; Run via form trigger as kemal.stafsus@gmail.com; Timestamp: May 6 2026 9:03 AM</t>
  </si>
  <si>
    <t>https://drive.google.com/open?id=1EvCjKNdQQtrzPDiLsQw5iVrlpM-3mWLW</t>
  </si>
  <si>
    <t>https://drive.google.com/uc?export=view&amp;id=1EvCjKNdQQtrzPDiLsQw5iVrlpM-3mWLW</t>
  </si>
  <si>
    <t>Muhammad Taufik Ridho B.A</t>
  </si>
  <si>
    <t>085642454143</t>
  </si>
  <si>
    <t>3275012108890024</t>
  </si>
  <si>
    <t>Jl Wijaya Kusuma Raya No 03 Rt 07 Rw 10 BJI Bekasi Timur</t>
  </si>
  <si>
    <t>21-08-1989</t>
  </si>
  <si>
    <t>36 9bulan</t>
  </si>
  <si>
    <t>taufiqridha92@gmail.com</t>
  </si>
  <si>
    <t>11EoZcHmYzd4vJbCb2b8lEWeKKSezxcoSlcHbjaToDEc</t>
  </si>
  <si>
    <t>https://docs.google.com/document/d/11EoZcHmYzd4vJbCb2b8lEWeKKSezxcoSlcHbjaToDEc/edit?usp=drivesdk</t>
  </si>
  <si>
    <t>Document successfully created; Document successfully merged; Run via form trigger as kemal.stafsus@gmail.com; Timestamp: May 6 2026 9:47 PM</t>
  </si>
  <si>
    <t>https://drive.google.com/open?id=15f8qlS58q1byg3-aS7TnlUi9zOaB8pDO</t>
  </si>
  <si>
    <t>https://drive.google.com/uc?export=view&amp;id=15f8qlS58q1byg3-aS7TnlUi9zOaB8pDO</t>
  </si>
  <si>
    <t xml:space="preserve">Perumahan Sukatani Permai Tapos Depok </t>
  </si>
  <si>
    <t>29 Tahun 2 bulan</t>
  </si>
  <si>
    <t>Aqidah dan Dakwah</t>
  </si>
  <si>
    <t>Musyrif dan Staff Guru</t>
  </si>
  <si>
    <t xml:space="preserve">Wakil Kepala Sekolah dan Kesiswaan </t>
  </si>
  <si>
    <t>1daN8RUB_b20U84MyjHsp6KI5gdotVMpQImo71rSKL6Q</t>
  </si>
  <si>
    <t>https://docs.google.com/document/d/1daN8RUB_b20U84MyjHsp6KI5gdotVMpQImo71rSKL6Q/edit?usp=drivesdk</t>
  </si>
  <si>
    <t>Document successfully created; Document successfully merged; Run via form trigger as kemal.stafsus@gmail.com; Timestamp: May 6 2026 10:20 PM</t>
  </si>
  <si>
    <t>https://drive.google.com/open?id=1cfdG_l6zQH_7xGyClInxvhNTM5Br5Pp7</t>
  </si>
  <si>
    <t>https://drive.google.com/uc?export=view&amp;id=1cfdG_l6zQH_7xGyClInxvhNTM5Br5Pp7</t>
  </si>
  <si>
    <t>Nurhanifah, S.Pd., Gr.</t>
  </si>
  <si>
    <t>085781877182</t>
  </si>
  <si>
    <t>5206064610010001</t>
  </si>
  <si>
    <t>Taman Malaka Barat 3d No.E10 RT.1/RW.9, Malaka Sari, Kec. Duren Sawit, Kota Jakarta Timur, Daerah Khusus Ibukota Jakarta 13460</t>
  </si>
  <si>
    <t>06-Oktober-2001</t>
  </si>
  <si>
    <t xml:space="preserve">24 tahun 5 Bulan </t>
  </si>
  <si>
    <t xml:space="preserve">Guru Al-Qur’an </t>
  </si>
  <si>
    <t>Sedang Tahap akhir (Institut Ilmu Al-Qur’an (IIQ) Jakarta)</t>
  </si>
  <si>
    <t>Sedang tahap Tesis</t>
  </si>
  <si>
    <t>Guru kelas dan Guru Diniyah</t>
  </si>
  <si>
    <t xml:space="preserve">Pelatih Ekskul Tahfidz (Labschool) </t>
  </si>
  <si>
    <t xml:space="preserve"> 3.800.000-4.500.000</t>
  </si>
  <si>
    <t>nrhnifah19@gmail.com</t>
  </si>
  <si>
    <t>1hkkmybFdOxW0bowq881_1xAvVumR16HuwEmvRkvMQjo</t>
  </si>
  <si>
    <t>https://docs.google.com/document/d/1hkkmybFdOxW0bowq881_1xAvVumR16HuwEmvRkvMQjo/edit?usp=drivesdk</t>
  </si>
  <si>
    <t>Document successfully created; Document successfully merged; Run via form trigger as kemal.stafsus@gmail.com; Timestamp: May 15 2026 7:24 AM</t>
  </si>
  <si>
    <t>https://drive.google.com/open?id=1iwJ5vFVR8_eI0-ZluFqEFXdTyRZKi0oA</t>
  </si>
  <si>
    <t>https://drive.google.com/uc?export=view&amp;id=1iwJ5vFVR8_eI0-ZluFqEFXdTyRZKi0oA</t>
  </si>
  <si>
    <t>RIZALUDIN KAMIL, B.A</t>
  </si>
  <si>
    <t>081313336394</t>
  </si>
  <si>
    <t>X3565060</t>
  </si>
  <si>
    <t>Arab Saudi</t>
  </si>
  <si>
    <t>9 Maret 2000</t>
  </si>
  <si>
    <t>26 Tahun 2 Bulan</t>
  </si>
  <si>
    <t>Aqidah, Fiqh, Hadits Dan Mapel Diniyah Lainnya.</t>
  </si>
  <si>
    <t>Universitas Hafr Al Batin</t>
  </si>
  <si>
    <t>Studi Islam</t>
  </si>
  <si>
    <t>Guru Diniyah dan Arabic</t>
  </si>
  <si>
    <t>farizaludin93@gmail.com</t>
  </si>
  <si>
    <t>144Eue8Z9fYWuLsL8mo3hD110adABI10HVep4-YxZuGc</t>
  </si>
  <si>
    <t>https://docs.google.com/document/d/144Eue8Z9fYWuLsL8mo3hD110adABI10HVep4-YxZuGc/edit?usp=drivesdk</t>
  </si>
  <si>
    <t>Document successfully created; Document successfully merged; Run via form trigger as kemal.stafsus@gmail.com; Timestamp: May 20 2026 12:45 AM</t>
  </si>
  <si>
    <t>https://drive.google.com/open?id=1NcqO_U5EwtX4f_9BuHqSSbNOdMRsJH-S</t>
  </si>
  <si>
    <t>https://drive.google.com/uc?export=view&amp;id=1NcqO_U5EwtX4f_9BuHqSSbNOdMRsJH-S</t>
  </si>
  <si>
    <t>Dedy Arianda, S.Si., B.A.</t>
  </si>
  <si>
    <t>081317564396</t>
  </si>
  <si>
    <t>3275100208920003</t>
  </si>
  <si>
    <t>Jl. Tarumanegara Atas, Gg. Bima no. 25, RT 06/RW 04 Kel. Jatiranggon Kec. Jatisampurna Bekasi</t>
  </si>
  <si>
    <t>02-08-1992</t>
  </si>
  <si>
    <t>33 Tahun 9 Bulan</t>
  </si>
  <si>
    <t>S1 - LIPIA Jakarta (Universitas Islam Imam Muhammad Ibn Saud)</t>
  </si>
  <si>
    <t>ariandadedy@gmail.com</t>
  </si>
  <si>
    <t>10is4kAXR1oKtJLlbplkEykkvqjtb780MJJmOy8Yfy5I</t>
  </si>
  <si>
    <t>https://docs.google.com/document/d/10is4kAXR1oKtJLlbplkEykkvqjtb780MJJmOy8Yfy5I/edit?usp=drivesdk</t>
  </si>
  <si>
    <t>Document successfully created; Document successfully merged; Run via form trigger as kemal.stafsus@gmail.com; Timestamp: May 20 2026 1:44 AM</t>
  </si>
  <si>
    <t>https://drive.google.com/open?id=1NneM8NfzpRpfm-XjjkS2IoQ07TNRfR_R</t>
  </si>
  <si>
    <t>https://drive.google.com/uc?export=view&amp;id=1NneM8NfzpRpfm-XjjkS2IoQ07TNRfR_R</t>
  </si>
  <si>
    <t>Muh. Rifki Rahmatullah, Lc.</t>
  </si>
  <si>
    <t>087859027626</t>
  </si>
  <si>
    <t>5201024701010001</t>
  </si>
  <si>
    <t>07-01-2001</t>
  </si>
  <si>
    <t>Arabic Diniyah Alqur'an</t>
  </si>
  <si>
    <t>Guru honorer</t>
  </si>
  <si>
    <t>rifkirahmatullah18@gmail.com</t>
  </si>
  <si>
    <t>1iv0xfEGBqEV0WPrwSvd9WtN6QFyOEgRgJN1JoTmf3iw</t>
  </si>
  <si>
    <t>https://docs.google.com/document/d/1iv0xfEGBqEV0WPrwSvd9WtN6QFyOEgRgJN1JoTmf3iw/edit?usp=drivesdk</t>
  </si>
  <si>
    <t>Document successfully created; Document successfully merged; Run via form trigger as kemal.stafsus@gmail.com; Timestamp: May 20 2026 1:46 AM</t>
  </si>
  <si>
    <t>https://drive.google.com/open?id=1cVlWiCnccLEl8M3jb71xVJ9nxw8afffg</t>
  </si>
  <si>
    <t>https://drive.google.com/uc?export=view&amp;id=1cVlWiCnccLEl8M3jb71xVJ9nxw8afffg</t>
  </si>
  <si>
    <t>PUTRI JULIA MAEMUM, S.Pd.</t>
  </si>
  <si>
    <t>08979775580</t>
  </si>
  <si>
    <t>5271026907010001</t>
  </si>
  <si>
    <t>Jl. Metroraya 9, blok BO no. 09, Perumahan Bellpark 2, Kekeri, Gunung sari, Lombok Barat, NTB</t>
  </si>
  <si>
    <t>29-07-2001</t>
  </si>
  <si>
    <t>Physics Cambridge</t>
  </si>
  <si>
    <t>Guru kelas TK</t>
  </si>
  <si>
    <t>putrijuliam@gmail.com</t>
  </si>
  <si>
    <t>18_WWf357IrLkR2SP6mXJ6JV40Dh3oskNVnuaid1AP2g</t>
  </si>
  <si>
    <t>https://docs.google.com/document/d/18_WWf357IrLkR2SP6mXJ6JV40Dh3oskNVnuaid1AP2g/edit?usp=drivesdk</t>
  </si>
  <si>
    <t>Document successfully created; Document successfully merged; Run via form trigger as kemal.stafsus@gmail.com; Timestamp: May 20 2026 7:46 AM</t>
  </si>
  <si>
    <t>https://drive.google.com/open?id=1CMABnZidlgvBZhFfIXsFCIA5lq0wmZ2f</t>
  </si>
  <si>
    <t>https://drive.google.com/uc?export=view&amp;id=1CMABnZidlgvBZhFfIXsFCIA5lq0wmZ2f</t>
  </si>
  <si>
    <t>Syifa Nur Azizah, BA</t>
  </si>
  <si>
    <t>085771898581</t>
  </si>
  <si>
    <t>3215135308000005</t>
  </si>
  <si>
    <t xml:space="preserve">Jl. Pahlawan, Karang Asem Barat, Citeureup Bogor. </t>
  </si>
  <si>
    <t>13 08 2000</t>
  </si>
  <si>
    <t>4,48/5</t>
  </si>
  <si>
    <t>Guru Mapel B. Arab tingkat SD/MI</t>
  </si>
  <si>
    <t>Musyrifah dan Guru Ulumusy syar’i Ponpes</t>
  </si>
  <si>
    <t>syifaelhafidzoh1313@gmail.com</t>
  </si>
  <si>
    <t>1eKEboqeGMhxylzK-pTOUa0yxtWshEgPeKVv3GUyd5TQ</t>
  </si>
  <si>
    <t>https://docs.google.com/document/d/1eKEboqeGMhxylzK-pTOUa0yxtWshEgPeKVv3GUyd5TQ/edit?usp=drivesdk</t>
  </si>
  <si>
    <t>Document successfully created; Document successfully merged; Run via form trigger as kemal.stafsus@gmail.com; Timestamp: May 20 2026 11:52 PM</t>
  </si>
  <si>
    <t>https://drive.google.com/open?id=1T9VAxKkQsutkM25RLP-W6hxZRZi0RYog</t>
  </si>
  <si>
    <t>https://drive.google.com/uc?export=view&amp;id=1T9VAxKkQsutkM25RLP-W6hxZRZi0RYog</t>
  </si>
  <si>
    <t>M. Putra Sani Hattamurrahman, S.Mat., M.Mat., Gr.</t>
  </si>
  <si>
    <t>087855227497</t>
  </si>
  <si>
    <t>5203092701980003</t>
  </si>
  <si>
    <t>Jalan Raya Babakan RT 001/RW 001, Dramaga, Bogor</t>
  </si>
  <si>
    <t>27-01-1998</t>
  </si>
  <si>
    <t>Dosen LB Matematika</t>
  </si>
  <si>
    <t>SMPIT Darul Quran</t>
  </si>
  <si>
    <t>SMK Kesehatan Karya Adi Husada</t>
  </si>
  <si>
    <t>sanihatta98@gmail.com</t>
  </si>
  <si>
    <t>12Dybe7YbXz5QDFDGtykqDEuXQPeha-CgRzpMSFCZtWA</t>
  </si>
  <si>
    <t>https://docs.google.com/document/d/12Dybe7YbXz5QDFDGtykqDEuXQPeha-CgRzpMSFCZtWA/edit?usp=drivesdk</t>
  </si>
  <si>
    <t>Document successfully created; Document successfully merged; Run via form trigger as kemal.stafsus@gmail.com; Timestamp: May 21 2026 12:53 AM</t>
  </si>
  <si>
    <t>https://drive.google.com/open?id=1u2FYgwEzV98jJHW65f5htcQpb2WuZGKA</t>
  </si>
  <si>
    <t>https://drive.google.com/uc?export=view&amp;id=1u2FYgwEzV98jJHW65f5htcQpb2WuZGKA</t>
  </si>
  <si>
    <t>NURUL NAHARIS SA'ADAH, S.Pd</t>
  </si>
  <si>
    <t>0818201302</t>
  </si>
  <si>
    <t>3603124208920003</t>
  </si>
  <si>
    <t>GRAND MUSLIM CLUSTER YASMIN BLOK G NO 2, TERONG TAWAH -  LABU API.</t>
  </si>
  <si>
    <t>33 TAHUN 8 BULAN</t>
  </si>
  <si>
    <t>OLAHRAGA</t>
  </si>
  <si>
    <t>PENDIDIKAN JASMANI OLAHRAGA, KESEHATAN DAN REKREASI</t>
  </si>
  <si>
    <t>LEIPZIG UNIVERSITY - GERMAN</t>
  </si>
  <si>
    <t>SPORTS MANAGEMENT</t>
  </si>
  <si>
    <t>PELATIH RENANG DAN ATLETIK ANAK USIA DINI</t>
  </si>
  <si>
    <t xml:space="preserve">GURU OLAHRAGA TK SD DI BM 400 PONDOK INDAH </t>
  </si>
  <si>
    <t>ATLET CRICKET DKI JAKARTA</t>
  </si>
  <si>
    <t>003598748055</t>
  </si>
  <si>
    <t>DANAMON</t>
  </si>
  <si>
    <t>naharis22@gmail.com</t>
  </si>
  <si>
    <t>1sahzYw1mIzeHXphe7hu4pPfnzfgHVZMBGLfxBmzCPlY</t>
  </si>
  <si>
    <t>https://docs.google.com/document/d/1sahzYw1mIzeHXphe7hu4pPfnzfgHVZMBGLfxBmzCPlY/edit?usp=drivesdk</t>
  </si>
  <si>
    <t>Document successfully created; Document successfully merged; Run via form trigger as kemal.stafsus@gmail.com; Timestamp: May 21 2026 1:03 AM</t>
  </si>
  <si>
    <t>https://drive.google.com/open?id=17QUSCSQy5_wMeBiXG7PigYvDmxjyf_a8</t>
  </si>
  <si>
    <t>https://drive.google.com/uc?export=view&amp;id=17QUSCSQy5_wMeBiXG7PigYvDmxjyf_a8</t>
  </si>
  <si>
    <t>M. Gozali Tayib, S.Ag., M.Pd.</t>
  </si>
  <si>
    <t>085860001141</t>
  </si>
  <si>
    <t>5202063112980011</t>
  </si>
  <si>
    <t>Jl. H. Miing No.67, Karihkil, Kec. Ciseeng, Kabupaten Bogor, Jawa Barat 16120</t>
  </si>
  <si>
    <t>Bulang</t>
  </si>
  <si>
    <t>31 Desember 1998</t>
  </si>
  <si>
    <t>27 Tahun 5 Bulan</t>
  </si>
  <si>
    <t>Uinversitas Islam An Nur Lampung</t>
  </si>
  <si>
    <t>3.51 (Transkip Sementara)</t>
  </si>
  <si>
    <t>Personal Develoment Coordinator (PDC) Diniyah FIWA</t>
  </si>
  <si>
    <t>mgozalitayib311298@gmail.com</t>
  </si>
  <si>
    <t>1t1v0cykxyafg08jSZg-a1wplfD0YKoX8l6qzHjLziH8</t>
  </si>
  <si>
    <t>https://docs.google.com/document/d/1t1v0cykxyafg08jSZg-a1wplfD0YKoX8l6qzHjLziH8/edit?usp=drivesdk</t>
  </si>
  <si>
    <t>Document successfully created; Document successfully merged; Run via form trigger as kemal.stafsus@gmail.com; Timestamp: May 21 2026 3:06 AM</t>
  </si>
  <si>
    <t>https://drive.google.com/open?id=1g2Ivq57IQKimlL-bjPqRp0KVD9NaJ_af</t>
  </si>
  <si>
    <t>https://drive.google.com/uc?export=view&amp;id=1g2Ivq57IQKimlL-bjPqRp0KVD9NaJ_af</t>
  </si>
  <si>
    <t>Wildan Akhmad Syauqi, S.Ag.</t>
  </si>
  <si>
    <t>085374271030</t>
  </si>
  <si>
    <t>5201032002010001</t>
  </si>
  <si>
    <t>Jl. Tegal Banyu, Desa Lembuak, Kec. Narmada, Kab. Lobar, NTB.</t>
  </si>
  <si>
    <t>20-02-2001</t>
  </si>
  <si>
    <t>Pembina asrama, guru, dan ketua koordinator tahfidz di MQL Pamijahan Kab. Bogor</t>
  </si>
  <si>
    <t>wildanakhmadsyauqi01@gmail.com</t>
  </si>
  <si>
    <t>1oQkDiGsn3Flh48-lawM9K6XvkpPDzD2DHRSDwOMZP30</t>
  </si>
  <si>
    <t>https://docs.google.com/document/d/1oQkDiGsn3Flh48-lawM9K6XvkpPDzD2DHRSDwOMZP30/edit?usp=drivesdk</t>
  </si>
  <si>
    <t>Document successfully created; Document successfully merged; Run via form trigger as kemal.stafsus@gmail.com; Timestamp: May 22 2026 7:32 AM</t>
  </si>
  <si>
    <t>https://drive.google.com/open?id=113nyTwSl2jkOwgfb0Jd_1Lj3_ESRHweD</t>
  </si>
  <si>
    <t>https://drive.google.com/uc?export=view&amp;id=113nyTwSl2jkOwgfb0Jd_1Lj3_ESRHweD</t>
  </si>
  <si>
    <t>Balqis Mumtazah, S.Pd., Gr.</t>
  </si>
  <si>
    <t>081776658695</t>
  </si>
  <si>
    <t>3671056805010002</t>
  </si>
  <si>
    <t>Jl. KH Ahmad Dahlan 004/002 Kel. Petir, Kec. Cipondoh, Kota Tangerang, Banten</t>
  </si>
  <si>
    <t>28-05-2001</t>
  </si>
  <si>
    <t>25 Tahun 0 Bulan</t>
  </si>
  <si>
    <t>Math Cambridge/ Matematika</t>
  </si>
  <si>
    <t>Guru Matematika SMP di Bimbel One Learning Center</t>
  </si>
  <si>
    <t>Guru Matematika SMP (Tutor Privat) di Les Privat To Be</t>
  </si>
  <si>
    <t>Guru Matematika SMP (Guru Magang) di SMP Muhammadiyah 22 Setiabudi Pamulang</t>
  </si>
  <si>
    <t>balqisdwisaim28@gmail.com</t>
  </si>
  <si>
    <t>1e-ZRO2dvI8OzuuBBXOTdBetokMz1jJysG5dnz7U7UAI</t>
  </si>
  <si>
    <t>https://docs.google.com/document/d/1e-ZRO2dvI8OzuuBBXOTdBetokMz1jJysG5dnz7U7UAI/edit?usp=drivesdk</t>
  </si>
  <si>
    <t>Document successfully created; Document successfully merged; Run via form trigger as kemal.stafsus@gmail.com; Timestamp: May 24 2026 10:12 PM</t>
  </si>
  <si>
    <t>https://drive.google.com/open?id=1r6pbVU8UNfUMo0XyGqE7o86FG53Xzdq9</t>
  </si>
  <si>
    <t>https://drive.google.com/uc?export=view&amp;id=1r6pbVU8UNfUMo0XyGqE7o86FG53Xzdq9</t>
  </si>
  <si>
    <t>Hidayanti Utami, S.Sos., Gr.</t>
  </si>
  <si>
    <t>089681890986</t>
  </si>
  <si>
    <t>3216196106010002</t>
  </si>
  <si>
    <t>Perum Wahana Cikarang Blok B 4 No. 8 RT/RW 01/009 Desa Sukadami Kec. Cikarang Selatan Kab. Bekasi, Jawa Barat</t>
  </si>
  <si>
    <t>21 Juni 2001</t>
  </si>
  <si>
    <t>Shadow Teacher - TKIT Daarul Ilmi</t>
  </si>
  <si>
    <t>SMAN 1 Cikarang Selatan</t>
  </si>
  <si>
    <t>SMP Angkasa Adisutjipto Yogyakarta</t>
  </si>
  <si>
    <t>hidayantiutami21@gmail.com</t>
  </si>
  <si>
    <t>1mWhiXMevcaI_PGNOzKX2y-st8K-ZXXqt5jM63KUYueA</t>
  </si>
  <si>
    <t>https://docs.google.com/document/d/1mWhiXMevcaI_PGNOzKX2y-st8K-ZXXqt5jM63KUYueA/edit?usp=drivesdk</t>
  </si>
  <si>
    <t>Document successfully created; Document successfully merged; Run via form trigger as kemal.stafsus@gmail.com; Timestamp: May 26 2026 2:40 AM</t>
  </si>
  <si>
    <t>https://drive.google.com/open?id=1LOB8raGhh2QVAVGf4RtpaxqU7LqC4lNs</t>
  </si>
  <si>
    <t>https://drive.google.com/uc?export=view&amp;id=1LOB8raGhh2QVAVGf4RtpaxqU7LqC4lNs</t>
  </si>
  <si>
    <t>Moch Maulana Akbar Tanjung, S.Pd.I</t>
  </si>
  <si>
    <t>085697282810</t>
  </si>
  <si>
    <t>3216062110880013</t>
  </si>
  <si>
    <t>Kp. Karajan Rt 01/Rw 01 desa Mekarjaya Kec. Purwasari 
Kab. Karawang 41373
(Patokan belakang rumah bp. RT Satim)</t>
  </si>
  <si>
    <t>21 Oktober 1988</t>
  </si>
  <si>
    <t>37 tahun 5 bulan</t>
  </si>
  <si>
    <t xml:space="preserve">PTS Lan Taboer </t>
  </si>
  <si>
    <t>Guru Diniyah &amp; Kepala Kesantrian</t>
  </si>
  <si>
    <t>Guru Diniyyah &amp; kepala Kesantrian</t>
  </si>
  <si>
    <t>Guru Diniyyah &amp; Kepala Kesantrian</t>
  </si>
  <si>
    <t>mochmaulanaakbartanjung@gmail.com</t>
  </si>
  <si>
    <t>1nppjWmm43v_kE0g8v5bR9N439YyrEbR6gwOeiT7eUVo</t>
  </si>
  <si>
    <t>https://docs.google.com/document/d/1nppjWmm43v_kE0g8v5bR9N439YyrEbR6gwOeiT7eUVo/edit?usp=drivesdk</t>
  </si>
  <si>
    <t>Document successfully created; Document successfully merged; Run via form trigger as kemal.stafsus@gmail.com; Timestamp: May 26 2026 3:11 AM</t>
  </si>
  <si>
    <t>https://drive.google.com/open?id=148g4kMSzVOZn5Dpk3nbH6_PTpT21TUM8</t>
  </si>
  <si>
    <t>https://drive.google.com/uc?export=view&amp;id=148g4kMSzVOZn5Dpk3nbH6_PTpT21TUM8</t>
  </si>
  <si>
    <t>Muhammad Adbi Ramdani, BA.</t>
  </si>
  <si>
    <t>087775725792</t>
  </si>
  <si>
    <t>5201010107980349</t>
  </si>
  <si>
    <t>Ciledug</t>
  </si>
  <si>
    <t>Gerung, Lombok Barat</t>
  </si>
  <si>
    <t>26 - 01 - 1998</t>
  </si>
  <si>
    <t>Al Quran, Diniyah , dan Arab</t>
  </si>
  <si>
    <t>muhamadadbi2628@gmail.com</t>
  </si>
  <si>
    <t>1vCR_Cv-xypThWdFUmzKB1WhP84n8qRE2Tajs5SM359U</t>
  </si>
  <si>
    <t>https://docs.google.com/document/d/1vCR_Cv-xypThWdFUmzKB1WhP84n8qRE2Tajs5SM359U/edit?usp=drivesdk</t>
  </si>
  <si>
    <t>Document successfully created; Document successfully merged; Run via form trigger as kemal.stafsus@gmail.com; Timestamp: May 26 2026 3:14 AM</t>
  </si>
  <si>
    <t>https://drive.google.com/open?id=1mSzXk7caVwDHuaHQ84dO6rMbu322ArmW</t>
  </si>
  <si>
    <t>https://drive.google.com/uc?export=view&amp;id=1mSzXk7caVwDHuaHQ84dO6rMbu322ArmW</t>
  </si>
  <si>
    <t>Dr. Sahri Suwandi, M.Pd</t>
  </si>
  <si>
    <t>08175744297</t>
  </si>
  <si>
    <t>5271041712780001</t>
  </si>
  <si>
    <t xml:space="preserve">Jl. Gunuk Ciliwung, RT. 09. RW. 05 No 80B Tanjung Barat Jagakarsa Jakarta Selatan </t>
  </si>
  <si>
    <t>17-12-1978</t>
  </si>
  <si>
    <t>47,5 Tahun</t>
  </si>
  <si>
    <t>Al-Wildan 29 DEPOK</t>
  </si>
  <si>
    <t xml:space="preserve">PTS IKIP Mataram </t>
  </si>
  <si>
    <t xml:space="preserve">PTN Universitas Negeri Malang </t>
  </si>
  <si>
    <t xml:space="preserve">Pendidikan Luar Sekolah </t>
  </si>
  <si>
    <t xml:space="preserve">PTN Universitas Negeri Jakarta </t>
  </si>
  <si>
    <t xml:space="preserve">Linguistik Terapan </t>
  </si>
  <si>
    <t>sahriwndi@gmail.com</t>
  </si>
  <si>
    <t>1BxoleWeYxIkjh_OM5zrl6rfdxuDwKINjPgjMA_pw1Cc</t>
  </si>
  <si>
    <t>https://docs.google.com/document/d/1BxoleWeYxIkjh_OM5zrl6rfdxuDwKINjPgjMA_pw1Cc/edit?usp=drivesdk</t>
  </si>
  <si>
    <t>Document successfully created; Document successfully merged; Run via form trigger as kemal.stafsus@gmail.com; Timestamp: Jun 1 2026 3:52 AM</t>
  </si>
  <si>
    <t>https://drive.google.com/open?id=1ErnhF1RYj-6popcgFjpQtQthViN2bMcf</t>
  </si>
  <si>
    <t>https://drive.google.com/uc?export=view&amp;id=1ErnhF1RYj-6popcgFjpQtQthViN2bMcf</t>
  </si>
  <si>
    <t>Guru Arabic di Bintang Pelajar
wali kelas
pembina osis
koordinator bina prestasi dan akhlaq</t>
  </si>
  <si>
    <t>5.600.000 - 5.950.000</t>
  </si>
  <si>
    <t>1blg1J6GaHDlR29htop3qrsJLyXg0W479qrlRJEpHTlU</t>
  </si>
  <si>
    <t>https://docs.google.com/document/d/1blg1J6GaHDlR29htop3qrsJLyXg0W479qrlRJEpHTlU/edit?usp=drivesdk</t>
  </si>
  <si>
    <t>Document successfully created; Document successfully merged; Run via form trigger as kemal.stafsus@gmail.com; Timestamp: Jun 2 2026 9:24 PM</t>
  </si>
  <si>
    <t>https://drive.google.com/open?id=1Xsw9SNM52msakMBLxXaxn0TsmImNIz2E</t>
  </si>
  <si>
    <t>https://drive.google.com/uc?export=view&amp;id=1Xsw9SNM52msakMBLxXaxn0TsmImNIz2E</t>
  </si>
  <si>
    <t xml:space="preserve">Riyan Ade Putra </t>
  </si>
  <si>
    <t>081296995943</t>
  </si>
  <si>
    <t>5308022106940001</t>
  </si>
  <si>
    <t>Jl perwira, Kel. Kota Raja, Kec. Ende Utara, Kab. Ende NTT</t>
  </si>
  <si>
    <t>Roo</t>
  </si>
  <si>
    <t>12-06-1994</t>
  </si>
  <si>
    <t>4.69</t>
  </si>
  <si>
    <t>8000.000-10.000.000</t>
  </si>
  <si>
    <t>adeputrariyan12@gmail.com</t>
  </si>
  <si>
    <t>1pe-KupxP4BSwl3y-7_xZ2Ef4MCZMKx_IhsAW7HryjdA</t>
  </si>
  <si>
    <t>https://docs.google.com/document/d/1pe-KupxP4BSwl3y-7_xZ2Ef4MCZMKx_IhsAW7HryjdA/edit?usp=drivesdk</t>
  </si>
  <si>
    <t>Document successfully created; Document successfully merged; Run via form trigger as kemal.stafsus@gmail.com; Timestamp: Jun 3 2026 3:09 AM</t>
  </si>
  <si>
    <t>https://drive.google.com/open?id=1LhmoMLEsHCv0AzAA75LC7MzxSRn7QzBq</t>
  </si>
  <si>
    <t>https://drive.google.com/uc?export=view&amp;id=1LhmoMLEsHCv0AzAA75LC7MzxSRn7QzBq</t>
  </si>
  <si>
    <t>Febri Yuniarsi</t>
  </si>
  <si>
    <t>082344020002</t>
  </si>
  <si>
    <t>7302084407730001</t>
  </si>
  <si>
    <t>Bulukumba, Sulawesi Selatana</t>
  </si>
  <si>
    <t>Jumat, 5 Februari 1999</t>
  </si>
  <si>
    <t>27 Tahun 3 Bulan</t>
  </si>
  <si>
    <t>4.44</t>
  </si>
  <si>
    <t>febriyuniarsi05@gmail.com</t>
  </si>
  <si>
    <t>16fqv8ZnwKD1zaC5Is_VjX0aBGhLZEUWg0Fr4b5mNJ14</t>
  </si>
  <si>
    <t>https://docs.google.com/document/d/16fqv8ZnwKD1zaC5Is_VjX0aBGhLZEUWg0Fr4b5mNJ14/edit?usp=drivesdk</t>
  </si>
  <si>
    <t>Document successfully created; Document successfully merged; Run via form trigger as kemal.stafsus@gmail.com; Timestamp: Jun 3 2026 4:44 AM</t>
  </si>
  <si>
    <t>https://drive.google.com/open?id=1Mwvq-z0G3MmS8gUFCLBS7frXtY4n6KuF</t>
  </si>
  <si>
    <t>https://drive.google.com/uc?export=view&amp;id=1Mwvq-z0G3MmS8gUFCLBS7frXtY4n6KuF</t>
  </si>
  <si>
    <t>MUH.FAHIR, S.Pd.</t>
  </si>
  <si>
    <t>082353334321</t>
  </si>
  <si>
    <t>7371120408970004</t>
  </si>
  <si>
    <t>Jl. Borong Raya Baru 1 Lr. 4 No. 2 Kel. Batua Kec. Manggala, Kota Makassar - Sulawesi Selatan 90233</t>
  </si>
  <si>
    <t xml:space="preserve">Sinjai </t>
  </si>
  <si>
    <t xml:space="preserve">Sekolah Tinggi Darud Da'wah wal Irsyad Jeneponto </t>
  </si>
  <si>
    <t xml:space="preserve">Guru Diniyah di PPTQ Minhajul Qashidin Rumbia, Jeneponto </t>
  </si>
  <si>
    <t xml:space="preserve">Guru Al-Qur'an di TPQ Nurul Fajar Makassar </t>
  </si>
  <si>
    <t>ibnunufays@gmail.com</t>
  </si>
  <si>
    <t>1qz-vaFCJ4kNGUr0jkex72H1SF0k9mg9Y2Qest5UD4H4</t>
  </si>
  <si>
    <t>https://docs.google.com/document/d/1qz-vaFCJ4kNGUr0jkex72H1SF0k9mg9Y2Qest5UD4H4/edit?usp=drivesdk</t>
  </si>
  <si>
    <t>Document successfully created; Document successfully merged; Run via form trigger as kemal.stafsus@gmail.com; Timestamp: Jun 3 2026 5:21 AM</t>
  </si>
  <si>
    <t>https://drive.google.com/open?id=1xaZB9K854ubSZHpI61Gtkn9lZn-zrASS</t>
  </si>
  <si>
    <t>https://drive.google.com/uc?export=view&amp;id=1xaZB9K854ubSZHpI61Gtkn9lZn-zrASS</t>
  </si>
  <si>
    <t xml:space="preserve">Auralia Kamila Putri, B.A. </t>
  </si>
  <si>
    <t>081288308401</t>
  </si>
  <si>
    <t>3201027101030004</t>
  </si>
  <si>
    <t>Perumahan Vilanusa Indah Blok GG3/1, Bojong Kulur, Kec. Gn. Putri, Bogor Kab, Jawa Barat</t>
  </si>
  <si>
    <t>31-01-2003</t>
  </si>
  <si>
    <t>4.80</t>
  </si>
  <si>
    <t>Guru pengabdian siroh</t>
  </si>
  <si>
    <t>Guru Tpq musholla</t>
  </si>
  <si>
    <t>auraliakamila@gmail.com</t>
  </si>
  <si>
    <t>1mV9WQodu_AyLCEEnq-ciI41EoTnaUT6r5EIVTEisCho</t>
  </si>
  <si>
    <t>https://docs.google.com/document/d/1mV9WQodu_AyLCEEnq-ciI41EoTnaUT6r5EIVTEisCho/edit?usp=drivesdk</t>
  </si>
  <si>
    <t>Document successfully created; Document successfully merged; Run via form trigger as kemal.stafsus@gmail.com; Timestamp: Jun 3 2026 9:06 AM</t>
  </si>
  <si>
    <t>https://drive.google.com/open?id=1XUDBJ4BIaJzKGlNMHTaikFoFT3wqJ-lu</t>
  </si>
  <si>
    <t>https://drive.google.com/uc?export=view&amp;id=1XUDBJ4BIaJzKGlNMHTaikFoFT3wqJ-lu</t>
  </si>
  <si>
    <t>Fitria Afrianti, M.Pd.Gr.</t>
  </si>
  <si>
    <t>087885561060</t>
  </si>
  <si>
    <t>3173086004910002</t>
  </si>
  <si>
    <t>Perumahan Taman Asri Blok M No.6b Rt.11/01 Kel. Cipadu Kecamatan Larangan-Kota Tangerang</t>
  </si>
  <si>
    <t>20-04-1991</t>
  </si>
  <si>
    <t>Pasca Sarjana UHAMKA</t>
  </si>
  <si>
    <t xml:space="preserve">Magister Administrasi Pendidikan </t>
  </si>
  <si>
    <t>SDN Joglo 02 Petang</t>
  </si>
  <si>
    <t xml:space="preserve"> SDIT Annajah</t>
  </si>
  <si>
    <t>Rp. 5.700.000,00</t>
  </si>
  <si>
    <t>Di Atas gaji mengajar di SDIT Annajah.</t>
  </si>
  <si>
    <t>fitria937@gmail.com</t>
  </si>
  <si>
    <t>1X9xlJ5NAq_065pOXCsiFI2iRf5GGp9BhUEpPNOuD-_E</t>
  </si>
  <si>
    <t>https://docs.google.com/document/d/1X9xlJ5NAq_065pOXCsiFI2iRf5GGp9BhUEpPNOuD-_E/edit?usp=drivesdk</t>
  </si>
  <si>
    <t>https://drive.google.com/open?id=1RP939V6iqkWpiW9c95ayPXU9Ydixg3Mi</t>
  </si>
  <si>
    <t>https://drive.google.com/uc?export=view&amp;id=1RP939V6iqkWpiW9c95ayPXU9Ydixg3Mi</t>
  </si>
  <si>
    <t>Salman Alvarizi, S.Pd</t>
  </si>
  <si>
    <t>081290987244</t>
  </si>
  <si>
    <t>3175032504940008</t>
  </si>
  <si>
    <t>Jl. Cipinang Jaya 1A</t>
  </si>
  <si>
    <t>STAI Al Barokah</t>
  </si>
  <si>
    <t>Guru Diniyyah, Al-qur'an, wali kelas</t>
  </si>
  <si>
    <t>Guru TPA kalibata city</t>
  </si>
  <si>
    <t>salvarizi254@gmail.com</t>
  </si>
  <si>
    <t>1luXwnOdBkQi3dqz6zztFMqKrhVeknDiTtXliaNmQacI</t>
  </si>
  <si>
    <t>https://docs.google.com/document/d/1luXwnOdBkQi3dqz6zztFMqKrhVeknDiTtXliaNmQacI/edit?usp=drivesdk</t>
  </si>
  <si>
    <t>Document successfully created; Document successfully merged; Run via form trigger as kemal.stafsus@gmail.com; Timestamp: Jun 3 2026 9:13 AM</t>
  </si>
  <si>
    <t>https://drive.google.com/open?id=1e_4tcWl51J2pg1O_dkRkCHY8RNpxiKdx</t>
  </si>
  <si>
    <t>https://drive.google.com/uc?export=view&amp;id=1e_4tcWl51J2pg1O_dkRkCHY8RNpxiKdx</t>
  </si>
  <si>
    <t>Wasiatul Fajar Istiqomah, M.Pd.</t>
  </si>
  <si>
    <t>082138018396</t>
  </si>
  <si>
    <t>3329044804870007</t>
  </si>
  <si>
    <t>Perumahan Bukit Emerald Jaya Blok A1 No. 39, Kelurahan Meteseh, Kec. Tembalang, Semarang, Jateng.</t>
  </si>
  <si>
    <t>08-04-1987</t>
  </si>
  <si>
    <t>Al-Wildan 23 SEMARANG</t>
  </si>
  <si>
    <t>Universitas PGRI Semarang (UPGRIS)</t>
  </si>
  <si>
    <t>Guru Mata Pelajaran English di SD Islam Pangeran Diponegoro Semarang (2010-2013)</t>
  </si>
  <si>
    <t xml:space="preserve">Pemilik Bimbingan Belajar </t>
  </si>
  <si>
    <t>wafaistiqomah23@gmail.com</t>
  </si>
  <si>
    <t>1Bd_6wtsTiM2dlcXNJJEUgWpU6Lp7fBosuhBm8oCs2g0</t>
  </si>
  <si>
    <t>https://docs.google.com/document/d/1Bd_6wtsTiM2dlcXNJJEUgWpU6Lp7fBosuhBm8oCs2g0/edit?usp=drivesdk</t>
  </si>
  <si>
    <t>Document successfully created; Document successfully merged; Run via form trigger as kemal.stafsus@gmail.com; Timestamp: Jun 3 2026 9:17 AM</t>
  </si>
  <si>
    <t>https://drive.google.com/open?id=1NcClePCmjvlgQZfF7__B21BeTi8U4EJI</t>
  </si>
  <si>
    <t>https://drive.google.com/uc?export=view&amp;id=1NcClePCmjvlgQZfF7__B21BeTi8U4EJI</t>
  </si>
  <si>
    <t>Lulu Friska SalsaBilla, S.Pd.</t>
  </si>
  <si>
    <t>081213167622</t>
  </si>
  <si>
    <t>3175064806030001</t>
  </si>
  <si>
    <t>Jl. Raya Pulogebang Gg. Kabel Jaya VII Rt/15 Rw/04 No.76 Pulogebang Cakung Jakarta Timur Kode Pos: 13950</t>
  </si>
  <si>
    <t>8 Juni 2003</t>
  </si>
  <si>
    <t>Guru Science and Math Bintang Cerdas Unggul</t>
  </si>
  <si>
    <t>Guru Science and Math Genza Education</t>
  </si>
  <si>
    <t>083901039259532</t>
  </si>
  <si>
    <t>lulufriskasalsabilla@gmail.com</t>
  </si>
  <si>
    <t>1P8EFBgZh-xhztHsjTh4v4wtIIbUL7dS-smPS_aJX_ts</t>
  </si>
  <si>
    <t>https://docs.google.com/document/d/1P8EFBgZh-xhztHsjTh4v4wtIIbUL7dS-smPS_aJX_ts/edit?usp=drivesdk</t>
  </si>
  <si>
    <t>Document successfully created; Document successfully merged; Run via form trigger as kemal.stafsus@gmail.com; Timestamp: Jun 3 2026 9:56 PM</t>
  </si>
  <si>
    <t>https://drive.google.com/open?id=1BdRGna-IoGOIH0bupl8agMWlNdOOaUAy</t>
  </si>
  <si>
    <t>https://drive.google.com/uc?export=view&amp;id=1BdRGna-IoGOIH0bupl8agMWlNdOOaUAy</t>
  </si>
  <si>
    <t>Juli</t>
  </si>
  <si>
    <t>JULI@gmail.com</t>
  </si>
  <si>
    <t>1ctP_X3cN2YIZk4u5ofEqKy_MvcXiuvdMDK5JeJGO69U</t>
  </si>
  <si>
    <t>https://docs.google.com/document/d/1ctP_X3cN2YIZk4u5ofEqKy_MvcXiuvdMDK5JeJGO69U/edit?usp=drivesdk</t>
  </si>
  <si>
    <t>Document successfully created; Document successfully merged; Run via form trigger as kemal.stafsus@gmail.com; Timestamp: Jun 5 2026 10:38 AM</t>
  </si>
  <si>
    <t>https://drive.google.com/open?id=1mPFl2cXjYvyM_aoGd7E5S_Cut9k_L3Qk</t>
  </si>
  <si>
    <t>https://drive.google.com/uc?export=view&amp;id=1mPFl2cXjYvyM_aoGd7E5S_Cut9k_L3Qk</t>
  </si>
  <si>
    <t>Fadhila Salma Nuzula, S.Ag.</t>
  </si>
  <si>
    <t>081326037990</t>
  </si>
  <si>
    <t>3471035211030002</t>
  </si>
  <si>
    <t>Ngablak, RT 3/RW 2, Kenteng, Nogosari, Boyolali, Jawa Tengah</t>
  </si>
  <si>
    <t>12-11-2003</t>
  </si>
  <si>
    <t>22 tahun 6  bulan</t>
  </si>
  <si>
    <t>Al-Wildan 25 Yogyakarta</t>
  </si>
  <si>
    <t>Guru Tahfidz Online di Khoimah Al Qur'an</t>
  </si>
  <si>
    <t>Guru Diniyyah di SMPIT Al Madinah Boyolali</t>
  </si>
  <si>
    <t>salmanuzula7@gmail.com</t>
  </si>
  <si>
    <t>1D08B99h_HfObHpFUTAaq6wjJJ1rcWgSk5HKSKeCHQ7w</t>
  </si>
  <si>
    <t>https://docs.google.com/document/d/1D08B99h_HfObHpFUTAaq6wjJJ1rcWgSk5HKSKeCHQ7w/edit?usp=drivesdk</t>
  </si>
  <si>
    <t>Document successfully created; Document successfully merged; Run via form trigger as kemal.stafsus@gmail.com; Timestamp: Jun 5 2026 10:26 PM</t>
  </si>
  <si>
    <t>https://drive.google.com/open?id=15tIzMyP1vA2o47yYb9z72qSrN8Ce-iR5</t>
  </si>
  <si>
    <t>https://drive.google.com/uc?export=view&amp;id=15tIzMyP1vA2o47yYb9z72qSrN8Ce-iR5</t>
  </si>
  <si>
    <t>Aisyah Huriyatun Na'im, S.Pd</t>
  </si>
  <si>
    <t>085721741120</t>
  </si>
  <si>
    <t>3205046406980003</t>
  </si>
  <si>
    <t>Jln. H. Nudin RT.05/RW.03, Lebak Bulus, Cilandak, Jakarta Selatan</t>
  </si>
  <si>
    <t>24-06-1998</t>
  </si>
  <si>
    <t>Sekolah Alam Garut</t>
  </si>
  <si>
    <t>Sekolah Auliya Bintaro</t>
  </si>
  <si>
    <t>huriyatunaisyah@gmail.com</t>
  </si>
  <si>
    <t>1loA4n8CNQfmyZzO0eS6nSTJbvJUaRSZJC61zLv-Sv64</t>
  </si>
  <si>
    <t>https://docs.google.com/document/d/1loA4n8CNQfmyZzO0eS6nSTJbvJUaRSZJC61zLv-Sv64/edit?usp=drivesdk</t>
  </si>
  <si>
    <t>Document successfully created; Document successfully merged; Run via form trigger as kemal.stafsus@gmail.com; Timestamp: Jun 9, 2026 11:37 PM</t>
  </si>
  <si>
    <t>https://drive.google.com/open?id=1AcJ1Jdup2XDGWXL1-KDI8zjhPBqC1R21</t>
  </si>
  <si>
    <t>https://drive.google.com/uc?export=view&amp;id=1AcJ1Jdup2XDGWXL1-KDI8zjhPBqC1R21</t>
  </si>
  <si>
    <t>Ainia Salsabila, BA</t>
  </si>
  <si>
    <t>5202027107010001</t>
  </si>
  <si>
    <t>Asrama Putri Nukhbatul Amal Jl. ketapang Gg. Jati Kuning 02 No. 05, RW.1, RT.5, Jati Padang, Kec. Ps. Minggu, Kota Jakarta Selatan, Daerah Khusus Ibukota Jakarta 12540</t>
  </si>
  <si>
    <t>Sedayu (Kediri)</t>
  </si>
  <si>
    <t>Lembaga Ilmu Pengetahuan Islam dan Bahasa Arab (LIPIA)</t>
  </si>
  <si>
    <t>Pengajar Al-qur’an online</t>
  </si>
  <si>
    <t>Pengajar bahasa arab online</t>
  </si>
  <si>
    <t>Pengajar Al-qur’an Offline</t>
  </si>
  <si>
    <t>ainiasalsabila319@gmail.com</t>
  </si>
  <si>
    <t>1q8fKDZC9CN7IUgjeAw-LSbQsxqicJXCsDuIpfkolDUE</t>
  </si>
  <si>
    <t>https://docs.google.com/document/d/1q8fKDZC9CN7IUgjeAw-LSbQsxqicJXCsDuIpfkolDUE/edit?usp=drivesdk</t>
  </si>
  <si>
    <t>https://drive.google.com/open?id=15ROWmBdrJK2--x_scXQAEekQ-Ji1qKqj</t>
  </si>
  <si>
    <t>https://drive.google.com/uc?export=view&amp;id=15ROWmBdrJK2--x_scXQAEekQ-Ji1qKqj</t>
  </si>
  <si>
    <t>Tazkia Zahra Putri Maula</t>
  </si>
  <si>
    <t>085693176866</t>
  </si>
  <si>
    <t>3674036601060004</t>
  </si>
  <si>
    <t>Discovery Flamine, Jalan Flamine 1 Blok A No 3, Bintaro Jaya Sektor 9, Parigi, Pondok Aren, Tangerang Selatan</t>
  </si>
  <si>
    <t>26-01-2006</t>
  </si>
  <si>
    <t>Psychology</t>
  </si>
  <si>
    <t xml:space="preserve">Teacher assistant </t>
  </si>
  <si>
    <t>English tutor</t>
  </si>
  <si>
    <t>tazkiamaula@gmail.com</t>
  </si>
  <si>
    <t>1PDh9rI1PaKvvSaogrRoR4cNQF42D9ficDBX8q_9nJqU</t>
  </si>
  <si>
    <t>https://docs.google.com/document/d/1PDh9rI1PaKvvSaogrRoR4cNQF42D9ficDBX8q_9nJqU/edit?usp=drivesdk</t>
  </si>
  <si>
    <t>Document successfully created; Document successfully merged; Run via form trigger as kemal.stafsus@gmail.com; Timestamp: Jun 10, 2026 5:52 AM</t>
  </si>
  <si>
    <t>https://drive.google.com/open?id=1NxDDQLQ_yoyk41DVcckNYIJxjmwnH-yQ</t>
  </si>
  <si>
    <t>https://drive.google.com/uc?export=view&amp;id=1NxDDQLQ_yoyk41DVcckNYIJxjmwnH-yQ</t>
  </si>
  <si>
    <t>Nurlatifaturrahmah, B.A.</t>
  </si>
  <si>
    <t>085338771792</t>
  </si>
  <si>
    <t>5271044206030001</t>
  </si>
  <si>
    <t xml:space="preserve">Jatipadang, Pasar Minggu, Jakarta Selatan </t>
  </si>
  <si>
    <t>2 Juni 2003</t>
  </si>
  <si>
    <t xml:space="preserve">Al Qur'an, Mapel Agama dan Ilmu Syar'i, serta Bahasa Arab </t>
  </si>
  <si>
    <t>LIPIA Jakarta (Cabang dari Universitas Imam Muhammad bin Suud Riyadh)</t>
  </si>
  <si>
    <t>4.85 / 5.00</t>
  </si>
  <si>
    <t xml:space="preserve">Pengajar di Ma'had Al Ashr Adz Dzahabi Jagakarsa </t>
  </si>
  <si>
    <t>2.400.000 per bulan</t>
  </si>
  <si>
    <t>6.500.000 per bulan</t>
  </si>
  <si>
    <t>nur.latifah7974@gmail.com</t>
  </si>
  <si>
    <t>1PT_XdP8BOlf3FP_AHlLBtSy4zSVygJCGT7QIwKHu0m0</t>
  </si>
  <si>
    <t>https://docs.google.com/document/d/1PT_XdP8BOlf3FP_AHlLBtSy4zSVygJCGT7QIwKHu0m0/edit?usp=drivesdk</t>
  </si>
  <si>
    <t>Document successfully created; Document successfully merged; Run via form trigger as kemal.stafsus@gmail.com; Timestamp: Jun 11, 2026 12:59 AM</t>
  </si>
  <si>
    <t>https://drive.google.com/open?id=1r79DI6rD7PWR0s0XRyQldrQbzLr8QqFW</t>
  </si>
  <si>
    <t>https://drive.google.com/uc?export=view&amp;id=1r79DI6rD7PWR0s0XRyQldrQbzLr8QqFW</t>
  </si>
  <si>
    <t>Dwi Febriana Rochmah, S,Si</t>
  </si>
  <si>
    <t>085132456370</t>
  </si>
  <si>
    <t>3573034802920005</t>
  </si>
  <si>
    <t xml:space="preserve">Jalan Jelambar Selatan VIII No.55. Jelambar Baru, Kec. Grogol petamburan, Kota Jakarta Barat, Daerah Khusus Ibukota Jakarta, Indonesia. </t>
  </si>
  <si>
    <t>08-02-1992</t>
  </si>
  <si>
    <t>34 tahun 4 bulan</t>
  </si>
  <si>
    <t>Guru Matematika dan IPA</t>
  </si>
  <si>
    <t>S1- Fisika</t>
  </si>
  <si>
    <t>Sekolah Bogor Raya (Guru Fisika SMP, Guru PYP Kelas 4 SD)</t>
  </si>
  <si>
    <t>deefabby92@gmail.com</t>
  </si>
  <si>
    <t>1ihz7MV5qHBeSwE5T0h_OstR8p-b8AobWu2k-YeAdzX4</t>
  </si>
  <si>
    <t>https://docs.google.com/document/d/1ihz7MV5qHBeSwE5T0h_OstR8p-b8AobWu2k-YeAdzX4/edit?usp=drivesdk</t>
  </si>
  <si>
    <t>Document successfully created; Document successfully merged; Run via form trigger as kemal.stafsus@gmail.com; Timestamp: Jun 11, 2026 4:59 AM</t>
  </si>
  <si>
    <t>https://drive.google.com/open?id=1eQRiKVyfl_aud0pIcLItBs5n0ePgaYBu</t>
  </si>
  <si>
    <t>https://drive.google.com/uc?export=view&amp;id=1eQRiKVyfl_aud0pIcLItBs5n0ePgaYBu</t>
  </si>
  <si>
    <t xml:space="preserve">Helmi Kurnia Rahman, B. A. </t>
  </si>
  <si>
    <t>081282721901</t>
  </si>
  <si>
    <t>3306020805980003</t>
  </si>
  <si>
    <t>08-05-1998</t>
  </si>
  <si>
    <t>4.21</t>
  </si>
  <si>
    <t>2 tahun di SD Islam Daarul Ilmi Depok</t>
  </si>
  <si>
    <t>rahakurnia1@gmail.com</t>
  </si>
  <si>
    <t>1RU-dvObTCc1Veq63RNquOsAlGOoNbiA5gST4YG84wFw</t>
  </si>
  <si>
    <t>https://docs.google.com/document/d/1RU-dvObTCc1Veq63RNquOsAlGOoNbiA5gST4YG84wFw/edit?usp=drivesdk</t>
  </si>
  <si>
    <t>Document successfully created; Document successfully merged; Run via form trigger as kemal.stafsus@gmail.com; Timestamp: Jun 14, 2026 1:07 AM</t>
  </si>
  <si>
    <t>https://drive.google.com/open?id=1D9f8MKT9H8uiy8GVk_OY0LCMrVb4cfl7</t>
  </si>
  <si>
    <t>https://drive.google.com/uc?export=view&amp;id=1D9f8MKT9H8uiy8GVk_OY0LCMrVb4cfl7</t>
  </si>
  <si>
    <t>Muhammad Hawlaa Abdussalam Shadra, S.P.</t>
  </si>
  <si>
    <t>085883756153</t>
  </si>
  <si>
    <t>3216050703020007</t>
  </si>
  <si>
    <t>Vila Mutiara Gading 2 Blok W.7 No.1 RT 009 RW 018. Desa Karangsatria, Kecamatan Tambun Utara</t>
  </si>
  <si>
    <t>PTN (Strata-1) - Universitas Negeri Singaperbangsa Karawang</t>
  </si>
  <si>
    <t>Agribisnis</t>
  </si>
  <si>
    <t>Finance - PT Cipta Karya Sukses Bersama (CKSB) dalam Project Al Wildan 13 Bekasi, 16 Ciledug, 22 Makasar. (September 2024 - Hingga saat ini) 
Saya bertanggung jawab mengelola cash flow, payroll, dan pelaporan keuangan sekolah kepada investor, melakukan evaluasi pengajuan dana operasional, serta menjadi penghubung antara investor dan manajemen sekolah untuk mendukung transparansi dan efektivitas pengelolaan keuangan.</t>
  </si>
  <si>
    <t>muhammad.shadra@gmail.com</t>
  </si>
  <si>
    <t>1cb69c_ZL4kHwW1DlBKOXwttsqRbB_hWj4_hs44-C-d4</t>
  </si>
  <si>
    <t>https://docs.google.com/document/d/1cb69c_ZL4kHwW1DlBKOXwttsqRbB_hWj4_hs44-C-d4/edit?usp=drivesdk</t>
  </si>
  <si>
    <t>Document successfully created; Document successfully merged; Run via form trigger as kemal.stafsus@gmail.com; Timestamp: Jun 14, 2026 1:29 AM</t>
  </si>
  <si>
    <t>https://drive.google.com/open?id=1TaH8qv2mfTiwjC7hdz-0LGBPbQhY7jvP</t>
  </si>
  <si>
    <t>https://drive.google.com/uc?export=view&amp;id=1TaH8qv2mfTiwjC7hdz-0LGBPbQhY7jvP</t>
  </si>
  <si>
    <t>3175071911930004/C8394799</t>
  </si>
  <si>
    <t xml:space="preserve">Candraloka Blok DD2 no 17 Telaga Kahuripan desa Tegal Kemang Kabupaten Bogor </t>
  </si>
  <si>
    <t>19-11-1993</t>
  </si>
  <si>
    <t>UNINDRA (sedang tesis)</t>
  </si>
  <si>
    <t>Triton Operator &amp; Trainer</t>
  </si>
  <si>
    <t>SMANU MH Thamrin</t>
  </si>
  <si>
    <t>10.000.000 - 15.000.000</t>
  </si>
  <si>
    <t>1RG7ZEEZUZp39Rvye2Kq9zZOTeS6cfcLDnM7yAA2T9r8</t>
  </si>
  <si>
    <t>https://docs.google.com/document/d/1RG7ZEEZUZp39Rvye2Kq9zZOTeS6cfcLDnM7yAA2T9r8/edit?usp=drivesdk</t>
  </si>
  <si>
    <t>Document successfully created; Document successfully merged; Run via form trigger as kemal.stafsus@gmail.com; Timestamp: Jun 14, 2026 6:10 AM</t>
  </si>
  <si>
    <t>https://drive.google.com/open?id=1uoI1pviFuQOZNTijDf62VRDhoq43ecSF</t>
  </si>
  <si>
    <t>https://drive.google.com/uc?export=view&amp;id=1uoI1pviFuQOZNTijDf62VRDhoq43ecSF</t>
  </si>
  <si>
    <t>Noor ali abdullah bakadadah</t>
  </si>
  <si>
    <t>087882869342</t>
  </si>
  <si>
    <t>X2959667</t>
  </si>
  <si>
    <t>Jl topz boulvart no 11 cluster indigo</t>
  </si>
  <si>
    <t>Jeddah KSA</t>
  </si>
  <si>
    <t>17/01/1989</t>
  </si>
  <si>
    <t>Bahsa arb</t>
  </si>
  <si>
    <t>Enginer telkom</t>
  </si>
  <si>
    <t>Yaman</t>
  </si>
  <si>
    <t>Jahit</t>
  </si>
  <si>
    <t>0954299186</t>
  </si>
  <si>
    <t>noorbakadadah@gmail.com</t>
  </si>
  <si>
    <t>17XXF96WMZ8cSHu8Dger57-HDTXfjrdQ0LM-8TdsA4ZU</t>
  </si>
  <si>
    <t>https://docs.google.com/document/d/17XXF96WMZ8cSHu8Dger57-HDTXfjrdQ0LM-8TdsA4ZU/edit?usp=drivesdk</t>
  </si>
  <si>
    <t>Document successfully created; Document successfully merged; Run via form trigger as kemal.stafsus@gmail.com; Timestamp: Jun 15, 2026 12:04 AM</t>
  </si>
  <si>
    <t>https://drive.google.com/open?id=1lKb9D9mhei3E-Q4ExvWiMdx96e4yCklf</t>
  </si>
  <si>
    <t>https://drive.google.com/uc?export=view&amp;id=1lKb9D9mhei3E-Q4ExvWiMdx96e4yCklf</t>
  </si>
  <si>
    <t>Nadia Adristi Raissa, S.Pd.</t>
  </si>
  <si>
    <t>089637799854</t>
  </si>
  <si>
    <t>3671124106030003</t>
  </si>
  <si>
    <t>Perumahan Bumi Anggrek Blok G No.90</t>
  </si>
  <si>
    <t>01-06-2003</t>
  </si>
  <si>
    <t>Lulusan PTN (Strata-1) - Universitas Pendidikan Indonesia</t>
  </si>
  <si>
    <t>Pendidikan IPA/International Program on Science Education (IPSE)</t>
  </si>
  <si>
    <t>Guru Les (Matematika, Bahasa Inggris, IPA) untuk SD dan SMP</t>
  </si>
  <si>
    <t>0070020284</t>
  </si>
  <si>
    <t>nadiaadristii@gmail.com</t>
  </si>
  <si>
    <t>1Nn_6Ecn7oo06udKB3s4AKxhqQYqENPc6MODCZonVsXs</t>
  </si>
  <si>
    <t>https://docs.google.com/document/d/1Nn_6Ecn7oo06udKB3s4AKxhqQYqENPc6MODCZonVsXs/edit?usp=drivesdk</t>
  </si>
  <si>
    <t>Document successfully created; Document successfully merged; Run via form trigger as kemal.stafsus@gmail.com; Timestamp: Jun 15, 2026 1:20 AM</t>
  </si>
  <si>
    <t>https://drive.google.com/open?id=1dzskJuq2NpqCYmMTkndBTMGFPqdr8ZDp</t>
  </si>
  <si>
    <t>https://drive.google.com/uc?export=view&amp;id=1dzskJuq2NpqCYmMTkndBTMGFPqdr8ZDp</t>
  </si>
  <si>
    <t>Faizal Ridwan, S.Pd., M.Ed.</t>
  </si>
  <si>
    <t>089671207465</t>
  </si>
  <si>
    <t>3175012011940003</t>
  </si>
  <si>
    <t>Puri Anggrek Blok C32 No 7, Serang, Banten</t>
  </si>
  <si>
    <t>20-11-1994</t>
  </si>
  <si>
    <t>31 th 6 bln</t>
  </si>
  <si>
    <t>Victoria University of Wellington</t>
  </si>
  <si>
    <t>Education</t>
  </si>
  <si>
    <t>Alef Education (2021 - 2023)</t>
  </si>
  <si>
    <t>Ibad Ar Rahman Islamic Boarding School (2017 - 2021)</t>
  </si>
  <si>
    <t>faizalrdw@gmail.com</t>
  </si>
  <si>
    <t>1-qf7TuqBDeQYxTephUxhqFqJlkSoK6D2v_pP0sHh2Ls</t>
  </si>
  <si>
    <t>https://docs.google.com/document/d/1-qf7TuqBDeQYxTephUxhqFqJlkSoK6D2v_pP0sHh2Ls/edit?usp=drivesdk</t>
  </si>
  <si>
    <t>Document successfully created; Document successfully merged; Run via form trigger as kemal.stafsus@gmail.com; Timestamp: Jun 15, 2026 1:43 AM</t>
  </si>
  <si>
    <t>https://drive.google.com/open?id=1kGcP5TKevLRnRMJuMcVqyHs5l__k6Uxz</t>
  </si>
  <si>
    <t>https://drive.google.com/uc?export=view&amp;id=1kGcP5TKevLRnRMJuMcVqyHs5l__k6Uxz</t>
  </si>
  <si>
    <t xml:space="preserve">Muhammad Faris Sabilli </t>
  </si>
  <si>
    <t>089684354123</t>
  </si>
  <si>
    <t>1872010109000007</t>
  </si>
  <si>
    <t xml:space="preserve">Batujajar, Kabupaten Bandung Barat </t>
  </si>
  <si>
    <t xml:space="preserve">Kota Metro </t>
  </si>
  <si>
    <t>01-09-2000</t>
  </si>
  <si>
    <t>Ilmu Al-Qur’an dan Tafsir</t>
  </si>
  <si>
    <t xml:space="preserve">1. Musyrif, Muhaffidz, Pembina Mahasiswa.
Pembina Mahasiswa dan Imam Muda Masjid Syamsul Ulum Telkom University </t>
  </si>
  <si>
    <t xml:space="preserve">Musyrif dan Muhaffidz Kelas Khusus Tahfidz SPMA HIDAYATULLAH DEPOK </t>
  </si>
  <si>
    <t>muhammadfarissabilli@gmail.com</t>
  </si>
  <si>
    <t>1czQoZL_0yA8n1vDUtxzggTTtqI9OVqeU4NEfqW5QwVo</t>
  </si>
  <si>
    <t>https://docs.google.com/document/d/1czQoZL_0yA8n1vDUtxzggTTtqI9OVqeU4NEfqW5QwVo/edit?usp=drivesdk</t>
  </si>
  <si>
    <t>Document successfully created; Document successfully merged; Run via form trigger as kemal.stafsus@gmail.com; Timestamp: Jun 15, 2026 1:45 AM</t>
  </si>
  <si>
    <t>https://drive.google.com/open?id=1fx-YH2fQNEQJQ12cp7jwPrnhb0LfJTnS</t>
  </si>
  <si>
    <t>https://drive.google.com/uc?export=view&amp;id=1fx-YH2fQNEQJQ12cp7jwPrnhb0LfJTnS</t>
  </si>
  <si>
    <t>Rudi Hartono, S.Pd., M.Si.</t>
  </si>
  <si>
    <t>082388027227</t>
  </si>
  <si>
    <t>1371112712920011</t>
  </si>
  <si>
    <t>Komplek Perumahan Garuda Permai, Solok, Sumatera Barat</t>
  </si>
  <si>
    <t>27-12-1992</t>
  </si>
  <si>
    <t>Chemistry cambridge</t>
  </si>
  <si>
    <t>Founder STEAM-go online Course</t>
  </si>
  <si>
    <t>Guru Kimia dan Matematika MA Al-Ma'tuq</t>
  </si>
  <si>
    <t>Asisten Dosen di UNP dan ITB</t>
  </si>
  <si>
    <t>rudy92hartono@gmail.com</t>
  </si>
  <si>
    <t>1rEBP_HQXUjwYg51-zQ4ZxmThdSC9EVC0fdkJErdjslw</t>
  </si>
  <si>
    <t>https://docs.google.com/document/d/1rEBP_HQXUjwYg51-zQ4ZxmThdSC9EVC0fdkJErdjslw/edit?usp=drivesdk</t>
  </si>
  <si>
    <t>Document successfully created; Document successfully merged; Run via form trigger as kemal.stafsus@gmail.com; Timestamp: Jun 15, 2026 4:46 AM</t>
  </si>
  <si>
    <t>https://drive.google.com/open?id=1edTBDSABgkuhwOHF1MZmnOCqu0mgE5m5</t>
  </si>
  <si>
    <t>https://drive.google.com/uc?export=view&amp;id=1edTBDSABgkuhwOHF1MZmnOCqu0mgE5m5</t>
  </si>
  <si>
    <t>Ulil Albab, S.Si., M.Sc., Gr.</t>
  </si>
  <si>
    <t>082325470189</t>
  </si>
  <si>
    <t>3321010702930002 / X9597281</t>
  </si>
  <si>
    <t>Pogung Dalangan RT 10 RW 50 no. 19H Sinduadi Mlati Sleman D.I. Yogyakarta</t>
  </si>
  <si>
    <t>MA Wali Songo</t>
  </si>
  <si>
    <t>MA Azmania</t>
  </si>
  <si>
    <t>MTs Muhammadiyah Bungkal</t>
  </si>
  <si>
    <t>albabulil46@gmail.com</t>
  </si>
  <si>
    <t>1Njn_ZsYDUYIOSdGn6euKpjsMy9j5g8Ablhkrwur79no</t>
  </si>
  <si>
    <t>https://docs.google.com/document/d/1Njn_ZsYDUYIOSdGn6euKpjsMy9j5g8Ablhkrwur79no/edit?usp=drivesdk</t>
  </si>
  <si>
    <t>Document successfully created; Document successfully merged; Run via form trigger as kemal.stafsus@gmail.com; Timestamp: Jun 15, 2026 4:50 AM</t>
  </si>
  <si>
    <t>https://drive.google.com/open?id=1ncBZG1KDFtYZO13MH8FcApvHbNBXqBs0</t>
  </si>
  <si>
    <t>https://drive.google.com/uc?export=view&amp;id=1ncBZG1KDFtYZO13MH8FcApvHbNBXqBs0</t>
  </si>
  <si>
    <t>Nadia Aulia, S.Pd.</t>
  </si>
  <si>
    <t>089603548727</t>
  </si>
  <si>
    <t>3671034611010001</t>
  </si>
  <si>
    <t>06 November 2001</t>
  </si>
  <si>
    <t>24 tahun 8 Bulan</t>
  </si>
  <si>
    <t>Musyrifah di Pondok Pesantren Daarul Muqimien, Buaran Jati mauk.</t>
  </si>
  <si>
    <t>- (Khidmah)</t>
  </si>
  <si>
    <t>Musyrifah tahfidz di SDIT Ar Raayah, Sukabumi.</t>
  </si>
  <si>
    <t>- (Magang)</t>
  </si>
  <si>
    <t>-/+ 5.000.000</t>
  </si>
  <si>
    <t>BSI (BANK SYARIAH INDONESIA)</t>
  </si>
  <si>
    <t>nadiaaulia0611@gmail.com</t>
  </si>
  <si>
    <t>1xZ8_HfZNTGNrA2HlR0Dj_YoJf4BQiuaieE1whv9pUo0</t>
  </si>
  <si>
    <t>https://docs.google.com/document/d/1xZ8_HfZNTGNrA2HlR0Dj_YoJf4BQiuaieE1whv9pUo0/edit?usp=drivesdk</t>
  </si>
  <si>
    <t>Document successfully created; Document successfully merged; Run via form trigger as kemal.stafsus@gmail.com; Timestamp: Jun 15, 2026 5:55 AM</t>
  </si>
  <si>
    <t>https://drive.google.com/open?id=19l8xDpCP9e65oPXZnrNAdBurYGBTLYxb</t>
  </si>
  <si>
    <t>https://drive.google.com/uc?export=view&amp;id=19l8xDpCP9e65oPXZnrNAdBurYGBTLYxb</t>
  </si>
  <si>
    <t>Umul Fajar Khoiriah</t>
  </si>
  <si>
    <t>082141650331</t>
  </si>
  <si>
    <t>3314105709000009</t>
  </si>
  <si>
    <t>Gang Damai, Kanoman, Banguntapan, Bantul, DIY</t>
  </si>
  <si>
    <t>17-09-2000</t>
  </si>
  <si>
    <t>Al-Wildan 24 Yogyakarta</t>
  </si>
  <si>
    <t>Asisten Dosen-UMS</t>
  </si>
  <si>
    <t>Master Teacher English-BAC by Ruangguru</t>
  </si>
  <si>
    <t>Admin-Kakiya Store</t>
  </si>
  <si>
    <t>0838067746</t>
  </si>
  <si>
    <t>umulumul11@gmail.com</t>
  </si>
  <si>
    <t>1HR2aeIKS9Vc0-5Rpp70IrnTyOCYUwTEWjGNyq3zXVYM</t>
  </si>
  <si>
    <t>https://docs.google.com/document/d/1HR2aeIKS9Vc0-5Rpp70IrnTyOCYUwTEWjGNyq3zXVYM/edit?usp=drivesdk</t>
  </si>
  <si>
    <t>Document successfully created; Document successfully merged; Run via form trigger as kemal.stafsus@gmail.com; Timestamp: Jun 15, 2026 9:23 AM</t>
  </si>
  <si>
    <t>https://drive.google.com/open?id=1OqRr9BDOp56homv4q-a8mETCj_zeLEno</t>
  </si>
  <si>
    <t>https://drive.google.com/uc?export=view&amp;id=1OqRr9BDOp56homv4q-a8mETCj_zeLEno</t>
  </si>
  <si>
    <t>Hudzaifah Azzam, B.A.</t>
  </si>
  <si>
    <t>085268666554</t>
  </si>
  <si>
    <t>1408072209020001</t>
  </si>
  <si>
    <t>Pangkalan Kerinci, Riau</t>
  </si>
  <si>
    <t>Siak</t>
  </si>
  <si>
    <t>22 September 2002</t>
  </si>
  <si>
    <t>Aqidah, Fiqh &amp; SKI</t>
  </si>
  <si>
    <t>Bachelor of Arts in Shariah</t>
  </si>
  <si>
    <t>4.17</t>
  </si>
  <si>
    <t>Mengajar Tahfidz &amp; Diniyyah tahun 2020</t>
  </si>
  <si>
    <t xml:space="preserve">Musyrif &amp; Mahasiswa ITBA 4 di tahun 2021 </t>
  </si>
  <si>
    <t>hudzaifahazzam5@gmail.com</t>
  </si>
  <si>
    <t>1yn_ZyOCrPvvKjtS8r6yDXSK7sOrm1L_CT7sTGMdE5wA</t>
  </si>
  <si>
    <t>https://docs.google.com/document/d/1yn_ZyOCrPvvKjtS8r6yDXSK7sOrm1L_CT7sTGMdE5wA/edit?usp=drivesdk</t>
  </si>
  <si>
    <t>Document successfully created; Document successfully merged; Run via form trigger as kemal.stafsus@gmail.com; Timestamp: Jun 15, 2026 10:14 AM</t>
  </si>
  <si>
    <t>https://drive.google.com/open?id=1ZoubLmbU5uO_MBBrpRseyq612puhm_C2</t>
  </si>
  <si>
    <t>https://drive.google.com/uc?export=view&amp;id=1ZoubLmbU5uO_MBBrpRseyq612puhm_C2</t>
  </si>
  <si>
    <t>Faisal Nur Akbar</t>
  </si>
  <si>
    <t>0895616050901</t>
  </si>
  <si>
    <t>5272011305010006</t>
  </si>
  <si>
    <t>13 Mei 2001</t>
  </si>
  <si>
    <t>Universitas PTIQ</t>
  </si>
  <si>
    <t>S1 Manajemen Dakwah</t>
  </si>
  <si>
    <t>Musriyf baznas</t>
  </si>
  <si>
    <t>Musyrif boarding</t>
  </si>
  <si>
    <t>faisalnurakbar161@gmail.com</t>
  </si>
  <si>
    <t>14JcRTMv1AKeyAw71CiyvWf7DnyNFTA9HyBTaUvp8Fug</t>
  </si>
  <si>
    <t>https://docs.google.com/document/d/14JcRTMv1AKeyAw71CiyvWf7DnyNFTA9HyBTaUvp8Fug/edit?usp=drivesdk</t>
  </si>
  <si>
    <t>Document successfully created; Document successfully merged; Run via form trigger as kemal.stafsus@gmail.com; Timestamp: Jun 15, 2026 11:27 AM</t>
  </si>
  <si>
    <t>https://drive.google.com/open?id=1qjziLGH6HL-q6-uaRmEpyP9JuSojE5Qv</t>
  </si>
  <si>
    <t>https://drive.google.com/uc?export=view&amp;id=1qjziLGH6HL-q6-uaRmEpyP9JuSojE5Qv</t>
  </si>
  <si>
    <t>Lalu Muhammad Hasanal fahmi B.sh</t>
  </si>
  <si>
    <t>085337871064</t>
  </si>
  <si>
    <t>5271052810000001</t>
  </si>
  <si>
    <t>Desa Kekeri,kec.Gunung sari,lombok barat,Ntb</t>
  </si>
  <si>
    <t>28/10/2000</t>
  </si>
  <si>
    <t>Virtual Assistant, Musyrif (Non-ITBA)</t>
  </si>
  <si>
    <t>Lembaga Ilmu Pengetahuan Islam Arab (LIPIA)</t>
  </si>
  <si>
    <t>Musyrif pondok 2016-2019</t>
  </si>
  <si>
    <t xml:space="preserve">Konter pulsa dan aksesoris handphone </t>
  </si>
  <si>
    <t xml:space="preserve"> Owner Hasan Cell </t>
  </si>
  <si>
    <t xml:space="preserve">Penghasilan bersih 4,5 jt perbulan </t>
  </si>
  <si>
    <t>fahmilalu28@gmail.com</t>
  </si>
  <si>
    <t>1WQ2UAxOIDPideQAlczSQ8Cs3s1yUfTC4IT8ACnYQfzM</t>
  </si>
  <si>
    <t>https://docs.google.com/document/d/1WQ2UAxOIDPideQAlczSQ8Cs3s1yUfTC4IT8ACnYQfzM/edit?usp=drivesdk</t>
  </si>
  <si>
    <t>Document successfully created; Document successfully merged; Run via form trigger as kemal.stafsus@gmail.com; Timestamp: Jun 17, 2026 1:22 AM</t>
  </si>
  <si>
    <t>https://drive.google.com/open?id=1gIuYK-pxMbwFRlQs3J2ZfsfRsEUCRHZo</t>
  </si>
  <si>
    <t>https://drive.google.com/uc?export=view&amp;id=1gIuYK-pxMbwFRlQs3J2ZfsfRsEUCRHZo</t>
  </si>
  <si>
    <t>Goliz Cahyadi</t>
  </si>
  <si>
    <t>087863680299</t>
  </si>
  <si>
    <t>5201143006020003</t>
  </si>
  <si>
    <t>Jl. Raya Senggigi Batu Layar, Lombok Barat</t>
  </si>
  <si>
    <t>30 Juni 2002</t>
  </si>
  <si>
    <t>Sekolah Tinggi Dirasat Islamiyah Imam Syafii Jember</t>
  </si>
  <si>
    <t xml:space="preserve">Staf Keuangan </t>
  </si>
  <si>
    <t>3.019.015 (UMR Kota Mataram)</t>
  </si>
  <si>
    <t>63.5</t>
  </si>
  <si>
    <t>cahyadigoliz@gmail.com</t>
  </si>
  <si>
    <t>1bI4k8p7kf0SZCY6UO2qKiDEfPZnUNhTBqI-UkG0lPX4</t>
  </si>
  <si>
    <t>https://docs.google.com/document/d/1bI4k8p7kf0SZCY6UO2qKiDEfPZnUNhTBqI-UkG0lPX4/edit?usp=drivesdk</t>
  </si>
  <si>
    <t>Document successfully created; Document successfully merged; Run via form trigger as kemal.stafsus@gmail.com; Timestamp: Jun 17, 2026 2:49 AM</t>
  </si>
  <si>
    <t>https://drive.google.com/open?id=1wqQZPfcgAzCGZEJhPwlaFCgfSLP9NlEl</t>
  </si>
  <si>
    <t>https://drive.google.com/uc?export=view&amp;id=1wqQZPfcgAzCGZEJhPwlaFCgfSLP9NlEl</t>
  </si>
  <si>
    <t>Dita Nursafitri S.Ag</t>
  </si>
  <si>
    <t>082125423080</t>
  </si>
  <si>
    <t>5205016103020003</t>
  </si>
  <si>
    <t>Jl. Sumbawa, Kec. Dompu, Kab. Dompu NTB</t>
  </si>
  <si>
    <t>21-03-2002</t>
  </si>
  <si>
    <t>24 Tahun, 3 bulan</t>
  </si>
  <si>
    <t>Sekolah Tinggi Ilmu Ushuluddin Wadi Mubarok Bogor</t>
  </si>
  <si>
    <t xml:space="preserve">Menjadi musyrifah Al-Qur'an </t>
  </si>
  <si>
    <t>Ditanur002@gmail.com</t>
  </si>
  <si>
    <t>1QfJhfeCvMPIRn7cG-ZbM5m78Pr9IwSst9uzQRS776Ck</t>
  </si>
  <si>
    <t>https://docs.google.com/document/d/1QfJhfeCvMPIRn7cG-ZbM5m78Pr9IwSst9uzQRS776Ck/edit?usp=drivesdk</t>
  </si>
  <si>
    <t>Document successfully created; Document successfully merged; Run via form trigger as kemal.stafsus@gmail.com; Timestamp: Jun 17, 2026 5:45 AM</t>
  </si>
  <si>
    <t>https://drive.google.com/open?id=1iwCy7uny6tcyZ-SigZ9UB-PeF_boF5Mz</t>
  </si>
  <si>
    <t>https://drive.google.com/uc?export=view&amp;id=1iwCy7uny6tcyZ-SigZ9UB-PeF_boF5Mz</t>
  </si>
  <si>
    <t>CITA RAHASTI PURNAMASARI S.Ag</t>
  </si>
  <si>
    <t>5205015207020001</t>
  </si>
  <si>
    <t>Jl. Lintas Sumbawa dompu, kab. Dompu, kec. Dompu</t>
  </si>
  <si>
    <t>12-07-2002</t>
  </si>
  <si>
    <t>Sekolah Tinggi Ilmu Ushuluddin Wadi Mubarak</t>
  </si>
  <si>
    <t>Ilmu Al-Quran dan tafsir</t>
  </si>
  <si>
    <t>Musrifah Al Quran</t>
  </si>
  <si>
    <t>chitarahasti@gmail.com</t>
  </si>
  <si>
    <t>1dd4Q_zX_2pUckLRn4e5UCNA6nAUVSOHD8UWhf34mvik</t>
  </si>
  <si>
    <t>https://docs.google.com/document/d/1dd4Q_zX_2pUckLRn4e5UCNA6nAUVSOHD8UWhf34mvik/edit?usp=drivesdk</t>
  </si>
  <si>
    <t>Document successfully created; Document successfully merged; Run via form trigger as kemal.stafsus@gmail.com; Timestamp: Jun 17, 2026 5:59 AM</t>
  </si>
  <si>
    <t>https://drive.google.com/open?id=1SKOA2j9nHCz2LUtOeAjDE7dSSsGMDia_</t>
  </si>
  <si>
    <t>https://drive.google.com/uc?export=view&amp;id=1SKOA2j9nHCz2LUtOeAjDE7dSSsGMDia_</t>
  </si>
  <si>
    <t>Dita Nursafitri</t>
  </si>
  <si>
    <t>STIU Wadi Mubarok, Bogor</t>
  </si>
  <si>
    <t>Musyrifah Al-Qur'an</t>
  </si>
  <si>
    <t>1z1Rs6lbnCEBbJ3NWTjC_alwpepF-DoYfWTMKKT8MI48</t>
  </si>
  <si>
    <t>https://docs.google.com/document/d/1z1Rs6lbnCEBbJ3NWTjC_alwpepF-DoYfWTMKKT8MI48/edit?usp=drivesdk</t>
  </si>
  <si>
    <t>Document successfully created; Document successfully merged; Run via form trigger as kemal.stafsus@gmail.com; Timestamp: Jun 17, 2026 7:33 AM</t>
  </si>
  <si>
    <t>https://drive.google.com/open?id=1nECSXoY7NcbRsgD6-5eboyfXKCHxVxMA</t>
  </si>
  <si>
    <t>https://drive.google.com/uc?export=view&amp;id=1nECSXoY7NcbRsgD6-5eboyfXKCHxVxMA</t>
  </si>
  <si>
    <t>CITA RAHASTI PURNAMA SARI</t>
  </si>
  <si>
    <t>087874802936</t>
  </si>
  <si>
    <t>Jl. Sumbawa dompu, kab. Dompu, kec. Dompu</t>
  </si>
  <si>
    <t xml:space="preserve">Sekolah Tinggi Ilmu Ushuluddin wadi Mubarak </t>
  </si>
  <si>
    <t>1 jt</t>
  </si>
  <si>
    <t>2½ - 3 jt</t>
  </si>
  <si>
    <t>1fZWm5UcIGMre6J6NEWYbLCe6MjCgKaf2jMi_hUFqszw</t>
  </si>
  <si>
    <t>https://docs.google.com/document/d/1fZWm5UcIGMre6J6NEWYbLCe6MjCgKaf2jMi_hUFqszw/edit?usp=drivesdk</t>
  </si>
  <si>
    <t>Document successfully created; Document successfully merged; Run via form trigger as kemal.stafsus@gmail.com; Timestamp: Jun 17, 2026 7:40 AM</t>
  </si>
  <si>
    <t>https://drive.google.com/open?id=1szY7YJ_7GFxN7SUCKP9lzBusPw_uRfWk</t>
  </si>
  <si>
    <t>https://drive.google.com/uc?export=view&amp;id=1szY7YJ_7GFxN7SUCKP9lzBusPw_uRfWk</t>
  </si>
  <si>
    <t>AKHSANUL FAHRI KAMIL. Bsh</t>
  </si>
  <si>
    <t>081380643991</t>
  </si>
  <si>
    <t>5206070708000002</t>
  </si>
  <si>
    <t>Tawali Rt.10/Rw004 kec wera kab. Bima</t>
  </si>
  <si>
    <t>Tawali</t>
  </si>
  <si>
    <t>7 agustus 2000</t>
  </si>
  <si>
    <t>Guru/musyrif</t>
  </si>
  <si>
    <t>Fahriwera.78@gmail.com</t>
  </si>
  <si>
    <t>1T7BHnE-Kc89GQuE7nU2ere1SXIgm-5qEUp3a38S50U8</t>
  </si>
  <si>
    <t>https://docs.google.com/document/d/1T7BHnE-Kc89GQuE7nU2ere1SXIgm-5qEUp3a38S50U8/edit?usp=drivesdk</t>
  </si>
  <si>
    <t>Document successfully created; Document successfully merged; Run via form trigger as kemal.stafsus@gmail.com; Timestamp: Jun 17, 2026 8:04 PM</t>
  </si>
  <si>
    <t>https://drive.google.com/open?id=1EcLfaVM9jjVj7nRa05TYLueIVNCXjZJ9</t>
  </si>
  <si>
    <t>https://drive.google.com/uc?export=view&amp;id=1EcLfaVM9jjVj7nRa05TYLueIVNCXjZJ9</t>
  </si>
  <si>
    <t>Furi Alifiari, S.Si</t>
  </si>
  <si>
    <t>08153354445</t>
  </si>
  <si>
    <t>30-03-1994</t>
  </si>
  <si>
    <t>Program Development Physics</t>
  </si>
  <si>
    <t>Physics Laboratory Associate Teacher</t>
  </si>
  <si>
    <t>0953799941</t>
  </si>
  <si>
    <t>falifiari@gmail.com</t>
  </si>
  <si>
    <t>1YPVxOExxQI7J7FZVZplRMmlQy2B9R3NVSx4RIdHgt-A</t>
  </si>
  <si>
    <t>https://docs.google.com/document/d/1YPVxOExxQI7J7FZVZplRMmlQy2B9R3NVSx4RIdHgt-A/edit?usp=drivesdk</t>
  </si>
  <si>
    <t>Document successfully created; Document successfully merged; Run via form trigger as kemal.stafsus@gmail.com; Timestamp: Jun 17, 2026 10:24 PM</t>
  </si>
  <si>
    <t>https://drive.google.com/open?id=19H9alzsEXmMe7eqFvL0wmgyB8QwcAv75</t>
  </si>
  <si>
    <t>https://drive.google.com/uc?export=view&amp;id=19H9alzsEXmMe7eqFvL0wmgyB8QwcAv75</t>
  </si>
  <si>
    <t>Lulu Fajriatus Rafsanjani, S.Pd., Gr.</t>
  </si>
  <si>
    <t>088286654020</t>
  </si>
  <si>
    <t>1674026411940004</t>
  </si>
  <si>
    <t>Jl. RA. Kartini No. 57 RT. 04 RW. 01 Kel. Sukajadi, Kec. Prabumulih Timur, Kota Prabumulih, Sumatera Selatan</t>
  </si>
  <si>
    <t>24-11-1994</t>
  </si>
  <si>
    <t>Guru Matematika SMK Kesehatan Pelita Insani Prabumulih</t>
  </si>
  <si>
    <t>lulu.rafsanjani@gmail.com</t>
  </si>
  <si>
    <t>1RoQFFQCMHwmkHS6DhmQfbZezdOHwjnu2847X2Q9qLxI</t>
  </si>
  <si>
    <t>https://docs.google.com/document/d/1RoQFFQCMHwmkHS6DhmQfbZezdOHwjnu2847X2Q9qLxI/edit?usp=drivesdk</t>
  </si>
  <si>
    <t>Document successfully created; Document successfully merged; Run via form trigger as kemal.stafsus@gmail.com; Timestamp: Jun 18, 2026 6:09 AM</t>
  </si>
  <si>
    <t>https://drive.google.com/open?id=1CcGvYi_rRXL__JD53ZNidXWnjnBmmJ4g</t>
  </si>
  <si>
    <t>https://drive.google.com/uc?export=view&amp;id=1CcGvYi_rRXL__JD53ZNidXWnjnBmmJ4g</t>
  </si>
  <si>
    <t>Lulu Latifa, B.A.</t>
  </si>
  <si>
    <t>1872015001000003</t>
  </si>
  <si>
    <t>Metro, Lampung</t>
  </si>
  <si>
    <t>10-01-2000</t>
  </si>
  <si>
    <t>Diniyah/Bahasa Arab</t>
  </si>
  <si>
    <t>Cabang LN - LIPIA Jakarta</t>
  </si>
  <si>
    <t>4.60</t>
  </si>
  <si>
    <t>Guru Bahasa Arab Pondok al-Muhsin Metro Lampung (2025-sekarang)</t>
  </si>
  <si>
    <t>Guru Tahfidz dan Bahasa Arab Rumah Qur’an Baitul Hafni Metro Lampung (2025-sekarang)</t>
  </si>
  <si>
    <t>Staff Administrasi Rumah Qur’an Ash-Shalihin Kalibata (2024-2025)</t>
  </si>
  <si>
    <t>lululatifaofc@gmail.com</t>
  </si>
  <si>
    <t>1iT-OdL58nc5Zw72Ffyu7hbQvBw8RFxsQhknydd86dpw</t>
  </si>
  <si>
    <t>https://docs.google.com/document/d/1iT-OdL58nc5Zw72Ffyu7hbQvBw8RFxsQhknydd86dpw/edit?usp=drivesdk</t>
  </si>
  <si>
    <t>Document successfully created; Document successfully merged; Run via form trigger as kemal.stafsus@gmail.com; Timestamp: Jun 18, 2026 10:38 PM</t>
  </si>
  <si>
    <t>https://drive.google.com/open?id=1bmJec0CqpYjH61bRn4po8VnyDHJ_f5I-</t>
  </si>
  <si>
    <t>https://drive.google.com/uc?export=view&amp;id=1bmJec0CqpYjH61bRn4po8VnyDHJ_f5I-</t>
  </si>
  <si>
    <t>Hoerul Anam</t>
  </si>
  <si>
    <t>085742772378</t>
  </si>
  <si>
    <t>3307012602940002</t>
  </si>
  <si>
    <t>Jl. Cempolorejo V no 19 Krobokan Semarang Barat</t>
  </si>
  <si>
    <t>26-02-1994</t>
  </si>
  <si>
    <t>Kepala Batching Plant Adhisatya Industri 2019</t>
  </si>
  <si>
    <t>Kepala HCM Adhisatya Holding 2022</t>
  </si>
  <si>
    <t>Kepala Maintenance Adhisatya Property 2026</t>
  </si>
  <si>
    <t>anam.namsa@gmail.com</t>
  </si>
  <si>
    <t>1HD3DwKv1Tg3mzPj1Q3s96MXDrcyVpPgQJanNV0nB6Yc</t>
  </si>
  <si>
    <t>https://docs.google.com/document/d/1HD3DwKv1Tg3mzPj1Q3s96MXDrcyVpPgQJanNV0nB6Yc/edit?usp=drivesdk</t>
  </si>
  <si>
    <t>Document successfully created; Document successfully merged; Run via form trigger as kemal.stafsus@gmail.com; Timestamp: Jun 19, 2026 4:12 AM</t>
  </si>
  <si>
    <t>https://drive.google.com/open?id=1H_19Fnn5TcNUngketiNJJUQC8vEVholy</t>
  </si>
  <si>
    <t>https://drive.google.com/uc?export=view&amp;id=1H_19Fnn5TcNUngketiNJJUQC8vEVholy</t>
  </si>
  <si>
    <t>Mr. Makhlouf Merouani</t>
  </si>
  <si>
    <t>081210713825</t>
  </si>
  <si>
    <t>Perumahan Graha Bintaro Blok GR 26 No.52, Parigi Baru, Kec. Pd. Aren, Kota Tangerang Selatan, Banten</t>
  </si>
  <si>
    <t>Ain M'Lila</t>
  </si>
  <si>
    <t>07-09-1994</t>
  </si>
  <si>
    <t>English Language.</t>
  </si>
  <si>
    <t>L'Arbi Bin M'hidi university-Oum El Bouaghi-Algeria</t>
  </si>
  <si>
    <t>Native English Speaker</t>
  </si>
  <si>
    <t>16,000,000</t>
  </si>
  <si>
    <t>18,000,000</t>
  </si>
  <si>
    <t>19,000,000</t>
  </si>
  <si>
    <t xml:space="preserve">10,000,000 </t>
  </si>
  <si>
    <t>merouanimakhlouf59@gmail.com</t>
  </si>
  <si>
    <t>1vmpIXtAj22tAWpRvBuhd-FK3FIWgWtZuvifqMcl2wsY</t>
  </si>
  <si>
    <t>https://docs.google.com/document/d/1vmpIXtAj22tAWpRvBuhd-FK3FIWgWtZuvifqMcl2wsY/edit?usp=drivesdk</t>
  </si>
  <si>
    <t>Document successfully created; Document successfully merged; Run via form trigger as kemal.stafsus@gmail.com; Timestamp: Jun 19, 2026 6:50 AM</t>
  </si>
  <si>
    <t>https://drive.google.com/open?id=1udynrew-mUdp-3D7k-Qz0ESf7om3QpFH</t>
  </si>
  <si>
    <t>https://drive.google.com/uc?export=view&amp;id=1udynrew-mUdp-3D7k-Qz0ESf7om3QpFH</t>
  </si>
  <si>
    <t>Juliana Putri Utami, S. Pd</t>
  </si>
  <si>
    <t>085708630661</t>
  </si>
  <si>
    <t>3310134707980001</t>
  </si>
  <si>
    <t xml:space="preserve">Bulusan, Bulusan Rt02/Rw 01, Karangdowo, Klaten, Jawa Tengah. </t>
  </si>
  <si>
    <t>08-07-1998</t>
  </si>
  <si>
    <t xml:space="preserve">27 Tahun 11 Bulan </t>
  </si>
  <si>
    <t>Guru Geografi</t>
  </si>
  <si>
    <t>Universitas Veteran Bangun Nusantara Sukoharjo</t>
  </si>
  <si>
    <t xml:space="preserve">Guru SD dan Wali kelas </t>
  </si>
  <si>
    <t>2.700.000-3.000.000</t>
  </si>
  <si>
    <t>Tentor Bimbel les baca dan calistung</t>
  </si>
  <si>
    <t>2.000.000-2.600.000</t>
  </si>
  <si>
    <t>Cimb Niaga</t>
  </si>
  <si>
    <t>julianaaa965@gmail.com</t>
  </si>
  <si>
    <t>1yc8g3ugHadv4WcLNZOThMRQZm5e-yVPVUdmrclDc2sY</t>
  </si>
  <si>
    <t>https://docs.google.com/document/d/1yc8g3ugHadv4WcLNZOThMRQZm5e-yVPVUdmrclDc2sY/edit?usp=drivesdk</t>
  </si>
  <si>
    <t>Document successfully created; Document successfully merged; Run via form trigger as kemal.stafsus@gmail.com; Timestamp: Jun 19, 2026 8:20 AM</t>
  </si>
  <si>
    <t>https://drive.google.com/open?id=12DhqHl_Ym9pyU3GoQBpCSmBe5rAXRw9h</t>
  </si>
  <si>
    <t>https://drive.google.com/uc?export=view&amp;id=12DhqHl_Ym9pyU3GoQBpCSmBe5rAXRw9h</t>
  </si>
  <si>
    <t>Alifia Mulyadina Putri, S.Pd.</t>
  </si>
  <si>
    <t>085694574106</t>
  </si>
  <si>
    <t>3603315407010001</t>
  </si>
  <si>
    <t>Perum Taman adiyasa blok j9/22,  kabupaten Tangerang</t>
  </si>
  <si>
    <t>14-07-2001</t>
  </si>
  <si>
    <t>PTS - Universitas La tansa Mashiro</t>
  </si>
  <si>
    <t>Pendidikan bahasa inggris</t>
  </si>
  <si>
    <t>Guru bidang studi bahasa dan agama</t>
  </si>
  <si>
    <t>Wali kelas 7</t>
  </si>
  <si>
    <t>Wali Kelas 8</t>
  </si>
  <si>
    <t>alifiamulyadina145@gmail.com</t>
  </si>
  <si>
    <t>1e5uC3Gnw_oMee855RG7xk4mWIVmyZ01h5jRQh_LoDGk</t>
  </si>
  <si>
    <t>https://docs.google.com/document/d/1e5uC3Gnw_oMee855RG7xk4mWIVmyZ01h5jRQh_LoDGk/edit?usp=drivesdk</t>
  </si>
  <si>
    <t>Document successfully created; Document successfully merged; Run via form trigger as kemal.stafsus@gmail.com; Timestamp: Jun 19, 2026 9:22 AM</t>
  </si>
  <si>
    <t>https://drive.google.com/open?id=1OY_OZR130Z2wn9xALeD49MIVkO9tfLZi</t>
  </si>
  <si>
    <t>https://drive.google.com/uc?export=view&amp;id=1OY_OZR130Z2wn9xALeD49MIVkO9tfLZi</t>
  </si>
  <si>
    <t>Ibnu Rifki, S.Hum.</t>
  </si>
  <si>
    <t>081214623860</t>
  </si>
  <si>
    <t>1308171707980002</t>
  </si>
  <si>
    <t>Namo Bintang, Pancur Batu, Deli Serdang, Sumatera Utara</t>
  </si>
  <si>
    <t>17-07-1998</t>
  </si>
  <si>
    <t>Guru Bahasa Inggris Kelas 4</t>
  </si>
  <si>
    <t>Interim Principal (±6 bulan)</t>
  </si>
  <si>
    <t>ibnurifki22@gmail.com</t>
  </si>
  <si>
    <t>1OAxFbUkDt41NZ8lB0DU9J7vbASvlz06R7sDSQekJA_4</t>
  </si>
  <si>
    <t>https://docs.google.com/document/d/1OAxFbUkDt41NZ8lB0DU9J7vbASvlz06R7sDSQekJA_4/edit?usp=drivesdk</t>
  </si>
  <si>
    <t>Document successfully created; Document successfully merged; Run via form trigger as kemal.stafsus@gmail.com; Timestamp: Jun 19, 2026 11:42 AM</t>
  </si>
  <si>
    <t>https://drive.google.com/open?id=1GvB7WhGqhj1t28i9H_yoeOjiNk-d8FpX</t>
  </si>
  <si>
    <t>https://drive.google.com/uc?export=view&amp;id=1GvB7WhGqhj1t28i9H_yoeOjiNk-d8FpX</t>
  </si>
  <si>
    <t>Rizky Amalia Astauriyah BSc.Psy</t>
  </si>
  <si>
    <t>081284325898</t>
  </si>
  <si>
    <t>3674024301030001</t>
  </si>
  <si>
    <t>GRB. Cluster Fedora Blok j 16 no 19, kelurahan paku jaya, kecamatan serpong utara kota Tangerang selatan</t>
  </si>
  <si>
    <t xml:space="preserve">Denpasar </t>
  </si>
  <si>
    <t>03-10-2003</t>
  </si>
  <si>
    <t xml:space="preserve">Internasional open university </t>
  </si>
  <si>
    <t xml:space="preserve">1 tahun </t>
  </si>
  <si>
    <t>rizkyamlia555@gmail.com</t>
  </si>
  <si>
    <t>1VgF4fCbHjvuCRYdw9N1KoJGxhIIXOqmROUJZb1ABGLI</t>
  </si>
  <si>
    <t>https://docs.google.com/document/d/1VgF4fCbHjvuCRYdw9N1KoJGxhIIXOqmROUJZb1ABGLI/edit?usp=drivesdk</t>
  </si>
  <si>
    <t>Document successfully created; Document successfully merged; Run via form trigger as kemal.stafsus@gmail.com; Timestamp: Jun 19, 2026 11:51 AM</t>
  </si>
  <si>
    <t>https://drive.google.com/open?id=1Mn0FdRkAvs_5tvN7SaqtQ9kqvsgiI_iN</t>
  </si>
  <si>
    <t>https://drive.google.com/uc?export=view&amp;id=1Mn0FdRkAvs_5tvN7SaqtQ9kqvsgiI_iN</t>
  </si>
  <si>
    <t>Cilia Hakiky, S.Si.</t>
  </si>
  <si>
    <t>081236470878</t>
  </si>
  <si>
    <t>3327146312950001</t>
  </si>
  <si>
    <t>Vila Dago Pamulang, Cluster Kintamani, Blok G1 No. 26, Pamulang, Tangerang Selatan</t>
  </si>
  <si>
    <t>Bangkalan</t>
  </si>
  <si>
    <t>23-12-1995</t>
  </si>
  <si>
    <t>Science, Mathematica</t>
  </si>
  <si>
    <t>Strata 1 - Universitas Jenderal Soedirman (Unsoed)</t>
  </si>
  <si>
    <t>Guru Eksak SD di Bimbingan Belajar Bintang Pelajar</t>
  </si>
  <si>
    <t>Tutor privat</t>
  </si>
  <si>
    <t>100.000/pertemuan</t>
  </si>
  <si>
    <t>ciliahakiky95@gmail.com</t>
  </si>
  <si>
    <t>1UxOfnhY_0Q8wXz8C8N6FZD9AWzFplMlHwFDlwccV6Sc</t>
  </si>
  <si>
    <t>https://docs.google.com/document/d/1UxOfnhY_0Q8wXz8C8N6FZD9AWzFplMlHwFDlwccV6Sc/edit?usp=drivesdk</t>
  </si>
  <si>
    <t>Document successfully created; Document successfully merged; Run via form trigger as kemal.stafsus@gmail.com; Timestamp: Jun 19, 2026 10:07 PM</t>
  </si>
  <si>
    <t>https://drive.google.com/open?id=1ikVrC1U-H2nNiRMkW10uumq1L7V8bNBn</t>
  </si>
  <si>
    <t>https://drive.google.com/uc?export=view&amp;id=1ikVrC1U-H2nNiRMkW10uumq1L7V8bNBn</t>
  </si>
  <si>
    <t>Razik Insani, S.Pd, M.Pd</t>
  </si>
  <si>
    <t>085213255524</t>
  </si>
  <si>
    <t>1111161108990001</t>
  </si>
  <si>
    <t xml:space="preserve">Desa curug, kecamatan gunung Sindur, Kabupaten Bogor </t>
  </si>
  <si>
    <t>Bireun, Aceh</t>
  </si>
  <si>
    <t>11-08-1998</t>
  </si>
  <si>
    <t>ADA (Arabic-Diniyyah-Alquran)</t>
  </si>
  <si>
    <t xml:space="preserve">Magister Pendidikan Bahasa Arab </t>
  </si>
  <si>
    <t xml:space="preserve">Smp/Sma Islam Alghozali gunung sindur </t>
  </si>
  <si>
    <t>Rumah Quran At-tazkiyyah sembalun Lombok</t>
  </si>
  <si>
    <t>Penerjemah daarut tauhid peduli (Dt peduli)</t>
  </si>
  <si>
    <t>insanirazik@gmail.com</t>
  </si>
  <si>
    <t>119SdC9js08nQzYduYp1T0f7jdOt4Pb0ehWiuVBAN1Bw</t>
  </si>
  <si>
    <t>https://docs.google.com/document/d/119SdC9js08nQzYduYp1T0f7jdOt4Pb0ehWiuVBAN1Bw/edit?usp=drivesdk</t>
  </si>
  <si>
    <t>Document successfully created; Document successfully merged; Run via form trigger as kemal.stafsus@gmail.com; Timestamp: Jun 20, 2026 5:53 AM</t>
  </si>
  <si>
    <t>https://drive.google.com/open?id=1R8ZYHpwYVetrVkuedT6wK12NJowVnv4R</t>
  </si>
  <si>
    <t>https://drive.google.com/uc?export=view&amp;id=1R8ZYHpwYVetrVkuedT6wK12NJowVnv4R</t>
  </si>
  <si>
    <t>Muhamad Rahmatullah, M.Pd.,C.MA.,C.MB.</t>
  </si>
  <si>
    <t>085693342001</t>
  </si>
  <si>
    <t>Perumahan Griya Ragamukti Mandiri Blok E no 3 , Jl. Arco Raya Gang Haji Ka In RT 04/RW 01, Kp. Ragamukti, Desa Citayam Kec.Tajurhalang Kab. Bogor, Jawa Barat</t>
  </si>
  <si>
    <t>m.rahmatullah2994@gmail.com</t>
  </si>
  <si>
    <t>1wm-V9qazKg_D7hTv8yaxfplEY3ekibaRpulKPLJ5Dmk</t>
  </si>
  <si>
    <t>https://docs.google.com/document/d/1wm-V9qazKg_D7hTv8yaxfplEY3ekibaRpulKPLJ5Dmk/edit?usp=drivesdk</t>
  </si>
  <si>
    <t>Document successfully created; Document successfully merged; Run via form trigger as kemal.stafsus@gmail.com; Timestamp: Jun 20, 2026 10:04 AM</t>
  </si>
  <si>
    <t>https://drive.google.com/open?id=1CHp8kX1UR6wIsuWA4qYE7JqWOS-p2Fqb</t>
  </si>
  <si>
    <t>https://drive.google.com/uc?export=view&amp;id=1CHp8kX1UR6wIsuWA4qYE7JqWOS-p2Fqb</t>
  </si>
  <si>
    <t>Melania Sarah Huwaida, Lc. M.Ag.</t>
  </si>
  <si>
    <t>081292282915</t>
  </si>
  <si>
    <t>3204056502000008</t>
  </si>
  <si>
    <t>Komplek Bumi Langgeng, blok 36 no 1, rt 01/rw 22 Cinunuk, kec. Cileunyi, kab. Bandung</t>
  </si>
  <si>
    <t>25-02-2000</t>
  </si>
  <si>
    <t>Arabic Diniyyah Al-Quran</t>
  </si>
  <si>
    <t>Universitas Al-Azhar, Kairo</t>
  </si>
  <si>
    <t>Tafsir dan Ulumul Quran</t>
  </si>
  <si>
    <t>Akidah dan Filsafat Islam</t>
  </si>
  <si>
    <t>Guru dan Pembimbing Akademik</t>
  </si>
  <si>
    <t>750.000 +Full Akomodasi</t>
  </si>
  <si>
    <t>Pengajar Bahasa</t>
  </si>
  <si>
    <t>Kepala Kantor Pembimbing Bahasa</t>
  </si>
  <si>
    <t>5.700.000-7.000.000</t>
  </si>
  <si>
    <t>melaniasarah28237@gmail.com</t>
  </si>
  <si>
    <t>1jLCY05EbPv3LcG5dtbcO3-eTQQnGwG0-ygnUDDjcg1g</t>
  </si>
  <si>
    <t>https://docs.google.com/document/d/1jLCY05EbPv3LcG5dtbcO3-eTQQnGwG0-ygnUDDjcg1g/edit?usp=drivesdk</t>
  </si>
  <si>
    <t>Document successfully created; Document successfully merged; Run via form trigger as kemal.stafsus@gmail.com; Timestamp: Jun 21, 2026 12:43 AM</t>
  </si>
  <si>
    <t>https://drive.google.com/open?id=1KBRzghGrHyLGVo9jcoMGd0ogpiEt3bbl</t>
  </si>
  <si>
    <t>https://drive.google.com/uc?export=view&amp;id=1KBRzghGrHyLGVo9jcoMGd0ogpiEt3bbl</t>
  </si>
  <si>
    <t>Muhamad Azzuri, S.Pd</t>
  </si>
  <si>
    <t>087846138542</t>
  </si>
  <si>
    <t>5203050608990002</t>
  </si>
  <si>
    <t>Desa danger kecamatan Masbagik, Lombok Timur, Nusa Tenggara Barat</t>
  </si>
  <si>
    <t>Operator Layanan Operasional di UPTD PPSBL MUTHMAINNAH Dinas Sosial Provinsi NTB</t>
  </si>
  <si>
    <t>azzurirockk@gmail.com</t>
  </si>
  <si>
    <t>19vmneUJDShtSHt25RtR3sHkHwBfj6Kfu0BmPfZTYdE8</t>
  </si>
  <si>
    <t>https://docs.google.com/document/d/19vmneUJDShtSHt25RtR3sHkHwBfj6Kfu0BmPfZTYdE8/edit?usp=drivesdk</t>
  </si>
  <si>
    <t>Document successfully created; Document successfully merged; Run via form trigger as kemal.stafsus@gmail.com; Timestamp: Jun 21, 2026 1:41 AM</t>
  </si>
  <si>
    <t>https://drive.google.com/open?id=1kFqwl150RJzzXMr_IUUGJsh2gEWaGcbE</t>
  </si>
  <si>
    <t>https://drive.google.com/uc?export=view&amp;id=1kFqwl150RJzzXMr_IUUGJsh2gEWaGcbE</t>
  </si>
  <si>
    <t>Siti Maulidiya Nabila, S.Pd., Gr.</t>
  </si>
  <si>
    <t>081944125087</t>
  </si>
  <si>
    <t>5203075006010014</t>
  </si>
  <si>
    <t>Jl. Pantai Gili Air Nomor 19, BTN Griya Pagutan Indah</t>
  </si>
  <si>
    <t>Kelayu</t>
  </si>
  <si>
    <t>10 Juni 2001</t>
  </si>
  <si>
    <t>Tematik &amp; Bahasa Indonesia</t>
  </si>
  <si>
    <t>Guru KB di Rumah Belajar Anak Mataram</t>
  </si>
  <si>
    <t>Tutor KB Sekolah Alam Ghulam Mataram</t>
  </si>
  <si>
    <t>Guru dan Wali Kelas di SDIT Tahfidzul Quran An-Nahl Mataram</t>
  </si>
  <si>
    <t>nabilamaudy10@gmail.com</t>
  </si>
  <si>
    <t>14OY2edX7oen9nKRdK4vzaOfZBsFVFKQZ7cK901Vv3zs</t>
  </si>
  <si>
    <t>https://docs.google.com/document/d/14OY2edX7oen9nKRdK4vzaOfZBsFVFKQZ7cK901Vv3zs/edit?usp=drivesdk</t>
  </si>
  <si>
    <t>Document successfully created; Document successfully merged; Run via form trigger as kemal.stafsus@gmail.com; Timestamp: Jun 21, 2026 1:47 AM</t>
  </si>
  <si>
    <t>https://drive.google.com/open?id=11muzvPeKSj3dNg_sOfsEpEk9_DoCB4oy</t>
  </si>
  <si>
    <t>https://drive.google.com/uc?export=view&amp;id=11muzvPeKSj3dNg_sOfsEpEk9_DoCB4oy</t>
  </si>
  <si>
    <t>Nasywa Indah Nurannisa, S.Sos</t>
  </si>
  <si>
    <t>085333913115</t>
  </si>
  <si>
    <t>5271015511020001</t>
  </si>
  <si>
    <t>Jl. Sunda Gg.Mangga, No.19 Lingkungan Sukaraja Timur Ampenan Tengah, Kota Mataram</t>
  </si>
  <si>
    <t>Kota Mataram</t>
  </si>
  <si>
    <t>15-11-2002</t>
  </si>
  <si>
    <t>Bimbingan dan Konseling Islam</t>
  </si>
  <si>
    <t>Mengajar di TPQ Al-Jihad Sukaraja Timur Ampenan Tengah selama 8 tahun</t>
  </si>
  <si>
    <t>Freelance (Buka Private Ngaji)</t>
  </si>
  <si>
    <t>Pkl Guru BK Di Madrasah Darul Anshor  Pegading Lombok Tengah</t>
  </si>
  <si>
    <t>indahnurannisa2115@gmail.com</t>
  </si>
  <si>
    <t>1x2dDibXZksOh9fbjbF5FIf0NsDPIpP9lwra9SQqjju8</t>
  </si>
  <si>
    <t>https://docs.google.com/document/d/1x2dDibXZksOh9fbjbF5FIf0NsDPIpP9lwra9SQqjju8/edit?usp=drivesdk</t>
  </si>
  <si>
    <t>Document successfully created; Document successfully merged; Run via form trigger as kemal.stafsus@gmail.com; Timestamp: Jun 21, 2026 2:00 AM</t>
  </si>
  <si>
    <t>https://drive.google.com/open?id=1h1cws6snVcFcd8p3dPNzHOhBbrEAy8YN</t>
  </si>
  <si>
    <t>https://drive.google.com/uc?export=view&amp;id=1h1cws6snVcFcd8p3dPNzHOhBbrEAy8YN</t>
  </si>
  <si>
    <t>Riza Mahendra, S.Pd.</t>
  </si>
  <si>
    <t>087863996279</t>
  </si>
  <si>
    <t>5202062908020001</t>
  </si>
  <si>
    <t xml:space="preserve">Desa Kidang, Kecamatan Praya Timur, Kabupaten Lombok Tengah. </t>
  </si>
  <si>
    <t>Semoyong Lauk</t>
  </si>
  <si>
    <t>29-08-2002</t>
  </si>
  <si>
    <t xml:space="preserve">23 tahun 10 bulan </t>
  </si>
  <si>
    <t xml:space="preserve">S1 Pendidikan Kimia </t>
  </si>
  <si>
    <t>005201190471500</t>
  </si>
  <si>
    <t>Bank Republik Indonesia(BRI)</t>
  </si>
  <si>
    <t>rizamahendra83@gmail.com</t>
  </si>
  <si>
    <t>1LovKhg07mJC1jsYelQn9RmApLzhurOSSui3TahS_kvA</t>
  </si>
  <si>
    <t>https://docs.google.com/document/d/1LovKhg07mJC1jsYelQn9RmApLzhurOSSui3TahS_kvA/edit?usp=drivesdk</t>
  </si>
  <si>
    <t>Document successfully created; Document successfully merged; Run via form trigger as kemal.stafsus@gmail.com; Timestamp: Jun 21, 2026 2:01 AM</t>
  </si>
  <si>
    <t>https://drive.google.com/open?id=1s5wj6LpIOTiiUsJxMMt36ywf-oApMeNI</t>
  </si>
  <si>
    <t>https://drive.google.com/uc?export=view&amp;id=1s5wj6LpIOTiiUsJxMMt36ywf-oApMeNI</t>
  </si>
  <si>
    <t>Siti Fatimah Azzahra S.Pd</t>
  </si>
  <si>
    <t>085783617942</t>
  </si>
  <si>
    <t>1471125205020001</t>
  </si>
  <si>
    <t>Jl. Perintis Kemerdekaan RT 01 RW 05, Kampung Cimenteng, Desa Sukamulya, Kecamatan Cikembar, Kabupaten Sukabumi, Jawa Barat 43161, Indonesia</t>
  </si>
  <si>
    <t>12-05-2002</t>
  </si>
  <si>
    <t>24 tahun satu bulan</t>
  </si>
  <si>
    <t>Al-qur'an Diniyyah Arab</t>
  </si>
  <si>
    <t xml:space="preserve">Stiba Arraayah Sukabumi </t>
  </si>
  <si>
    <t>SDIT Ibnu Qayyim Pekanbaru</t>
  </si>
  <si>
    <t>Rumah Tahfidz Khairu Ummah Pekanbaru</t>
  </si>
  <si>
    <t>SDIT Arraayah Sukabumi</t>
  </si>
  <si>
    <t>azzahra.fathimah125@gmail.com</t>
  </si>
  <si>
    <t>16SGXwXXzTHm5aVMPIp-4Gom_XXJIg1FcvM1_Bed_ads</t>
  </si>
  <si>
    <t>https://docs.google.com/document/d/16SGXwXXzTHm5aVMPIp-4Gom_XXJIg1FcvM1_Bed_ads/edit?usp=drivesdk</t>
  </si>
  <si>
    <t>Document successfully created; Document successfully merged; Run via form trigger as kemal.stafsus@gmail.com; Timestamp: Jun 21, 2026 2:15 AM</t>
  </si>
  <si>
    <t>https://drive.google.com/open?id=1DXyMN16iqT2Kzu4IYG-0ChQlZ8sKajId</t>
  </si>
  <si>
    <t>https://drive.google.com/uc?export=view&amp;id=1DXyMN16iqT2Kzu4IYG-0ChQlZ8sKajId</t>
  </si>
  <si>
    <t xml:space="preserve">Nasya Almira, S.Pd. </t>
  </si>
  <si>
    <t>087751027427</t>
  </si>
  <si>
    <t>5203075001030007</t>
  </si>
  <si>
    <t>English (Bahasa Inggris)</t>
  </si>
  <si>
    <t xml:space="preserve">English Conversant Partner and Copywriter at INDEEP Unram </t>
  </si>
  <si>
    <t xml:space="preserve">400.000/ project </t>
  </si>
  <si>
    <t>Shadow Teacher at Sekolah Nusa Alam</t>
  </si>
  <si>
    <t xml:space="preserve">3.020.000 (Pembulatan UMR Kota Mataram) </t>
  </si>
  <si>
    <t>nasyaalmiratiga@gmail.com</t>
  </si>
  <si>
    <t>1d9ct6_8vVidmbHXbmJh805G2kCXWGuVg3XpGjZA1ANw</t>
  </si>
  <si>
    <t>https://docs.google.com/document/d/1d9ct6_8vVidmbHXbmJh805G2kCXWGuVg3XpGjZA1ANw/edit?usp=drivesdk</t>
  </si>
  <si>
    <t>Document successfully created; Document successfully merged; Run via form trigger as kemal.stafsus@gmail.com; Timestamp: Jun 21, 2026 3:42 AM</t>
  </si>
  <si>
    <t>https://drive.google.com/open?id=1XCBh2v9jHFDdWn--9uNktIGD48ufTJne</t>
  </si>
  <si>
    <t>https://drive.google.com/uc?export=view&amp;id=1XCBh2v9jHFDdWn--9uNktIGD48ufTJne</t>
  </si>
  <si>
    <t>Muhammad Tajriyan, S.S.</t>
  </si>
  <si>
    <t>089627097035</t>
  </si>
  <si>
    <t>3327140502000002</t>
  </si>
  <si>
    <t>Jln sukadamai raya No. 51, RT 01 RW 02 Kp. Situpete Kec. Tanah sareal Kota Bogor</t>
  </si>
  <si>
    <t>05-02-2000</t>
  </si>
  <si>
    <t>Jampang English Village</t>
  </si>
  <si>
    <t>300.000 - 3.000.000</t>
  </si>
  <si>
    <t xml:space="preserve">English Everywhere </t>
  </si>
  <si>
    <t>3.000.000 - 4.500.000</t>
  </si>
  <si>
    <t xml:space="preserve">Pesantren Al adzkar (SMA) </t>
  </si>
  <si>
    <t>1.000.000 - 2.500.000</t>
  </si>
  <si>
    <t>5.000.000 - 7.000.000</t>
  </si>
  <si>
    <t>muh.tajriyan0502@gmail.com</t>
  </si>
  <si>
    <t>100xlQp2ZxXc2NVTssw9TyOC7bN_UxVhA9__Pxi5quzg</t>
  </si>
  <si>
    <t>https://docs.google.com/document/d/100xlQp2ZxXc2NVTssw9TyOC7bN_UxVhA9__Pxi5quzg/edit?usp=drivesdk</t>
  </si>
  <si>
    <t>Document successfully created; Document successfully merged; Run via form trigger as kemal.stafsus@gmail.com; Timestamp: Jun 21, 2026 5:53 AM</t>
  </si>
  <si>
    <t>https://drive.google.com/open?id=1IfK5ziXwJAFoGtb_zEuZtqWlQ4xU2Lp6</t>
  </si>
  <si>
    <t>https://drive.google.com/uc?export=view&amp;id=1IfK5ziXwJAFoGtb_zEuZtqWlQ4xU2Lp6</t>
  </si>
  <si>
    <t>Ap'aludin, S.Pd.</t>
  </si>
  <si>
    <t>087864576990</t>
  </si>
  <si>
    <t>5271033112000005</t>
  </si>
  <si>
    <t>Jl. P. Diponegoro Gang Al-Mishbah Lingkungan Lendang Kelor, Sayang-Sayang, Cakranegara, Mataram</t>
  </si>
  <si>
    <t>23-10-2000</t>
  </si>
  <si>
    <t>Freelance Staf Riwayah RnD Ngajilagi Indonesia</t>
  </si>
  <si>
    <t>Tutor Tidak Tetap Tahsin Offline Ngajilagi Indonesia</t>
  </si>
  <si>
    <t>Freelance Tutor Olimpiade Fisika MAN 1 &amp; MAN 2 Mataram</t>
  </si>
  <si>
    <t>apaludinpaal24514@gmail.com</t>
  </si>
  <si>
    <t>1lboTWMcNy_cf4n3ItL98cuPxiIVO37muZaqI97JZftQ</t>
  </si>
  <si>
    <t>https://docs.google.com/document/d/1lboTWMcNy_cf4n3ItL98cuPxiIVO37muZaqI97JZftQ/edit?usp=drivesdk</t>
  </si>
  <si>
    <t>Document successfully created; Document successfully merged; Run via form trigger as kemal.stafsus@gmail.com; Timestamp: Jun 21, 2026 6:11 AM</t>
  </si>
  <si>
    <t>https://drive.google.com/open?id=1s5kWdNUxK8KWhBEsMadXX8CGfv02kobA</t>
  </si>
  <si>
    <t>https://drive.google.com/uc?export=view&amp;id=1s5kWdNUxK8KWhBEsMadXX8CGfv02kobA</t>
  </si>
  <si>
    <t>Angga Dhanar Kencana Putra S.Pd</t>
  </si>
  <si>
    <t>085640849617</t>
  </si>
  <si>
    <t>3216060901030006</t>
  </si>
  <si>
    <t>Jln Assadariyah, Mekarsari Barat, Tambun selaran,Kab Bekasi</t>
  </si>
  <si>
    <t>09-01-2003</t>
  </si>
  <si>
    <t>Universitas Islam Negeri Raden Mas Said Surakarta</t>
  </si>
  <si>
    <t>Englisg Tutor ( Freelancer) in AkademiPrestasi</t>
  </si>
  <si>
    <t>Master Teacher in English ( Parttime)in English Academy By Ruangguru</t>
  </si>
  <si>
    <t>English Teacher in JAC Primary School</t>
  </si>
  <si>
    <t>anggadhanar77@gmail.com</t>
  </si>
  <si>
    <t>1OS7lMSjjtl9v5oYnLcbIRQnN1Usbz3oRVYRnXwAdsEc</t>
  </si>
  <si>
    <t>https://docs.google.com/document/d/1OS7lMSjjtl9v5oYnLcbIRQnN1Usbz3oRVYRnXwAdsEc/edit?usp=drivesdk</t>
  </si>
  <si>
    <t>Document successfully created; Document successfully merged; Run via form trigger as kemal.stafsus@gmail.com; Timestamp: Jun 21, 2026 6:36 AM</t>
  </si>
  <si>
    <t>https://drive.google.com/open?id=1oo86RssWGlFnBZCfaDNSRiXSbOQnhABg</t>
  </si>
  <si>
    <t>https://drive.google.com/uc?export=view&amp;id=1oo86RssWGlFnBZCfaDNSRiXSbOQnhABg</t>
  </si>
  <si>
    <t>Muhamad Rahmatullah, M.Pd., C.MA.,C.MB.</t>
  </si>
  <si>
    <t xml:space="preserve">STIBA ARRAYAH SUKABUMI </t>
  </si>
  <si>
    <t>Magister Pendidikan Bahasa Arab</t>
  </si>
  <si>
    <t>Wali Kelas SMA dan Guru Bahasa Arab</t>
  </si>
  <si>
    <t>1i4-5yqI12tHvGAXQ1YCH6rYG3HbOU105FYTU4to2i88</t>
  </si>
  <si>
    <t>https://docs.google.com/document/d/1i4-5yqI12tHvGAXQ1YCH6rYG3HbOU105FYTU4to2i88/edit?usp=drivesdk</t>
  </si>
  <si>
    <t>Document successfully created; Document successfully merged; Run via form trigger as kemal.stafsus@gmail.com; Timestamp: Jun 21, 2026 8:11 AM</t>
  </si>
  <si>
    <t>https://drive.google.com/open?id=1tOC-zvFf0t-n1wRQo1iWcvvvURL2uKdi</t>
  </si>
  <si>
    <t>https://drive.google.com/uc?export=view&amp;id=1tOC-zvFf0t-n1wRQo1iWcvvvURL2uKdi</t>
  </si>
  <si>
    <t>Lia Agustina, M.Pd.</t>
  </si>
  <si>
    <t>085716478673</t>
  </si>
  <si>
    <t>3275086508950011</t>
  </si>
  <si>
    <t>JL. Pemuda Kp. Pulo RT 005/RW 008, Kelurahan Cipayung Jaya, Kecamatan Cipayung, Kota Depok, Jawa Barat</t>
  </si>
  <si>
    <t>25-08-1995</t>
  </si>
  <si>
    <t xml:space="preserve">30 tahun 10 bulan </t>
  </si>
  <si>
    <t>Chemistry Cambridge</t>
  </si>
  <si>
    <t>SMA Nusantara Plus</t>
  </si>
  <si>
    <t>Lazuardi Global Compassionate School</t>
  </si>
  <si>
    <t>SMAN 3 Depok</t>
  </si>
  <si>
    <t>BCA (Bank Central Asia)</t>
  </si>
  <si>
    <t>liaagst08@gmail.com</t>
  </si>
  <si>
    <t>1GA3bmTfiIsNlFzkSV4oYM3Mp_Vvy72K6T8hQ_KIpKOg</t>
  </si>
  <si>
    <t>https://docs.google.com/document/d/1GA3bmTfiIsNlFzkSV4oYM3Mp_Vvy72K6T8hQ_KIpKOg/edit?usp=drivesdk</t>
  </si>
  <si>
    <t>Document successfully created; Document successfully merged; Run via form trigger as kemal.stafsus@gmail.com; Timestamp: Jun 21, 2026 8:48 AM</t>
  </si>
  <si>
    <t>https://drive.google.com/open?id=1JQkriRnDGhhcQl-bOM8vVQ-Avd1uBAev</t>
  </si>
  <si>
    <t>https://drive.google.com/uc?export=view&amp;id=1JQkriRnDGhhcQl-bOM8vVQ-Avd1uBAev</t>
  </si>
  <si>
    <t>Wahid Sidik Sarifuddin, M.Si</t>
  </si>
  <si>
    <t>083866965506</t>
  </si>
  <si>
    <t>3175060301920004</t>
  </si>
  <si>
    <t>Ds. Bolon, Colomadu, Karanganyar, Jawa Tengah</t>
  </si>
  <si>
    <t>03-01-1992</t>
  </si>
  <si>
    <t>Universiti Brunei Darussalam</t>
  </si>
  <si>
    <t>Material Science</t>
  </si>
  <si>
    <t>PhD Researcher UBD</t>
  </si>
  <si>
    <t>1.500 Brunei Dollars</t>
  </si>
  <si>
    <t>SMA PU Al Bayan Anyer</t>
  </si>
  <si>
    <t>SMPII Al Abidin Surakarta</t>
  </si>
  <si>
    <t>wahidsidik@gmail.com</t>
  </si>
  <si>
    <t>1vjNblCD0LnG6swnikNeLfdaa3wC8XOS5Mi1J9bxjD9Y</t>
  </si>
  <si>
    <t>https://docs.google.com/document/d/1vjNblCD0LnG6swnikNeLfdaa3wC8XOS5Mi1J9bxjD9Y/edit?usp=drivesdk</t>
  </si>
  <si>
    <t>Document successfully created; Document successfully merged; Run via form trigger as kemal.stafsus@gmail.com; Timestamp: Jun 21, 2026 9:40 PM</t>
  </si>
  <si>
    <t>https://drive.google.com/open?id=1irGdS65NFqsNOAGww0f9hNBer0FbF2Xb</t>
  </si>
  <si>
    <t>https://drive.google.com/uc?export=view&amp;id=1irGdS65NFqsNOAGww0f9hNBer0FbF2Xb</t>
  </si>
  <si>
    <t>Al azharni rubiati khaz llm.dipl</t>
  </si>
  <si>
    <t>081267739389</t>
  </si>
  <si>
    <t>1305036701970001</t>
  </si>
  <si>
    <t xml:space="preserve">Pariaman </t>
  </si>
  <si>
    <t>Teluk nibung 25 januari 1997</t>
  </si>
  <si>
    <t>Asean university</t>
  </si>
  <si>
    <t>Al wafi guru</t>
  </si>
  <si>
    <t>032101024772532</t>
  </si>
  <si>
    <t>rubiatialazharni@gmail.com</t>
  </si>
  <si>
    <t>1KQK54KcMagfTKdYr1RwnlkMiQdNaTp6WfjgumYRsNEE</t>
  </si>
  <si>
    <t>https://docs.google.com/document/d/1KQK54KcMagfTKdYr1RwnlkMiQdNaTp6WfjgumYRsNEE/edit?usp=drivesdk</t>
  </si>
  <si>
    <t>Document successfully created; Document successfully merged; Run via form trigger as kemal.stafsus@gmail.com; Timestamp: Jun 21, 2026 10:02 PM</t>
  </si>
  <si>
    <t>https://drive.google.com/open?id=1d-CmYITErAg1070NkuPhb9IwjU_jE-R7</t>
  </si>
  <si>
    <t>https://drive.google.com/uc?export=view&amp;id=1d-CmYITErAg1070NkuPhb9IwjU_jE-R7</t>
  </si>
  <si>
    <t>Math, Phys</t>
  </si>
  <si>
    <t>on going</t>
  </si>
  <si>
    <t xml:space="preserve">Harvey Beef, Western Australia </t>
  </si>
  <si>
    <t>60.000.000/bulan</t>
  </si>
  <si>
    <t>SMAN UNGGULAN MOHAMAD HUSNI THAMRIN Jakarta</t>
  </si>
  <si>
    <t>8.000.000/bulan</t>
  </si>
  <si>
    <t>1xdurwv4Z9XwJIQSoE3DMNv-ZzKKs3S_xcNxLt4EXykA</t>
  </si>
  <si>
    <t>https://docs.google.com/document/d/1xdurwv4Z9XwJIQSoE3DMNv-ZzKKs3S_xcNxLt4EXykA/edit?usp=drivesdk</t>
  </si>
  <si>
    <t>Document successfully created; Document successfully merged; Run via form trigger as kemal.stafsus@gmail.com; Timestamp: Jun 21, 2026 10:07 PM</t>
  </si>
  <si>
    <t>https://drive.google.com/open?id=1v5DJj8DG-ffsVZRlQiFyHpJLq7yuGOrp</t>
  </si>
  <si>
    <t>https://drive.google.com/uc?export=view&amp;id=1v5DJj8DG-ffsVZRlQiFyHpJLq7yuGOrp</t>
  </si>
  <si>
    <t>Rizal Fanany S.Si., M.Si</t>
  </si>
  <si>
    <t>085732751070</t>
  </si>
  <si>
    <t>3517191102980006</t>
  </si>
  <si>
    <t>Dsn. Rejoso RT.04 RW.05 Ngumpul Jogoroto Jombang</t>
  </si>
  <si>
    <t>Kabupaten Jombang</t>
  </si>
  <si>
    <t>11-02-1998</t>
  </si>
  <si>
    <t>Lembaga Bimbingan Belajar (LBB) Darul Ulum</t>
  </si>
  <si>
    <t>0116413019</t>
  </si>
  <si>
    <t>Bank Jatim</t>
  </si>
  <si>
    <t>fananyrizal11@gmail.com</t>
  </si>
  <si>
    <t>1RS8fBCpUYgNUnXg-88FLYGL7iIZ_e-BMtSuOlIJ3Bfc</t>
  </si>
  <si>
    <t>https://docs.google.com/document/d/1RS8fBCpUYgNUnXg-88FLYGL7iIZ_e-BMtSuOlIJ3Bfc/edit?usp=drivesdk</t>
  </si>
  <si>
    <t>Document successfully created; Document successfully merged; Run via form trigger as kemal.stafsus@gmail.com; Timestamp: Jun 22, 2026 4:47 AM</t>
  </si>
  <si>
    <t>https://drive.google.com/open?id=17rx03KFCXajAkFfsh0knmEBSRyecnf-3</t>
  </si>
  <si>
    <t>https://drive.google.com/uc?export=view&amp;id=17rx03KFCXajAkFfsh0knmEBSRyecnf-3</t>
  </si>
  <si>
    <t>Hardinal Jais, S.Si., M.Pd., Gr.</t>
  </si>
  <si>
    <t>085274255522</t>
  </si>
  <si>
    <t>3174070301830007</t>
  </si>
  <si>
    <t>Perumahan Sawangan Hill 3 Cluster Lavenda, Blok C/3, Jalan Arco Dalam, Pengasinan, Sawangan, Depok</t>
  </si>
  <si>
    <t>03-01-1983</t>
  </si>
  <si>
    <t>43 tahun 5 bulan</t>
  </si>
  <si>
    <t xml:space="preserve">Fisika dan Matematika </t>
  </si>
  <si>
    <t xml:space="preserve">Fisika FMIPA </t>
  </si>
  <si>
    <t>Universitas PGRI Indraprasta</t>
  </si>
  <si>
    <t>Bimbel Nurul Fikri Sawangan Depok</t>
  </si>
  <si>
    <t>hjais83@gmail.com</t>
  </si>
  <si>
    <t>1OdZwvYAmHFVloHaqnWGT8r7yrbCizHUU8PS7Y--UG_Y</t>
  </si>
  <si>
    <t>https://docs.google.com/document/d/1OdZwvYAmHFVloHaqnWGT8r7yrbCizHUU8PS7Y--UG_Y/edit?usp=drivesdk</t>
  </si>
  <si>
    <t>Document successfully created; Document successfully merged; Run via form trigger as kemal.stafsus@gmail.com; Timestamp: Jun 22, 2026 5:48 AM</t>
  </si>
  <si>
    <t>https://drive.google.com/open?id=1ijlRg_WryJNCfZOOCorsx3nk5qOudRyp</t>
  </si>
  <si>
    <t>https://drive.google.com/uc?export=view&amp;id=1ijlRg_WryJNCfZOOCorsx3nk5qOudRyp</t>
  </si>
  <si>
    <t>Rafiqah Setiawaty S.Si. M.Si.</t>
  </si>
  <si>
    <t>082310444020</t>
  </si>
  <si>
    <t>7209065305930001</t>
  </si>
  <si>
    <t>Kompleks Cijahe Legacy, jalan Cijahe, Cilendek, Bogor Barat.</t>
  </si>
  <si>
    <t>13-05-1993</t>
  </si>
  <si>
    <t>Prosus Inten Bogor</t>
  </si>
  <si>
    <t>setiawatyrafiqah27@gmail.com</t>
  </si>
  <si>
    <t>1lDuW76GRqt91GUbOMvw-5fSBJLrrGy0-b2SbUKPDAPI</t>
  </si>
  <si>
    <t>https://docs.google.com/document/d/1lDuW76GRqt91GUbOMvw-5fSBJLrrGy0-b2SbUKPDAPI/edit?usp=drivesdk</t>
  </si>
  <si>
    <t>Document successfully created; Document successfully merged; Run via form trigger as kemal.stafsus@gmail.com; Timestamp: Jun 22, 2026 9:50 AM</t>
  </si>
  <si>
    <t>https://drive.google.com/open?id=1tER9A880IaXSKDGudCdQI3_BTWr4KPq1</t>
  </si>
  <si>
    <t>https://drive.google.com/uc?export=view&amp;id=1tER9A880IaXSKDGudCdQI3_BTWr4KPq1</t>
  </si>
  <si>
    <t xml:space="preserve">ismail Daulan </t>
  </si>
  <si>
    <t>5205062612060002</t>
  </si>
  <si>
    <t>Jl. B No.5, RT.4/RW.12, Bintaro, Kec. Pesanggrahan, Kota Jakarta Selatan, Daerah Khusus Ibukota Jakarta 12330</t>
  </si>
  <si>
    <t>26-12-2006</t>
  </si>
  <si>
    <t>Musyrif (Non-ITBA), ITBA - MUSYRIF/AH PPL</t>
  </si>
  <si>
    <t xml:space="preserve">musrif di ponpes Abu Bakar al islamy sumbawa tahun 2024
</t>
  </si>
  <si>
    <t xml:space="preserve">
muadzin/marbot masjid al masthur 3 bsd 2025-2026</t>
  </si>
  <si>
    <t>dull244481@gmail.com</t>
  </si>
  <si>
    <t>1aK2ZOQ3FLkP0eVFeAoNHeOrbZw_1eol3cY2kwhRRvIA</t>
  </si>
  <si>
    <t>https://docs.google.com/document/d/1aK2ZOQ3FLkP0eVFeAoNHeOrbZw_1eol3cY2kwhRRvIA/edit?usp=drivesdk</t>
  </si>
  <si>
    <t>Document successfully created; Document successfully merged; Run via form trigger as kemal.stafsus@gmail.com; Timestamp: Jun 22, 2026 10:52 PM</t>
  </si>
  <si>
    <t>https://drive.google.com/open?id=1DWt42W4xw5rMPrgmrV7qa_ufNXFtKU-8</t>
  </si>
  <si>
    <t>https://drive.google.com/uc?export=view&amp;id=1DWt42W4xw5rMPrgmrV7qa_ufNXFtKU-8</t>
  </si>
  <si>
    <t>Yusuf</t>
  </si>
  <si>
    <t>081286082627</t>
  </si>
  <si>
    <t>3201071404060002</t>
  </si>
  <si>
    <t>Jl. raudah, kampung tengah, RT.04/RW.06, no.51 , sebrang cahaya service las. Cileungsi, Jawa Barat, kab. Bogor, Cileungsi.</t>
  </si>
  <si>
    <t>14 April 2006</t>
  </si>
  <si>
    <t>Guru Muda Riyadhussholihin (Pengabdian)</t>
  </si>
  <si>
    <t>Asisten guru</t>
  </si>
  <si>
    <t>yuusufdeny01@gmail.com</t>
  </si>
  <si>
    <t>1N8aDHVx1_EcQdTwdBpsCxqNau93Ul-ACjFTv2e3nKgA</t>
  </si>
  <si>
    <t>https://docs.google.com/document/d/1N8aDHVx1_EcQdTwdBpsCxqNau93Ul-ACjFTv2e3nKgA/edit?usp=drivesdk</t>
  </si>
  <si>
    <t>Document successfully created; Document successfully merged; Run via form trigger as kemal.stafsus@gmail.com; Timestamp: Jun 23, 2026 1:54 AM</t>
  </si>
  <si>
    <t>https://drive.google.com/open?id=1SJ3sSnX0OABc_yaVJLov7Y7VtcqDh0QU</t>
  </si>
  <si>
    <t>https://drive.google.com/uc?export=view&amp;id=1SJ3sSnX0OABc_yaVJLov7Y7VtcqDh0QU</t>
  </si>
  <si>
    <t>Fardhan Roiza S.Si.</t>
  </si>
  <si>
    <t>088292104420</t>
  </si>
  <si>
    <t>3271042708010001</t>
  </si>
  <si>
    <t>Jl.Makmur no.7, Kelurahan Kedungbadak, Kecamatan Tanah Sareal, Kota Bogor, Jawa Barat</t>
  </si>
  <si>
    <t>27-08-2001</t>
  </si>
  <si>
    <t>fardhan.roiza@gmail.com</t>
  </si>
  <si>
    <t>1WRwKfLsk6R011iGHfeaFpBaAxjpA6YY2GJI3Zp6NznE</t>
  </si>
  <si>
    <t>https://docs.google.com/document/d/1WRwKfLsk6R011iGHfeaFpBaAxjpA6YY2GJI3Zp6NznE/edit?usp=drivesdk</t>
  </si>
  <si>
    <t>Document successfully created; Document successfully merged; Run via form trigger as kemal.stafsus@gmail.com; Timestamp: Jun 23, 2026 2:11 AM</t>
  </si>
  <si>
    <t>https://drive.google.com/open?id=1B_NG2KB26o9ZF2MDG9su1cixtpetw4Ix</t>
  </si>
  <si>
    <t>https://drive.google.com/uc?export=view&amp;id=1B_NG2KB26o9ZF2MDG9su1cixtpetw4Ix</t>
  </si>
  <si>
    <t>farhah faidah rozani S.Pd.</t>
  </si>
  <si>
    <t>089670266766</t>
  </si>
  <si>
    <t>3578165710010002</t>
  </si>
  <si>
    <t xml:space="preserve">jalan wonokusumo wetan no 8 Surabaya </t>
  </si>
  <si>
    <t xml:space="preserve">surabaya </t>
  </si>
  <si>
    <t>17 oktober 2001</t>
  </si>
  <si>
    <t>PTS-Institut Tahfidz Alquran bersanad Alwildan</t>
  </si>
  <si>
    <t xml:space="preserve">belum terima ijazah </t>
  </si>
  <si>
    <t>musyrifah di pesantren persis putri bangil (5 tahun)</t>
  </si>
  <si>
    <t>faidahhfarhah@gmail.com</t>
  </si>
  <si>
    <t>1phrHDqbjvsrVYGxiAPYE9rAU-t9Mbo-Zf7EMa_lJyuU</t>
  </si>
  <si>
    <t>https://docs.google.com/document/d/1phrHDqbjvsrVYGxiAPYE9rAU-t9Mbo-Zf7EMa_lJyuU/edit?usp=drivesdk</t>
  </si>
  <si>
    <t>Document successfully created; Document successfully merged; Run via form trigger as kemal.stafsus@gmail.com; Timestamp: Jun 23, 2026 5:13 AM</t>
  </si>
  <si>
    <t>https://drive.google.com/open?id=1YuQAB_A20YAfyCkb1MnKFeBkU6nCIhEe</t>
  </si>
  <si>
    <t>https://drive.google.com/uc?export=view&amp;id=1YuQAB_A20YAfyCkb1MnKFeBkU6nCIhEe</t>
  </si>
  <si>
    <t>Vidyapati Adhinugraha Suwardjo</t>
  </si>
  <si>
    <t>082121709735</t>
  </si>
  <si>
    <t>3603190060606002</t>
  </si>
  <si>
    <t>Blok K5/37 RT06/09, Kel. Mekar Bakti, Kec. Panongan, Kab.Tangerang. BANTEN 15710</t>
  </si>
  <si>
    <t>06 06 2006</t>
  </si>
  <si>
    <t>Guru Muda/ Pendamping (Mudabbir Ghurfah)</t>
  </si>
  <si>
    <t>1.000.000 - 1.350.000</t>
  </si>
  <si>
    <t>vidysuwardjo@gmail.com</t>
  </si>
  <si>
    <t>1DmLlPooKBYlXnF879vJFKOGtfANSMeW_--Y2YjGt6d4</t>
  </si>
  <si>
    <t>https://docs.google.com/document/d/1DmLlPooKBYlXnF879vJFKOGtfANSMeW_--Y2YjGt6d4/edit?usp=drivesdk</t>
  </si>
  <si>
    <t>Document successfully created; Document successfully merged; Run via form trigger as kemal.stafsus@gmail.com; Timestamp: Jun 23, 2026 5:14 AM</t>
  </si>
  <si>
    <t>https://drive.google.com/open?id=1_LeRTm6hYgP0ADIwT2s4RXcfKz8E665H</t>
  </si>
  <si>
    <t>https://drive.google.com/uc?export=view&amp;id=1_LeRTm6hYgP0ADIwT2s4RXcfKz8E665H</t>
  </si>
  <si>
    <t>Ishlah Muwaffiq S.Pd.</t>
  </si>
  <si>
    <t>089651790052</t>
  </si>
  <si>
    <t>3671034904040004</t>
  </si>
  <si>
    <t>Jl Darussalam Utara 2 Rt 002 Rw 006 Kel Batusari Kec Batuceper Kota Tangerang</t>
  </si>
  <si>
    <t>09-04-2004</t>
  </si>
  <si>
    <t>S1 Institut Muslim Cendekia (STIBA Arraayah)</t>
  </si>
  <si>
    <t>Musyrifah dan Pengajar – Al Wildan Islamic School 13</t>
  </si>
  <si>
    <t xml:space="preserve">Pendamping Guru Ngaji Mahad Tahfidz Al-Kautsar </t>
  </si>
  <si>
    <t>Guru Tahfidz SDIT Arraayah</t>
  </si>
  <si>
    <t>ishlahmuwaffiq@gmail.com</t>
  </si>
  <si>
    <t>165GB7gg99P32LlSdEtr3oCWrlB5BbmdbEoEgSdW6uxA</t>
  </si>
  <si>
    <t>https://docs.google.com/document/d/165GB7gg99P32LlSdEtr3oCWrlB5BbmdbEoEgSdW6uxA/edit?usp=drivesdk</t>
  </si>
  <si>
    <t>Document successfully created; Document successfully merged; Run via form trigger as kemal.stafsus@gmail.com; Timestamp: Jun 23, 2026 6:46 AM</t>
  </si>
  <si>
    <t>https://drive.google.com/open?id=11TtI4wByaBW9Yy6InmUQ6_2BFtaqIVTV</t>
  </si>
  <si>
    <t>https://drive.google.com/uc?export=view&amp;id=11TtI4wByaBW9Yy6InmUQ6_2BFtaqIVTV</t>
  </si>
  <si>
    <t>Auliya Nurhasanah, S.Pd.</t>
  </si>
  <si>
    <t>088225928390</t>
  </si>
  <si>
    <t>3204085303000004</t>
  </si>
  <si>
    <t>13-03-2000</t>
  </si>
  <si>
    <t>PGSD/Tematik</t>
  </si>
  <si>
    <t>S1 PGSD (Pendidikan Guru Sekolah Dasar)</t>
  </si>
  <si>
    <t>Wali kelas 4 dan 5 (SD), sekarang wali kelas 4 SD.</t>
  </si>
  <si>
    <t>6.000.000 (dapat disesuaikan berdasarkan tanggung jawab pekerjaan dan kebijakan sekolah)</t>
  </si>
  <si>
    <t>auliyanhasanah01@gmail.com</t>
  </si>
  <si>
    <t>1Ya61WoPrYy_gEdwz_0k7ZINus_0BGUR0EDcNY7JW2Ng</t>
  </si>
  <si>
    <t>https://docs.google.com/document/d/1Ya61WoPrYy_gEdwz_0k7ZINus_0BGUR0EDcNY7JW2Ng/edit?usp=drivesdk</t>
  </si>
  <si>
    <t>Document successfully created; Document successfully merged; Run via form trigger as kemal.stafsus@gmail.com; Timestamp: Jun 23, 2026 9:07 AM</t>
  </si>
  <si>
    <t>https://drive.google.com/open?id=1wFNkcn2We14_8PSa_s4WO-8lg9QfJxnQ</t>
  </si>
  <si>
    <t>https://drive.google.com/uc?export=view&amp;id=1wFNkcn2We14_8PSa_s4WO-8lg9QfJxnQ</t>
  </si>
  <si>
    <t>Muhammad Ihsan Zakky Almubarak, S.Ag.</t>
  </si>
  <si>
    <t>JL. CIATER RAYA NO. 48 RT.03/RW.03 CIATER SERPONG</t>
  </si>
  <si>
    <t>21-Juli-1998</t>
  </si>
  <si>
    <t>STAI Asy Syukriyyah</t>
  </si>
  <si>
    <t>Musyrif + Koordinator Program Boarding</t>
  </si>
  <si>
    <t>ihsanzakkyalmubarak@gmail.com</t>
  </si>
  <si>
    <t>1YT7XQqFp89C3DRI3BMJ8qh6fzMKsY-swr95JyO0p1UU</t>
  </si>
  <si>
    <t>https://docs.google.com/document/d/1YT7XQqFp89C3DRI3BMJ8qh6fzMKsY-swr95JyO0p1UU/edit?usp=drivesdk</t>
  </si>
  <si>
    <t>Document successfully created; Document successfully merged; Run via form trigger as kemal.stafsus@gmail.com; Timestamp: Jun 23, 2026 9:28 AM</t>
  </si>
  <si>
    <t>https://drive.google.com/open?id=1jOGi41JidQJvRWD-h8IRRoA_tDRwJLIm</t>
  </si>
  <si>
    <t>https://drive.google.com/uc?export=view&amp;id=1jOGi41JidQJvRWD-h8IRRoA_tDRwJLIm</t>
  </si>
  <si>
    <t>RASYIDIN S.AG.</t>
  </si>
  <si>
    <t>082123731271</t>
  </si>
  <si>
    <t>5205051712980002</t>
  </si>
  <si>
    <t>Rawa mekar jaya (BSD)</t>
  </si>
  <si>
    <t>10 Oktober 1997</t>
  </si>
  <si>
    <t xml:space="preserve">Asy-syukriyyah </t>
  </si>
  <si>
    <t>rasyidinabumushab31@gmail.com</t>
  </si>
  <si>
    <t>1DBQ65kyZkykyVqqnmclMjDO06BRKjBBxjG6z9cXQs_U</t>
  </si>
  <si>
    <t>https://docs.google.com/document/d/1DBQ65kyZkykyVqqnmclMjDO06BRKjBBxjG6z9cXQs_U/edit?usp=drivesdk</t>
  </si>
  <si>
    <t>Document successfully created; Document successfully merged; Run via form trigger as kemal.stafsus@gmail.com; Timestamp: Jun 23, 2026 10:01 PM</t>
  </si>
  <si>
    <t>https://drive.google.com/open?id=1BA6XWd7DJHMW3wkbEWWZb7NehBy57pHZ</t>
  </si>
  <si>
    <t>https://drive.google.com/uc?export=view&amp;id=1BA6XWd7DJHMW3wkbEWWZb7NehBy57pHZ</t>
  </si>
  <si>
    <t>Ahmad Abdul Hamid</t>
  </si>
  <si>
    <t>085814026420</t>
  </si>
  <si>
    <t>3173010701021003</t>
  </si>
  <si>
    <t>Kp. Pasir tengah, RT 004 / RW 003, Kec. Cijeruk, Kab. Bogor. Jawa Barat</t>
  </si>
  <si>
    <t>07-01-2002</t>
  </si>
  <si>
    <t>24 tahun, 6 bulan</t>
  </si>
  <si>
    <t>Mata Pelajaran Al-Qur'an dan Tajwid</t>
  </si>
  <si>
    <t>Institut Tahfidz Bersanad Al-Wildan (ITBA) Angkatan 6</t>
  </si>
  <si>
    <t>Musyrif, di Ma'had Tahfidz Rijaalul Qur'an Bogor</t>
  </si>
  <si>
    <t xml:space="preserve">Imam Masjid At-Taubah </t>
  </si>
  <si>
    <t>Musyrif di BAZNAS DKI JAKARTA (CRDP) / 2021</t>
  </si>
  <si>
    <t xml:space="preserve">Bank Syariah Indonesia (BSI) </t>
  </si>
  <si>
    <t>hamidabdulahmad277@gmail.com</t>
  </si>
  <si>
    <t>1CPzL0drnIJV12pVwr51P6FPmnMK2TZHJAq9PVaTqAS0</t>
  </si>
  <si>
    <t>https://docs.google.com/document/d/1CPzL0drnIJV12pVwr51P6FPmnMK2TZHJAq9PVaTqAS0/edit?usp=drivesdk</t>
  </si>
  <si>
    <t>Document successfully created; Document successfully merged; Run via form trigger as kemal.stafsus@gmail.com; Timestamp: Jun 24, 2026 12:02 AM</t>
  </si>
  <si>
    <t>https://drive.google.com/open?id=15ET2bD-Y5jIxuboXJkQBhhGrKG0aON4q</t>
  </si>
  <si>
    <t>https://drive.google.com/uc?export=view&amp;id=15ET2bD-Y5jIxuboXJkQBhhGrKG0aON4q</t>
  </si>
  <si>
    <t>MUHAMMAD FAIZ ADLIY S.Pd.</t>
  </si>
  <si>
    <t>081318984559</t>
  </si>
  <si>
    <t>3275020103030014</t>
  </si>
  <si>
    <t>Kota Bekasi barat, kranji</t>
  </si>
  <si>
    <t>1 Maret 2003</t>
  </si>
  <si>
    <t>23 tahun 2bulan</t>
  </si>
  <si>
    <t>STIT AT-TAQWA</t>
  </si>
  <si>
    <t>Pendidikan Agama</t>
  </si>
  <si>
    <t>faiz030103@gmail.com</t>
  </si>
  <si>
    <t>1h0RRFxMdNbkPwXCTFQpA-iDLL2iKd0J3E1GKufpVAYM</t>
  </si>
  <si>
    <t>https://docs.google.com/document/d/1h0RRFxMdNbkPwXCTFQpA-iDLL2iKd0J3E1GKufpVAYM/edit?usp=drivesdk</t>
  </si>
  <si>
    <t>Document successfully created; Document successfully merged; Run via form trigger as kemal.stafsus@gmail.com; Timestamp: Jun 24, 2026 2:12 AM</t>
  </si>
  <si>
    <t>https://drive.google.com/open?id=1JOfaZqTatI7bjJcoeOA6S-vB-ldaAw5o</t>
  </si>
  <si>
    <t>https://drive.google.com/uc?export=view&amp;id=1JOfaZqTatI7bjJcoeOA6S-vB-ldaAw5o</t>
  </si>
  <si>
    <t>Ilham Akbar Firdaus S.Pd.</t>
  </si>
  <si>
    <t xml:space="preserve">Jln Ciater raya no 88 RW Mekarjaya </t>
  </si>
  <si>
    <t xml:space="preserve">25 tahun 9 bulan 12 hari </t>
  </si>
  <si>
    <t xml:space="preserve">Qur'an </t>
  </si>
  <si>
    <t xml:space="preserve">INSTITUT AGAMA ISLAM PEMALANG </t>
  </si>
  <si>
    <t xml:space="preserve">Pendidikan agama Islam </t>
  </si>
  <si>
    <t xml:space="preserve">SDIT Al Irsyad Bogor </t>
  </si>
  <si>
    <t xml:space="preserve">Musyrif GMC </t>
  </si>
  <si>
    <t xml:space="preserve">Musyrif Al wildan </t>
  </si>
  <si>
    <t>1ijI3y0CjTzjPaq4mS1pwfT_8L5TYS7sor4HkVc5MZbY</t>
  </si>
  <si>
    <t>https://docs.google.com/document/d/1ijI3y0CjTzjPaq4mS1pwfT_8L5TYS7sor4HkVc5MZbY/edit?usp=drivesdk</t>
  </si>
  <si>
    <t>Document successfully created; Document successfully merged; Run via form trigger as kemal.stafsus@gmail.com; Timestamp: Jun 24, 2026 2:27 AM</t>
  </si>
  <si>
    <t>https://drive.google.com/open?id=1pTZEM-Y2_3RhDGyCKFVfTqEjPlRmJQiM</t>
  </si>
  <si>
    <t>https://drive.google.com/uc?export=view&amp;id=1pTZEM-Y2_3RhDGyCKFVfTqEjPlRmJQiM</t>
  </si>
  <si>
    <t>MUH. MUHOLLIS, M.Pd.</t>
  </si>
  <si>
    <t>DS. Wawoone, kec. Wonggeduku, Kab. Konawe, Prov. Sulawesi Tenggara</t>
  </si>
  <si>
    <t>Kota Kendari</t>
  </si>
  <si>
    <t>09 September 1996</t>
  </si>
  <si>
    <t>STIBA Ar Raayah Sukabumi</t>
  </si>
  <si>
    <t>UIN Syarief Hidayatullah Jakarta</t>
  </si>
  <si>
    <t>MPBA (Magistir Pendidikan Bahasa Arab)</t>
  </si>
  <si>
    <t>Guru di sekolah FIWA</t>
  </si>
  <si>
    <t>Guru di sekolah Al Wildan 4 Lebak Bulus</t>
  </si>
  <si>
    <t>MUHAMMAD MUHOLLIS</t>
  </si>
  <si>
    <t>1rPH-NYfHDALXrgUSXDvHX_XKBZAQkBMV6-TZyXlQ1WA</t>
  </si>
  <si>
    <t>https://docs.google.com/document/d/1rPH-NYfHDALXrgUSXDvHX_XKBZAQkBMV6-TZyXlQ1WA/edit?usp=drivesdk</t>
  </si>
  <si>
    <t>Document successfully created; Document successfully merged; Run via form trigger as kemal.stafsus@gmail.com; Timestamp: Jun 24, 2026 3:21 AM</t>
  </si>
  <si>
    <t>https://drive.google.com/open?id=1hQWQDrMiJ_veDMdV6kkTd0snLNR9Ln9J</t>
  </si>
  <si>
    <t>https://drive.google.com/uc?export=view&amp;id=1hQWQDrMiJ_veDMdV6kkTd0snLNR9Ln9J</t>
  </si>
  <si>
    <t>Bintang Paramitha Andika Putri, S.Pd.</t>
  </si>
  <si>
    <t>082110599180</t>
  </si>
  <si>
    <t>3216065803030009</t>
  </si>
  <si>
    <t>kp bulu rt4 rw23 no 112 papanmas desa setia mekar kecamatan tambun selatan kabupaten bekasi provinsi jawa barat</t>
  </si>
  <si>
    <t>18 Maret 2003</t>
  </si>
  <si>
    <t>Administrative assistant</t>
  </si>
  <si>
    <t>bintangparamitha18@gmail.com</t>
  </si>
  <si>
    <t>1zaYJGyB1lRz22jdqbMIQ0VuxAee2xLXDtFQEhT7ifDE</t>
  </si>
  <si>
    <t>https://docs.google.com/document/d/1zaYJGyB1lRz22jdqbMIQ0VuxAee2xLXDtFQEhT7ifDE/edit?usp=drivesdk</t>
  </si>
  <si>
    <t>Document successfully created; Document successfully merged; Run via form trigger as kemal.stafsus@gmail.com; Timestamp: Jun 24, 2026 3:25 AM</t>
  </si>
  <si>
    <t>https://drive.google.com/open?id=1EPCodO36-xvMmh9g1FMRSu4PqizfA1PY</t>
  </si>
  <si>
    <t>https://drive.google.com/uc?export=view&amp;id=1EPCodO36-xvMmh9g1FMRSu4PqizfA1PY</t>
  </si>
  <si>
    <t>Habibi S.Pd., Gr.</t>
  </si>
  <si>
    <t>085205332395</t>
  </si>
  <si>
    <t>5204181708990004</t>
  </si>
  <si>
    <t>Ampenan selatan, gang sinar, BTN Berlian Asri Blok C No 4</t>
  </si>
  <si>
    <t>Sebotok</t>
  </si>
  <si>
    <t>17 Agustus 1999</t>
  </si>
  <si>
    <t>Universitas Pendidikan Mandalika Mataram</t>
  </si>
  <si>
    <t>Store manager Aima lombok</t>
  </si>
  <si>
    <t>Store manager  ofero lombok</t>
  </si>
  <si>
    <t>Guru PJOK SMAIT Samawa Cendekia</t>
  </si>
  <si>
    <t>0562282414</t>
  </si>
  <si>
    <t>Habibi4548@gmail.com</t>
  </si>
  <si>
    <t>1JSpDLlXPxO-qcmPvxvh6aNSFkS5YKQQUG_s7JvezqF0</t>
  </si>
  <si>
    <t>https://docs.google.com/document/d/1JSpDLlXPxO-qcmPvxvh6aNSFkS5YKQQUG_s7JvezqF0/edit?usp=drivesdk</t>
  </si>
  <si>
    <t>Document successfully created; Document successfully merged; Run via form trigger as kemal.stafsus@gmail.com; Timestamp: Jun 24, 2026 4:40 AM</t>
  </si>
  <si>
    <t>https://drive.google.com/open?id=1ZlowOArIzxX_0yaB8T_GTX-sgpAAqhAC</t>
  </si>
  <si>
    <t>https://drive.google.com/uc?export=view&amp;id=1ZlowOArIzxX_0yaB8T_GTX-sgpAAqhAC</t>
  </si>
  <si>
    <t>Safa Cinta Adilah, S.Pd</t>
  </si>
  <si>
    <t>085339352588</t>
  </si>
  <si>
    <t xml:space="preserve">Perumahan Citra View Mambalan 2 </t>
  </si>
  <si>
    <t>06-09-2002</t>
  </si>
  <si>
    <t>Kindergarten (english)</t>
  </si>
  <si>
    <t>Play Group Teacher</t>
  </si>
  <si>
    <t>safcinadilah@gmail.com</t>
  </si>
  <si>
    <t>12onhc4t9amWMtFDHp_wP05ocmX2leUsHc3wEAgp5RuI</t>
  </si>
  <si>
    <t>https://docs.google.com/document/d/12onhc4t9amWMtFDHp_wP05ocmX2leUsHc3wEAgp5RuI/edit?usp=drivesdk</t>
  </si>
  <si>
    <t>Document successfully created; Document successfully merged; Run via form trigger as kemal.stafsus@gmail.com; Timestamp: Jun 24, 2026 10:21 AM</t>
  </si>
  <si>
    <t>https://drive.google.com/open?id=1Ug95xKG2a0b6Mn9dv3MVwLAHNxU7H6WF</t>
  </si>
  <si>
    <t>https://drive.google.com/uc?export=view&amp;id=1Ug95xKG2a0b6Mn9dv3MVwLAHNxU7H6WF</t>
  </si>
  <si>
    <t>WIDIANTO AJI WIBOWO, S.Pd., M.URP.</t>
  </si>
  <si>
    <t>085718012268</t>
  </si>
  <si>
    <t>3201240402970004</t>
  </si>
  <si>
    <t>Avani Hills Residences Blok J No.9, Desa Cidokom, Kecamatan Gunungsindur, Kab. Bogor</t>
  </si>
  <si>
    <t>04-02-1997</t>
  </si>
  <si>
    <t>Geografi/Sosiologi</t>
  </si>
  <si>
    <t>S1-Pendidikan Geografi</t>
  </si>
  <si>
    <t>S2-Perencanaan Wilayah dan Kota</t>
  </si>
  <si>
    <t>Guru Geografi dan Guru Sosiologi</t>
  </si>
  <si>
    <t>Konsultan Individu di ATR/BPN</t>
  </si>
  <si>
    <t>widiantoadji@gmail.com</t>
  </si>
  <si>
    <t>161wQ3FDD1nCxeRxwcjelhcqcD1b6XClGt4vwAA9qWT4</t>
  </si>
  <si>
    <t>https://docs.google.com/document/d/161wQ3FDD1nCxeRxwcjelhcqcD1b6XClGt4vwAA9qWT4/edit?usp=drivesdk</t>
  </si>
  <si>
    <t>Document successfully created; Document successfully merged; Run via form trigger as kemal.stafsus@gmail.com; Timestamp: Jun 24, 2026 10:59 AM</t>
  </si>
  <si>
    <t>https://drive.google.com/open?id=16RqhndF_LrUemkFV-0AygDjW9Kvrr6Xw</t>
  </si>
  <si>
    <t>https://drive.google.com/uc?export=view&amp;id=16RqhndF_LrUemkFV-0AygDjW9Kvrr6Xw</t>
  </si>
  <si>
    <t>Muhammad Ridwan</t>
  </si>
  <si>
    <t>081287397194</t>
  </si>
  <si>
    <t>1771060405840001</t>
  </si>
  <si>
    <t>Depok Residence Blok D No. 3A, Depok, Jawa Barat.</t>
  </si>
  <si>
    <t xml:space="preserve">Bengkulu's </t>
  </si>
  <si>
    <t>04-05-1984</t>
  </si>
  <si>
    <t>Universitas Islam Al Aqidah</t>
  </si>
  <si>
    <t xml:space="preserve">BAHASA ARAB DAN DINIYAH </t>
  </si>
  <si>
    <t>SESUAI DENGAN STANDAR DAN KEBIJAKAN YAYASAN</t>
  </si>
  <si>
    <t>bundokandung27@gmail.com</t>
  </si>
  <si>
    <t>1UrbYGLzOaJQLWBqd-_M1bgBnDxcba6Emo_hDyroMSUg</t>
  </si>
  <si>
    <t>https://docs.google.com/document/d/1UrbYGLzOaJQLWBqd-_M1bgBnDxcba6Emo_hDyroMSUg/edit?usp=drivesdk</t>
  </si>
  <si>
    <t>Document successfully created; Document successfully merged; Run via form trigger as kemal.stafsus@gmail.com; Timestamp: Jun 24, 2026 1:28 PM</t>
  </si>
  <si>
    <t>https://drive.google.com/open?id=1fxWTZsuwH8eM6tI8ePXnktrf1id1tp3Z</t>
  </si>
  <si>
    <t>https://drive.google.com/uc?export=view&amp;id=1fxWTZsuwH8eM6tI8ePXnktrf1id1tp3Z</t>
  </si>
  <si>
    <t>LL. Gede Damar Wulan, S.Pd.</t>
  </si>
  <si>
    <t>087846852910</t>
  </si>
  <si>
    <t>5203041302030002</t>
  </si>
  <si>
    <t>Monjok Timur</t>
  </si>
  <si>
    <t>Terara</t>
  </si>
  <si>
    <t>13-02-2003</t>
  </si>
  <si>
    <t>Math English</t>
  </si>
  <si>
    <t>Strata-1 - Universitas Mataram</t>
  </si>
  <si>
    <t>Tutor Matematika Umum dan Private (SMP-SMA) - Bimbel Ruang Bunda Smart</t>
  </si>
  <si>
    <t>Tutor Matematika Umum dan Private (SD-SMA) - Bimbel Optima</t>
  </si>
  <si>
    <t>gedelalu2003@gmail.com</t>
  </si>
  <si>
    <t>13wYwNfG1yhPDla54QVCvrxIx4_CYcYlQWWW-uXlkD6Q</t>
  </si>
  <si>
    <t>https://docs.google.com/document/d/13wYwNfG1yhPDla54QVCvrxIx4_CYcYlQWWW-uXlkD6Q/edit?usp=drivesdk</t>
  </si>
  <si>
    <t>Document successfully created; Document successfully merged; Run via form trigger as kemal.stafsus@gmail.com; Timestamp: Jun 24, 2026 9:46 PM</t>
  </si>
  <si>
    <t>https://drive.google.com/open?id=1PRRJJu1vACH1r5PHhQ511VBZlEFtvpWD</t>
  </si>
  <si>
    <t>https://drive.google.com/uc?export=view&amp;id=1PRRJJu1vACH1r5PHhQ511VBZlEFtvpWD</t>
  </si>
  <si>
    <t>Nurmalia Beladina, S.Pd., M.Sc., Gr.</t>
  </si>
  <si>
    <t>0882007776560</t>
  </si>
  <si>
    <t>3374086710910001</t>
  </si>
  <si>
    <t>Borobudur Residence no.19. Jl. Mulawarman Timur Dalam, Tembalang, Semarang</t>
  </si>
  <si>
    <t>27 Oktober 1991</t>
  </si>
  <si>
    <t>34 tahun 8 bulan</t>
  </si>
  <si>
    <t>UNIVERSITAS NEGERI SEMARANG</t>
  </si>
  <si>
    <t>UNIVERSITAS GADJAH MADA</t>
  </si>
  <si>
    <t>beladina27@gmail.com</t>
  </si>
  <si>
    <t>1pijsl0e3qXruMejGUSNJvC4APJoAK2FqvH1ttascsw0</t>
  </si>
  <si>
    <t>https://docs.google.com/document/d/1pijsl0e3qXruMejGUSNJvC4APJoAK2FqvH1ttascsw0/edit?usp=drivesdk</t>
  </si>
  <si>
    <t>Document successfully created; Document successfully merged; Run via form trigger as kemal.stafsus@gmail.com; Timestamp: Jun 25, 2026 3:36 AM</t>
  </si>
  <si>
    <t>https://drive.google.com/open?id=1kBw9Dlea05r1GhtQN38r_NFCZDg0vfoo</t>
  </si>
  <si>
    <t>https://drive.google.com/uc?export=view&amp;id=1kBw9Dlea05r1GhtQN38r_NFCZDg0vfoo</t>
  </si>
  <si>
    <t>Maya Shofani, M.Pd</t>
  </si>
  <si>
    <t>085712005153</t>
  </si>
  <si>
    <t>3319096408000001</t>
  </si>
  <si>
    <t>Jl. Sriwidodo Utara No. 468, Purwoyoso, Kec. Ngaliyan, Kota Semarang, Jawa Tengah</t>
  </si>
  <si>
    <t>Kudus</t>
  </si>
  <si>
    <t>24-08-2000</t>
  </si>
  <si>
    <t>UIN Walisongo Semarang</t>
  </si>
  <si>
    <t xml:space="preserve">Asisten Laboratorium Terpadu </t>
  </si>
  <si>
    <t>Tentor senior bimbingan belajar Provision (Parttime)</t>
  </si>
  <si>
    <t>mayashofani2408@gmail.com</t>
  </si>
  <si>
    <t>16dGWRa0QbqJJK8Wpm8BGi0Exyn7BJWzmXad0sheLJ24</t>
  </si>
  <si>
    <t>https://docs.google.com/document/d/16dGWRa0QbqJJK8Wpm8BGi0Exyn7BJWzmXad0sheLJ24/edit?usp=drivesdk</t>
  </si>
  <si>
    <t>Document successfully created; Document successfully merged; Run via form trigger as kemal.stafsus@gmail.com; Timestamp: Jun 25, 2026 4:26 AM</t>
  </si>
  <si>
    <t>https://drive.google.com/open?id=1zI_HV96R-7V2wQOW1caMi8-UcbD-7qte</t>
  </si>
  <si>
    <t>https://drive.google.com/uc?export=view&amp;id=1zI_HV96R-7V2wQOW1caMi8-UcbD-7qte</t>
  </si>
  <si>
    <t>Zhuhri S.Pratama S.Pd</t>
  </si>
  <si>
    <t>083115478381</t>
  </si>
  <si>
    <t>1275051507940004</t>
  </si>
  <si>
    <t>Jl. Padang LK III Rambung Dalam Binjai Selatan, Binjai, Sumatera Utara</t>
  </si>
  <si>
    <t>15-07-1994</t>
  </si>
  <si>
    <t>31 Tahun</t>
  </si>
  <si>
    <t>PTS - STKIP Budidaya Binjai</t>
  </si>
  <si>
    <t>0.00</t>
  </si>
  <si>
    <t xml:space="preserve">Empathy International School - Bali,  2025 – 2026
Guru Kelas / Wali Kelas (Homeroom Subject Teacher)
- Menerapkan berbagai metode pembelajaran inovatif untuk tingkat pendidikan dasar guna mengakomodasi keberagaman gaya belajar siswa secara efektif.
- Mengelola dinamika kelas dan perkembangan holistik siswa selaku wali kelas, menciptakan lingkungan belajar yang aman, suportif, dan inklusif.
- Menyusun rencana pelaksanaan pembelajaran (RPP) yang kreatif sesuai standar kurikulum internasional untuk memicu keterlibatan aktif dan kemampuan berpikir kritis siswa.
- Membangun komunikasi yang konstruktif dengan orang tua murid secara berkala terkait perkembangan akademik, perilaku, dan pencapaian siswa di sekolah.
</t>
  </si>
  <si>
    <t>Optimus Primea School - Medan, 2023 – 2025
Guru Mata Pelajaran Bahasa Inggris (English Subject Teacher)
- Menerapkan berbagai metode pembelajaran interaktif (seperti gamification dan communicative language teaching) untuk meningkatkan kemampuan berbahasa Inggris siswa tingkat dasar secara efektif.
- Merancang materi dan modul ajar kreatif yang disesuaikan dengan beragam gaya belajar siswa guna memicu keterlibatan aktif di dalam kelas.
- Mengevaluasi perkembangan kemampuan berbahasa siswa (mendengar, berbicara, membaca, dan menulis) serta memberikan umpan balik yang konstruktif untuk memacu kemajuan belajar.</t>
  </si>
  <si>
    <t>Pineapple Premier School - Medan, 2022 – 2023
Guru Kelas dan Bahasa Inggris (English and Subject Teacher)
- Mengintegrasikan metode Montessori dan kurikulum IPC (International Primary Curriculum) untuk menciptakan pengalaman belajar yang berpusat pada siswa (student-centered learning) dan berbasis inkuiri.
- Memfasilitasi pembelajaran tematik dan berbasis proyek (project-based) yang mendorong siswa tingkat dasar berpikir kritis dan memahami perspektif global.
- Mengembangkan keterampilan motorik, kemandirian, dan sosial siswa melalui pendekatan Montessori yang terstruktur di lingkungan kelas dasar.</t>
  </si>
  <si>
    <t>Sea Bank</t>
  </si>
  <si>
    <t>zhuhripratama@gmail.com</t>
  </si>
  <si>
    <t>16vA9t6JcydZyWdFTchKDDAODvQ5uQJTK4__IfisfmKM</t>
  </si>
  <si>
    <t>https://docs.google.com/document/d/16vA9t6JcydZyWdFTchKDDAODvQ5uQJTK4__IfisfmKM/edit?usp=drivesdk</t>
  </si>
  <si>
    <t>Document successfully created; Document successfully merged; Run via form trigger as kemal.stafsus@gmail.com; Timestamp: Jun 25, 2026 10:42 AM</t>
  </si>
  <si>
    <t>https://drive.google.com/open?id=1H5CxO6-lAr0Gk4GwKshvYpTdMOLcshOP</t>
  </si>
  <si>
    <t>https://drive.google.com/uc?export=view&amp;id=1H5CxO6-lAr0Gk4GwKshvYpTdMOLcshOP</t>
  </si>
  <si>
    <t xml:space="preserve">Syuban Bashthotah .BA </t>
  </si>
  <si>
    <t>081394639580</t>
  </si>
  <si>
    <t>32708012208950008</t>
  </si>
  <si>
    <t>22-08-1995</t>
  </si>
  <si>
    <t>30 + 11 bulan</t>
  </si>
  <si>
    <t>Bahasa arab dan Syar'i</t>
  </si>
  <si>
    <t>7.000.000 (dengan pemasukan tambahan)</t>
  </si>
  <si>
    <t>Guru &amp; Wali Kelas</t>
  </si>
  <si>
    <t>syubanbastoh@gmail.com</t>
  </si>
  <si>
    <t>1d3TRFwaoSMlryj432St1Wc1WAry8ElecI0JK1eCh5cc</t>
  </si>
  <si>
    <t>https://docs.google.com/document/d/1d3TRFwaoSMlryj432St1Wc1WAry8ElecI0JK1eCh5cc/edit?usp=drivesdk</t>
  </si>
  <si>
    <t>Document successfully created; Document successfully merged; Run via form trigger as kemal.stafsus@gmail.com; Timestamp: Jun 25, 2026 2:55 PM</t>
  </si>
  <si>
    <t>https://drive.google.com/open?id=1nXoROiBxHqVAtWjAyrn9SS6F30y4k17C</t>
  </si>
  <si>
    <t>https://drive.google.com/uc?export=view&amp;id=1nXoROiBxHqVAtWjAyrn9SS6F30y4k17C</t>
  </si>
  <si>
    <t>Sahrul Atnangar</t>
  </si>
  <si>
    <t>082245834078</t>
  </si>
  <si>
    <t>8172011808010001</t>
  </si>
  <si>
    <t>Galaxy Bekasi</t>
  </si>
  <si>
    <t>Ohoitel Kota Tual</t>
  </si>
  <si>
    <t>14-08-2001</t>
  </si>
  <si>
    <t>Tim Kreatif, Tim Marketing</t>
  </si>
  <si>
    <t>SEKOLAH TINGGI ILMU TARBIYAH AT-TAQWA KPAD GEGERKALONG BANDUNG</t>
  </si>
  <si>
    <t>Sarjana Pendidikan (S.Pd.)</t>
  </si>
  <si>
    <t>Marketing Creative (Editor)</t>
  </si>
  <si>
    <t>1 tahun 8 bulan Sebagai Editor</t>
  </si>
  <si>
    <t>satnangar@gmail.com</t>
  </si>
  <si>
    <t>1KubwXJYhKRWNKL8H41ZCuDXuchI6vi0PnPxKDhZRoBw</t>
  </si>
  <si>
    <t>https://docs.google.com/document/d/1KubwXJYhKRWNKL8H41ZCuDXuchI6vi0PnPxKDhZRoBw/edit?usp=drivesdk</t>
  </si>
  <si>
    <t>Document successfully created; Document successfully merged; Run via form trigger as kemal.stafsus@gmail.com; Timestamp: Jun 26, 2026 12:00 AM</t>
  </si>
  <si>
    <t>https://drive.google.com/open?id=1W-nuPkCz_EVltWPhf3L7oOngSXxG8StR</t>
  </si>
  <si>
    <t>https://drive.google.com/uc?export=view&amp;id=1W-nuPkCz_EVltWPhf3L7oOngSXxG8StR</t>
  </si>
  <si>
    <t>Diani Ria Septina, M.Si</t>
  </si>
  <si>
    <t>081918072021</t>
  </si>
  <si>
    <t>6171036509880001</t>
  </si>
  <si>
    <t>Apartemen Emerald Bintaro, jalan jombang raya no. 86, parigi, pondok aren, bintaro, tangerang selatan</t>
  </si>
  <si>
    <t>25-09-1988</t>
  </si>
  <si>
    <t>37 tahun 9 bulan</t>
  </si>
  <si>
    <t>Universitas Tanjungpura</t>
  </si>
  <si>
    <t>Operations &amp; Business Development Manager</t>
  </si>
  <si>
    <t>Head of Study Program - Medical Laboratory Technology (Politeknik Aisyiah Pontianak)</t>
  </si>
  <si>
    <t>Chemistry Lecturer &amp; Laboratory Coordinator (Tunas Bangsa International School Pontianak)</t>
  </si>
  <si>
    <t>Terbuka untuk berdiskusi, target ekspektasi total Take Home Pay kumulatif, tunjangan, fasilktas, dan gaji pokok, Rp. 9.000.000 - Rp. 15.000.000 termasuk variabel jam mengajar.</t>
  </si>
  <si>
    <t>riaseptinadiani@gmail.com</t>
  </si>
  <si>
    <t>133gmJob2JZW-GeWldUCG4-E26cYOzC_qZTph89wdA9Q</t>
  </si>
  <si>
    <t>https://docs.google.com/document/d/133gmJob2JZW-GeWldUCG4-E26cYOzC_qZTph89wdA9Q/edit?usp=drivesdk</t>
  </si>
  <si>
    <t>Document successfully created; Document successfully merged; Run via form trigger as kemal.stafsus@gmail.com; Timestamp: Jun 26, 2026 12:59 AM</t>
  </si>
  <si>
    <t>https://drive.google.com/open?id=1WZkLkC4fqxQTc6MPCisx2osIXffgTok4</t>
  </si>
  <si>
    <t>https://drive.google.com/uc?export=view&amp;id=1WZkLkC4fqxQTc6MPCisx2osIXffgTok4</t>
  </si>
  <si>
    <t>Jl Darussalam Utara 2 Rt 002 Rw 006 Kel Batusari Kec Batuceper Kota tangerang</t>
  </si>
  <si>
    <t>Musyrifah dan Pengajar Al wildan Islamic School 13</t>
  </si>
  <si>
    <t>Pendamping guru ngaji Mahad Tahfidz Al-Kautsar</t>
  </si>
  <si>
    <t>Bank syariah Indonesia</t>
  </si>
  <si>
    <t>1cvFmUiEogF7z_4ERonKSZP_fbXnb-CHVhyscqf2Zm-Q</t>
  </si>
  <si>
    <t>https://docs.google.com/document/d/1cvFmUiEogF7z_4ERonKSZP_fbXnb-CHVhyscqf2Zm-Q/edit?usp=drivesdk</t>
  </si>
  <si>
    <t>Document successfully created; Document successfully merged; Run via form trigger as kemal.stafsus@gmail.com; Timestamp: Jun 26, 2026 1:04 AM</t>
  </si>
  <si>
    <t>https://drive.google.com/open?id=1KnQ2X0CM6A8uEIVMzZ1FCnQNah8nBewP</t>
  </si>
  <si>
    <t>https://drive.google.com/uc?export=view&amp;id=1KnQ2X0CM6A8uEIVMzZ1FCnQNah8nBewP</t>
  </si>
  <si>
    <t>Alfi Khilmi Khusnia, S.E., M.H.</t>
  </si>
  <si>
    <t>081233372346</t>
  </si>
  <si>
    <t>3321085111010001</t>
  </si>
  <si>
    <t>002/002, Banjarsari, Gajah, Demak</t>
  </si>
  <si>
    <t>11-11-2001</t>
  </si>
  <si>
    <t>Ekonomi Islam</t>
  </si>
  <si>
    <t>Magister Hukum Ekonomi Syari'ah</t>
  </si>
  <si>
    <t>Pondok Modern Darussalam Gontor Putri Kampus 2 (5 Tahun)</t>
  </si>
  <si>
    <t>Konfidensial</t>
  </si>
  <si>
    <t>Yayasan Hajar Aswad Modern Islamic Boarding School (3 Bulan)</t>
  </si>
  <si>
    <t>1.000.000 (Tergantung tugas yang didapatkan)</t>
  </si>
  <si>
    <t>khilmikhusnia@gmail.com</t>
  </si>
  <si>
    <t>1SHMZkEuDH6dan5DZMCj-eTuuTvdEfZ3HBCJv7iHNNtg</t>
  </si>
  <si>
    <t>https://docs.google.com/document/d/1SHMZkEuDH6dan5DZMCj-eTuuTvdEfZ3HBCJv7iHNNtg/edit?usp=drivesdk</t>
  </si>
  <si>
    <t>Document successfully created; Document successfully merged; Run via form trigger as kemal.stafsus@gmail.com; Timestamp: Jun 26, 2026 8:41 AM</t>
  </si>
  <si>
    <t>https://drive.google.com/open?id=18pllC9jHtCJxlJd8gLsc1m3a_nuGRayH</t>
  </si>
  <si>
    <t>https://drive.google.com/uc?export=view&amp;id=18pllC9jHtCJxlJd8gLsc1m3a_nuGRayH</t>
  </si>
  <si>
    <t>Syuban Bashthotah, BA</t>
  </si>
  <si>
    <t>Agama Islam/Syari</t>
  </si>
  <si>
    <t xml:space="preserve">S1 - Universitas Islam Madinah </t>
  </si>
  <si>
    <t>Fakuktas Syariah</t>
  </si>
  <si>
    <t>4.51</t>
  </si>
  <si>
    <t>Mahad Ihya As Sunnah (Guru Pelajaran dan Wali Kelas</t>
  </si>
  <si>
    <t>7.000.0000 (dengan pemasukan tambahan)</t>
  </si>
  <si>
    <t>10.000.000 - 12.000.000</t>
  </si>
  <si>
    <t>1Ub731UpuME_qgLbHZR1Bn6JgBrsZigGISqNoL__S1I4</t>
  </si>
  <si>
    <t>https://docs.google.com/document/d/1Ub731UpuME_qgLbHZR1Bn6JgBrsZigGISqNoL__S1I4/edit?usp=drivesdk</t>
  </si>
  <si>
    <t>Document successfully created; Document successfully merged; Run via form trigger as kemal.stafsus@gmail.com; Timestamp: Jun 26, 2026 9:08 PM</t>
  </si>
  <si>
    <t>https://drive.google.com/open?id=1-VipcfX2SoHMAVoTQVy6gk-5c3UbwD_D</t>
  </si>
  <si>
    <t>https://drive.google.com/uc?export=view&amp;id=1-VipcfX2SoHMAVoTQVy6gk-5c3UbwD_D</t>
  </si>
  <si>
    <t>Devi Fadri, S.Si.</t>
  </si>
  <si>
    <t>7315076206970004</t>
  </si>
  <si>
    <t>Jl. RW. Mekar Jaya No.68, RT/RW.004/003, Kec. Serpong, Kota Tangerang</t>
  </si>
  <si>
    <t>Pinrang</t>
  </si>
  <si>
    <t>22 Juni 1997</t>
  </si>
  <si>
    <t xml:space="preserve">Universitas Hasanuddin </t>
  </si>
  <si>
    <t xml:space="preserve">Guru Al-Qur’an di MIRA Institute </t>
  </si>
  <si>
    <t>devifadridev@gmail.com</t>
  </si>
  <si>
    <t>16eH-Kvow2WxsgiSs5Uys6KyZNPaqwqlnHC4nMfbOv3c</t>
  </si>
  <si>
    <t>https://docs.google.com/document/d/16eH-Kvow2WxsgiSs5Uys6KyZNPaqwqlnHC4nMfbOv3c/edit?usp=drivesdk</t>
  </si>
  <si>
    <t>Document successfully created; Document successfully merged; Run via form trigger as kemal.stafsus@gmail.com; Timestamp: Jun 27, 2026 5:02 AM</t>
  </si>
  <si>
    <t>https://drive.google.com/open?id=1fMHAnB52WJZsr-iEuFQuSE9VGU2mhJpU</t>
  </si>
  <si>
    <t>https://drive.google.com/uc?export=view&amp;id=1fMHAnB52WJZsr-iEuFQuSE9VGU2mhJpU</t>
  </si>
  <si>
    <t xml:space="preserve">Muhammad Adib Al-Fikri, S.Hum., M.Hum. </t>
  </si>
  <si>
    <t>085624001906</t>
  </si>
  <si>
    <t>3275082506960014</t>
  </si>
  <si>
    <t>Jln. Kenanga III Blok J7/6 Perumahan Duta Indah Pondok Gede Kota Bekasi 17413</t>
  </si>
  <si>
    <t>25-06-1996</t>
  </si>
  <si>
    <t>Sosiologi Cambridge</t>
  </si>
  <si>
    <t>Strata 1 - Universitas Padjadjaran</t>
  </si>
  <si>
    <t>Strata 2 - Universitas Padjadjaran</t>
  </si>
  <si>
    <t>Kajian Budaya</t>
  </si>
  <si>
    <t>Guru Sosiologi dan Bahasa Arab di SMA nurul Fikri Boarding School</t>
  </si>
  <si>
    <t>Guru mata pelajaran Bahasa Arab dan Tahsin Qur'an</t>
  </si>
  <si>
    <t>Guru Sosiologi dan IPS Lembaga Privata Cahaya Pelajar</t>
  </si>
  <si>
    <t>500.000 s/d 600.000</t>
  </si>
  <si>
    <t>038501012763533</t>
  </si>
  <si>
    <t>adibpikri21@gmail.com</t>
  </si>
  <si>
    <t>1VUWsa66ZiTyQCUjO0c3tBUP9KIds21Gj_B2B4nwQHPs</t>
  </si>
  <si>
    <t>https://docs.google.com/document/d/1VUWsa66ZiTyQCUjO0c3tBUP9KIds21Gj_B2B4nwQHPs/edit?usp=drivesdk</t>
  </si>
  <si>
    <t>Document successfully created; Document successfully merged; Run via form trigger as kemal.stafsus@gmail.com; Timestamp: Jun 27, 2026 9:18 AM</t>
  </si>
  <si>
    <t>https://drive.google.com/open?id=1O1-2JkEHF10LN6V_HqQmSKLBx6KhRGW3</t>
  </si>
  <si>
    <t>https://drive.google.com/uc?export=view&amp;id=1O1-2JkEHF10LN6V_HqQmSKLBx6KhRGW3</t>
  </si>
  <si>
    <t>Mochammad Yudha Pratama Lc.</t>
  </si>
  <si>
    <t>+21625677409</t>
  </si>
  <si>
    <t>3671012211000003</t>
  </si>
  <si>
    <t xml:space="preserve">Kota Tangerang </t>
  </si>
  <si>
    <t>22 November 2000</t>
  </si>
  <si>
    <t xml:space="preserve">Ez zitouna University </t>
  </si>
  <si>
    <t>Ulumul quran wa alhadith</t>
  </si>
  <si>
    <t>Kepala dapur Indonesian Restaurant in Tunis 2024-2025</t>
  </si>
  <si>
    <t>Petugas Haji indonesia 2026</t>
  </si>
  <si>
    <t xml:space="preserve">28 juta </t>
  </si>
  <si>
    <t>OCBC NISP</t>
  </si>
  <si>
    <t>mochyudha58@gmail.com</t>
  </si>
  <si>
    <t>1-rYeXNu0-hrnjpFYqsbMimCjgyBZm5w3yv_HvpwMqCg</t>
  </si>
  <si>
    <t>https://docs.google.com/document/d/1-rYeXNu0-hrnjpFYqsbMimCjgyBZm5w3yv_HvpwMqCg/edit?usp=drivesdk</t>
  </si>
  <si>
    <t>Document successfully created; Document successfully merged; Run via form trigger as kemal.stafsus@gmail.com; Timestamp: Jun 27, 2026 9:44 AM</t>
  </si>
  <si>
    <t>https://drive.google.com/open?id=1kIk93a68_SYc2pfO7wyYeWkzjLQlfspk</t>
  </si>
  <si>
    <t>https://drive.google.com/uc?export=view&amp;id=1kIk93a68_SYc2pfO7wyYeWkzjLQlfspk</t>
  </si>
  <si>
    <t>ISMAIL SUNY, M.Pd.,Gr</t>
  </si>
  <si>
    <t>081902000892</t>
  </si>
  <si>
    <t>3328121006910007</t>
  </si>
  <si>
    <t>Perum Griya Arta Sukasari, Cluster Nusa Penida Blok JJ-10, Rajeg, Kabupaten Tangerang</t>
  </si>
  <si>
    <t>TEGAL</t>
  </si>
  <si>
    <t>10-06-1991</t>
  </si>
  <si>
    <t>35 Tahun 0 Bulan</t>
  </si>
  <si>
    <t>Guru Bimbingan dan Konseling</t>
  </si>
  <si>
    <t>PTS (Strata-1)- Universitas PGRI Semarang</t>
  </si>
  <si>
    <t>PTN (Strata-2) - UNIVERSITAS NEGERI YOGYAKARTA</t>
  </si>
  <si>
    <t>BIMBINGAN DAN KONSELING</t>
  </si>
  <si>
    <t>GURU Bimbingan dan Konseling - SMA TQNI Brebes - 2021 s/d  Sekarang</t>
  </si>
  <si>
    <t>Dosen Tidak tetap - UNU Cirebon - 2020 s/d Sekarang</t>
  </si>
  <si>
    <t>Dosen Tidak tetap - STAI Brebes - 2024 s/d Sekarang</t>
  </si>
  <si>
    <t>ismailsuny0@gmail.com</t>
  </si>
  <si>
    <t>1I4t8xMfzy3A_wkUapJSKEtiymHuEwJc02VjKPxm4zUE</t>
  </si>
  <si>
    <t>https://docs.google.com/document/d/1I4t8xMfzy3A_wkUapJSKEtiymHuEwJc02VjKPxm4zUE/edit?usp=drivesdk</t>
  </si>
  <si>
    <t>Document successfully created; Document successfully merged; Run via form trigger as kemal.stafsus@gmail.com; Timestamp: Jun 27, 2026 10:41 AM</t>
  </si>
  <si>
    <t>https://drive.google.com/open?id=1bBqrCWDu0Eta25cW8Tgmd6DFyEuSVpes</t>
  </si>
  <si>
    <t>https://drive.google.com/uc?export=view&amp;id=1bBqrCWDu0Eta25cW8Tgmd6DFyEuSVpes</t>
  </si>
  <si>
    <t>FIRDAMANSYAH, S.Pd.I</t>
  </si>
  <si>
    <t>085783298592</t>
  </si>
  <si>
    <t>1112042202930001</t>
  </si>
  <si>
    <t>Jl. H. Malik No. 62, RT 1/ RW 4, Serua Kec. Bojongsari, Kota Depok, Jawa Barat.</t>
  </si>
  <si>
    <t>Aceh Barat Daya</t>
  </si>
  <si>
    <t>22-02-1993</t>
  </si>
  <si>
    <t>Arabic, Diniyah, Al-Qur'an</t>
  </si>
  <si>
    <t>S-1 STIT Muhammadiyah</t>
  </si>
  <si>
    <t>+- 7.000.000</t>
  </si>
  <si>
    <t>mansyahfirda095@gmail.com</t>
  </si>
  <si>
    <t>1i13s0zvyoqmp_7OQlnIAxBJDyt901jm7-ntUwIydTkg</t>
  </si>
  <si>
    <t>https://docs.google.com/document/d/1i13s0zvyoqmp_7OQlnIAxBJDyt901jm7-ntUwIydTkg/edit?usp=drivesdk</t>
  </si>
  <si>
    <t>Document successfully created; Document successfully merged; Run via form trigger as kemal.stafsus@gmail.com; Timestamp: Jun 27, 2026 11:02 AM</t>
  </si>
  <si>
    <t>https://drive.google.com/open?id=10BABJpgv4K0vbruvjmkm2gU4ZVsCmLwq</t>
  </si>
  <si>
    <t>https://drive.google.com/uc?export=view&amp;id=10BABJpgv4K0vbruvjmkm2gU4ZVsCmLwq</t>
  </si>
  <si>
    <t>Jl.Haji Nawi Malik No 62 RT 1 RW 04 Serua kec. BojongSari, Kota Depok, Jawa Barat.</t>
  </si>
  <si>
    <t>Arabic, Diniyah dan Al-Qur'an</t>
  </si>
  <si>
    <t>Guru Diniyah, Arabic dan Al-Qur'an</t>
  </si>
  <si>
    <t>1ZNvnzDEpIR_AZriQ9Wl7NQUbWFPUEm0G1BjjxngQAIA</t>
  </si>
  <si>
    <t>https://docs.google.com/document/d/1ZNvnzDEpIR_AZriQ9Wl7NQUbWFPUEm0G1BjjxngQAIA/edit?usp=drivesdk</t>
  </si>
  <si>
    <t>Document successfully created; Document successfully merged; Run via form trigger as kemal.stafsus@gmail.com; Timestamp: Jun 27, 2026 11:20 AM</t>
  </si>
  <si>
    <t>https://drive.google.com/open?id=1PUpeZ2Kcn_c4d6jw-bGbvuWP2a_6ezN1</t>
  </si>
  <si>
    <t>https://drive.google.com/uc?export=view&amp;id=1PUpeZ2Kcn_c4d6jw-bGbvuWP2a_6ezN1</t>
  </si>
  <si>
    <t>Suhendra, S.Pd.I, M.Ag</t>
  </si>
  <si>
    <t>083876000757</t>
  </si>
  <si>
    <t>3276112006900001</t>
  </si>
  <si>
    <t>Bukit Tiara G3 No.29 RT.021/05 Kel Pasir Jaya Kec Cikupa Kab Tangerang</t>
  </si>
  <si>
    <t>20-06-1990</t>
  </si>
  <si>
    <t>STIT Muslim Asia Afrika Jakarta</t>
  </si>
  <si>
    <t>Institut Ilmu Al Qur'an Jakarta</t>
  </si>
  <si>
    <t>S2 Pendidikan Agama Islam</t>
  </si>
  <si>
    <t>Kepala Sekolah SMA Al Fattah Tigaraksa</t>
  </si>
  <si>
    <t xml:space="preserve">Wks. Kurikulum SMP/ SMA Sirojul Athfal </t>
  </si>
  <si>
    <t>5.500.000,- 6.000.000 ( UMK Depok)</t>
  </si>
  <si>
    <t>andrasuhendra20@gmail.com</t>
  </si>
  <si>
    <t>17tKpBjTgbZsjNVlGXFMsV3gTPXXxCTrgsfGr_hH94TY</t>
  </si>
  <si>
    <t>https://docs.google.com/document/d/17tKpBjTgbZsjNVlGXFMsV3gTPXXxCTrgsfGr_hH94TY/edit?usp=drivesdk</t>
  </si>
  <si>
    <t>Document successfully created; Document successfully merged; Run via form trigger as kemal.stafsus@gmail.com; Timestamp: Jun 27, 2026 12:27 PM</t>
  </si>
  <si>
    <t>https://drive.google.com/open?id=18tdMXehtZ3NRZCpArqYXYK01s-K0g7pU</t>
  </si>
  <si>
    <t>https://drive.google.com/uc?export=view&amp;id=18tdMXehtZ3NRZCpArqYXYK01s-K0g7pU</t>
  </si>
  <si>
    <t>Widya Junianto Suparyadi, M.Pd</t>
  </si>
  <si>
    <t>089670068285</t>
  </si>
  <si>
    <t>3273261006950002</t>
  </si>
  <si>
    <t>Perumahan Dasana Indah Blok SE 5 No 3 Bojong Nangka Kelapa Dua Kabupaten Tangerang</t>
  </si>
  <si>
    <t>10 Juni 1995</t>
  </si>
  <si>
    <t>31 tahun</t>
  </si>
  <si>
    <t>Guru Bahasa Inggris SMP Langlangbuana 2</t>
  </si>
  <si>
    <t>035401013812536</t>
  </si>
  <si>
    <t>Bank Rakyat Indonesia</t>
  </si>
  <si>
    <t>widya.junianto12b@gmail.com</t>
  </si>
  <si>
    <t>1KApxReg3pBtcn-xPoraMvN3CjjyDoe_h_XoDiQweXK4</t>
  </si>
  <si>
    <t>https://docs.google.com/document/d/1KApxReg3pBtcn-xPoraMvN3CjjyDoe_h_XoDiQweXK4/edit?usp=drivesdk</t>
  </si>
  <si>
    <t>Document successfully created; Document successfully merged; Run via form trigger as kemal.stafsus@gmail.com; Timestamp: Jun 27, 2026 11:43 PM</t>
  </si>
  <si>
    <t>https://drive.google.com/open?id=19BUtssZj_A_dnGBYeeUxU4I6WS9Kg-iz</t>
  </si>
  <si>
    <t>https://drive.google.com/uc?export=view&amp;id=19BUtssZj_A_dnGBYeeUxU4I6WS9Kg-iz</t>
  </si>
  <si>
    <t>Gilang Afkara Sihbudi</t>
  </si>
  <si>
    <t>08987958610</t>
  </si>
  <si>
    <t>3674062012920002</t>
  </si>
  <si>
    <t>Pamulang 2, Tangerang Selatan</t>
  </si>
  <si>
    <t>20-12-1992</t>
  </si>
  <si>
    <t>S1 Universitas Al-Azhar Indonesia</t>
  </si>
  <si>
    <t>Guru Bahasa Inggris Golden English</t>
  </si>
  <si>
    <t>Guru Bahasa Inggris SMP Millennia World School</t>
  </si>
  <si>
    <t>Guru Bahasa Inggris I Can Read Bintaro</t>
  </si>
  <si>
    <t>gasihbudi@gmail.com</t>
  </si>
  <si>
    <t>1wDH8XI6tYb5bFdgy7nzNyqHGWHG7blMeudYj0ojQ95M</t>
  </si>
  <si>
    <t>https://docs.google.com/document/d/1wDH8XI6tYb5bFdgy7nzNyqHGWHG7blMeudYj0ojQ95M/edit?usp=drivesdk</t>
  </si>
  <si>
    <t>Document successfully created; Document successfully merged; Run via form trigger as kemal.stafsus@gmail.com; Timestamp: Jun 28, 2026 12:26 AM</t>
  </si>
  <si>
    <t>https://drive.google.com/open?id=1Wv026XrOPIiox2Hvm0cRXDqKk21_GICn</t>
  </si>
  <si>
    <t>https://drive.google.com/uc?export=view&amp;id=1Wv026XrOPIiox2Hvm0cRXDqKk21_GICn</t>
  </si>
  <si>
    <t>Islahuddin alfarisi</t>
  </si>
  <si>
    <t>087759855992</t>
  </si>
  <si>
    <t>5201092211010001</t>
  </si>
  <si>
    <t>Lombok barat</t>
  </si>
  <si>
    <t>Ranjok</t>
  </si>
  <si>
    <t>22/11/2001</t>
  </si>
  <si>
    <t>Mihajussunnah</t>
  </si>
  <si>
    <t>islah.abuhurairoh@gmail.com</t>
  </si>
  <si>
    <t>1FrChy60CsPUH4EPNyimlkLCep_bRIxR3Vq7JQ8U3NpE</t>
  </si>
  <si>
    <t>https://docs.google.com/document/d/1FrChy60CsPUH4EPNyimlkLCep_bRIxR3Vq7JQ8U3NpE/edit?usp=drivesdk</t>
  </si>
  <si>
    <t>Document successfully created; Document successfully merged; Run via form trigger as kemal.stafsus@gmail.com; Timestamp: Jun 28, 2026 8:26 AM</t>
  </si>
  <si>
    <t>https://drive.google.com/open?id=1oO4Xvlpmn76Fq6J1NCtNY3SvWiqjNFbE</t>
  </si>
  <si>
    <t>https://drive.google.com/uc?export=view&amp;id=1oO4Xvlpmn76Fq6J1NCtNY3SvWiqjNFbE</t>
  </si>
  <si>
    <t>Siti Febrianti Kholila, S.Pd.</t>
  </si>
  <si>
    <t>089651015549</t>
  </si>
  <si>
    <t>3175084602940003</t>
  </si>
  <si>
    <t>Jalan Batu Rukun RT. 14/05, Kel. Batu Ampar Kec. Kramat Jati, Jakarta Timur 13520</t>
  </si>
  <si>
    <t>06-02-1994</t>
  </si>
  <si>
    <t xml:space="preserve">SMP Uswatun Hasanah </t>
  </si>
  <si>
    <t xml:space="preserve">SDS Mentari Ar Ridho Islamic School </t>
  </si>
  <si>
    <t xml:space="preserve">Bank BNI Konvensional </t>
  </si>
  <si>
    <t>rhya.febrianti@gmail.com</t>
  </si>
  <si>
    <t>15mi3Oi2X9R7YCLOB8R26xM8u-wABVAmy5EqTYiNmpDs</t>
  </si>
  <si>
    <t>https://docs.google.com/document/d/15mi3Oi2X9R7YCLOB8R26xM8u-wABVAmy5EqTYiNmpDs/edit?usp=drivesdk</t>
  </si>
  <si>
    <t>Document successfully created; Document successfully merged; Run via form trigger as kemal.stafsus@gmail.com; Timestamp: Jun 28, 2026 8:15 PM</t>
  </si>
  <si>
    <t>https://drive.google.com/open?id=1HP2Ip6Eln12jJxmi6Ywb00JUfalz_5Ts</t>
  </si>
  <si>
    <t>https://drive.google.com/uc?export=view&amp;id=1HP2Ip6Eln12jJxmi6Ywb00JUfalz_5Ts</t>
  </si>
  <si>
    <t>Keneswangi Jofita, S. Pd</t>
  </si>
  <si>
    <t>082111697969</t>
  </si>
  <si>
    <t>3310115909040001</t>
  </si>
  <si>
    <t>Cakung, Jakarta Timur</t>
  </si>
  <si>
    <t>19-09-2004</t>
  </si>
  <si>
    <t>Master Teacher English Academy by Ruangguru</t>
  </si>
  <si>
    <t>2.900.000 (UMP Klaten)</t>
  </si>
  <si>
    <t>English Private Tutor Private Course Cendekia Soloraya</t>
  </si>
  <si>
    <t>2.500.000 (UMP Solo)</t>
  </si>
  <si>
    <t>5.800.000-6.000.000 (sesuai UMP Jakarta)</t>
  </si>
  <si>
    <t>kenesjofita04@gmail.com</t>
  </si>
  <si>
    <t>1nxGdEJVu6vfRWazifCQOvVnYPrPa59IOk7MPOze8cvQ</t>
  </si>
  <si>
    <t>https://docs.google.com/document/d/1nxGdEJVu6vfRWazifCQOvVnYPrPa59IOk7MPOze8cvQ/edit?usp=drivesdk</t>
  </si>
  <si>
    <t>Document successfully created; Document successfully merged; Run via form trigger as kemal.stafsus@gmail.com; Timestamp: Jun 28, 2026 9:59 PM</t>
  </si>
  <si>
    <t>https://drive.google.com/open?id=1clanrrc6oeQBeJ9Jdi3L5kfID6mbUVll</t>
  </si>
  <si>
    <t>https://drive.google.com/uc?export=view&amp;id=1clanrrc6oeQBeJ9Jdi3L5kfID6mbUVll</t>
  </si>
  <si>
    <t>Jamal, B.Sh., M.H., Gr.</t>
  </si>
  <si>
    <t>081804095210</t>
  </si>
  <si>
    <t>3402141304900002</t>
  </si>
  <si>
    <t xml:space="preserve">Piyungan Bantul Yogyakarta </t>
  </si>
  <si>
    <t>13 April 1990</t>
  </si>
  <si>
    <t xml:space="preserve">IIQ Jakarta </t>
  </si>
  <si>
    <t>Hukum Ekonomi Syariah (HES)</t>
  </si>
  <si>
    <t xml:space="preserve">Guru Quran Diniyyah, Wali kelas SMP EMIISc Jakarta </t>
  </si>
  <si>
    <t xml:space="preserve">Wakil Kepala Sekolah Bidang Kesiswaan SMA EMIISc Jakarta </t>
  </si>
  <si>
    <t>Sesuai kebijakan yayasan</t>
  </si>
  <si>
    <t>jamal.apik@gmail.com</t>
  </si>
  <si>
    <t>1shLW-RqlP4ZS6dlDlvXredHsyT4WwvT1gTH8T55UF50</t>
  </si>
  <si>
    <t>https://docs.google.com/document/d/1shLW-RqlP4ZS6dlDlvXredHsyT4WwvT1gTH8T55UF50/edit?usp=drivesdk</t>
  </si>
  <si>
    <t>Document successfully created; Document successfully merged; Run via form trigger as kemal.stafsus@gmail.com; Timestamp: Jun 29, 2026 12:22 AM</t>
  </si>
  <si>
    <t>https://drive.google.com/open?id=1VlPB2RkUow-QUBezaRYRuxiOax1fS7Mw</t>
  </si>
  <si>
    <t>https://drive.google.com/uc?export=view&amp;id=1VlPB2RkUow-QUBezaRYRuxiOax1fS7Mw</t>
  </si>
  <si>
    <t xml:space="preserve">Selis Azizah, S. Ag., Gr. </t>
  </si>
  <si>
    <t>089661997368</t>
  </si>
  <si>
    <t>3205175502990001</t>
  </si>
  <si>
    <t>Cipinang Muara ilir 3 Rt.02 Rw. 05 No. 46 Kec. Jatinegara Jakarta Timur</t>
  </si>
  <si>
    <t>28 April 1998</t>
  </si>
  <si>
    <t>S1- Tasawuf dan Psikoterapi</t>
  </si>
  <si>
    <t>Guru Mata pelajaran dan wali kelas</t>
  </si>
  <si>
    <t>4.800.000 - 5.600.000</t>
  </si>
  <si>
    <t>sezize15@gmail.com</t>
  </si>
  <si>
    <t>1WaOvMMyGbEMKHAbxs9k3Nh6K7xfxT9EzNuS3_0P-0DI</t>
  </si>
  <si>
    <t>https://docs.google.com/document/d/1WaOvMMyGbEMKHAbxs9k3Nh6K7xfxT9EzNuS3_0P-0DI/edit?usp=drivesdk</t>
  </si>
  <si>
    <t>Document successfully created; Document successfully merged; Run via form trigger as kemal.stafsus@gmail.com; Timestamp: Jun 29, 2026 12:23 AM</t>
  </si>
  <si>
    <t>https://drive.google.com/open?id=1MSb84Ct4asDAdfx66yFzCggJuddkJC0f</t>
  </si>
  <si>
    <t>https://drive.google.com/uc?export=view&amp;id=1MSb84Ct4asDAdfx66yFzCggJuddkJC0f</t>
  </si>
  <si>
    <t>Dimas Iqbal Wahyu Aji S.Pd</t>
  </si>
  <si>
    <t>089530612388</t>
  </si>
  <si>
    <t>3308080602970002</t>
  </si>
  <si>
    <t xml:space="preserve">Ponalan Rt 03/ Rw 04 Tamanagung Muntilan, Magelang </t>
  </si>
  <si>
    <t>06-02-1997</t>
  </si>
  <si>
    <t>Guru Penjaskes</t>
  </si>
  <si>
    <t xml:space="preserve">Pendidikan Jasmani Kesehatan dan Rekreasi </t>
  </si>
  <si>
    <t>EO Event Trail Run</t>
  </si>
  <si>
    <t>dimasiqbal035@gmail.com</t>
  </si>
  <si>
    <t>1gWwz1u5TJzSgCdIp-viI6cpGPASE8Wx-a0ETtVJQX3c</t>
  </si>
  <si>
    <t>https://docs.google.com/document/d/1gWwz1u5TJzSgCdIp-viI6cpGPASE8Wx-a0ETtVJQX3c/edit?usp=drivesdk</t>
  </si>
  <si>
    <t>Document successfully created; Document successfully merged; Run via form trigger as kemal.stafsus@gmail.com; Timestamp: Jun 29, 2026 11:18 PM</t>
  </si>
  <si>
    <t>https://drive.google.com/open?id=1YrXd73JGy5o3HRVVGheu_8hKms7YFh5h</t>
  </si>
  <si>
    <t>https://drive.google.com/uc?export=view&amp;id=1YrXd73JGy5o3HRVVGheu_8hKms7YFh5h</t>
  </si>
  <si>
    <t>Azzahrah Widyariana, S.Pd</t>
  </si>
  <si>
    <t>3171056607020005</t>
  </si>
  <si>
    <t>Jl. H.Kan Tong No. 44c, RT 004 RW 001, Kp. Ragamukti, desa citayam, Kec. Tajurhalang,  Kab. Bogor, Jawa Barat, ID 16320</t>
  </si>
  <si>
    <t>26 Juli 2002</t>
  </si>
  <si>
    <t xml:space="preserve">Guru dan musyrifah </t>
  </si>
  <si>
    <t>azzahrahwidyariana@gmail.com</t>
  </si>
  <si>
    <t>1dUT_J2EvS8jIoEMmyJ61BEBpxWzrH-c_euEpE1wKym0</t>
  </si>
  <si>
    <t>https://docs.google.com/document/d/1dUT_J2EvS8jIoEMmyJ61BEBpxWzrH-c_euEpE1wKym0/edit?usp=drivesdk</t>
  </si>
  <si>
    <t>Document successfully created; Document successfully merged; Run via form trigger as kemal.stafsus@gmail.com; Timestamp: Jun 30, 2026 12:52 AM</t>
  </si>
  <si>
    <t>https://drive.google.com/open?id=1-ocDz2m4Tr2yR44FcfECnJg2RFyic2_2</t>
  </si>
  <si>
    <t>https://drive.google.com/uc?export=view&amp;id=1-ocDz2m4Tr2yR44FcfECnJg2RFyic2_2</t>
  </si>
  <si>
    <t>SittI Lailatul Qamaria, S.Pd., M.Pd.</t>
  </si>
  <si>
    <t>082260738133</t>
  </si>
  <si>
    <t>6474034211940004</t>
  </si>
  <si>
    <t>Jl. Bung Perumahan Bung Permai Blok A7 Kec. Tamalanrea Kota Makassar</t>
  </si>
  <si>
    <t>Bontang</t>
  </si>
  <si>
    <t>02-11-1994</t>
  </si>
  <si>
    <t>31 Tahun 7 Bulan</t>
  </si>
  <si>
    <t>Physics, Math, and  Chemistry</t>
  </si>
  <si>
    <t>Univesitas Negeri Makassar</t>
  </si>
  <si>
    <t>Pendidikan Fisika ICP</t>
  </si>
  <si>
    <t>Teknologi Pembelajaran (Pendidikan)</t>
  </si>
  <si>
    <t>SIT Al Biruni Mandiri Makassar</t>
  </si>
  <si>
    <t>MTSs Al MUkarramah</t>
  </si>
  <si>
    <t>Muammalat Institute</t>
  </si>
  <si>
    <t>4.000.000 -</t>
  </si>
  <si>
    <t>sitti.Lailatul.Qamaria@gmail.com</t>
  </si>
  <si>
    <t>1eevPQk8LVuZxqqNZzX3jebtME7CzP3ztVvs3V9EqfyY</t>
  </si>
  <si>
    <t>https://docs.google.com/document/d/1eevPQk8LVuZxqqNZzX3jebtME7CzP3ztVvs3V9EqfyY/edit?usp=drivesdk</t>
  </si>
  <si>
    <t>Document successfully created; Document successfully merged; Run via form trigger as kemal.stafsus@gmail.com; Timestamp: Jun 30, 2026 2:18 AM</t>
  </si>
  <si>
    <t>https://drive.google.com/open?id=1lztOeRZ2K9YCWDQDEKjVw3LKMOgLT0L3</t>
  </si>
  <si>
    <t>https://drive.google.com/uc?export=view&amp;id=1lztOeRZ2K9YCWDQDEKjVw3LKMOgLT0L3</t>
  </si>
  <si>
    <t>Ahmad Muflih Syauqi. Lc</t>
  </si>
  <si>
    <t>081282359262</t>
  </si>
  <si>
    <t>7371022709950002</t>
  </si>
  <si>
    <t>Perumahan anandya residence blok A no 3, kanjilo, Barombong, Gowa.</t>
  </si>
  <si>
    <t>27-09-1995</t>
  </si>
  <si>
    <t xml:space="preserve">30 tahun 8 bulan </t>
  </si>
  <si>
    <t>Agama / Bhs. Arab</t>
  </si>
  <si>
    <t>Universitas Islam Madinah KSA (Strara-1)</t>
  </si>
  <si>
    <t>Guru agama dan bahasa arab</t>
  </si>
  <si>
    <t>Guru agama Dan Bhs. Arab</t>
  </si>
  <si>
    <t>muflihmks95@gmail.com</t>
  </si>
  <si>
    <t>1p8EuCEhQeYAnnBQ32RSwXa_HBV7p4IFhLqXpU5DyLHc</t>
  </si>
  <si>
    <t>https://docs.google.com/document/d/1p8EuCEhQeYAnnBQ32RSwXa_HBV7p4IFhLqXpU5DyLHc/edit?usp=drivesdk</t>
  </si>
  <si>
    <t>Document successfully created; Document successfully merged; Run via form trigger as kemal.stafsus@gmail.com; Timestamp: Jun 30, 2026 11:14 AM</t>
  </si>
  <si>
    <t>https://drive.google.com/open?id=1BhMw9MEue3HJBFh86jlJwgPmSbMVaIJ_</t>
  </si>
  <si>
    <t>https://drive.google.com/uc?export=view&amp;id=1BhMw9MEue3HJBFh86jlJwgPmSbMVaIJ_</t>
  </si>
  <si>
    <t>Husnul Hakim, S.E., B.Comm., M.Pd</t>
  </si>
  <si>
    <t>082111103305</t>
  </si>
  <si>
    <t>1771022705770006</t>
  </si>
  <si>
    <t xml:space="preserve">Kampung Jogokariyan, Jl.Cuwiri No.Mj 3/ 573 RT.38 RW.10 Mantrijeron, Yogyakarta 55143 </t>
  </si>
  <si>
    <t>Padang Panjang</t>
  </si>
  <si>
    <t>27/05/1977</t>
  </si>
  <si>
    <t>49 tahun 1 bulan</t>
  </si>
  <si>
    <t>The Hague University of Applied Sciences, The Netherlands</t>
  </si>
  <si>
    <t>International Communication Management</t>
  </si>
  <si>
    <t>Teacher/ Mentor of English Language</t>
  </si>
  <si>
    <t>Kepala Sekolah SMA</t>
  </si>
  <si>
    <t>WAKA II Bidang Kerjasama Perguruan Tinggi STKIP Al-Azhar Diniyyah Jambi</t>
  </si>
  <si>
    <t>0580678548</t>
  </si>
  <si>
    <t>husnulhakim527@gmail.com</t>
  </si>
  <si>
    <t>1SQ1DXoAVRyOwa7bSZku2gGfwUo9PAmHstUb5KJsE318</t>
  </si>
  <si>
    <t>https://docs.google.com/document/d/1SQ1DXoAVRyOwa7bSZku2gGfwUo9PAmHstUb5KJsE318/edit?usp=drivesdk</t>
  </si>
  <si>
    <t>Document successfully created; Document successfully merged; Run via form trigger as kemal.stafsus@gmail.com; Timestamp: Jul 1, 2026 1:53 AM</t>
  </si>
  <si>
    <t>https://drive.google.com/open?id=1N5XSq1DxdQky3h2ktQeGiQHgxmOj4NSV</t>
  </si>
  <si>
    <t>https://drive.google.com/uc?export=view&amp;id=1N5XSq1DxdQky3h2ktQeGiQHgxmOj4NSV</t>
  </si>
  <si>
    <t>Leny Febriyanti, ST</t>
  </si>
  <si>
    <t>081297223598</t>
  </si>
  <si>
    <t>327611116502790001</t>
  </si>
  <si>
    <t xml:space="preserve">Tamansari Puri Bali, Banjar Taman Ayun B3 no.7 Kel. Curug Kec. Bojongsari Depok </t>
  </si>
  <si>
    <t>Dumai</t>
  </si>
  <si>
    <t>25-02-1977</t>
  </si>
  <si>
    <t>47 tahun 4 bulan</t>
  </si>
  <si>
    <t>SAINS</t>
  </si>
  <si>
    <t>S1 - INSTITUT TEKNOLOGI INDONESIA</t>
  </si>
  <si>
    <t>KAWAN CENDEKIA</t>
  </si>
  <si>
    <t>SDIT AL-HAMIDIYAH</t>
  </si>
  <si>
    <t>TUTOR PRIVATE</t>
  </si>
  <si>
    <t>4.000.000 (atau sesuai UMR Depok)</t>
  </si>
  <si>
    <t>febriyantileny99@gmail.com</t>
  </si>
  <si>
    <t>1r1Y38SdVm3NKIhwkoNM2-KRMZWY3mKViihZPJr33i48</t>
  </si>
  <si>
    <t>https://docs.google.com/document/d/1r1Y38SdVm3NKIhwkoNM2-KRMZWY3mKViihZPJr33i48/edit?usp=drivesdk</t>
  </si>
  <si>
    <t>Document successfully created; Document successfully merged; Run via form trigger as kemal.stafsus@gmail.com; Timestamp: Jul 1, 2026 3:26 AM</t>
  </si>
  <si>
    <t>https://drive.google.com/open?id=14mJBKmZIEvV4qFnI48ZULqzcmyDaNHO4</t>
  </si>
  <si>
    <t>https://drive.google.com/uc?export=view&amp;id=14mJBKmZIEvV4qFnI48ZULqzcmyDaNHO4</t>
  </si>
  <si>
    <t>Muhammad Yusuf Ikhsan Pramadeva, M.Pd.</t>
  </si>
  <si>
    <t>0895421811157</t>
  </si>
  <si>
    <t>3404100608960002</t>
  </si>
  <si>
    <t>Perum Purwomartani Baru Blok E-21 Sidokerto, Yogyakarta</t>
  </si>
  <si>
    <t>06-08-1996</t>
  </si>
  <si>
    <t>SEM (Science, English, Math)</t>
  </si>
  <si>
    <t>Instruktur Bahasa Inggris
Language Service Unit, Universitas Negeri Yogyakarta
Yogyakarta, Indonesia
September 2023 – Sekarang</t>
  </si>
  <si>
    <t>Pengembang Materi Ajar Lepas
Independen / Berbasis Proyek
Yogyakarta, Indonesia
September 2023 – Sekarang</t>
  </si>
  <si>
    <t>10.000.000 (Insidentil)</t>
  </si>
  <si>
    <t>Instruktur Bahasa Inggris
KiMa Course dan Private English Instruction
Yogyakarta, Indonesia
Mei 2016 – Maret 2018.</t>
  </si>
  <si>
    <t>yusufikhsan96@gmail.com</t>
  </si>
  <si>
    <t>1Ot9f_TQuoqb6e5o4zNMlrFRLdQ2xeA1QG7mTdgFANpk</t>
  </si>
  <si>
    <t>https://docs.google.com/document/d/1Ot9f_TQuoqb6e5o4zNMlrFRLdQ2xeA1QG7mTdgFANpk/edit?usp=drivesdk</t>
  </si>
  <si>
    <t>Document successfully created; Document successfully merged; Run via form trigger as kemal.stafsus@gmail.com; Timestamp: Jul 1, 2026 8:45 AM</t>
  </si>
  <si>
    <t>https://drive.google.com/open?id=12n8mte0GfqdWPJTtc0gymGHoEikZIgke</t>
  </si>
  <si>
    <t>https://drive.google.com/uc?export=view&amp;id=12n8mte0GfqdWPJTtc0gymGHoEikZIgke</t>
  </si>
  <si>
    <t>Agung Gunawan</t>
  </si>
  <si>
    <t>089517439398</t>
  </si>
  <si>
    <t>3201071509020006</t>
  </si>
  <si>
    <t>Jember Jawa Timur</t>
  </si>
  <si>
    <t>15/09/2002</t>
  </si>
  <si>
    <t>Strata 1, STDI Imam Syafii Jember Jawa Timur</t>
  </si>
  <si>
    <t>Mengajar Online Pelajaran Al Qur'an dan Diniyah</t>
  </si>
  <si>
    <t>guunagung@gmail.com</t>
  </si>
  <si>
    <t>1sWwDIe1Ddpvhiv74d66weXDjjiqre0S6yPKiBDEDGJw</t>
  </si>
  <si>
    <t>https://docs.google.com/document/d/1sWwDIe1Ddpvhiv74d66weXDjjiqre0S6yPKiBDEDGJw/edit?usp=drivesdk</t>
  </si>
  <si>
    <t>Document successfully created; Document successfully merged; Run via form trigger as kemal.stafsus@gmail.com; Timestamp: Jul 2, 2026 9:46 PM</t>
  </si>
  <si>
    <t>https://drive.google.com/open?id=1vKg0nG6JA9R3hekAaD-lPL68Vi_jSXkj</t>
  </si>
  <si>
    <t>https://drive.google.com/uc?export=view&amp;id=1vKg0nG6JA9R3hekAaD-lPL68Vi_jSXkj</t>
  </si>
  <si>
    <t>Ridwan Dwinanto</t>
  </si>
  <si>
    <t>082114855516</t>
  </si>
  <si>
    <t>3674042911990002</t>
  </si>
  <si>
    <t>Jl.Raya Cilandak KKO no.114 RT.9/RW.8 Kel.Ragunan, Kec.Pasar Minggu, Jakarta Selatan
Pasar Minggu</t>
  </si>
  <si>
    <t>Kota Jakarta Selatan</t>
  </si>
  <si>
    <t>Bahasa Inggris, Bahasa Arab</t>
  </si>
  <si>
    <t>S1 Ilmu Hadits STDI Imam As-Syafi'i</t>
  </si>
  <si>
    <t>Guru Bahasa Inggris dan pengampu halaqah</t>
  </si>
  <si>
    <t>Guru sekolah dan guru bahasa Inggris</t>
  </si>
  <si>
    <t>ridwandwinanto87@gmail.com</t>
  </si>
  <si>
    <t>1PXrs0igzb11bWhuhG_SqcGALaRe2IuXI3L0DJoT12Ek</t>
  </si>
  <si>
    <t>https://docs.google.com/document/d/1PXrs0igzb11bWhuhG_SqcGALaRe2IuXI3L0DJoT12Ek/edit?usp=drivesdk</t>
  </si>
  <si>
    <t>https://drive.google.com/open?id=1Z5Gd7kwBeaSMtukYmPc6fj3q8MtbiUT9</t>
  </si>
  <si>
    <t>https://drive.google.com/uc?export=view&amp;id=1Z5Gd7kwBeaSMtukYmPc6fj3q8MtbiUT9</t>
  </si>
  <si>
    <t>Annisa Sarvina</t>
  </si>
  <si>
    <t>082137722167</t>
  </si>
  <si>
    <t>3302077003040001/E2067432</t>
  </si>
  <si>
    <t>Sumpiuh, Banyumas, Jawa Tengah</t>
  </si>
  <si>
    <t>30-Maret-2004</t>
  </si>
  <si>
    <t>ITBA (STAI Bandung) dan MABAIS Jajar Islamic Center Surakarta</t>
  </si>
  <si>
    <t>Magang menjadi sekertaris wali kelas dan guru mapel bahasa arab di i'dad Lughawi ma'had 'ilmi jajar islamic center surakarta</t>
  </si>
  <si>
    <t>Sesuai yang di janjikan selama pengabdian 2.500.000 per bulan</t>
  </si>
  <si>
    <t>Annisa Sarvina Tsabit</t>
  </si>
  <si>
    <t>annisasarvinatsaaa@gmail.com</t>
  </si>
  <si>
    <t>1RTTIhBph_1UKFAhlA62iwA_877dfotoRhJ3K6xAKV2s</t>
  </si>
  <si>
    <t>https://docs.google.com/document/d/1RTTIhBph_1UKFAhlA62iwA_877dfotoRhJ3K6xAKV2s/edit?usp=drivesdk</t>
  </si>
  <si>
    <t>Document successfully created; Document successfully merged; Run via form trigger as kemal.stafsus@gmail.com; Timestamp: Jul 3, 2026 3:57 AM</t>
  </si>
  <si>
    <t>https://drive.google.com/open?id=1oHabHjCxRItF0rbFQ2ZUfR8_Zj53D5NJ</t>
  </si>
  <si>
    <t>https://drive.google.com/uc?export=view&amp;id=1oHabHjCxRItF0rbFQ2ZUfR8_Zj53D5NJ</t>
  </si>
  <si>
    <t>Fika Roudlotul Ilmi, S. Pd</t>
  </si>
  <si>
    <t>087852353776</t>
  </si>
  <si>
    <t>3674066512970001</t>
  </si>
  <si>
    <t>Perum Gardena Kav. 28, Pamulang Barat, Tangerang Selatan</t>
  </si>
  <si>
    <t>25-12-1997</t>
  </si>
  <si>
    <t>Math, Science, English, Bahasa Indonesia dan IPAS</t>
  </si>
  <si>
    <t>PTN-Universitas Negeri Jakarta</t>
  </si>
  <si>
    <t xml:space="preserve">PIJAR HOMESCHOOLING </t>
  </si>
  <si>
    <t xml:space="preserve">5.600.000 (200x@28sesi/1,5jam) </t>
  </si>
  <si>
    <t xml:space="preserve">Global Islamic School </t>
  </si>
  <si>
    <t>4.750.000+snack+lunch+fee correction+rapor</t>
  </si>
  <si>
    <t>Metavity Indonesia</t>
  </si>
  <si>
    <t>4.500.000+kost+lunch&amp;dinner</t>
  </si>
  <si>
    <t>5.750.000 sama seperti tawaran di sekolah Auliya</t>
  </si>
  <si>
    <t>fikaroudlotulilmi@gmail.com</t>
  </si>
  <si>
    <t>1Ou1pL3tHOrZ-vTPGxoqZRpgOy7U80JUjuSrl-5Axiqc</t>
  </si>
  <si>
    <t>https://docs.google.com/document/d/1Ou1pL3tHOrZ-vTPGxoqZRpgOy7U80JUjuSrl-5Axiqc/edit?usp=drivesdk</t>
  </si>
  <si>
    <t>Document successfully created; Document successfully merged; Run via form trigger as kemal.stafsus@gmail.com; Timestamp: Jul 3, 2026 10:27 AM</t>
  </si>
  <si>
    <t>https://drive.google.com/open?id=1pkFJVOTMYJJQHsTLurchzs9tlk-0hDPH</t>
  </si>
  <si>
    <t>https://drive.google.com/uc?export=view&amp;id=1pkFJVOTMYJJQHsTLurchzs9tlk-0hDPH</t>
  </si>
  <si>
    <t>Hasibah Ahmad Fuad, S.Sos.</t>
  </si>
  <si>
    <t>081394977509</t>
  </si>
  <si>
    <t>3201394912000007</t>
  </si>
  <si>
    <t>9 Desember 2000</t>
  </si>
  <si>
    <t>B. Arab dan Al-qur'an</t>
  </si>
  <si>
    <t>STIBA AR-RAAYAH (INSTITUT MUSLIM CENDEKIA)</t>
  </si>
  <si>
    <t>Komunikasi penyiaran islam</t>
  </si>
  <si>
    <t>35.8</t>
  </si>
  <si>
    <t>Musyrifah-muhafidzah dan Koord. Bahasa di Al-wafi islamic boarding school</t>
  </si>
  <si>
    <t>hasibah09@gmail.com</t>
  </si>
  <si>
    <t>12Heu_2ASxBfaHpCKLuU5kpNXK6HAO6vXKcTNJlXsFW4</t>
  </si>
  <si>
    <t>https://docs.google.com/document/d/12Heu_2ASxBfaHpCKLuU5kpNXK6HAO6vXKcTNJlXsFW4/edit?usp=drivesdk</t>
  </si>
  <si>
    <t>Document successfully created; Document successfully merged; Run via form trigger as kemal.stafsus@gmail.com; Timestamp: Jul 3, 2026 8:13 PM</t>
  </si>
  <si>
    <t>https://drive.google.com/open?id=1vxwCDzVzBVGSf3QZB5B60eT_dyOhZA77</t>
  </si>
  <si>
    <t>https://drive.google.com/uc?export=view&amp;id=1vxwCDzVzBVGSf3QZB5B60eT_dyOhZA77</t>
  </si>
  <si>
    <t>MUHAMMAD FADHIL RAMADHAN, SE.</t>
  </si>
  <si>
    <t>085692035460</t>
  </si>
  <si>
    <t>7371122403910005</t>
  </si>
  <si>
    <t>PERINTIS KEMERDEKAAN 3 BTN HAMSY BLOK L NO 3 TAMALANREA</t>
  </si>
  <si>
    <t>UJUNG PANDANG</t>
  </si>
  <si>
    <t>24 MARET 1991</t>
  </si>
  <si>
    <t>35 TAHUN</t>
  </si>
  <si>
    <t>STIE NOBEL INDONESIA MAKASSAR</t>
  </si>
  <si>
    <t>MANAJEMEN (BISNIS INTERNASIONAL)</t>
  </si>
  <si>
    <t>3 - 4 TAHUN MENGAJAR BAHASA INGGRIS</t>
  </si>
  <si>
    <t>Rp 4.000.000 (ENGLISH TALK INDONESIA, JAKARTA SELATAN)</t>
  </si>
  <si>
    <t>Rp 5.000.000 (EF ENGLISH FIRST, JAKARTA SELATAN)</t>
  </si>
  <si>
    <t>BANK BNI</t>
  </si>
  <si>
    <t>inmemory7376@gmail.com</t>
  </si>
  <si>
    <t>18SSfc4VlNs0N44xjvpKY15OokW8X5H8c9dC8DftjPBE</t>
  </si>
  <si>
    <t>https://docs.google.com/document/d/18SSfc4VlNs0N44xjvpKY15OokW8X5H8c9dC8DftjPBE/edit?usp=drivesdk</t>
  </si>
  <si>
    <t>Document successfully created; Document successfully merged; Run via form trigger as kemal.stafsus@gmail.com; Timestamp: Jul 4, 2026 12:06 AM</t>
  </si>
  <si>
    <t>https://drive.google.com/open?id=1pWvJp9RzUT8Uf3KSmb7kY53YQc4rYhuU</t>
  </si>
  <si>
    <t>https://drive.google.com/uc?export=view&amp;id=1pWvJp9RzUT8Uf3KSmb7kY53YQc4rYhuU</t>
  </si>
  <si>
    <t>Nawwar Rabbani, B.A.</t>
  </si>
  <si>
    <t>082137256425</t>
  </si>
  <si>
    <t>3374112108020004</t>
  </si>
  <si>
    <t>21-08-2002</t>
  </si>
  <si>
    <t xml:space="preserve">LN - Universitas Islam Madinah </t>
  </si>
  <si>
    <t>4.84</t>
  </si>
  <si>
    <t>Rabbaninawwar@gmail.com</t>
  </si>
  <si>
    <t>1vxqQuYdPEJ89Yp1joh4FjI5q6xSTOVPlf98I3WUdNug</t>
  </si>
  <si>
    <t>https://docs.google.com/document/d/1vxqQuYdPEJ89Yp1joh4FjI5q6xSTOVPlf98I3WUdNug/edit?usp=drivesdk</t>
  </si>
  <si>
    <t>Document successfully created; Document successfully merged; Run via form trigger as kemal.stafsus@gmail.com; Timestamp: Jul 4, 2026 7:30 AM</t>
  </si>
  <si>
    <t>https://drive.google.com/open?id=19Iy97amafP2-P-gHg19oxZ6MEOXwkDRW</t>
  </si>
  <si>
    <t>https://drive.google.com/uc?export=view&amp;id=19Iy97amafP2-P-gHg19oxZ6MEOXwkDRW</t>
  </si>
  <si>
    <t>Musfita, S.Kom., Gr.</t>
  </si>
  <si>
    <t>0895608350803</t>
  </si>
  <si>
    <t>7371126103000004</t>
  </si>
  <si>
    <t>Jl. Abdesir, Toa Daeng 3, Perumahan Toa Daeng Country No.2</t>
  </si>
  <si>
    <t>21-03-2000</t>
  </si>
  <si>
    <t>26 Tahun 3 Bulan</t>
  </si>
  <si>
    <t>Guru Mata Pelajaran, Tata Usaha (Pendidikan)</t>
  </si>
  <si>
    <t>S1 - Universitas Hasanuddin</t>
  </si>
  <si>
    <t>Guru Informatika Eskul Madrasah Aliyah Markaz Imam Malik Makassar</t>
  </si>
  <si>
    <t>Kepala Tata Usahan dan Operator Sekolah</t>
  </si>
  <si>
    <t>musfita2103@gmail.com</t>
  </si>
  <si>
    <t>1H_r86Qn4wWN5_K8sk1uBnAKaRtc-1l7EMsKKRY8P3SA</t>
  </si>
  <si>
    <t>https://docs.google.com/document/d/1H_r86Qn4wWN5_K8sk1uBnAKaRtc-1l7EMsKKRY8P3SA/edit?usp=drivesdk</t>
  </si>
  <si>
    <t>Document successfully created; Document successfully merged; Run via form trigger as kemal.stafsus@gmail.com; Timestamp: Jul 4, 2026 9:12 AM</t>
  </si>
  <si>
    <t>https://drive.google.com/open?id=1fpUQ1JkhaxUuLt9W16EMhcD5Li_5DOi4</t>
  </si>
  <si>
    <t>https://drive.google.com/uc?export=view&amp;id=1fpUQ1JkhaxUuLt9W16EMhcD5Li_5DOi4</t>
  </si>
  <si>
    <t>Nurul Esa Rahmah S. Pd</t>
  </si>
  <si>
    <t>0895416193565</t>
  </si>
  <si>
    <t>3603084907030001</t>
  </si>
  <si>
    <t xml:space="preserve">Perumahan Serpong Jaya, the groove, buaran. Serpong </t>
  </si>
  <si>
    <t>09-07-2003</t>
  </si>
  <si>
    <t>22 Tahun 11 bulan</t>
  </si>
  <si>
    <t xml:space="preserve">- master teacher at ruang guru  </t>
  </si>
  <si>
    <t>- private teacher for math, since, physic</t>
  </si>
  <si>
    <t xml:space="preserve">Bri (Nurul Esa Rahmah) </t>
  </si>
  <si>
    <t>esanurulrahmah@gmail.com</t>
  </si>
  <si>
    <t>1jVCbezCVU6IgvR8UDH9tawfTad445z5W5s-ZnxbroNo</t>
  </si>
  <si>
    <t>https://docs.google.com/document/d/1jVCbezCVU6IgvR8UDH9tawfTad445z5W5s-ZnxbroNo/edit?usp=drivesdk</t>
  </si>
  <si>
    <t>Document successfully created; Document successfully merged; Run via form trigger as kemal.stafsus@gmail.com; Timestamp: Jul 4, 2026 10:09 AM</t>
  </si>
  <si>
    <t>https://drive.google.com/open?id=11_K1ixAWPcGPmeEdhdKjJ_PKLXv3EyId</t>
  </si>
  <si>
    <t>https://drive.google.com/uc?export=view&amp;id=11_K1ixAWPcGPmeEdhdKjJ_PKLXv3EyId</t>
  </si>
  <si>
    <t>Washil Abdul Jalil, ST.</t>
  </si>
  <si>
    <t>+6285394434502</t>
  </si>
  <si>
    <t>7311042404920004</t>
  </si>
  <si>
    <t xml:space="preserve">Jl. Satando II No. 31 d/h 32, Kel. Mal. Tua, Kec. Wajo, Makassar </t>
  </si>
  <si>
    <t>24-04-1992</t>
  </si>
  <si>
    <t>Fiskim-Math</t>
  </si>
  <si>
    <t>OSP Supervisor</t>
  </si>
  <si>
    <t>Team Leader</t>
  </si>
  <si>
    <t>Tentor Bhs. Inggris</t>
  </si>
  <si>
    <t>washilridwan92@gmail.com</t>
  </si>
  <si>
    <t>1ssf0H1iBncSUxdHqHwHDb2KVTSoUwSy4Xd9zqvGuC-w</t>
  </si>
  <si>
    <t>https://docs.google.com/document/d/1ssf0H1iBncSUxdHqHwHDb2KVTSoUwSy4Xd9zqvGuC-w/edit?usp=drivesdk</t>
  </si>
  <si>
    <t>Document successfully created; Document successfully merged; Run via form trigger as kemal.stafsus@gmail.com; Timestamp: Jul 5, 2026 6:59 AM</t>
  </si>
  <si>
    <t>https://drive.google.com/open?id=12-zIXpFt154lHtLNO9mbMq3zIzsPnUHQ</t>
  </si>
  <si>
    <t>https://drive.google.com/uc?export=view&amp;id=12-zIXpFt154lHtLNO9mbMq3zIzsPnUHQ</t>
  </si>
  <si>
    <t>Fahri Rizal Ma'ruf. B.S., MIRKH.</t>
  </si>
  <si>
    <t>081314835110</t>
  </si>
  <si>
    <t>3529251408890001</t>
  </si>
  <si>
    <t>Jln. Turus Asri III, Perum Da'ar Mutiara C5, Bulusan, Tembalang, Kota Semarang</t>
  </si>
  <si>
    <t>Sumenep</t>
  </si>
  <si>
    <t>14-08-1989</t>
  </si>
  <si>
    <t>36 tahun, 10 bulan</t>
  </si>
  <si>
    <t>International Islamic University Islamabad (IIUI) Pakistan</t>
  </si>
  <si>
    <t xml:space="preserve">Islamic Studies </t>
  </si>
  <si>
    <t xml:space="preserve">International Islamic University Malaysia (IIUM) </t>
  </si>
  <si>
    <t>5000.000-6000.000</t>
  </si>
  <si>
    <t>fahririzalmaruf@gmail.com</t>
  </si>
  <si>
    <t>1hLPyREStkWAncqaVWxczdeNKzFeG1XtIw2XFFV3vWHw</t>
  </si>
  <si>
    <t>https://docs.google.com/document/d/1hLPyREStkWAncqaVWxczdeNKzFeG1XtIw2XFFV3vWHw/edit?usp=drivesdk</t>
  </si>
  <si>
    <t>Document successfully created; Document successfully merged; Run via form trigger as kemal.stafsus@gmail.com; Timestamp: Jul 5, 2026 10:07 AM</t>
  </si>
  <si>
    <t>https://drive.google.com/open?id=1I0WCJH4m0xgmYA8_9ssQVOUyhc5SOqX1</t>
  </si>
  <si>
    <t>https://drive.google.com/uc?export=view&amp;id=1I0WCJH4m0xgmYA8_9ssQVOUyhc5SOqX1</t>
  </si>
  <si>
    <t>Salma Mutsmiroh, S.Ag</t>
  </si>
  <si>
    <t>083820867651</t>
  </si>
  <si>
    <t>Meteseh, Tembalang, Semarang</t>
  </si>
  <si>
    <t>15 Maret 3003</t>
  </si>
  <si>
    <t>2 Tahun 3 Bulan</t>
  </si>
  <si>
    <t>mutsmirohs@gmail.com</t>
  </si>
  <si>
    <t>1E4YCw5xmqstKcn09jT4BxRLtYAKoIB9nvJNxhOs3lUU</t>
  </si>
  <si>
    <t>https://docs.google.com/document/d/1E4YCw5xmqstKcn09jT4BxRLtYAKoIB9nvJNxhOs3lUU/edit?usp=drivesdk</t>
  </si>
  <si>
    <t>Document successfully created; Document successfully merged; Run via form trigger as kemal.stafsus@gmail.com; Timestamp: Jul 5, 2026 10:33 PM</t>
  </si>
  <si>
    <t>https://drive.google.com/open?id=1TWVgf-j4ym9x16GquRnrMJuR9myKvAst</t>
  </si>
  <si>
    <t>https://drive.google.com/uc?export=view&amp;id=1TWVgf-j4ym9x16GquRnrMJuR9myKvAst</t>
  </si>
  <si>
    <t>Heizlan Muhammad, S.Pd., M.Si.</t>
  </si>
  <si>
    <t>081379239670</t>
  </si>
  <si>
    <t>1804191305930003</t>
  </si>
  <si>
    <t>Perumahan cijahe legacy, Semplak, Kota Bogor</t>
  </si>
  <si>
    <t>Krui</t>
  </si>
  <si>
    <t>Kepala Cabang Prosus Inten Warung Jambu B</t>
  </si>
  <si>
    <t>anheizlan@gmail.com</t>
  </si>
  <si>
    <t>170tR1EvcmixiKJTeR80IQOA7XHsJHe68XtCrReUBWSs</t>
  </si>
  <si>
    <t>https://docs.google.com/document/d/170tR1EvcmixiKJTeR80IQOA7XHsJHe68XtCrReUBWSs/edit?usp=drivesdk</t>
  </si>
  <si>
    <t>Document successfully created; Document successfully merged; Run via form trigger as kemal.stafsus@gmail.com; Timestamp: Jul 5, 2026 11:06 PM</t>
  </si>
  <si>
    <t>https://drive.google.com/open?id=1J3o8aL_Fa7dPuHruiLw_kQ2GwgVa_O8r</t>
  </si>
  <si>
    <t>https://drive.google.com/uc?export=view&amp;id=1J3o8aL_Fa7dPuHruiLw_kQ2GwgVa_O8r</t>
  </si>
  <si>
    <t>Surur Mubarak, S.Pd.</t>
  </si>
  <si>
    <t>082110977723</t>
  </si>
  <si>
    <t>3275010208010031</t>
  </si>
  <si>
    <t>02-08-2001</t>
  </si>
  <si>
    <t xml:space="preserve">Guru Tahfidz </t>
  </si>
  <si>
    <t xml:space="preserve">S1 STAI DARUL QALAM TANGERANG </t>
  </si>
  <si>
    <t xml:space="preserve">Musyrfi dan kordinator SMP </t>
  </si>
  <si>
    <t>Kordinator SMA dan admin asrama</t>
  </si>
  <si>
    <t>Musyrif markazul huffadz program 30 juz</t>
  </si>
  <si>
    <t>sururmubarak93@gmail.com</t>
  </si>
  <si>
    <t>1BlAv0rUJWCzBjx9HwWOZ9FSefds3lYBWQafVSHTkO1o</t>
  </si>
  <si>
    <t>https://docs.google.com/document/d/1BlAv0rUJWCzBjx9HwWOZ9FSefds3lYBWQafVSHTkO1o/edit?usp=drivesdk</t>
  </si>
  <si>
    <t>Document successfully created; Document successfully merged; Run via form trigger as kemal.stafsus@gmail.com; Timestamp: Jul 6, 2026 2:34 AM</t>
  </si>
  <si>
    <t>https://drive.google.com/open?id=1Cr_DqGai-S1TvAb_aKTc3kNMzoubHwqQ</t>
  </si>
  <si>
    <t>https://drive.google.com/uc?export=view&amp;id=1Cr_DqGai-S1TvAb_aKTc3kNMzoubHwqQ</t>
  </si>
  <si>
    <t>Maulana Haidar Ma'shuum, S.Si</t>
  </si>
  <si>
    <t>081398175621</t>
  </si>
  <si>
    <t>3674050605960002</t>
  </si>
  <si>
    <t>Jalan Komplek Nerada, blok C 2/ 12 A, Cipayung, Ciputat, Tangerang Selatan</t>
  </si>
  <si>
    <t>06-05-1996</t>
  </si>
  <si>
    <t>Jurusan Matematika</t>
  </si>
  <si>
    <t>Karyawan Swasta</t>
  </si>
  <si>
    <t>h.mashuum@gmail.com</t>
  </si>
  <si>
    <t>1BT5SKMuFZtAgHqjQA41QoXp69agG0ULlG9_SfeZ1n3U</t>
  </si>
  <si>
    <t>https://docs.google.com/document/d/1BT5SKMuFZtAgHqjQA41QoXp69agG0ULlG9_SfeZ1n3U/edit?usp=drivesdk</t>
  </si>
  <si>
    <t>Document successfully created; Document successfully merged; Run via form trigger as kemal.stafsus@gmail.com; Timestamp: Jul 6, 2026 5:24 AM</t>
  </si>
  <si>
    <t>https://drive.google.com/open?id=11PRuQnFJvJhDQYBgrpNJVxixqMBMfedM</t>
  </si>
  <si>
    <t>https://drive.google.com/uc?export=view&amp;id=11PRuQnFJvJhDQYBgrpNJVxixqMBMfedM</t>
  </si>
  <si>
    <t xml:space="preserve">Silmi Kaffah Askia Az Zahro </t>
  </si>
  <si>
    <t>081326659596</t>
  </si>
  <si>
    <t>3329066812030001</t>
  </si>
  <si>
    <t>28 Desember 2003</t>
  </si>
  <si>
    <t>adzkiazoldyck@gmail.com</t>
  </si>
  <si>
    <t>15JgU7veBnlxQ2xlOkjITzIrDUr576MIUpQAhOQt2j4k</t>
  </si>
  <si>
    <t>https://docs.google.com/document/d/15JgU7veBnlxQ2xlOkjITzIrDUr576MIUpQAhOQt2j4k/edit?usp=drivesdk</t>
  </si>
  <si>
    <t>Document successfully created; Document successfully merged; Run via form trigger as kemal.stafsus@gmail.com; Timestamp: Jul 6, 2026 6:30 AM</t>
  </si>
  <si>
    <t>https://drive.google.com/open?id=1QsHYXAKs1keHgpiMClmNndyYzlSTllbP</t>
  </si>
  <si>
    <t>https://drive.google.com/uc?export=view&amp;id=1QsHYXAKs1keHgpiMClmNndyYzlSTllbP</t>
  </si>
  <si>
    <t xml:space="preserve">PKBM Islam Baitul Qur'an Semarang </t>
  </si>
  <si>
    <t>1aZezG-ykGOTnzP6_wtK3Zu8ArIXNMp5W4c32YA4yY3o</t>
  </si>
  <si>
    <t>https://docs.google.com/document/d/1aZezG-ykGOTnzP6_wtK3Zu8ArIXNMp5W4c32YA4yY3o/edit?usp=drivesdk</t>
  </si>
  <si>
    <t>Document successfully created; Document successfully merged; Run via form trigger as kemal.stafsus@gmail.com; Timestamp: Jul 6, 2026 6:35 AM</t>
  </si>
  <si>
    <t>https://drive.google.com/open?id=1Y9nLNkxKEIoCQE4FhSmF0AjMj6FUYB1t</t>
  </si>
  <si>
    <t>https://drive.google.com/uc?export=view&amp;id=1Y9nLNkxKEIoCQE4FhSmF0AjMj6FUYB1t</t>
  </si>
  <si>
    <t>Ahmad Fauzi</t>
  </si>
  <si>
    <t>085736653465</t>
  </si>
  <si>
    <t>3175082211010002</t>
  </si>
  <si>
    <t>Jl. Harapan 7 No. 27 RT 09/11,  Kel. Cipinang Melayu, Kec. Makasar, Jakarta Timur</t>
  </si>
  <si>
    <t>22-11-2001</t>
  </si>
  <si>
    <t>Asdos</t>
  </si>
  <si>
    <t>Law221101@gmail.com</t>
  </si>
  <si>
    <t>1QEdfkTkUw8GGwTAfjV7IutLiKW5t1CG0uvujHp_ZnhM</t>
  </si>
  <si>
    <t>https://docs.google.com/document/d/1QEdfkTkUw8GGwTAfjV7IutLiKW5t1CG0uvujHp_ZnhM/edit?usp=drivesdk</t>
  </si>
  <si>
    <t>Document successfully created; Document successfully merged; Run via form trigger as kemal.stafsus@gmail.com; Timestamp: Jul 6, 2026 10:01 PM</t>
  </si>
  <si>
    <t>https://drive.google.com/open?id=1q6O4Is66jth51_aiR_CpRrmmuvyuN9xB</t>
  </si>
  <si>
    <t>https://drive.google.com/uc?export=view&amp;id=1q6O4Is66jth51_aiR_CpRrmmuvyuN9xB</t>
  </si>
  <si>
    <t>Nurul Khairumi, S.Pd., M.A.</t>
  </si>
  <si>
    <t>082247825636</t>
  </si>
  <si>
    <t>Jl. Teratai No. 254 Sukajadi, Pekanbaru, Riau</t>
  </si>
  <si>
    <t>01-06-1999</t>
  </si>
  <si>
    <t>Magister Linguistik</t>
  </si>
  <si>
    <t>Guru Les Private Bahasa Inggris</t>
  </si>
  <si>
    <t>Instruktur Bahasa Inggris</t>
  </si>
  <si>
    <t>008425042906</t>
  </si>
  <si>
    <t>Blu BCA (BCA Digital)</t>
  </si>
  <si>
    <t>nurulkhairumi6@gmail.com</t>
  </si>
  <si>
    <t>1caH6m5Qx9XBtTlxBN4cUqbNBJeXvFocRflk-zNWi3uA</t>
  </si>
  <si>
    <t>https://docs.google.com/document/d/1caH6m5Qx9XBtTlxBN4cUqbNBJeXvFocRflk-zNWi3uA/edit?usp=drivesdk</t>
  </si>
  <si>
    <t>Document successfully created; Document successfully merged; Run via form trigger as kemal.stafsus@gmail.com; Timestamp: Jul 6, 2026 10:21 PM</t>
  </si>
  <si>
    <t>https://drive.google.com/open?id=1EwxmSyJUCG7KCFgRwcyqKlEMQFZkT4tk</t>
  </si>
  <si>
    <t>https://drive.google.com/uc?export=view&amp;id=1EwxmSyJUCG7KCFgRwcyqKlEMQFZkT4tk</t>
  </si>
  <si>
    <t>NUHIDAYAH M.PD</t>
  </si>
  <si>
    <t>081350533233</t>
  </si>
  <si>
    <t>JL LAYAR IIB NO 4</t>
  </si>
  <si>
    <t>KUTA</t>
  </si>
  <si>
    <t>UNIVERSITAS ISLAM NEGERI MAKASSAR</t>
  </si>
  <si>
    <t>UNIVERSITAS SANATA DHARMA YOGYAKARTA</t>
  </si>
  <si>
    <t>Magang sejak April di PGTK Alwildan 1</t>
  </si>
  <si>
    <t>BCA A/N MURTAUFIIN</t>
  </si>
  <si>
    <t>1-cPjfa-uA3WuHVUqKITqvNJ_iFFVo7KFcA4MiSJlnLE</t>
  </si>
  <si>
    <t>https://docs.google.com/document/d/1-cPjfa-uA3WuHVUqKITqvNJ_iFFVo7KFcA4MiSJlnLE/edit?usp=drivesdk</t>
  </si>
  <si>
    <t>Document successfully created; Document successfully merged; Run via form trigger as kemal.stafsus@gmail.com; Timestamp: Jul 6, 2026 10:37 PM</t>
  </si>
  <si>
    <t>https://drive.google.com/open?id=1wuGL1plIB55O-UbhF3k8QjfVEyHtWH_v</t>
  </si>
  <si>
    <t>https://drive.google.com/uc?export=view&amp;id=1wuGL1plIB55O-UbhF3k8QjfVEyHtWH_v</t>
  </si>
  <si>
    <t>Mujahid Abqori, S.Pd</t>
  </si>
  <si>
    <t>089686763831</t>
  </si>
  <si>
    <t>5202032004000001</t>
  </si>
  <si>
    <t>Lombok Tengah NTB</t>
  </si>
  <si>
    <t>12-04-2000</t>
  </si>
  <si>
    <t>3 tahun sebagai guru bahasa arab tingkat MA</t>
  </si>
  <si>
    <t>mujahidabqori1227@gmail.com</t>
  </si>
  <si>
    <t>1hOC_FJlBsAdMPZn_2d7L7KejCCaJurKDy2XWJWZ6tUM</t>
  </si>
  <si>
    <t>https://docs.google.com/document/d/1hOC_FJlBsAdMPZn_2d7L7KejCCaJurKDy2XWJWZ6tUM/edit?usp=drivesdk</t>
  </si>
  <si>
    <t>Document successfully created; Document successfully merged; Run via form trigger as kemal.stafsus@gmail.com; Timestamp: Jul 6, 2026 10:38 PM</t>
  </si>
  <si>
    <t>https://drive.google.com/open?id=1yIZ3VCvsb_L4psXdpxLSDLTNb1su5M5C</t>
  </si>
  <si>
    <t>https://drive.google.com/uc?export=view&amp;id=1yIZ3VCvsb_L4psXdpxLSDLTNb1su5M5C</t>
  </si>
  <si>
    <t>Shifa Nabila Rahma, S.Psi</t>
  </si>
  <si>
    <t>085779046016</t>
  </si>
  <si>
    <t>3175034511030011</t>
  </si>
  <si>
    <t>Jl. Bekasi Timur IV No.21 RT 006 / RW 08 Cipinang Besar Utara, Jatinegara, Jakarta Timur</t>
  </si>
  <si>
    <t>05 November 2003</t>
  </si>
  <si>
    <t>22 tahun 08 bulan</t>
  </si>
  <si>
    <t>B. Indonesia / Tematik</t>
  </si>
  <si>
    <t>PTS - Universitas Borobudur</t>
  </si>
  <si>
    <t>Perjalanan ana di Al-Wildan 10 sebenarnya sudah dimulai sejak tahun 2023 lalu sebagai staf Intern. Selama masa tersebut, ana diamanahkan untuk mengelola perpustakaan dan mengurus inventarisasi buku sekolah. Pengalaman berharga di perpustakaan ini tidak hanya mengasah kemampuan manajerial ana dalam mengelola fasilitas, tetapi juga memberi ana kesempatan emas untuk berinteraksi langsung, mengamati karakter, serta memahami minat baca ananda shalih/shalihah di sini.
Berbekal kedekatan emosional dengan lingkungan sekolah yang sudah terbangun selama hampir tiga tahun ini, ana merasa saat ini adalah momentum yang tepat untuk melangkah lebih jauh. Ana ingin mengaplikasikan latar belakang ilmu Psikologi yang ana miliki ke ranah literasi yang lebih nyata di dalam kelas sebagai Guru Tematik. Ana berharap bisa terus melanjutkan pengabdian di Al-Wildan 10 Jakarta ini, dan bekerja sama dalam mencetak generasi rabbani yang cerdas berbahasa serta berakhlak mulia.</t>
  </si>
  <si>
    <t>syifarahma511@gmail.com</t>
  </si>
  <si>
    <t>1cgOYPfMDhQQ44Jwxm9LcllKErg0q4w8wYPtCbQfXMkI</t>
  </si>
  <si>
    <t>https://docs.google.com/document/d/1cgOYPfMDhQQ44Jwxm9LcllKErg0q4w8wYPtCbQfXMkI/edit?usp=drivesdk</t>
  </si>
  <si>
    <t>Document successfully created; Document successfully merged; Run via form trigger as kemal.stafsus@gmail.com; Timestamp: Jul 7, 2026 12:10 AM</t>
  </si>
  <si>
    <t>https://drive.google.com/open?id=1-8jAicLT81ipJtpuhYRxb6_rHeJloV2Q</t>
  </si>
  <si>
    <t>https://drive.google.com/uc?export=view&amp;id=1-8jAicLT81ipJtpuhYRxb6_rHeJloV2Q</t>
  </si>
  <si>
    <t>Muhammad Abdul Majid Aziz B.Sh</t>
  </si>
  <si>
    <t>3216052412970001</t>
  </si>
  <si>
    <t>24-12-1197</t>
  </si>
  <si>
    <t>28-7bulam</t>
  </si>
  <si>
    <t>Arabic Diniyyah Adab</t>
  </si>
  <si>
    <t>Pesantren Al-Ihsan Bekasi</t>
  </si>
  <si>
    <t>Muhajir Project Tilawah</t>
  </si>
  <si>
    <t>Marqis</t>
  </si>
  <si>
    <t>m.abdulmajidaziz@gmail.com</t>
  </si>
  <si>
    <t>1o_U0YLSsf3cGIqfhX-NWPqfZgG6VgVnOIx5UjX8tcFs</t>
  </si>
  <si>
    <t>https://docs.google.com/document/d/1o_U0YLSsf3cGIqfhX-NWPqfZgG6VgVnOIx5UjX8tcFs/edit?usp=drivesdk</t>
  </si>
  <si>
    <t>Document successfully created; Document successfully merged; Run via form trigger as kemal.stafsus@gmail.com; Timestamp: Jul 7, 2026 3:04 AM</t>
  </si>
  <si>
    <t>https://drive.google.com/open?id=1zLd9Wo26_C3SOPiYHGamdxaHpngTUk97</t>
  </si>
  <si>
    <t>https://drive.google.com/uc?export=view&amp;id=1zLd9Wo26_C3SOPiYHGamdxaHpngTUk97</t>
  </si>
  <si>
    <t>Ahmad Fauzi, S.H</t>
  </si>
  <si>
    <t>Jl. Harapan 7 No. 27, RT. 09/11, Cipinang Melayu, Kec. Makasar, Jakarta Timur</t>
  </si>
  <si>
    <t>Diniyah, Bahasa Arab, Al- Quran</t>
  </si>
  <si>
    <t>1bBaZRNI5InWn2Ju8wymAqfoivZ5ir55zZau6r5jTj3A</t>
  </si>
  <si>
    <t>https://docs.google.com/document/d/1bBaZRNI5InWn2Ju8wymAqfoivZ5ir55zZau6r5jTj3A/edit?usp=drivesdk</t>
  </si>
  <si>
    <t>Document successfully created; Document successfully merged; Run via form trigger as kemal.stafsus@gmail.com; Timestamp: Jul 7, 2026 3:12 AM</t>
  </si>
  <si>
    <t>https://drive.google.com/open?id=1JpVH9MUx7SZ18ptp_K9vg7mOJypJr3KU</t>
  </si>
  <si>
    <t>https://drive.google.com/uc?export=view&amp;id=1JpVH9MUx7SZ18ptp_K9vg7mOJypJr3KU</t>
  </si>
  <si>
    <t>Aisyah Az Sajidah, S.H.</t>
  </si>
  <si>
    <t>082339431107</t>
  </si>
  <si>
    <t>5204125002040001</t>
  </si>
  <si>
    <t xml:space="preserve">Al Wildan Islamic School 20 Mataram. Jl. Lingkar Selatan No.RT.01 369, Jempong Baru, Kec. Sekarbela, Kota Mataram, Nusa Tenggara Bar. 83361 </t>
  </si>
  <si>
    <t xml:space="preserve">Malang </t>
  </si>
  <si>
    <t>10 Februari 2004</t>
  </si>
  <si>
    <t>Program Studi Hukum Keluarga Islam</t>
  </si>
  <si>
    <t>Musyrifah dan ADA</t>
  </si>
  <si>
    <t>sajidahaisyah02@gmail.com</t>
  </si>
  <si>
    <t>1PILENpfD4Ofa1pPfRbCgciATQHwydLBc6k2qkUoqpCA</t>
  </si>
  <si>
    <t>https://docs.google.com/document/d/1PILENpfD4Ofa1pPfRbCgciATQHwydLBc6k2qkUoqpCA/edit?usp=drivesdk</t>
  </si>
  <si>
    <t>Document successfully created; Document successfully merged; Run via form trigger as kemal.stafsus@gmail.com; Timestamp: Jul 7, 2026 6:35 AM</t>
  </si>
  <si>
    <t>https://drive.google.com/open?id=1NAN6C-PdXb6jKJSehRJM2wiQRrkvqPDc</t>
  </si>
  <si>
    <t>https://drive.google.com/uc?export=view&amp;id=1NAN6C-PdXb6jKJSehRJM2wiQRrkvqPDc</t>
  </si>
  <si>
    <t>fikri amiq setiawan, B.A</t>
  </si>
  <si>
    <t>087853234534</t>
  </si>
  <si>
    <t>5203061211000009</t>
  </si>
  <si>
    <t>jalan jatimulya no 30 jatipadang pasar minggu</t>
  </si>
  <si>
    <t xml:space="preserve">blitar </t>
  </si>
  <si>
    <t>12 november 2000</t>
  </si>
  <si>
    <t xml:space="preserve">arabic </t>
  </si>
  <si>
    <t>imam muhammad ibn saud islamic university ( lipia jakarta )</t>
  </si>
  <si>
    <t>lughoh arabiyyah ( bahasa arab )</t>
  </si>
  <si>
    <t>4,65/5,00</t>
  </si>
  <si>
    <t xml:space="preserve">institut tafaqquh ( 2020 - 2026 ) depok jawa barat </t>
  </si>
  <si>
    <t>Tidak tetap, rata rata 6.800.000 - 7.000.000</t>
  </si>
  <si>
    <t>rumah quran ibnu taimiyah ( 2023 - 2024 )</t>
  </si>
  <si>
    <t>akademi tashfiyah ( 2020 - 2022 )</t>
  </si>
  <si>
    <t>setiawanfikri006@gmail.com</t>
  </si>
  <si>
    <t>1uuQN42-jOEOeN14_h9mq5feqIEp_D0NOcbC-rfCXd3g</t>
  </si>
  <si>
    <t>https://docs.google.com/document/d/1uuQN42-jOEOeN14_h9mq5feqIEp_D0NOcbC-rfCXd3g/edit?usp=drivesdk</t>
  </si>
  <si>
    <t>Document successfully created; Document successfully merged; Run via form trigger as kemal.stafsus@gmail.com; Timestamp: Jul 7, 2026 8:21 AM</t>
  </si>
  <si>
    <t>https://drive.google.com/open?id=1P_sMCZnas-GKWEM1sjx4b6ZLQRkKFpyW</t>
  </si>
  <si>
    <t>https://drive.google.com/uc?export=view&amp;id=1P_sMCZnas-GKWEM1sjx4b6ZLQRkKFpyW</t>
  </si>
  <si>
    <t>Albert Rizqullah Palasara Suherman</t>
  </si>
  <si>
    <t>081232176888</t>
  </si>
  <si>
    <t>3212163004010004</t>
  </si>
  <si>
    <t>Jl Turus Asri no.20, Bulusan, Kec. Tembalang, Semarang</t>
  </si>
  <si>
    <t>Head Barista (Bersamamu group)</t>
  </si>
  <si>
    <t>Barista (Lingkar Coffee)</t>
  </si>
  <si>
    <t>Legal dan Administrasi (PT Adhisatya)</t>
  </si>
  <si>
    <t>3.700.000 (akad sesuai UMK setelah 3 bulan) - 2.500.000 (gaji training, tidak diperbaharui hingga resign)</t>
  </si>
  <si>
    <t>albert.rpsuherman@gmail.com</t>
  </si>
  <si>
    <t>1ZHpccY_h1RlJU9DG3PEG3DM3mFiqBPRPs6GVM1REl5g</t>
  </si>
  <si>
    <t>https://docs.google.com/document/d/1ZHpccY_h1RlJU9DG3PEG3DM3mFiqBPRPs6GVM1REl5g/edit?usp=drivesdk</t>
  </si>
  <si>
    <t>Document successfully created; Document successfully merged; Run via form trigger as kemal.stafsus@gmail.com; Timestamp: Jul 8, 2026 8:41 AM</t>
  </si>
  <si>
    <t>https://drive.google.com/open?id=1xb7_cvlfo-hBRRLTiEqMU5WgxAkiASSV</t>
  </si>
  <si>
    <t>https://drive.google.com/uc?export=view&amp;id=1xb7_cvlfo-hBRRLTiEqMU5WgxAkiASSV</t>
  </si>
  <si>
    <t>Dr. Zefki Okta Feri, S.Pd.I., M.Pd.</t>
  </si>
  <si>
    <t>085231083716</t>
  </si>
  <si>
    <t>1304122310920001</t>
  </si>
  <si>
    <t>Jorong Kubu Gadang, Nagari Taeh Baruah, Kecamatan Payakumbuh, Kabupaten 50 Kota, Sumbar</t>
  </si>
  <si>
    <t>23-10-1992</t>
  </si>
  <si>
    <t>33 tahun 8 Bulan</t>
  </si>
  <si>
    <t>UIN mahmud Yunus Batusangkar Sumatera Barat</t>
  </si>
  <si>
    <t>S1 Tadris Bahasa Inggris</t>
  </si>
  <si>
    <t>S2 Linguistik Terapan</t>
  </si>
  <si>
    <t>S3 Ilmu Pendidikan Bahasa</t>
  </si>
  <si>
    <t>LTI Pekanbaru</t>
  </si>
  <si>
    <t>zefkiokta@gmail.com</t>
  </si>
  <si>
    <t>1udkqbHI1hTYk7F-HuHjseoPMXYrnksp0Ik-d64YcAWw</t>
  </si>
  <si>
    <t>https://docs.google.com/document/d/1udkqbHI1hTYk7F-HuHjseoPMXYrnksp0Ik-d64YcAWw/edit?usp=drivesdk</t>
  </si>
  <si>
    <t>Document successfully created; Document successfully merged; Run via form trigger as kemal.stafsus@gmail.com; Timestamp: Jul 9, 2026 1:55 AM</t>
  </si>
  <si>
    <t>https://drive.google.com/open?id=1QdAou8sC79bYmhb5eDbqqPtNmg8tdao_</t>
  </si>
  <si>
    <t>https://drive.google.com/uc?export=view&amp;id=1QdAou8sC79bYmhb5eDbqqPtNmg8tdao_</t>
  </si>
  <si>
    <t>Ikbal Mirandani, S.Hum., S.Pd., Gr</t>
  </si>
  <si>
    <t>089616955190</t>
  </si>
  <si>
    <t>Bantargebang-Kota Bekasi</t>
  </si>
  <si>
    <t>21-03-1996</t>
  </si>
  <si>
    <t>3 tahun 3 bulan</t>
  </si>
  <si>
    <t>English, Mathematics, Science</t>
  </si>
  <si>
    <t xml:space="preserve">UIN Sunan Gunung Djati Bandung &amp; Universitas Terbuka </t>
  </si>
  <si>
    <t>English Literature &amp; PGSD</t>
  </si>
  <si>
    <t>3.34 &amp; 3.52</t>
  </si>
  <si>
    <t>PKBM Adam Hawa Bandung</t>
  </si>
  <si>
    <t xml:space="preserve">Cibubur Indonesia school </t>
  </si>
  <si>
    <t>ikbalmirandani70@gmail.com</t>
  </si>
  <si>
    <t>1UR8qG1TyHQrJlKYlx96jdP3iLwhJjJEFJr3ByHang8o</t>
  </si>
  <si>
    <t>https://docs.google.com/document/d/1UR8qG1TyHQrJlKYlx96jdP3iLwhJjJEFJr3ByHang8o/edit?usp=drivesdk</t>
  </si>
  <si>
    <t>Document successfully created; Document successfully merged; Run via form trigger as kemal.stafsus@gmail.com; Timestamp: Jul 10, 2026 3:33 AM</t>
  </si>
  <si>
    <t>https://drive.google.com/open?id=1mwVrokQJoabVnIb4U6_OhNc_1ipH_zIx</t>
  </si>
  <si>
    <t>https://drive.google.com/uc?export=view&amp;id=1mwVrokQJoabVnIb4U6_OhNc_1ipH_zIx</t>
  </si>
  <si>
    <t xml:space="preserve">Januari Rizka Aditya R., S. Pd., M. Sc. </t>
  </si>
  <si>
    <t>085338558031</t>
  </si>
  <si>
    <t>5202080801920004</t>
  </si>
  <si>
    <t>Perum Rinjani Asri IC No. 7 Jatisela</t>
  </si>
  <si>
    <t>08-01-1992</t>
  </si>
  <si>
    <t>34 tahun 7 bulan</t>
  </si>
  <si>
    <t xml:space="preserve">Universitas Mataram (UNRAM) </t>
  </si>
  <si>
    <t xml:space="preserve">Universitas Gadjah Mada (UGM) </t>
  </si>
  <si>
    <t>Dosen/Tutor</t>
  </si>
  <si>
    <t>januaririzkaar@gmail.com</t>
  </si>
  <si>
    <t>1YiyPvt1lgS66rkhYNXH4QYAj95OlYHvunz6dAdqMvcI</t>
  </si>
  <si>
    <t>https://docs.google.com/document/d/1YiyPvt1lgS66rkhYNXH4QYAj95OlYHvunz6dAdqMvcI/edit?usp=drivesdk</t>
  </si>
  <si>
    <t>Document successfully created; Document successfully merged; Run via form trigger as kemal.stafsus@gmail.com; Timestamp: Jul 11, 2026 3:21 AM</t>
  </si>
  <si>
    <t>https://drive.google.com/open?id=1A7mT_A8-N2aFx1WwcY20Lj6XuwjsAKwF</t>
  </si>
  <si>
    <t>https://drive.google.com/uc?export=view&amp;id=1A7mT_A8-N2aFx1WwcY20Lj6XuwjsAKwF</t>
  </si>
  <si>
    <t xml:space="preserve">ZULFA ALIYA </t>
  </si>
  <si>
    <t>082261807715</t>
  </si>
  <si>
    <t>1173016810040002</t>
  </si>
  <si>
    <t>Jln.Sultan Agung no.5 RT.02 /RW.03 Papar Utara . Papar . Kab.Kediri . Jatim .</t>
  </si>
  <si>
    <t xml:space="preserve">Kediri </t>
  </si>
  <si>
    <t>28-10-2004</t>
  </si>
  <si>
    <t xml:space="preserve">21 tahun 6 bulan </t>
  </si>
  <si>
    <t xml:space="preserve">Hadist, Qur'an </t>
  </si>
  <si>
    <t>ITBA 9</t>
  </si>
  <si>
    <t xml:space="preserve">Sedang menempuh </t>
  </si>
  <si>
    <t xml:space="preserve">Guru Diniyah, pengampu halaqah Qur'an, musyrifah asrama, musyrifah umum, musyrifah pj kebersihan </t>
  </si>
  <si>
    <t>julpaaliya28@gmail.com</t>
  </si>
  <si>
    <t>1vDX-mWcoWanRkzXsCOdw57YfJaY9kGt-KFzxiLt-D3E</t>
  </si>
  <si>
    <t>https://docs.google.com/document/d/1vDX-mWcoWanRkzXsCOdw57YfJaY9kGt-KFzxiLt-D3E/edit?usp=drivesdk</t>
  </si>
  <si>
    <t>Document successfully created; Document successfully merged; Run via form trigger as kemal.stafsus@gmail.com; Timestamp: Jul 12, 2026 7:57 AM</t>
  </si>
  <si>
    <t>https://drive.google.com/open?id=1Ua4eAlP-1r4K4S6clnmkYW4n1RW68C9t</t>
  </si>
  <si>
    <t>https://drive.google.com/uc?export=view&amp;id=1Ua4eAlP-1r4K4S6clnmkYW4n1RW68C9t</t>
  </si>
  <si>
    <t xml:space="preserve">Nala Izzul Muna, S.Pd. </t>
  </si>
  <si>
    <t>081227549806</t>
  </si>
  <si>
    <t>3319054502040002</t>
  </si>
  <si>
    <t xml:space="preserve">Perumahan Graha Sapta Waroka, Kelurahan Mangunsari, Kecamatan Gunungpati, Kota Semarang </t>
  </si>
  <si>
    <t xml:space="preserve">Kabupaten Kudus </t>
  </si>
  <si>
    <t xml:space="preserve">5 Februari 2004 </t>
  </si>
  <si>
    <t xml:space="preserve">22 Tahun 5 Bulan </t>
  </si>
  <si>
    <t xml:space="preserve">Chemistry </t>
  </si>
  <si>
    <t xml:space="preserve">Universitas Negeri Semarang </t>
  </si>
  <si>
    <t xml:space="preserve">Pendidikan Kimia </t>
  </si>
  <si>
    <t xml:space="preserve">Teacher di Smart Bimbel Semarang </t>
  </si>
  <si>
    <t xml:space="preserve">Guru Kimia Brain Academy by Ruang Guru </t>
  </si>
  <si>
    <t>sunala5204@students.unnes.ac.id</t>
  </si>
  <si>
    <t>1lOgLD7kUXglMUlqorCbaO5kIUVV8usvDeOPfJrNPY-s</t>
  </si>
  <si>
    <t>https://docs.google.com/document/d/1lOgLD7kUXglMUlqorCbaO5kIUVV8usvDeOPfJrNPY-s/edit?usp=drivesdk</t>
  </si>
  <si>
    <t>Document successfully created; Document successfully merged; Run via form trigger as kemal.stafsus@gmail.com; Timestamp: Jul 12, 2026 8:08 AM</t>
  </si>
  <si>
    <t>https://drive.google.com/open?id=19wxFHt1YrPdV1rQMKweeNFAYVase5j-S</t>
  </si>
  <si>
    <t>https://drive.google.com/uc?export=view&amp;id=19wxFHt1YrPdV1rQMKweeNFAYVase5j-S</t>
  </si>
  <si>
    <t>Muhammad Siswantoro, S.Si., M.Sc.</t>
  </si>
  <si>
    <t>085735411656</t>
  </si>
  <si>
    <t>1805110512940001</t>
  </si>
  <si>
    <t>DUSUN SIMPING DESA KALEN RT 001 RW 005
KALEN, DLANGGU</t>
  </si>
  <si>
    <t>CEMPAKA, OKU</t>
  </si>
  <si>
    <t>05-12-1994</t>
  </si>
  <si>
    <t>Biologi, Kimia, Fisika, English</t>
  </si>
  <si>
    <t>Biologi (Mikrobiologi)</t>
  </si>
  <si>
    <t>Wageningen University &amp; Research</t>
  </si>
  <si>
    <t>Biobased Science (Biorefinery and Conversion)</t>
  </si>
  <si>
    <t>Guru Biology IGCSE - 14 bulan (2019-2020)</t>
  </si>
  <si>
    <t>Rp. 5.000.000,00</t>
  </si>
  <si>
    <t>Tutor IELTS - 18 bulan  (2021-2022, 2025-2026)</t>
  </si>
  <si>
    <t>Rp. 4.500.000,00 + Rp 3.000.000,00</t>
  </si>
  <si>
    <t>Rp. 10.000.000,00-Rp. 13.000.000,00-</t>
  </si>
  <si>
    <t>muhammad.siswantoro@gmail.com</t>
  </si>
  <si>
    <t>1FWKzZ4mogIy3QR-_avCpTmCHSeoxBu0NZGjHWzC-sAU</t>
  </si>
  <si>
    <t>https://docs.google.com/document/d/1FWKzZ4mogIy3QR-_avCpTmCHSeoxBu0NZGjHWzC-sAU/edit?usp=drivesdk</t>
  </si>
  <si>
    <t>Document successfully created; Document successfully merged; Run via form trigger as kemal.stafsus@gmail.com; Timestamp: Jul 12, 2026 8:25 AM</t>
  </si>
  <si>
    <t>https://drive.google.com/open?id=1QI895cj_dqpxfwaqTjbHRutTQsn1XGfP</t>
  </si>
  <si>
    <t>https://drive.google.com/uc?export=view&amp;id=1QI895cj_dqpxfwaqTjbHRutTQsn1XGfP</t>
  </si>
  <si>
    <t>Moh. Nasrulloh, B.A</t>
  </si>
  <si>
    <t>085878302675</t>
  </si>
  <si>
    <t>3525062405990001</t>
  </si>
  <si>
    <t>Jl. KH. Mu'min No.4, RT.005/RW.009, Belendung, Kec. Benda, Kota Tangerang, Banten 15123</t>
  </si>
  <si>
    <t xml:space="preserve">Gresik </t>
  </si>
  <si>
    <t>ADA (AL-QUR'AN, DINIYAH, ARABIC)</t>
  </si>
  <si>
    <t>Lipia Jakarta (Universitas Imam Ibnu Su'ud)</t>
  </si>
  <si>
    <t>4.1</t>
  </si>
  <si>
    <t>Musyrif dan Guru Qur'an &amp; Diniyah</t>
  </si>
  <si>
    <t>15.00.000</t>
  </si>
  <si>
    <t xml:space="preserve">Guru Qur'an dan Diniyyah </t>
  </si>
  <si>
    <t>MOH NASRULOH</t>
  </si>
  <si>
    <t>abusaaih1999@gmail.com</t>
  </si>
  <si>
    <t>1A_PfVtOcYtcV-10n10BYvQerWnrMv5fd5MugnEQZR2k</t>
  </si>
  <si>
    <t>https://docs.google.com/document/d/1A_PfVtOcYtcV-10n10BYvQerWnrMv5fd5MugnEQZR2k/edit?usp=drivesdk</t>
  </si>
  <si>
    <t>Document successfully created; Document successfully merged; Run via form trigger as kemal.stafsus@gmail.com; Timestamp: Jul 13, 2026 12:38 AM</t>
  </si>
  <si>
    <t>https://drive.google.com/open?id=14HAvQipzvMtYOCrxNg0BuPiBiYop4iYr</t>
  </si>
  <si>
    <t>https://drive.google.com/uc?export=view&amp;id=14HAvQipzvMtYOCrxNg0BuPiBiYop4iYr</t>
  </si>
  <si>
    <t>Farhan Setiawan, S.Pd.</t>
  </si>
  <si>
    <t>081548073430</t>
  </si>
  <si>
    <t>3171051108990002</t>
  </si>
  <si>
    <t>Jl. Kecapi V Gg. Bersama No.62 RT.006/RW.005, Kel. Jagakarsa, Kec. Jagakarsa, Jakarta Selatan</t>
  </si>
  <si>
    <t>11-08-1999</t>
  </si>
  <si>
    <t>Guru Bimbingan dan Konseling, Wakil Kepala Sekolah Bidang Kesiswaan</t>
  </si>
  <si>
    <t>5.000.000 - 5.550.000</t>
  </si>
  <si>
    <t>farhansetiawan83@gmail.com</t>
  </si>
  <si>
    <t>1vhllfw-_Rpp_umo4ak16lGWTH31lH41qr10n7oQ7iWU</t>
  </si>
  <si>
    <t>https://docs.google.com/document/d/1vhllfw-_Rpp_umo4ak16lGWTH31lH41qr10n7oQ7iWU/edit?usp=drivesdk</t>
  </si>
  <si>
    <t>Document successfully created; Document successfully merged; Run via form trigger as kemal.stafsus@gmail.com; Timestamp: Jul 13, 2026 7:34 AM</t>
  </si>
  <si>
    <t>https://drive.google.com/open?id=15Aq23ePEbUjSR3JKPhdMgEKWQkwJlBrr</t>
  </si>
  <si>
    <t>https://drive.google.com/uc?export=view&amp;id=15Aq23ePEbUjSR3JKPhdMgEKWQkwJlBrr</t>
  </si>
  <si>
    <t>Mutassim Abdullah Mohamed Adam</t>
  </si>
  <si>
    <t>0881024252256</t>
  </si>
  <si>
    <t>186-17C00729</t>
  </si>
  <si>
    <t>Jl. Desa Medang No.53, Medang, Kec. Pagedangan, Kabupaten Tangerang, Banten 15334. Tangerang</t>
  </si>
  <si>
    <t>Sudan, Kutum City</t>
  </si>
  <si>
    <t>15-1-1997</t>
  </si>
  <si>
    <t>Omdurman Islamic University.</t>
  </si>
  <si>
    <t xml:space="preserve">BCA </t>
  </si>
  <si>
    <t>mutassimabdullah00@gmail.com</t>
  </si>
  <si>
    <t>1Eu-pRg36StJX7c9T0or2xojf07X83u6YrvdaOh2SV28</t>
  </si>
  <si>
    <t>https://docs.google.com/document/d/1Eu-pRg36StJX7c9T0or2xojf07X83u6YrvdaOh2SV28/edit?usp=drivesdk</t>
  </si>
  <si>
    <t>Document successfully created; Document successfully merged; Run via form trigger as kemal.stafsus@gmail.com; Timestamp: Jul 15, 2026 6:18 AM</t>
  </si>
  <si>
    <t>https://drive.google.com/open?id=1pT2Y0j4CsT-lje2EiDztKExeNticotdx</t>
  </si>
  <si>
    <t>https://drive.google.com/uc?export=view&amp;id=1pT2Y0j4CsT-lje2EiDztKExeNticotdx</t>
  </si>
  <si>
    <t xml:space="preserve">Fahrurozi </t>
  </si>
  <si>
    <t>085882972010</t>
  </si>
  <si>
    <t>3327011004910005</t>
  </si>
  <si>
    <t xml:space="preserve">Taman Asri Cipadu Jaya Ciledug </t>
  </si>
  <si>
    <t>10-04-1991</t>
  </si>
  <si>
    <t xml:space="preserve">35 tahun 3 bulan </t>
  </si>
  <si>
    <t xml:space="preserve">3 tahun Mentari Intercultural Bintaro Guru Subject Agama islam, Grammar, Assistant Guru Music, Photo Grapher </t>
  </si>
  <si>
    <t xml:space="preserve">9th SD Khalifa Ims  Homeroom, English, Grammar, Science, Agama Islam, BTQ </t>
  </si>
  <si>
    <t xml:space="preserve">CIMB NIAGA </t>
  </si>
  <si>
    <t>fahrurozihoky@gmail.com</t>
  </si>
  <si>
    <t>1LoKN4ZXakvca8eophl_7MHvUb8ildT5yJsi_X0iMWTU</t>
  </si>
  <si>
    <t>https://docs.google.com/document/d/1LoKN4ZXakvca8eophl_7MHvUb8ildT5yJsi_X0iMWTU/edit?usp=drivesdk</t>
  </si>
  <si>
    <t>Document successfully created; Document successfully merged; Run via form trigger as kemal.stafsus@gmail.com; Timestamp: Jul 15, 2026 10:13 PM</t>
  </si>
  <si>
    <t>https://drive.google.com/open?id=1t4rvrAXi-CYMJZktx1EYj_lbIOQDBC1H</t>
  </si>
  <si>
    <t>https://drive.google.com/uc?export=view&amp;id=1t4rvrAXi-CYMJZktx1EYj_lbIOQDBC1H</t>
  </si>
  <si>
    <t>Rifki Nurfaizi, S.Pd.</t>
  </si>
  <si>
    <t>081586752248</t>
  </si>
  <si>
    <t>3175020705990002</t>
  </si>
  <si>
    <t>Asrama brimob cipinang atas blok G no.27</t>
  </si>
  <si>
    <t>07-05-1999</t>
  </si>
  <si>
    <t>Arabic Diniyah Al Quran</t>
  </si>
  <si>
    <t>Guru Al Quran di Rumah Quran Al kautsar</t>
  </si>
  <si>
    <t>Guru B.Arab dan musyrif di Pondok Quran Umar bin Khattab</t>
  </si>
  <si>
    <t xml:space="preserve">Kesantrian dan Guru Diniyah di Sekolah Alam Bukit Al Aqsho </t>
  </si>
  <si>
    <t>rifki.nurf41z1@gmail.com</t>
  </si>
  <si>
    <t>1HauTcb5HtSA53CQVTJ8qlasVvp7ICLMf4jHlEmmh1IY</t>
  </si>
  <si>
    <t>https://docs.google.com/document/d/1HauTcb5HtSA53CQVTJ8qlasVvp7ICLMf4jHlEmmh1IY/edit?usp=drivesdk</t>
  </si>
  <si>
    <t>Document successfully created; Document successfully merged; Run via form trigger as kemal.stafsus@gmail.com; Timestamp: Jul 17, 2026 9:55 PM</t>
  </si>
  <si>
    <t>https://drive.google.com/open?id=1JkCHFIqd-5mgpvzpbPya2GnS3aiEI476</t>
  </si>
  <si>
    <t>https://drive.google.com/uc?export=view&amp;id=1JkCHFIqd-5mgpvzpbPya2GnS3aiEI476</t>
  </si>
  <si>
    <t>Rifqi Nur Hadi, S.Pd</t>
  </si>
  <si>
    <t>0895806624083</t>
  </si>
  <si>
    <t>3174100403020003</t>
  </si>
  <si>
    <t xml:space="preserve">Jl Mawar II rt 007/rw 13 no. 38, Kelurahan Bintaro, Kecamatan Pesanggrahan, Kota Jakarta Selatan  </t>
  </si>
  <si>
    <t>04-03-2002</t>
  </si>
  <si>
    <t xml:space="preserve">Guru Bahasa Inggris - Al-Wildan 4 Lebak Bulus </t>
  </si>
  <si>
    <t>Science and Sport Teacher - Arabic Global School Jakarta</t>
  </si>
  <si>
    <t>teacherifqi16@gmail.com</t>
  </si>
  <si>
    <t>1liU8gv7AQG7FaJYoZ940GENvZ5v6eVq-XEXNwxNfaoM</t>
  </si>
  <si>
    <t>https://docs.google.com/document/d/1liU8gv7AQG7FaJYoZ940GENvZ5v6eVq-XEXNwxNfaoM/edit?usp=drivesdk</t>
  </si>
  <si>
    <t>Document successfully created; Document successfully merged; Run via form trigger as kemal.stafsus@gmail.com; Timestamp: Jul 18, 2026 2:30 AM</t>
  </si>
  <si>
    <t>https://drive.google.com/open?id=1EhVVQGWAoDETHwcQPkUXN7xjC7RBRe_J</t>
  </si>
  <si>
    <t>https://drive.google.com/uc?export=view&amp;id=1EhVVQGWAoDETHwcQPkUXN7xjC7RBRe_J</t>
  </si>
  <si>
    <t>Ane Anggraeni, S.S., Gr.</t>
  </si>
  <si>
    <t>0895617460160</t>
  </si>
  <si>
    <t>3273084208960002</t>
  </si>
  <si>
    <t>Jl. Panorama II No. 45/167 D RT.002 RW.006 Kelurahan Hegarmanah Kecamatan Cidadap Kota Bandung 40141</t>
  </si>
  <si>
    <t>02 Agustus 1996</t>
  </si>
  <si>
    <t>Strata 1 - Universitas Pasundan Bandung (PTS)</t>
  </si>
  <si>
    <t>Guru Kelas 2020-2026 di SD Bandung Islamic School 
Koordinator Kesiswaan 2021-2024 di SD Bandung Islamic School</t>
  </si>
  <si>
    <t>Tutor Bahasa Inggris di Tutorian</t>
  </si>
  <si>
    <t>6.000.000-8.000.000</t>
  </si>
  <si>
    <t>aneanggraeni13@gmail.com</t>
  </si>
  <si>
    <t>1SGuy3Jfpghe79pJaS-0Eu6f_MG41nChlGfEpSE30FDs</t>
  </si>
  <si>
    <t>https://docs.google.com/document/d/1SGuy3Jfpghe79pJaS-0Eu6f_MG41nChlGfEpSE30FDs/edit?usp=drivesdk</t>
  </si>
  <si>
    <t>Document successfully created; Document successfully merged; Run via form trigger as kemal.stafsus@gmail.com; Timestamp: Jul 19, 2026 4:09 AM</t>
  </si>
  <si>
    <t>https://drive.google.com/open?id=1-cKMbElbW-FYUvSxnm1lQO1cEXoHdqMk</t>
  </si>
  <si>
    <t>https://drive.google.com/uc?export=view&amp;id=1-cKMbElbW-FYUvSxnm1lQO1cEXoHdqMk</t>
  </si>
  <si>
    <t>Sekar Anisa Sely, S.Mat., Gr.</t>
  </si>
  <si>
    <t>081278288760</t>
  </si>
  <si>
    <t>1801066301010005</t>
  </si>
  <si>
    <t>Jl. Trans Sumatera Sebayak RT. 001 RW. 004, Desa Kedaton, Kecamatan Kalianda, Kabupaten Lampung Selatan, Provinsi Lampung</t>
  </si>
  <si>
    <t>Institut Teknologi Sumatera (ITERA)</t>
  </si>
  <si>
    <t>Mitra BPS Regsosek 2023</t>
  </si>
  <si>
    <t>Freelancer Tutor Bimbel PrimaGenius Kalianda</t>
  </si>
  <si>
    <t>Guru Matematika SMP-SMK Muhammadiyah 1 Kalianda</t>
  </si>
  <si>
    <t>sekaranisasely@gmail.com</t>
  </si>
  <si>
    <t>1V4PyIVWkWy5vVzvpmPvK9N8_vy0pXCwfECVqXfa3IDM</t>
  </si>
  <si>
    <t>https://docs.google.com/document/d/1V4PyIVWkWy5vVzvpmPvK9N8_vy0pXCwfECVqXfa3IDM/edit?usp=drivesdk</t>
  </si>
  <si>
    <t>Document successfully created; Document successfully merged; Run via form trigger as kemal.stafsus@gmail.com; Timestamp: Jul 19, 2026 6:23 AM</t>
  </si>
  <si>
    <t>https://drive.google.com/open?id=18QnQc_ESQajujlF0WGh7UhOW8XcKbXZq</t>
  </si>
  <si>
    <t>https://drive.google.com/uc?export=view&amp;id=18QnQc_ESQajujlF0WGh7UhOW8XcKbXZq</t>
  </si>
  <si>
    <t>Riya Abriani. C.QSA</t>
  </si>
  <si>
    <t>082174335402</t>
  </si>
  <si>
    <t>1301044510980001</t>
  </si>
  <si>
    <t xml:space="preserve">Green Citayam City Blok B1 No. 4, Bojonggede, Bogor, Jawa Barat </t>
  </si>
  <si>
    <t>05-10-1998</t>
  </si>
  <si>
    <t>27 tahun 10 Bulan</t>
  </si>
  <si>
    <t>Qur'an (Akhwat)</t>
  </si>
  <si>
    <t xml:space="preserve">STAI Abu Bakar Tangerang Selatan </t>
  </si>
  <si>
    <t>Koordinator Tahfizh Al-Qur'an, Guru Tahfizh Al-Qur'an dan Wali Kelas (SMP &amp; SMA Islam Abu Dzar Tangerang Selatan)</t>
  </si>
  <si>
    <t>Guru Tahfizh Al-Qur'an, Tahsin dan Wali Kelas (MTs Tahfizh Fatimah Purwakarta)</t>
  </si>
  <si>
    <t xml:space="preserve">BANK SYARIAH INDONESIA </t>
  </si>
  <si>
    <t>45.8</t>
  </si>
  <si>
    <t>riya.abriani10@gmail.com</t>
  </si>
  <si>
    <t>1eSMZJ5okt_n3hZKqCzshm6Ptt_oBDe_go20jBaiG1Zw</t>
  </si>
  <si>
    <t>https://docs.google.com/document/d/1eSMZJ5okt_n3hZKqCzshm6Ptt_oBDe_go20jBaiG1Zw/edit?usp=drivesdk</t>
  </si>
  <si>
    <t>Document successfully created; Document successfully merged; Run via form trigger as kemal.stafsus@gmail.com; Timestamp: Jul 19, 2026 10:28 AM</t>
  </si>
  <si>
    <t>https://drive.google.com/open?id=195DLfHGsDSpKFSekN9xwlagZKKhHmnJ3</t>
  </si>
  <si>
    <t>https://drive.google.com/uc?export=view&amp;id=195DLfHGsDSpKFSekN9xwlagZKKhHmnJ3</t>
  </si>
  <si>
    <t>Rizki Septiani Wulandari, S.Pd</t>
  </si>
  <si>
    <t>083176298402</t>
  </si>
  <si>
    <t>1703166109020001</t>
  </si>
  <si>
    <t>Perumahan Sakha Falih, Bentiring, Kota Bengkulu, Bengkulu</t>
  </si>
  <si>
    <t>Bengkulu Utara</t>
  </si>
  <si>
    <t>21-09-2002</t>
  </si>
  <si>
    <t>Sedang Menjalankan Studi-Universitas Bengkulu</t>
  </si>
  <si>
    <t>SD IT Insan Intani</t>
  </si>
  <si>
    <t>Guru Private Matematika</t>
  </si>
  <si>
    <t>rizkiseptianiwulandari@gmail.com</t>
  </si>
  <si>
    <t>1fOTFHsjLfFietfrXFpkSB0ErflH6nwuG2KvVYYfbgXo</t>
  </si>
  <si>
    <t>https://docs.google.com/document/d/1fOTFHsjLfFietfrXFpkSB0ErflH6nwuG2KvVYYfbgXo/edit?usp=drivesdk</t>
  </si>
  <si>
    <t>Document successfully created; Document successfully merged; Run via form trigger as kemal.stafsus@gmail.com; Timestamp: Jul 20, 2026 11:35 PM</t>
  </si>
  <si>
    <t>https://drive.google.com/open?id=1SdnNOJN35M20FTN28Gbf1iH-2iaye5bi</t>
  </si>
  <si>
    <t>https://drive.google.com/uc?export=view&amp;id=1SdnNOJN35M20FTN28Gbf1iH-2iaye5bi</t>
  </si>
  <si>
    <t>Mohamad Fakhrusy Syakirin, S.Ag.</t>
  </si>
  <si>
    <t>085691226078</t>
  </si>
  <si>
    <t>3201022706010008</t>
  </si>
  <si>
    <t>Jl Saluyu Utama RT 01/05 no. 83, Kampung Bubulak, Desa Bojong Kulur, Kecamatan Gunungputri, Kabupaten Bogor, Jawa Barat</t>
  </si>
  <si>
    <t>27 Juni 2001</t>
  </si>
  <si>
    <t>Al-Quran Diniyyah Arabic</t>
  </si>
  <si>
    <t>STIU Wadi Mubarak</t>
  </si>
  <si>
    <t>mohamadsyakirin2001@gmail.com</t>
  </si>
  <si>
    <t>14Rx0IAIjyN-zW9G8ozgr4x-kp-y0XK-SHOLPSTVZ5cI</t>
  </si>
  <si>
    <t>https://docs.google.com/document/d/14Rx0IAIjyN-zW9G8ozgr4x-kp-y0XK-SHOLPSTVZ5cI/edit?usp=drivesdk</t>
  </si>
  <si>
    <t>Document successfully created; Document successfully merged; Run via form trigger as kemal.stafsus@gmail.com; Timestamp: Jul 21, 2026 2:27 AM</t>
  </si>
  <si>
    <t>https://drive.google.com/open?id=1ow_ZCBTivCNn_m4qQd467wBJw85_4WMT</t>
  </si>
  <si>
    <t>https://drive.google.com/uc?export=view&amp;id=1ow_ZCBTivCNn_m4qQd467wBJw85_4WMT</t>
  </si>
  <si>
    <t xml:space="preserve">ADAM WIJAYA </t>
  </si>
  <si>
    <t>083181735687</t>
  </si>
  <si>
    <t>1801081109070001</t>
  </si>
  <si>
    <t xml:space="preserve">Kp.Pasir,RT 005/RW004,Kel.Pasir Jaya,Kec.Jatiuwung,Kota Tangerang,Banten </t>
  </si>
  <si>
    <t>KARYA TUNGGAL</t>
  </si>
  <si>
    <t>11 September 2007</t>
  </si>
  <si>
    <t>18 tahun</t>
  </si>
  <si>
    <t>adamwijaya11092007@gmail.com</t>
  </si>
  <si>
    <t>14B4OqNkEmFVG3QTti6P-UKf7Dm0_kIvZ3HVVSI7z6HU</t>
  </si>
  <si>
    <t>https://docs.google.com/document/d/14B4OqNkEmFVG3QTti6P-UKf7Dm0_kIvZ3HVVSI7z6HU/edit?usp=drivesdk</t>
  </si>
  <si>
    <t>Document successfully created; Document successfully merged; Run via form trigger as kemal.stafsus@gmail.com; Timestamp: Jul 21, 2026 8:32 AM</t>
  </si>
  <si>
    <t>https://drive.google.com/open?id=1CHsRswM_R3Qhki3DwAFQD-5PWJmdzQ45</t>
  </si>
  <si>
    <t>https://drive.google.com/uc?export=view&amp;id=1CHsRswM_R3Qhki3DwAFQD-5PWJmdzQ45</t>
  </si>
  <si>
    <t>Wahidah Fatimah Azzahra, S.Ag.</t>
  </si>
  <si>
    <t>087761459766</t>
  </si>
  <si>
    <t>5203096508020002</t>
  </si>
  <si>
    <t>Bagik Nyaka, Kecamatan Aikmel</t>
  </si>
  <si>
    <t>25-08-2002</t>
  </si>
  <si>
    <t>Akidah, Fikih, Al-Qur'an, Akhlak</t>
  </si>
  <si>
    <t>Mustami'ah &amp; Musyrifah Karantina Tahfiz Ma'had Assunnah Lombok Timur</t>
  </si>
  <si>
    <t>azzahrayasmin2508@gmail.com</t>
  </si>
  <si>
    <t>1q7d-BZpp5Q0a6bRpSHvlaSeFp_9aD3juYq8wRhv0vi4</t>
  </si>
  <si>
    <t>https://docs.google.com/document/d/1q7d-BZpp5Q0a6bRpSHvlaSeFp_9aD3juYq8wRhv0vi4/edit?usp=drivesdk</t>
  </si>
  <si>
    <t>Document successfully created; Document successfully merged; Run via form trigger as kemal.stafsus@gmail.com; Timestamp: Jul 23, 2026 1:14 AM</t>
  </si>
  <si>
    <t>https://drive.google.com/open?id=1DNzvZotuZ7nnHhEOityCWTnUbLUU2Pmn</t>
  </si>
  <si>
    <t>https://drive.google.com/uc?export=view&amp;id=1DNzvZotuZ7nnHhEOityCWTnUbLUU2Pmn</t>
  </si>
  <si>
    <t>Abdullah Usman Sewet, B.econ</t>
  </si>
  <si>
    <t>081280423510</t>
  </si>
  <si>
    <t>5271011109010001</t>
  </si>
  <si>
    <t>JL. Adisucipto GG. tunggal kayun 2 baturaja Rt.6 RW.23 Ampenan Utara</t>
  </si>
  <si>
    <t>11-09-2001</t>
  </si>
  <si>
    <t xml:space="preserve">LN - LIPIA Jakarta </t>
  </si>
  <si>
    <t>ekonomi</t>
  </si>
  <si>
    <t>abdullah.sewet1191@gmail.com</t>
  </si>
  <si>
    <t>1P-oXtumbMOXztYXA5uZtzyecP9fC8JCJh_m8WGsouj8</t>
  </si>
  <si>
    <t>https://docs.google.com/document/d/1P-oXtumbMOXztYXA5uZtzyecP9fC8JCJh_m8WGsouj8/edit?usp=drivesdk</t>
  </si>
  <si>
    <t>Document successfully created; Document successfully merged; Run via form trigger as kemal.stafsus@gmail.com; Timestamp: Jul 23, 2026 4:46 AM</t>
  </si>
  <si>
    <t>https://drive.google.com/open?id=1Ji8T1Ffid_R7FMOiIgPP_H-d0pNAprs_</t>
  </si>
  <si>
    <t>https://drive.google.com/uc?export=view&amp;id=1Ji8T1Ffid_R7FMOiIgPP_H-d0pNAprs_</t>
  </si>
  <si>
    <t>Rosmalita Arini, S.T.</t>
  </si>
  <si>
    <t>5203075105930003</t>
  </si>
  <si>
    <t xml:space="preserve">Jalan Masjid Annimah Blok A H34, RT.29/RW.2, Cinere, Depok, Jawa Barat 16512 </t>
  </si>
  <si>
    <t>Kab. Lombok Timur</t>
  </si>
  <si>
    <t>11-05-1993</t>
  </si>
  <si>
    <t>S-1 Teknik Elektro</t>
  </si>
  <si>
    <t>Social Media Content Creator &amp; Founder Management</t>
  </si>
  <si>
    <t>Co-Founder &amp; Digital Marketing di Nadama Jewelry</t>
  </si>
  <si>
    <t>5.000.000 - 17.000.000</t>
  </si>
  <si>
    <t>Fasilitator di BPBD Lombok Barat</t>
  </si>
  <si>
    <t>rosmalitaa@gmail.com</t>
  </si>
  <si>
    <t>1RbagQfMbXNjT7-ByCHUuNWrQ3RkbmzDVC9WYhoj2Pjc</t>
  </si>
  <si>
    <t>https://docs.google.com/document/d/1RbagQfMbXNjT7-ByCHUuNWrQ3RkbmzDVC9WYhoj2Pjc/edit?usp=drivesdk</t>
  </si>
  <si>
    <t>Document successfully created; Document successfully merged; Run via form trigger as kemal.stafsus@gmail.com; Timestamp: Jul 23, 2026 9:29 AM</t>
  </si>
  <si>
    <t>https://drive.google.com/open?id=1FNlUY6HCHgcaVZGudedv2EuHFy4GFcck</t>
  </si>
  <si>
    <t>https://drive.google.com/uc?export=view&amp;id=1FNlUY6HCHgcaVZGudedv2EuHFy4GFcck</t>
  </si>
  <si>
    <t>Ikhda Rahmatina, S.Hum</t>
  </si>
  <si>
    <t>08211772671</t>
  </si>
  <si>
    <t>3671036406950003</t>
  </si>
  <si>
    <t>Jalan Adi Sucipto No.78 RT/RW. 002/008 Belendung, Benda Kota Tangerang Banten 15123</t>
  </si>
  <si>
    <t>24-06-1995</t>
  </si>
  <si>
    <t>31 tahun 0 bulan 31 hari</t>
  </si>
  <si>
    <t>English Private Tutor</t>
  </si>
  <si>
    <t>Academic Administrative Assistant (student employee)</t>
  </si>
  <si>
    <t>Course Grader</t>
  </si>
  <si>
    <t>ikhda.rahmatina24@gmail.com</t>
  </si>
  <si>
    <t>1ee9disHViaxZFNbyNs7oT70t9XAEph7uUXua59iNT6Q</t>
  </si>
  <si>
    <t>https://docs.google.com/document/d/1ee9disHViaxZFNbyNs7oT70t9XAEph7uUXua59iNT6Q/edit?usp=drivesdk</t>
  </si>
  <si>
    <t>Document successfully created; Document successfully merged; Run via form trigger as kemal.stafsus@gmail.com; Timestamp: Jul 23, 2026 10:24 AM</t>
  </si>
  <si>
    <t>https://drive.google.com/open?id=17w0vZJyc605ipp_SIDPEU2U99rOuMfo7</t>
  </si>
  <si>
    <t>https://drive.google.com/uc?export=view&amp;id=17w0vZJyc605ipp_SIDPEU2U99rOuMfo7</t>
  </si>
  <si>
    <t xml:space="preserve">Khorihah </t>
  </si>
  <si>
    <t>087709242647</t>
  </si>
  <si>
    <t>3529105902020001</t>
  </si>
  <si>
    <t xml:space="preserve">Jakarta Timur </t>
  </si>
  <si>
    <t xml:space="preserve">Sumenep, Madura </t>
  </si>
  <si>
    <t>19 februari 2002</t>
  </si>
  <si>
    <t xml:space="preserve">Guru bahasa inggris </t>
  </si>
  <si>
    <t xml:space="preserve">Stiba IEC Jakarta </t>
  </si>
  <si>
    <t xml:space="preserve">Sastra English </t>
  </si>
  <si>
    <t xml:space="preserve">IEC Jakarta Timur </t>
  </si>
  <si>
    <t>khorihah2@gmail.com</t>
  </si>
  <si>
    <t>1EEpQFann8SuvpcyseWD4gWtTAQw7QGlxJGVGp9Fjeiw</t>
  </si>
  <si>
    <t>https://docs.google.com/document/d/1EEpQFann8SuvpcyseWD4gWtTAQw7QGlxJGVGp9Fjeiw/edit?usp=drivesdk</t>
  </si>
  <si>
    <t>Document successfully created; Document successfully merged; Run via form trigger as kemal.stafsus@gmail.com; Timestamp: Jul 24, 2026 2:45 AM</t>
  </si>
  <si>
    <t>https://drive.google.com/open?id=1mFkEv8QBTxmOY5Ptfh4DLuvesT5KSRkq</t>
  </si>
  <si>
    <t>https://drive.google.com/uc?export=view&amp;id=1mFkEv8QBTxmOY5Ptfh4DLuvesT5KSRkq</t>
  </si>
  <si>
    <t>Imam Taufik Hidayat, S.Si.</t>
  </si>
  <si>
    <t>085171201385</t>
  </si>
  <si>
    <t>Taman Dramaga Permai (TDP) 7, Blok M13, No 9, Kec. Ciampea, Kab. Bogor, Jawa Barat</t>
  </si>
  <si>
    <t>07-12-2000</t>
  </si>
  <si>
    <t>Physics &amp; Math Teacher, SMA Boash Excellent (Cambridge &amp; Kurikulum Merdeka)</t>
  </si>
  <si>
    <t>Learning Facilitator, Etos ID Scholarship, GREATEdunesia (part-time)</t>
  </si>
  <si>
    <t>Math &amp; Physics Tutor, Private (Part-time)</t>
  </si>
  <si>
    <t>imamtauhid0001@gmail.com</t>
  </si>
  <si>
    <t>1q-CTzD-YPgQSkqYMKWSGDEemRykK76Hj0li4P9n1CzA</t>
  </si>
  <si>
    <t>https://docs.google.com/document/d/1q-CTzD-YPgQSkqYMKWSGDEemRykK76Hj0li4P9n1CzA/edit?usp=drivesdk</t>
  </si>
  <si>
    <t>Document successfully created; Document successfully merged; Run via form trigger as kemal.stafsus@gmail.com; Timestamp: Jul 24, 2026 12:09 PM</t>
  </si>
  <si>
    <t>https://drive.google.com/open?id=1dKXlMsN_1DiPmw36KmYdTPcvvZg8tZ7N</t>
  </si>
  <si>
    <t>https://drive.google.com/uc?export=view&amp;id=1dKXlMsN_1DiPmw36KmYdTPcvvZg8tZ7N</t>
  </si>
  <si>
    <t>RAMLI,S.PD.,M.PD</t>
  </si>
  <si>
    <t>087881466342</t>
  </si>
  <si>
    <t>5206022202881005</t>
  </si>
  <si>
    <t>DEPOK</t>
  </si>
  <si>
    <t xml:space="preserve">BIMA </t>
  </si>
  <si>
    <t>220FEBRUARI -1988</t>
  </si>
  <si>
    <t>UNIVERSITAS MUHAMMADIYAH MAKASSAR</t>
  </si>
  <si>
    <t xml:space="preserve">PENDIDIKAN BAHASA DAN SASTRA INGGRIS </t>
  </si>
  <si>
    <t xml:space="preserve">UNIVERSITAS NEGERI MAKASSAR </t>
  </si>
  <si>
    <t xml:space="preserve">PENDIDIKAN BAHASA INGGRIS </t>
  </si>
  <si>
    <t xml:space="preserve">WAKIL KETUA BIDANG KERJASAMA,KEHUMASAN DAN PROTOKOLER </t>
  </si>
  <si>
    <t xml:space="preserve">KETUA PROGRAM STUDI PENDIDIKAN BAHASA INGGRIS </t>
  </si>
  <si>
    <t>ramlialfatih88@gmail.com</t>
  </si>
  <si>
    <t>1GXUeYwAoQjDWOLhHmZ9XNkYnLgdymL8VrCGoRVt1-xM</t>
  </si>
  <si>
    <t>https://docs.google.com/document/d/1GXUeYwAoQjDWOLhHmZ9XNkYnLgdymL8VrCGoRVt1-xM/edit?usp=drivesdk</t>
  </si>
  <si>
    <t>Document successfully created; Document successfully merged; Run via form trigger as kemal.stafsus@gmail.com; Timestamp: Jul 26, 2026 10:34 PM</t>
  </si>
  <si>
    <t>https://drive.google.com/open?id=1F-gWJu2C5bMJsI_b3GAsNOzpX8q-HA5J</t>
  </si>
  <si>
    <t>https://drive.google.com/uc?export=view&amp;id=1F-gWJu2C5bMJsI_b3GAsNOzpX8q-HA5J</t>
  </si>
  <si>
    <t>Era Mahardhika, S.E.</t>
  </si>
  <si>
    <t>089681611229</t>
  </si>
  <si>
    <t>3322136312000002</t>
  </si>
  <si>
    <t>Jalan Pepaya No. 88, Jaban RT 001/RW 032, Tridadi, Sleman, Daerah Istimewa Yogyakarta 55511</t>
  </si>
  <si>
    <t>23-12-2000</t>
  </si>
  <si>
    <t xml:space="preserve">Auditor </t>
  </si>
  <si>
    <t>SMA ISLAM AL AZHAR 14 SEMARANG</t>
  </si>
  <si>
    <t>500.000 - 2.100.000</t>
  </si>
  <si>
    <t>UMK Jogja</t>
  </si>
  <si>
    <t>eramahardhika5@gmail.com</t>
  </si>
  <si>
    <t>1s0Ip22XPwYvK1cngV8as0pkv3u2b86RdOFPkCrENed0</t>
  </si>
  <si>
    <t>https://docs.google.com/document/d/1s0Ip22XPwYvK1cngV8as0pkv3u2b86RdOFPkCrENed0/edit?usp=drivesdk</t>
  </si>
  <si>
    <t>Document successfully created; Document successfully merged; Run via form trigger as kemal.stafsus@gmail.com; Timestamp: Jul 28, 2026 3:40 AM</t>
  </si>
  <si>
    <t>https://drive.google.com/open?id=146l7Ob33axIzF5BklXooqvT_hwCrgjjc</t>
  </si>
  <si>
    <t>https://drive.google.com/uc?export=view&amp;id=146l7Ob33axIzF5BklXooqvT_hwCrgjjc</t>
  </si>
  <si>
    <t>Fadhilah Qurrota A'yun, B.A.</t>
  </si>
  <si>
    <t>085176845328</t>
  </si>
  <si>
    <t>3374106711030002</t>
  </si>
  <si>
    <t>Jalan Durian gang sebul RT.01 RW.01, Srondol Wetan, Banyumanik, Semarang.</t>
  </si>
  <si>
    <t>27 November 2003</t>
  </si>
  <si>
    <t>Imam Muhammad Ibn Saud Islamic University</t>
  </si>
  <si>
    <t>4.92</t>
  </si>
  <si>
    <t>Guru Tahsin (Online)</t>
  </si>
  <si>
    <t>Guru Privat Bahasa Arab (Online)</t>
  </si>
  <si>
    <t>Guru Pendamping Kelas</t>
  </si>
  <si>
    <t xml:space="preserve">UMR kota Semarang (± 3.500.000) mengikuti standar yayasan </t>
  </si>
  <si>
    <t>fadhilahqurrota27@gmail.com</t>
  </si>
  <si>
    <t>1XulUstQRuLCik3KH5D2hoTxm0omDcn3me1js41kqv8A</t>
  </si>
  <si>
    <t>https://docs.google.com/document/d/1XulUstQRuLCik3KH5D2hoTxm0omDcn3me1js41kqv8A/edit?usp=drivesdk</t>
  </si>
  <si>
    <t>Document successfully created; Document successfully merged; Run via form trigger as kemal.stafsus@gmail.com; Timestamp: Jul 30, 2026 8:26 AM</t>
  </si>
  <si>
    <t>https://drive.google.com/open?id=1pVPEERacZVyH1XN4_mbB7kH8-V95CSt7</t>
  </si>
  <si>
    <t>https://drive.google.com/uc?export=view&amp;id=1pVPEERacZVyH1XN4_mbB7kH8-V95CSt7</t>
  </si>
  <si>
    <t>Ernawati, S.Pd</t>
  </si>
  <si>
    <t>087735390206</t>
  </si>
  <si>
    <t>5203097101040004</t>
  </si>
  <si>
    <t>Cakranegara selatan baru, Mataram</t>
  </si>
  <si>
    <t>31-01-2026</t>
  </si>
  <si>
    <t>Tutor les private di aishaa learning center</t>
  </si>
  <si>
    <t>ernawati310104@icloud.com</t>
  </si>
  <si>
    <t>1jqY2aw99qZfEyEJXFpHqKUqnjGvrN-Y_HtA5FE7xrz8</t>
  </si>
  <si>
    <t>https://docs.google.com/document/d/1jqY2aw99qZfEyEJXFpHqKUqnjGvrN-Y_HtA5FE7xrz8/edit?usp=drivesdk</t>
  </si>
  <si>
    <t>Document successfully created; Document successfully merged; Run via form trigger as kemal.stafsus@gmail.com; Timestamp: Aug 3, 2026 8:21 AM</t>
  </si>
  <si>
    <t>https://drive.google.com/open?id=1PEdjVxqLcH3HQ9CGdzWu8OLttKUqbU8r</t>
  </si>
  <si>
    <t>https://drive.google.com/uc?export=view&amp;id=1PEdjVxqLcH3HQ9CGdzWu8OLttKUqbU8r</t>
  </si>
  <si>
    <t>Alfi Aulia Yasmin, S. Pd</t>
  </si>
  <si>
    <t>5271034108020001</t>
  </si>
  <si>
    <t>Mataram, Lombok, NTB</t>
  </si>
  <si>
    <t>01 Agustus 2002</t>
  </si>
  <si>
    <t>Guru diniyyah</t>
  </si>
  <si>
    <t xml:space="preserve">STITMA Yogyakarta </t>
  </si>
  <si>
    <t xml:space="preserve">Menjadi wali kelas, guru mapel dan musyrifah asrama santriwati </t>
  </si>
  <si>
    <t xml:space="preserve">Menjadi guru mapel dan misyrifah asrama santriwati </t>
  </si>
  <si>
    <t xml:space="preserve">Menyesuaikan dengan pihak sekolah </t>
  </si>
  <si>
    <t>alfiauliayasmin@gmail.com</t>
  </si>
  <si>
    <t>114p-lPQ0dG03gUh8TWHuPzZwyZhwGiH-vJ_kD3xANWs</t>
  </si>
  <si>
    <t>https://docs.google.com/document/d/114p-lPQ0dG03gUh8TWHuPzZwyZhwGiH-vJ_kD3xANWs/edit?usp=drivesdk</t>
  </si>
  <si>
    <t>Document successfully created; Document successfully merged; Run via form trigger as kemal.stafsus@gmail.com; Timestamp: Aug 4, 2026 3:49 AM</t>
  </si>
  <si>
    <t>https://drive.google.com/open?id=1ey3lHnzqp-Aq5za0m-GGzjoJqw4QGS87</t>
  </si>
  <si>
    <t>https://drive.google.com/uc?export=view&amp;id=1ey3lHnzqp-Aq5za0m-GGzjoJqw4QGS87</t>
  </si>
  <si>
    <t>Nuha Mufidah, S.Psi</t>
  </si>
  <si>
    <t>081218121330</t>
  </si>
  <si>
    <t>3175075711030008</t>
  </si>
  <si>
    <t>Jl. Nusa Indah IV/6/1, Kel. Malaka Jaya/Duren Sawit, Jakarta Timur</t>
  </si>
  <si>
    <t>17-11-2003</t>
  </si>
  <si>
    <t>22 Tahun 8 bulan</t>
  </si>
  <si>
    <t>Business Development &amp; School Partnership - Smartick Indonesia (edutech)</t>
  </si>
  <si>
    <t>6.500.000 (apabial tersedia akomodasi); &gt;7.200.000 (apabila tidak tersedia akomodasi)</t>
  </si>
  <si>
    <t>nuhamufidahs@gmail.com</t>
  </si>
  <si>
    <t>1N0gL_S03yFp4S5-T86prgCzgeMka8PIOKJzRZszY8L8</t>
  </si>
  <si>
    <t>https://docs.google.com/document/d/1N0gL_S03yFp4S5-T86prgCzgeMka8PIOKJzRZszY8L8/edit?usp=drivesdk</t>
  </si>
  <si>
    <t>Document successfully created; Document successfully merged; Run via form trigger as kemal.stafsus@gmail.com; Timestamp: Aug 10, 2026 1:06 AM</t>
  </si>
  <si>
    <t>https://drive.google.com/open?id=1Q-dMnSDAunDvTQhjfMMWkBj250nWQ--U</t>
  </si>
  <si>
    <t>https://drive.google.com/uc?export=view&amp;id=1Q-dMnSDAunDvTQhjfMMWkBj250nWQ--U</t>
  </si>
  <si>
    <t>Anggita Khansa Paramitha S.S.</t>
  </si>
  <si>
    <t>085333966417</t>
  </si>
  <si>
    <t>5272016102020002</t>
  </si>
  <si>
    <t>Jl. Gotong Royong 1 no 37A. Ragunan, Ps.Minggu, Jakarta Selatan.</t>
  </si>
  <si>
    <t>21 Februari 2002</t>
  </si>
  <si>
    <t>Bina Nusantara University</t>
  </si>
  <si>
    <t>English Teacher di Sparks English</t>
  </si>
  <si>
    <t>English Teacher di I Can Read Indonesia</t>
  </si>
  <si>
    <t>anggiekhansa54@gmail.com</t>
  </si>
  <si>
    <t>1XBuq3ZrQXxK3a9NgWpLNMH6EjAtXlmPE_IRCS1rY9Vo</t>
  </si>
  <si>
    <t>https://docs.google.com/document/d/1XBuq3ZrQXxK3a9NgWpLNMH6EjAtXlmPE_IRCS1rY9Vo/edit?usp=drivesdk</t>
  </si>
  <si>
    <t>Document successfully created; Document successfully merged; Run via form trigger as kemal.stafsus@gmail.com; Timestamp: Aug 10, 2026 10:18 PM</t>
  </si>
  <si>
    <t>https://drive.google.com/open?id=1sxT3FtVy8H0mS869soofwgLZ_0cAJacY</t>
  </si>
  <si>
    <t>https://drive.google.com/uc?export=view&amp;id=1sxT3FtVy8H0mS869soofwgLZ_0cAJacY</t>
  </si>
  <si>
    <t>Baiq Miftah Azumi, S.Si., M.Pd</t>
  </si>
  <si>
    <t>085239101127</t>
  </si>
  <si>
    <t>5202116704000003</t>
  </si>
  <si>
    <t>Pelambik, Praya Barat Daya, Lombok Tengah, NTB</t>
  </si>
  <si>
    <t>Plambik, Lombok Tengah</t>
  </si>
  <si>
    <t>Tutor Bimbingan Belajar Fardu (Freelance)</t>
  </si>
  <si>
    <t>± 2.000.000</t>
  </si>
  <si>
    <t>± 4.000.000</t>
  </si>
  <si>
    <t>baiqmiftaha@gmail.com</t>
  </si>
  <si>
    <t>1opYuhnTL41Zx93nj-Zk_RYOI9uKj7FNVATKujPcMFGY</t>
  </si>
  <si>
    <t>https://docs.google.com/document/d/1opYuhnTL41Zx93nj-Zk_RYOI9uKj7FNVATKujPcMFGY/edit?usp=drivesdk</t>
  </si>
  <si>
    <t>Document successfully created; Document successfully merged; Run via form trigger as kemal.stafsus@gmail.com; Timestamp: Aug 11, 2026 11:29 PM</t>
  </si>
  <si>
    <t>https://drive.google.com/open?id=1xVtErc-2HCRhO9bH9hog7bXD-1sZD6rf</t>
  </si>
  <si>
    <t>https://drive.google.com/uc?export=view&amp;id=1xVtErc-2HCRhO9bH9hog7bXD-1sZD6rf</t>
  </si>
  <si>
    <t>Teguh Agus Wahyuda,S.Pd.,C.Ht.</t>
  </si>
  <si>
    <t>Kelurahan Cireundeu, Kecamatan Ciputat Timur, Kota Tangerang Selatan.</t>
  </si>
  <si>
    <t>Pendidikan Bahasa Sastra Indonesia (PBSI )</t>
  </si>
  <si>
    <t>Universitas Muhamadiyah Jakarta ( UMJ )</t>
  </si>
  <si>
    <t>UMJ - Semester 3</t>
  </si>
  <si>
    <t>7 Tahun</t>
  </si>
  <si>
    <t>1AHelAiImBEwcOwfHbAYi-0F109hhnj7Yn9xtXFOxjas</t>
  </si>
  <si>
    <t>https://docs.google.com/document/d/1AHelAiImBEwcOwfHbAYi-0F109hhnj7Yn9xtXFOxjas/edit?usp=drivesdk</t>
  </si>
  <si>
    <t>Document successfully created; Document successfully merged; Run via form trigger as kemal.stafsus@gmail.com; Timestamp: Aug 13, 2026 2:52 AM</t>
  </si>
  <si>
    <t>https://drive.google.com/open?id=10SMErNvVRt9b0OpwD3pYnKH2QEK10thT</t>
  </si>
  <si>
    <t>https://drive.google.com/uc?export=view&amp;id=10SMErNvVRt9b0OpwD3pYnKH2QEK10thT</t>
  </si>
  <si>
    <t>Muhammad Fachreza</t>
  </si>
  <si>
    <t>+628136445836</t>
  </si>
  <si>
    <t>1401061010030001</t>
  </si>
  <si>
    <t>Pekanbaru, Riau</t>
  </si>
  <si>
    <t>10-10-2003</t>
  </si>
  <si>
    <t>University of Science and Technology</t>
  </si>
  <si>
    <t>Guru / Tenaga pengajar MTs (tamat SMA)</t>
  </si>
  <si>
    <t>mfachreza10putra@gmail.com</t>
  </si>
  <si>
    <t>1zsS7nfe_fZehuy47NGh0YyqTSqjimZKiiTJ2crh3tWI</t>
  </si>
  <si>
    <t>https://docs.google.com/document/d/1zsS7nfe_fZehuy47NGh0YyqTSqjimZKiiTJ2crh3tWI/edit?usp=drivesdk</t>
  </si>
  <si>
    <t>Document successfully created; Document successfully merged; Run via form trigger as kemal.stafsus@gmail.com; Timestamp: Aug 13, 2026 12:01 PM</t>
  </si>
  <si>
    <t>https://drive.google.com/open?id=13A9zP9tnfSq95d2uxt2wGL4xCqYGK1ue</t>
  </si>
  <si>
    <t>https://drive.google.com/uc?export=view&amp;id=13A9zP9tnfSq95d2uxt2wGL4xCqYGK1ue</t>
  </si>
  <si>
    <t>Ghina Qoyyidatus Sakinah, S.Pd.</t>
  </si>
  <si>
    <t>085899118044</t>
  </si>
  <si>
    <t>3271054609020005/C6330613</t>
  </si>
  <si>
    <t>JL. Raden Panghulu Djaja RT.004/RW.003, Kelurahan Cimahpar, Kecamatan Bogor Utara, Kota Bogor.</t>
  </si>
  <si>
    <t>AI Math Expert Trainer - Outlier</t>
  </si>
  <si>
    <t xml:space="preserve">$1,000-$4,000 </t>
  </si>
  <si>
    <t>SeaBank</t>
  </si>
  <si>
    <t>ghinaqs02@gmail.com</t>
  </si>
  <si>
    <t>1RYotSfAEKP8me3gGL-pX4BijzNPeDpkQnbgzbZ_R1sI</t>
  </si>
  <si>
    <t>https://docs.google.com/document/d/1RYotSfAEKP8me3gGL-pX4BijzNPeDpkQnbgzbZ_R1sI/edit?usp=drivesdk</t>
  </si>
  <si>
    <t>Document successfully created; Document successfully merged; Run via form trigger as kemal.stafsus@gmail.com; Timestamp: Aug 21, 2026 7:54 AM</t>
  </si>
  <si>
    <t>https://drive.google.com/open?id=12sen-T9IdlqIcoCBiBBTEegw1ONPyD2_</t>
  </si>
  <si>
    <t>https://drive.google.com/uc?export=view&amp;id=12sen-T9IdlqIcoCBiBBTEegw1ONPyD2_</t>
  </si>
  <si>
    <t>Yulia Prihatiningrum</t>
  </si>
  <si>
    <t>081936709533</t>
  </si>
  <si>
    <t>5271046307990001</t>
  </si>
  <si>
    <t>Jalan Swasembada Nomor 131 Karang Pule</t>
  </si>
  <si>
    <t>Raba Bima</t>
  </si>
  <si>
    <t>23-07-1999</t>
  </si>
  <si>
    <t>27tahun 1bulan</t>
  </si>
  <si>
    <t>PTN-Universitas Mataram</t>
  </si>
  <si>
    <t>Income Audit</t>
  </si>
  <si>
    <t>yprihatiningrum@gmail.com</t>
  </si>
  <si>
    <t>1SKuGwXusTnR9AkG3XG58TJ2tCprqfXUSUhOl-Ka7FFA</t>
  </si>
  <si>
    <t>https://docs.google.com/document/d/1SKuGwXusTnR9AkG3XG58TJ2tCprqfXUSUhOl-Ka7FFA/edit?usp=drivesdk</t>
  </si>
  <si>
    <t>Document successfully created; Document successfully merged; Run via form trigger as kemal.stafsus@gmail.com; Timestamp: Aug 21, 2026 11:48 PM</t>
  </si>
  <si>
    <t>https://drive.google.com/open?id=1RFdE2YzZJLRb9jHN9yrPxJHP4xw4_7gx</t>
  </si>
  <si>
    <t>https://drive.google.com/uc?export=view&amp;id=1RFdE2YzZJLRb9jHN9yrPxJHP4xw4_7gx</t>
  </si>
  <si>
    <t>Muhammad Muthy Abdullah</t>
  </si>
  <si>
    <t>085886593150</t>
  </si>
  <si>
    <t>3303071012990006</t>
  </si>
  <si>
    <t>Perum Permata A.5, Wirasana, Purbalingga, Jawa Tengah</t>
  </si>
  <si>
    <t>Strata-1 - STAI Ali bin Abi Thalib SBY</t>
  </si>
  <si>
    <t>Koordinator Homebase SMA BPIBS</t>
  </si>
  <si>
    <t>muthymuhammad@gmail.com</t>
  </si>
  <si>
    <t>1_xmUQEHM9N6MybRzaCV2rG21cOr8PKT6ZxNXsjOkK2I</t>
  </si>
  <si>
    <t>https://docs.google.com/document/d/1_xmUQEHM9N6MybRzaCV2rG21cOr8PKT6ZxNXsjOkK2I/edit?usp=drivesdk</t>
  </si>
  <si>
    <t>Document successfully created; Document successfully merged; Run via form trigger as kemal.stafsus@gmail.com; Timestamp: Aug 25, 2026 10:53 PM</t>
  </si>
  <si>
    <t>https://drive.google.com/open?id=1dZXeklV4oKtweZ7xR66y2mwZMmsk8n7a</t>
  </si>
  <si>
    <t>https://drive.google.com/uc?export=view&amp;id=1dZXeklV4oKtweZ7xR66y2mwZMmsk8n7a</t>
  </si>
  <si>
    <t>Muhammad Muthy Abdullah, S.Pd.</t>
  </si>
  <si>
    <t xml:space="preserve">Perum Permata A5 Wirasana Purbalingga, Jawa Tengah </t>
  </si>
  <si>
    <t>1fdcJGzYmypl9sH_POIE79GmiJTWrwCO-e2yhLzcVQok</t>
  </si>
  <si>
    <t>https://docs.google.com/document/d/1fdcJGzYmypl9sH_POIE79GmiJTWrwCO-e2yhLzcVQok/edit?usp=drivesdk</t>
  </si>
  <si>
    <t>Document successfully created; Document successfully merged; Run via form trigger as kemal.stafsus@gmail.com; Timestamp: Aug 25, 2026 11:09 PM</t>
  </si>
  <si>
    <t>https://drive.google.com/open?id=1h4tnY61F5167hl5EgF1iKtyMGEYEU0OO</t>
  </si>
  <si>
    <t>https://drive.google.com/uc?export=view&amp;id=1h4tnY61F5167hl5EgF1iKtyMGEYEU0OO</t>
  </si>
  <si>
    <t>Mu'thi Ali S.Pd.</t>
  </si>
  <si>
    <t>087758646340</t>
  </si>
  <si>
    <t>5203072504040004</t>
  </si>
  <si>
    <t xml:space="preserve">Pancor, Lombok Timur </t>
  </si>
  <si>
    <t xml:space="preserve">Mataram, Nusa Tenggara Barat </t>
  </si>
  <si>
    <t>25-04-2004</t>
  </si>
  <si>
    <t xml:space="preserve">Sekolah Tinggi Agama Islam Ali bin Abi Thalib Surabaya </t>
  </si>
  <si>
    <t xml:space="preserve">Direktur Konten Rumaysho </t>
  </si>
  <si>
    <t>Pengajar Tambahan Ponpes Darush Sholihin</t>
  </si>
  <si>
    <t>muthyali890@gmail.com</t>
  </si>
  <si>
    <t>1N7ycZvgtha9EyM_M3E9WBj6uxbRYKJcjCd-RD58FRMw</t>
  </si>
  <si>
    <t>https://docs.google.com/document/d/1N7ycZvgtha9EyM_M3E9WBj6uxbRYKJcjCd-RD58FRMw/edit?usp=drivesdk</t>
  </si>
  <si>
    <t>Document successfully created; Document successfully merged; Run via form trigger as kemal.stafsus@gmail.com; Timestamp: Aug 26, 2026 3:46 AM</t>
  </si>
  <si>
    <t>https://drive.google.com/open?id=19O8PjlGuYvG5uPAGlWW8xaG6454FgjQS</t>
  </si>
  <si>
    <t>https://drive.google.com/uc?export=view&amp;id=19O8PjlGuYvG5uPAGlWW8xaG6454FgjQS</t>
  </si>
  <si>
    <t>Achmad Aldyansyah, S.Kom</t>
  </si>
  <si>
    <t>08993935535</t>
  </si>
  <si>
    <t>3674032812970006</t>
  </si>
  <si>
    <t>Jl.Mushola Nurul Huda 109 Rt.004/Rw.001, Kel. Pondok Aren, Kec. Pondok Aren, Tangerang Selatan, Banten</t>
  </si>
  <si>
    <t>STMIK Eresha-Pamulang</t>
  </si>
  <si>
    <t>Penata Kelola Sistem dan Teknologi Informasi</t>
  </si>
  <si>
    <t>IT Private</t>
  </si>
  <si>
    <t>achaldyansyah@gmail.com</t>
  </si>
  <si>
    <t>1MsO9mWscFTaZAvriybEUt0trAH2YZvSEPiJ7yEquDNA</t>
  </si>
  <si>
    <t>https://docs.google.com/document/d/1MsO9mWscFTaZAvriybEUt0trAH2YZvSEPiJ7yEquDNA/edit?usp=drivesdk</t>
  </si>
  <si>
    <t>Document successfully created; Document successfully merged; Run via form trigger as kemal.stafsus@gmail.com; Timestamp: Aug 26, 2026 11:56 AM</t>
  </si>
  <si>
    <t>https://drive.google.com/open?id=1vhhEkgFEZGkmsTr6PDKHihlEhWIgjHpG</t>
  </si>
  <si>
    <t>https://drive.google.com/uc?export=view&amp;id=1vhhEkgFEZGkmsTr6PDKHihlEhWIgjHpG</t>
  </si>
  <si>
    <t>Yogi Yopa Kristia, M.Si., Gr.</t>
  </si>
  <si>
    <t>081275323816</t>
  </si>
  <si>
    <t>3213140102910005</t>
  </si>
  <si>
    <t>01-02-1991</t>
  </si>
  <si>
    <t>Guru Kimia SMA, PIC Chemistry Lab, dan Wali Kelas.</t>
  </si>
  <si>
    <t>yogiyopakristia@gmail.com</t>
  </si>
  <si>
    <t>18Qd_2FGszbjEkGUmf1U6zFN5_aw11lXe7bFaZU4bedE</t>
  </si>
  <si>
    <t>https://docs.google.com/document/d/18Qd_2FGszbjEkGUmf1U6zFN5_aw11lXe7bFaZU4bedE/edit?usp=drivesdk</t>
  </si>
  <si>
    <t>Document successfully created; Document successfully merged; Run via form trigger as kemal.stafsus@gmail.com; Timestamp: Aug 31, 2026 3:18 AM</t>
  </si>
  <si>
    <t>https://drive.google.com/open?id=1SyyZWwGN6dmqssHbyhUtSWDiUjbNx64l</t>
  </si>
  <si>
    <t>https://drive.google.com/uc?export=view&amp;id=1SyyZWwGN6dmqssHbyhUtSWDiUjbNx64l</t>
  </si>
  <si>
    <t>MOCHAMMED ALIEFZ EL ABRAR, B.B.A</t>
  </si>
  <si>
    <t>081276692166</t>
  </si>
  <si>
    <t>3275050308040003</t>
  </si>
  <si>
    <t>Jatipadang pasar minggu jakarta selatan</t>
  </si>
  <si>
    <t>03-08-2004</t>
  </si>
  <si>
    <t>ADA(Al-Qur’an - Diniyah - Arabic)</t>
  </si>
  <si>
    <t>Manajemen bisnis</t>
  </si>
  <si>
    <t>Kepala yayasan jabal rahmah(pasaman barat)</t>
  </si>
  <si>
    <t>Pengajar di yayasan umi ayat</t>
  </si>
  <si>
    <t>Manajemen dan tata usaha(yayasan al hidayah)</t>
  </si>
  <si>
    <t>muhammadaliefz03@gmail.com</t>
  </si>
  <si>
    <t>1aw38N26gL5C5SRSfjsOvoE72XRSmBkO0eSFSsXac66M</t>
  </si>
  <si>
    <t>https://docs.google.com/document/d/1aw38N26gL5C5SRSfjsOvoE72XRSmBkO0eSFSsXac66M/edit?usp=drivesdk</t>
  </si>
  <si>
    <t>Document successfully created; Document successfully merged; Run via form trigger as kemal.stafsus@gmail.com; Timestamp: Sep 1, 2026 9:54 PM</t>
  </si>
  <si>
    <t>https://drive.google.com/open?id=1YRNUhHUAcm8QrNAEJDZ7Y_dVI4XGhr3N</t>
  </si>
  <si>
    <t>https://drive.google.com/uc?export=view&amp;id=1YRNUhHUAcm8QrNAEJDZ7Y_dVI4XGhr3N</t>
  </si>
  <si>
    <t>Nabila Pandora Landriani, S.Si.</t>
  </si>
  <si>
    <t>087859207056</t>
  </si>
  <si>
    <t>5201094301040004</t>
  </si>
  <si>
    <t>Jln. Ruby III Blok T7 PBSA Belencong, Midang, Gunungsari, Lombok Barat, NTB, 83351</t>
  </si>
  <si>
    <t>Maluk, Sumbawa Barat</t>
  </si>
  <si>
    <t>03-01-2004</t>
  </si>
  <si>
    <t>BNI (a.n Nabila Pandora Landriani)</t>
  </si>
  <si>
    <t>nabilalandriani@gmail.com</t>
  </si>
  <si>
    <t>145_g0ptrQHYsz_iFYVTBGk2hTR1qdFUXpSLzbu4G-t0</t>
  </si>
  <si>
    <t>https://docs.google.com/document/d/145_g0ptrQHYsz_iFYVTBGk2hTR1qdFUXpSLzbu4G-t0/edit?usp=drivesdk</t>
  </si>
  <si>
    <t>Document successfully created; Document successfully merged; Run via form trigger as kemal.stafsus@gmail.com; Timestamp: Sep 3, 2026 5:36 AM</t>
  </si>
  <si>
    <t>https://drive.google.com/open?id=1fdwLCaWrrL9pJ9QS4X8JhwuN0iKDUew7</t>
  </si>
  <si>
    <t>https://drive.google.com/uc?export=view&amp;id=1fdwLCaWrrL9pJ9QS4X8JhwuN0iKDUew7</t>
  </si>
  <si>
    <t>Sri Hardining, S.Psi</t>
  </si>
  <si>
    <t>085239540713</t>
  </si>
  <si>
    <t>5205054506010001</t>
  </si>
  <si>
    <t xml:space="preserve">Jln. Lintas Pantai Ria, desa riwo kecematan Woja, Kabupaten Dompu </t>
  </si>
  <si>
    <t>05-06-2001</t>
  </si>
  <si>
    <t xml:space="preserve">25 tahun 3 bulan </t>
  </si>
  <si>
    <t>UNIVERSITAS TEKNOLOGI SUMBAWA</t>
  </si>
  <si>
    <t xml:space="preserve">Guru bimbingan dan Konseling di SMP IT IMAM BUKHARI DOMPU </t>
  </si>
  <si>
    <t xml:space="preserve">PIC MARKETING di NSS Group Cabang Sumbawa </t>
  </si>
  <si>
    <t>BANK BRI</t>
  </si>
  <si>
    <t>srihardiningsyahril@gmail.com</t>
  </si>
  <si>
    <t>1RPdtYPPgejNEevztjjOZoF9nWch76kX5RYaRRU8KLcA</t>
  </si>
  <si>
    <t>https://docs.google.com/document/d/1RPdtYPPgejNEevztjjOZoF9nWch76kX5RYaRRU8KLcA/edit?usp=drivesdk</t>
  </si>
  <si>
    <t>Document successfully created; Document successfully merged; Run via form trigger as kemal.stafsus@gmail.com; Timestamp: Sep 9, 2026 12:11 AM</t>
  </si>
  <si>
    <t>https://drive.google.com/open?id=14ZV78BJN-Pk-O_RcejZ3qEevcrOnTzMG</t>
  </si>
  <si>
    <t>https://drive.google.com/uc?export=view&amp;id=14ZV78BJN-Pk-O_RcejZ3qEevcrOnTzMG</t>
  </si>
  <si>
    <t>Bilal Wafi BA.</t>
  </si>
  <si>
    <t>088230306059</t>
  </si>
  <si>
    <t>3575012803020001</t>
  </si>
  <si>
    <t xml:space="preserve">Pondok kelapa, jakarta timur </t>
  </si>
  <si>
    <t>28-03-2002</t>
  </si>
  <si>
    <t xml:space="preserve">International Quran university </t>
  </si>
  <si>
    <t>Syariah/dirisat islamiyyah</t>
  </si>
  <si>
    <t>Kalau bisa sama/diatas gaji terakhir sebagai guru, kalau pun di bawah tidak jauh jauh</t>
  </si>
  <si>
    <t>aljawawyabudzar123@gmail.com</t>
  </si>
  <si>
    <t>1KDE95FQxz_ZC1gywGbEB_eL93pt4U0ueJyg8x7qGXA4</t>
  </si>
  <si>
    <t>https://docs.google.com/document/d/1KDE95FQxz_ZC1gywGbEB_eL93pt4U0ueJyg8x7qGXA4/edit?usp=drivesdk</t>
  </si>
  <si>
    <t>Document successfully created; Document successfully merged; Run via form trigger as kemal.stafsus@gmail.com; Timestamp: Sep 10, 2026 1:35 AM</t>
  </si>
  <si>
    <t>https://drive.google.com/open?id=18aP6Q3ZGieZVJj94lr42F47Ois06otpp</t>
  </si>
  <si>
    <t>https://drive.google.com/uc?export=view&amp;id=18aP6Q3ZGieZVJj94lr42F47Ois06otpp</t>
  </si>
  <si>
    <t>Egi Komara Yudha, S.Kp, MM, M.Pd.</t>
  </si>
  <si>
    <t>081314730369</t>
  </si>
  <si>
    <t>3175092909770006</t>
  </si>
  <si>
    <t>Jalan Mangga 16 No. 137 RT 002 RW 003 Duri Kepa Kebon Jeruk Jakarta Barat</t>
  </si>
  <si>
    <t>29-09-1977</t>
  </si>
  <si>
    <t>Universitas Padjadjaran Bandung</t>
  </si>
  <si>
    <t>Dosen Institut Kesehatan Rajawali</t>
  </si>
  <si>
    <t>EGC Penerbit Buku Kedokteran</t>
  </si>
  <si>
    <t>egisudaningsih@gmail.com</t>
  </si>
  <si>
    <t>1WqGzoLs3SYg0DSMsU-rRJXL1ZVxFEmG1pWIs74sUw2o</t>
  </si>
  <si>
    <t>https://docs.google.com/document/d/1WqGzoLs3SYg0DSMsU-rRJXL1ZVxFEmG1pWIs74sUw2o/edit?usp=drivesdk</t>
  </si>
  <si>
    <t>Document successfully created; Document successfully merged; Run via form trigger as kemal.stafsus@gmail.com; Timestamp: Sep 11, 2026 9:50 PM</t>
  </si>
  <si>
    <t>https://drive.google.com/open?id=1DqBn71y-dR7I_GCeJN3zAVXof6ZVck9b</t>
  </si>
  <si>
    <t>https://drive.google.com/uc?export=view&amp;id=1DqBn71y-dR7I_GCeJN3zAVXof6ZVck9b</t>
  </si>
  <si>
    <t>Mulyadi</t>
  </si>
  <si>
    <t>081313780565</t>
  </si>
  <si>
    <t>3171030104720008</t>
  </si>
  <si>
    <t>Jln hj rabun rt 02 rw18 kel.pondok petir kec.bojongsari kota depok</t>
  </si>
  <si>
    <t>01-04-1972</t>
  </si>
  <si>
    <t>54 4bulan</t>
  </si>
  <si>
    <t>Sarpars</t>
  </si>
  <si>
    <t>mulyadiberry2@gmail.com</t>
  </si>
  <si>
    <t>1laGt0LbeZ13j0Bh0_3JrT3shtTob2PC3uwEebrQz034</t>
  </si>
  <si>
    <t>https://docs.google.com/document/d/1laGt0LbeZ13j0Bh0_3JrT3shtTob2PC3uwEebrQz034/edit?usp=drivesdk</t>
  </si>
  <si>
    <t>Document successfully created; Document successfully merged; Run via form trigger as kemal.stafsus@gmail.com; Timestamp: Sep 14, 2026 11:09 AM</t>
  </si>
  <si>
    <t>https://drive.google.com/open?id=1El2H3u1oKegOH024Xy7Lm5kpD2hARMXg</t>
  </si>
  <si>
    <t>https://drive.google.com/uc?export=view&amp;id=1El2H3u1oKegOH024Xy7Lm5kpD2hARMXg</t>
  </si>
  <si>
    <t>Husni Radiyan, S.T., QWP, RIFA</t>
  </si>
  <si>
    <t>087779333580</t>
  </si>
  <si>
    <t>3275051305970013</t>
  </si>
  <si>
    <t>Jl Kramat no 22B Ulujami Pesanggrahan Jakarta Selatan DKI Jakarta</t>
  </si>
  <si>
    <t>Corporate Planner Coordinator - Bomba Group (2021-2023)</t>
  </si>
  <si>
    <t>Freelance Sharia Financial Planning Agency  (2022-sekarang)</t>
  </si>
  <si>
    <t>variasi, 5.000.000 - 15.000.000</t>
  </si>
  <si>
    <t>7.000.000 (bukan kendala jika ada offering/negosiasi)</t>
  </si>
  <si>
    <t>husniradiyan@gmail.com</t>
  </si>
  <si>
    <t>1QZij4C5Vib2d_2le-xsRdhWqNdfSJqmkL8R6_-1zcwo</t>
  </si>
  <si>
    <t>https://docs.google.com/document/d/1QZij4C5Vib2d_2le-xsRdhWqNdfSJqmkL8R6_-1zcwo/edit?usp=drivesdk</t>
  </si>
  <si>
    <t>Document successfully created; Document successfully merged; Run via form trigger as kemal.stafsus@gmail.com; Timestamp: Sep 21, 2026 5:51 AM</t>
  </si>
  <si>
    <t>https://drive.google.com/open?id=1ohpkekBlcLDGGylRxZoAW23H8hjLDGeq</t>
  </si>
  <si>
    <t>https://drive.google.com/uc?export=view&amp;id=1ohpkekBlcLDGGylRxZoAW23H8hjLDGeq</t>
  </si>
  <si>
    <t>Putri Salsa Nabila</t>
  </si>
  <si>
    <t>087812029539</t>
  </si>
  <si>
    <t>3275016310010021</t>
  </si>
  <si>
    <t>Damn Tasty Burger, Jalan Pulau Mentawai I No. 127, RT.1/RW.15, Aren Jaya, Bekasi Timur, KOTA BEKASI, BEKASI TIMUR, JAWA BARAT, ID, 17111</t>
  </si>
  <si>
    <t>23 November 2001</t>
  </si>
  <si>
    <t>Alwafa setu bekasi</t>
  </si>
  <si>
    <t>Ibnu Hajar Boarding School</t>
  </si>
  <si>
    <t>naputrisalsa23@gmail.com</t>
  </si>
  <si>
    <t>1x-sqxenIhv76FzaeatBfKnfaE2_br5ULtAZ7sBf_wLw</t>
  </si>
  <si>
    <t>https://docs.google.com/document/d/1x-sqxenIhv76FzaeatBfKnfaE2_br5ULtAZ7sBf_wLw/edit?usp=drivesdk</t>
  </si>
  <si>
    <t>Document successfully created; Document successfully merged; Run via form trigger as kemal.stafsus@gmail.com; Timestamp: Sep 22, 2026 1:39 AM</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</si>
</sst>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quot;Rp&quot;#,##0"/>
    <numFmt numFmtId="166" formatCode="d/m/yyyy"/>
    <numFmt numFmtId="167" formatCode="#,##0&quot;Rp&quot;"/>
  </numFmts>
  <fonts count="5">
    <font>
      <sz val="10.0"/>
      <color rgb="FF000000"/>
      <name val="Arial"/>
      <scheme val="minor"/>
    </font>
    <font>
      <color theme="1"/>
      <name val="Arial"/>
      <scheme val="minor"/>
    </font>
    <font>
      <b/>
      <i/>
      <color rgb="FF000000"/>
      <name val="Arial"/>
      <scheme val="minor"/>
    </font>
    <font>
      <u/>
      <color rgb="FF0000FF"/>
    </font>
    <font>
      <u/>
      <color rgb="FF0000FF"/>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xf>
    <xf borderId="0" fillId="0" fontId="1" numFmtId="0" xfId="0" applyFont="1"/>
    <xf borderId="0" fillId="2" fontId="2" numFmtId="0" xfId="0" applyAlignment="1" applyFill="1" applyFont="1">
      <alignment readingOrder="0"/>
    </xf>
    <xf borderId="0" fillId="0" fontId="1" numFmtId="164" xfId="0" applyAlignment="1" applyFont="1" applyNumberFormat="1">
      <alignment readingOrder="0"/>
    </xf>
    <xf borderId="0" fillId="0" fontId="3" numFmtId="0" xfId="0" applyAlignment="1" applyFont="1">
      <alignment readingOrder="0"/>
    </xf>
    <xf borderId="0" fillId="0" fontId="4" numFmtId="0" xfId="0" applyFont="1"/>
    <xf quotePrefix="1" borderId="0" fillId="0" fontId="1" numFmtId="0" xfId="0" applyAlignment="1" applyFont="1">
      <alignment readingOrder="0"/>
    </xf>
    <xf borderId="0" fillId="0" fontId="1" numFmtId="3" xfId="0" applyAlignment="1" applyFont="1" applyNumberFormat="1">
      <alignment readingOrder="0"/>
    </xf>
    <xf borderId="0" fillId="0" fontId="1"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rive.google.com/uc?export=view&amp;id=1HTN1Mu5-zbYZsT5gG-TPIwha0bZHZqMK" TargetMode="External"/><Relationship Id="rId391" Type="http://schemas.openxmlformats.org/officeDocument/2006/relationships/hyperlink" Target="https://drive.google.com/open?id=1HTN1Mu5-zbYZsT5gG-TPIwha0bZHZqMK" TargetMode="External"/><Relationship Id="rId390" Type="http://schemas.openxmlformats.org/officeDocument/2006/relationships/hyperlink" Target="https://docs.google.com/document/d/1OtykXbda4Og1X9V643LCOk9Q14564n9gaYe4ObZZnDo/edit?usp=drivesdk" TargetMode="External"/><Relationship Id="rId2180" Type="http://schemas.openxmlformats.org/officeDocument/2006/relationships/hyperlink" Target="https://drive.google.com/open?id=1uE4mfLtN2JG7AppnkBHGE1Prk7a-ZwcY" TargetMode="External"/><Relationship Id="rId2181" Type="http://schemas.openxmlformats.org/officeDocument/2006/relationships/hyperlink" Target="https://drive.google.com/uc?export=view&amp;id=1uE4mfLtN2JG7AppnkBHGE1Prk7a-ZwcY" TargetMode="External"/><Relationship Id="rId2182" Type="http://schemas.openxmlformats.org/officeDocument/2006/relationships/hyperlink" Target="https://docs.google.com/document/d/12tRdpTrPADXqMfAqKJe8yOqbxazEnvsLSIMiPsRbXNM/edit?usp=drivesdk" TargetMode="External"/><Relationship Id="rId2183" Type="http://schemas.openxmlformats.org/officeDocument/2006/relationships/hyperlink" Target="https://drive.google.com/open?id=11Wp7jpOxcBgfEpqSLzYCBsekzH6RkTHS" TargetMode="External"/><Relationship Id="rId385" Type="http://schemas.openxmlformats.org/officeDocument/2006/relationships/hyperlink" Target="https://drive.google.com/open?id=1r15y01IeCFGr9TIreRkqimPR5Iyxp1D3" TargetMode="External"/><Relationship Id="rId2184" Type="http://schemas.openxmlformats.org/officeDocument/2006/relationships/hyperlink" Target="https://drive.google.com/uc?export=view&amp;id=11Wp7jpOxcBgfEpqSLzYCBsekzH6RkTHS" TargetMode="External"/><Relationship Id="rId384" Type="http://schemas.openxmlformats.org/officeDocument/2006/relationships/hyperlink" Target="https://docs.google.com/document/d/1Q1qTo3ZewIVAGVKXp_nuHPv2P0g7Kq1SZjrVv8a3V4g/edit?usp=drivesdk" TargetMode="External"/><Relationship Id="rId2185" Type="http://schemas.openxmlformats.org/officeDocument/2006/relationships/hyperlink" Target="https://docs.google.com/document/d/15YmNT-8Y_OEGuu26x_8yMQBBweAJ9_HmPgsEuRJ9OlU/edit?usp=drivesdk" TargetMode="External"/><Relationship Id="rId383" Type="http://schemas.openxmlformats.org/officeDocument/2006/relationships/hyperlink" Target="https://drive.google.com/uc?export=view&amp;id=1LP_Ceou0srZ1ZFQYW3dUZ0KncvMTVfvU" TargetMode="External"/><Relationship Id="rId2186" Type="http://schemas.openxmlformats.org/officeDocument/2006/relationships/hyperlink" Target="https://drive.google.com/open?id=1kKOX535kPtkMcW4xBszQThQqnl7Zo3XI" TargetMode="External"/><Relationship Id="rId382" Type="http://schemas.openxmlformats.org/officeDocument/2006/relationships/hyperlink" Target="https://drive.google.com/open?id=1LP_Ceou0srZ1ZFQYW3dUZ0KncvMTVfvU" TargetMode="External"/><Relationship Id="rId2187" Type="http://schemas.openxmlformats.org/officeDocument/2006/relationships/hyperlink" Target="https://drive.google.com/uc?export=view&amp;id=1kKOX535kPtkMcW4xBszQThQqnl7Zo3XI" TargetMode="External"/><Relationship Id="rId389" Type="http://schemas.openxmlformats.org/officeDocument/2006/relationships/hyperlink" Target="https://drive.google.com/uc?export=view&amp;id=1Xq5AuTUPN9YHE5rkFKeOyPlNQ7kPGywi" TargetMode="External"/><Relationship Id="rId2188" Type="http://schemas.openxmlformats.org/officeDocument/2006/relationships/hyperlink" Target="https://docs.google.com/document/d/1Drwa3-FnJW5kIXEUINuKYk-XOCcdY97w0zXCfXGAsZ4/edit?usp=drivesdk" TargetMode="External"/><Relationship Id="rId388" Type="http://schemas.openxmlformats.org/officeDocument/2006/relationships/hyperlink" Target="https://drive.google.com/open?id=1Xq5AuTUPN9YHE5rkFKeOyPlNQ7kPGywi" TargetMode="External"/><Relationship Id="rId2189" Type="http://schemas.openxmlformats.org/officeDocument/2006/relationships/hyperlink" Target="https://drive.google.com/open?id=13yELCxDKe9rZVEQEiOqTfBochFJHNUJj" TargetMode="External"/><Relationship Id="rId387" Type="http://schemas.openxmlformats.org/officeDocument/2006/relationships/hyperlink" Target="https://docs.google.com/document/d/1zYxyEiLPW8TWpJTXqUVIr1ebxwRXe0kjht0ekd6625g/edit?usp=drivesdk" TargetMode="External"/><Relationship Id="rId386" Type="http://schemas.openxmlformats.org/officeDocument/2006/relationships/hyperlink" Target="https://drive.google.com/uc?export=view&amp;id=1r15y01IeCFGr9TIreRkqimPR5Iyxp1D3" TargetMode="External"/><Relationship Id="rId381" Type="http://schemas.openxmlformats.org/officeDocument/2006/relationships/hyperlink" Target="https://docs.google.com/document/d/1CpPrAy5Uj69HJPe7jOLB_aqJuGMKRS5TYVLr9t8EK_s/edit?usp=drivesdk" TargetMode="External"/><Relationship Id="rId380" Type="http://schemas.openxmlformats.org/officeDocument/2006/relationships/hyperlink" Target="https://drive.google.com/uc?export=view&amp;id=1byuVBfGDkkGxR1qAPhUt0xS-2jJysp-h" TargetMode="External"/><Relationship Id="rId379" Type="http://schemas.openxmlformats.org/officeDocument/2006/relationships/hyperlink" Target="https://drive.google.com/open?id=1byuVBfGDkkGxR1qAPhUt0xS-2jJysp-h" TargetMode="External"/><Relationship Id="rId2170" Type="http://schemas.openxmlformats.org/officeDocument/2006/relationships/hyperlink" Target="https://docs.google.com/document/d/188j58W5CLFopF9aatJQZu_6OyJSlOK_KMenkdPvLMM4/edit?usp=drivesdk" TargetMode="External"/><Relationship Id="rId2171" Type="http://schemas.openxmlformats.org/officeDocument/2006/relationships/hyperlink" Target="https://drive.google.com/open?id=16J_vXdJhOSsqjGi09YzjNR0q9jBda2_s" TargetMode="External"/><Relationship Id="rId2172" Type="http://schemas.openxmlformats.org/officeDocument/2006/relationships/hyperlink" Target="https://drive.google.com/uc?export=view&amp;id=16J_vXdJhOSsqjGi09YzjNR0q9jBda2_s" TargetMode="External"/><Relationship Id="rId374" Type="http://schemas.openxmlformats.org/officeDocument/2006/relationships/hyperlink" Target="https://drive.google.com/uc?export=view&amp;id=1_aSU5WqxLtEjO4vJoMozXLhwqqROaD-6" TargetMode="External"/><Relationship Id="rId2173" Type="http://schemas.openxmlformats.org/officeDocument/2006/relationships/hyperlink" Target="https://docs.google.com/document/d/1OT8PdHfCAc5igp-rA97bDWaN-MbX-wC9NVyPSnQpuf0/edit?usp=drivesdk" TargetMode="External"/><Relationship Id="rId373" Type="http://schemas.openxmlformats.org/officeDocument/2006/relationships/hyperlink" Target="https://drive.google.com/open?id=1_aSU5WqxLtEjO4vJoMozXLhwqqROaD-6" TargetMode="External"/><Relationship Id="rId2174" Type="http://schemas.openxmlformats.org/officeDocument/2006/relationships/hyperlink" Target="https://drive.google.com/open?id=18KaYrs-Ih4nqNnna2SmB2C2KvYmn6LWX" TargetMode="External"/><Relationship Id="rId372" Type="http://schemas.openxmlformats.org/officeDocument/2006/relationships/hyperlink" Target="https://docs.google.com/document/d/1NQf-HZqhHFrBN-uVqdQa3L3AjdkmxGjCknh6fF0Pj3A/edit?usp=drivesdk" TargetMode="External"/><Relationship Id="rId2175" Type="http://schemas.openxmlformats.org/officeDocument/2006/relationships/hyperlink" Target="https://drive.google.com/uc?export=view&amp;id=18KaYrs-Ih4nqNnna2SmB2C2KvYmn6LWX" TargetMode="External"/><Relationship Id="rId371" Type="http://schemas.openxmlformats.org/officeDocument/2006/relationships/hyperlink" Target="https://drive.google.com/uc?export=view&amp;id=1Kch2WqEBnOGDC4YNZNSbkCWH0ZMMzRt3" TargetMode="External"/><Relationship Id="rId2176" Type="http://schemas.openxmlformats.org/officeDocument/2006/relationships/hyperlink" Target="https://docs.google.com/document/d/1Q9mPxnwvYMJ2J6vs604fim3xCbm5tL77FDz2-p_7ecA/edit?usp=drivesdk" TargetMode="External"/><Relationship Id="rId378" Type="http://schemas.openxmlformats.org/officeDocument/2006/relationships/hyperlink" Target="https://docs.google.com/document/d/1H67AoVqqiA1RSzych3Iw2BPszDaaaD7TOXm8TcIYpmU/edit?usp=drivesdk" TargetMode="External"/><Relationship Id="rId2177" Type="http://schemas.openxmlformats.org/officeDocument/2006/relationships/hyperlink" Target="https://drive.google.com/open?id=1TXpSh9ZkhZgMA5-pI4VMj-YRLcchbNVm" TargetMode="External"/><Relationship Id="rId377" Type="http://schemas.openxmlformats.org/officeDocument/2006/relationships/hyperlink" Target="https://drive.google.com/uc?export=view&amp;id=1NJj8libExACQBNHSUSBUyL_5ljejBiv-" TargetMode="External"/><Relationship Id="rId2178" Type="http://schemas.openxmlformats.org/officeDocument/2006/relationships/hyperlink" Target="https://drive.google.com/uc?export=view&amp;id=1TXpSh9ZkhZgMA5-pI4VMj-YRLcchbNVm" TargetMode="External"/><Relationship Id="rId376" Type="http://schemas.openxmlformats.org/officeDocument/2006/relationships/hyperlink" Target="https://drive.google.com/open?id=1NJj8libExACQBNHSUSBUyL_5ljejBiv-" TargetMode="External"/><Relationship Id="rId2179" Type="http://schemas.openxmlformats.org/officeDocument/2006/relationships/hyperlink" Target="https://docs.google.com/document/d/1A1GDIFsgV9tL7gRAKUAenaVsXQxfUkh779bblCfYMrQ/edit?usp=drivesdk" TargetMode="External"/><Relationship Id="rId375" Type="http://schemas.openxmlformats.org/officeDocument/2006/relationships/hyperlink" Target="https://docs.google.com/document/d/1t8FWQOpbGaHudD5FFtRxjj8BiOvxCPz_pdleguqpLnY/edit?usp=drivesdk" TargetMode="External"/><Relationship Id="rId2190" Type="http://schemas.openxmlformats.org/officeDocument/2006/relationships/hyperlink" Target="https://drive.google.com/uc?export=view&amp;id=13yELCxDKe9rZVEQEiOqTfBochFJHNUJj" TargetMode="External"/><Relationship Id="rId2191" Type="http://schemas.openxmlformats.org/officeDocument/2006/relationships/hyperlink" Target="https://docs.google.com/document/d/1Cjq9aF5DiRstghRVtgtYmpX4DcphIGiCjUD7vB4Bz4g/edit?usp=drivesdk" TargetMode="External"/><Relationship Id="rId2192" Type="http://schemas.openxmlformats.org/officeDocument/2006/relationships/hyperlink" Target="https://drive.google.com/open?id=16dfB0I8l7xzaxWZu-Y0OEWc5NsOtbP1n" TargetMode="External"/><Relationship Id="rId2193" Type="http://schemas.openxmlformats.org/officeDocument/2006/relationships/hyperlink" Target="https://drive.google.com/uc?export=view&amp;id=16dfB0I8l7xzaxWZu-Y0OEWc5NsOtbP1n" TargetMode="External"/><Relationship Id="rId2194" Type="http://schemas.openxmlformats.org/officeDocument/2006/relationships/hyperlink" Target="https://docs.google.com/document/d/1AY9QDKls2DJ8oey3WGz3UhaH3V76xp6qcvPSSVthqDo/edit?usp=drivesdk" TargetMode="External"/><Relationship Id="rId396" Type="http://schemas.openxmlformats.org/officeDocument/2006/relationships/hyperlink" Target="https://docs.google.com/document/d/1SOhdc3DjV3Bj6-TsoFOeKvSC3w1o3yNmOjzG_pBMa0E/edit?usp=drivesdk" TargetMode="External"/><Relationship Id="rId2195" Type="http://schemas.openxmlformats.org/officeDocument/2006/relationships/hyperlink" Target="https://drive.google.com/open?id=1xzAG27wxDx8kdWQMdkzUKRcSJf4-0hRG" TargetMode="External"/><Relationship Id="rId395" Type="http://schemas.openxmlformats.org/officeDocument/2006/relationships/hyperlink" Target="https://drive.google.com/uc?export=view&amp;id=1bVLS_zztS9xj3VWzh32MB7-8KhjAhtw_" TargetMode="External"/><Relationship Id="rId2196" Type="http://schemas.openxmlformats.org/officeDocument/2006/relationships/hyperlink" Target="https://drive.google.com/uc?export=view&amp;id=1xzAG27wxDx8kdWQMdkzUKRcSJf4-0hRG" TargetMode="External"/><Relationship Id="rId394" Type="http://schemas.openxmlformats.org/officeDocument/2006/relationships/hyperlink" Target="https://drive.google.com/open?id=1bVLS_zztS9xj3VWzh32MB7-8KhjAhtw_" TargetMode="External"/><Relationship Id="rId2197" Type="http://schemas.openxmlformats.org/officeDocument/2006/relationships/hyperlink" Target="https://docs.google.com/document/d/1ZkO7Nri3O4dhwaT0YTfJFpWU8T7Si7nfqZf4h3fEieU/edit?usp=drivesdk" TargetMode="External"/><Relationship Id="rId393" Type="http://schemas.openxmlformats.org/officeDocument/2006/relationships/hyperlink" Target="https://docs.google.com/document/d/1I66JEAfGXjvv8w8Ann-COqn-NlhfArkQPrvNuMt7Jh0/edit?usp=drivesdk" TargetMode="External"/><Relationship Id="rId2198" Type="http://schemas.openxmlformats.org/officeDocument/2006/relationships/hyperlink" Target="https://drive.google.com/open?id=1M56y5mU3zLARHiW0BH3-N76wpvcBAWLn" TargetMode="External"/><Relationship Id="rId2199" Type="http://schemas.openxmlformats.org/officeDocument/2006/relationships/hyperlink" Target="https://drive.google.com/uc?export=view&amp;id=1M56y5mU3zLARHiW0BH3-N76wpvcBAWLn" TargetMode="External"/><Relationship Id="rId399" Type="http://schemas.openxmlformats.org/officeDocument/2006/relationships/hyperlink" Target="https://docs.google.com/document/d/1H4bK7cigRVG_i8tlpUyd9L7VxfApvo0mRzXeHKe4Sms/edit?usp=drivesdk" TargetMode="External"/><Relationship Id="rId398" Type="http://schemas.openxmlformats.org/officeDocument/2006/relationships/hyperlink" Target="https://drive.google.com/uc?export=view&amp;id=1U5lnF1_d9by4o5h4hLAtpKYwzPA10FDx" TargetMode="External"/><Relationship Id="rId397" Type="http://schemas.openxmlformats.org/officeDocument/2006/relationships/hyperlink" Target="https://drive.google.com/open?id=1U5lnF1_d9by4o5h4hLAtpKYwzPA10FDx" TargetMode="External"/><Relationship Id="rId1730" Type="http://schemas.openxmlformats.org/officeDocument/2006/relationships/hyperlink" Target="https://drive.google.com/open?id=1njpF1tMvLzQHPcOeG3oLglxQ9ISYPNVw" TargetMode="External"/><Relationship Id="rId1731" Type="http://schemas.openxmlformats.org/officeDocument/2006/relationships/hyperlink" Target="https://drive.google.com/uc?export=view&amp;id=1njpF1tMvLzQHPcOeG3oLglxQ9ISYPNVw" TargetMode="External"/><Relationship Id="rId1732" Type="http://schemas.openxmlformats.org/officeDocument/2006/relationships/hyperlink" Target="https://docs.google.com/document/d/1rKb84STJHK9kdbz9_dIFv-kgFQFPggSmjGRZiRwcDqw/edit?usp=drivesdk" TargetMode="External"/><Relationship Id="rId1733" Type="http://schemas.openxmlformats.org/officeDocument/2006/relationships/hyperlink" Target="https://drive.google.com/open?id=1ICYRuHXyTPNmVNutFZU40m2Iuik-vugp" TargetMode="External"/><Relationship Id="rId1734" Type="http://schemas.openxmlformats.org/officeDocument/2006/relationships/hyperlink" Target="https://drive.google.com/uc?export=view&amp;id=1ICYRuHXyTPNmVNutFZU40m2Iuik-vugp" TargetMode="External"/><Relationship Id="rId1735" Type="http://schemas.openxmlformats.org/officeDocument/2006/relationships/hyperlink" Target="https://docs.google.com/document/d/1f-F61yukPsFRfxQvaCVRKyx8BAP-QKW97yw8zvFdpis/edit?usp=drivesdk" TargetMode="External"/><Relationship Id="rId1736" Type="http://schemas.openxmlformats.org/officeDocument/2006/relationships/hyperlink" Target="https://drive.google.com/open?id=10lfDDOOY7AZqdPBZv7t8YNw0znCtr9g9" TargetMode="External"/><Relationship Id="rId1737" Type="http://schemas.openxmlformats.org/officeDocument/2006/relationships/hyperlink" Target="https://drive.google.com/uc?export=view&amp;id=10lfDDOOY7AZqdPBZv7t8YNw0znCtr9g9" TargetMode="External"/><Relationship Id="rId1738" Type="http://schemas.openxmlformats.org/officeDocument/2006/relationships/hyperlink" Target="https://docs.google.com/document/d/1ehYFoWVIrgBevcElLSWaHPN1a9VZx4JZlysYtFCUdAM/edit?usp=drivesdk" TargetMode="External"/><Relationship Id="rId1739" Type="http://schemas.openxmlformats.org/officeDocument/2006/relationships/hyperlink" Target="https://drive.google.com/open?id=1YQ21k6LZwynczkrZeQKWQP52wvnynteK" TargetMode="External"/><Relationship Id="rId1720" Type="http://schemas.openxmlformats.org/officeDocument/2006/relationships/hyperlink" Target="https://docs.google.com/document/d/1vh5Ne2OxHw5XxtJAEazdqcOpV95QtNrQGyjQY7pngjc/edit?usp=drivesdk" TargetMode="External"/><Relationship Id="rId1721" Type="http://schemas.openxmlformats.org/officeDocument/2006/relationships/hyperlink" Target="https://drive.google.com/open?id=119QZvL8wLFB3PvMD_Rr-uTrUrqqeMN2G" TargetMode="External"/><Relationship Id="rId1722" Type="http://schemas.openxmlformats.org/officeDocument/2006/relationships/hyperlink" Target="https://drive.google.com/uc?export=view&amp;id=119QZvL8wLFB3PvMD_Rr-uTrUrqqeMN2G" TargetMode="External"/><Relationship Id="rId1723" Type="http://schemas.openxmlformats.org/officeDocument/2006/relationships/hyperlink" Target="https://docs.google.com/document/d/1DLgjjAlYQCd3ObzxAwUyYp7wWc1VHyidQCNUJNVDZMU/edit?usp=drivesdk" TargetMode="External"/><Relationship Id="rId1724" Type="http://schemas.openxmlformats.org/officeDocument/2006/relationships/hyperlink" Target="https://drive.google.com/open?id=1PbxARvt3ifi7O9DubEmStiuKsUfWN_s7" TargetMode="External"/><Relationship Id="rId1725" Type="http://schemas.openxmlformats.org/officeDocument/2006/relationships/hyperlink" Target="https://drive.google.com/uc?export=view&amp;id=1PbxARvt3ifi7O9DubEmStiuKsUfWN_s7" TargetMode="External"/><Relationship Id="rId1726" Type="http://schemas.openxmlformats.org/officeDocument/2006/relationships/hyperlink" Target="https://docs.google.com/document/d/1GloN4hGUq9jzUTL0-rN5NItC8ZdyGef8e0WS1p04jEs/edit?usp=drivesdk" TargetMode="External"/><Relationship Id="rId1727" Type="http://schemas.openxmlformats.org/officeDocument/2006/relationships/hyperlink" Target="https://drive.google.com/open?id=19EJ9wcjKtMpF7H5B5D6RmavgK5rYjbjV" TargetMode="External"/><Relationship Id="rId1728" Type="http://schemas.openxmlformats.org/officeDocument/2006/relationships/hyperlink" Target="https://drive.google.com/uc?export=view&amp;id=19EJ9wcjKtMpF7H5B5D6RmavgK5rYjbjV" TargetMode="External"/><Relationship Id="rId1729" Type="http://schemas.openxmlformats.org/officeDocument/2006/relationships/hyperlink" Target="https://docs.google.com/document/d/1dWsi2S71A9OpYE7IO12-w7usv4I_iH0rQcLYi3NTqk0/edit?usp=drivesdk" TargetMode="External"/><Relationship Id="rId1752" Type="http://schemas.openxmlformats.org/officeDocument/2006/relationships/hyperlink" Target="https://drive.google.com/uc?export=view&amp;id=1pj0Lz3W0xJM5yMh2w8wLOb82lV0TMt4t" TargetMode="External"/><Relationship Id="rId1753" Type="http://schemas.openxmlformats.org/officeDocument/2006/relationships/hyperlink" Target="https://docs.google.com/document/d/1QgD-3gnEu9RZFVY6Kk4mZ-WmfHWZGndMq_xn1Yk3PHs/edit?usp=drivesdk" TargetMode="External"/><Relationship Id="rId1754" Type="http://schemas.openxmlformats.org/officeDocument/2006/relationships/hyperlink" Target="https://drive.google.com/open?id=1eb-ygDMmHNiH7lcUxvtADji1Xfn_e7q0" TargetMode="External"/><Relationship Id="rId1755" Type="http://schemas.openxmlformats.org/officeDocument/2006/relationships/hyperlink" Target="https://drive.google.com/uc?export=view&amp;id=1eb-ygDMmHNiH7lcUxvtADji1Xfn_e7q0" TargetMode="External"/><Relationship Id="rId1756" Type="http://schemas.openxmlformats.org/officeDocument/2006/relationships/hyperlink" Target="https://docs.google.com/document/d/1rBAjHup8LARWxrzO6Wb2v5vO6aHOWokUUVzAZWtd51w/edit?usp=drivesdk" TargetMode="External"/><Relationship Id="rId1757" Type="http://schemas.openxmlformats.org/officeDocument/2006/relationships/hyperlink" Target="https://drive.google.com/open?id=1LnAGlG1edEDuJJ44SaLYpN50quhdLCJU" TargetMode="External"/><Relationship Id="rId1758" Type="http://schemas.openxmlformats.org/officeDocument/2006/relationships/hyperlink" Target="https://drive.google.com/uc?export=view&amp;id=1LnAGlG1edEDuJJ44SaLYpN50quhdLCJU" TargetMode="External"/><Relationship Id="rId1759" Type="http://schemas.openxmlformats.org/officeDocument/2006/relationships/hyperlink" Target="https://docs.google.com/document/d/1dZ8Fq64EPdN8IzCkaM-QgceYgy3cTkDnk038OMc-qso/edit?usp=drivesdk" TargetMode="External"/><Relationship Id="rId1750" Type="http://schemas.openxmlformats.org/officeDocument/2006/relationships/hyperlink" Target="https://docs.google.com/document/d/1EJIEKc5qyz5ugs7clzg4kEm_hsfNkmfBJIkl6gMlZVg/edit?usp=drivesdk" TargetMode="External"/><Relationship Id="rId1751" Type="http://schemas.openxmlformats.org/officeDocument/2006/relationships/hyperlink" Target="https://drive.google.com/open?id=1pj0Lz3W0xJM5yMh2w8wLOb82lV0TMt4t" TargetMode="External"/><Relationship Id="rId1741" Type="http://schemas.openxmlformats.org/officeDocument/2006/relationships/hyperlink" Target="https://docs.google.com/document/d/1B7vsNIm88_jNDJb38_IYywOflpeToJSgoyG4i-XEA3c/edit?usp=drivesdk" TargetMode="External"/><Relationship Id="rId1742" Type="http://schemas.openxmlformats.org/officeDocument/2006/relationships/hyperlink" Target="https://drive.google.com/open?id=1MvxsBQO16sx_TXX3zrtgR8SmoUvfcka_" TargetMode="External"/><Relationship Id="rId1743" Type="http://schemas.openxmlformats.org/officeDocument/2006/relationships/hyperlink" Target="https://drive.google.com/uc?export=view&amp;id=1MvxsBQO16sx_TXX3zrtgR8SmoUvfcka_" TargetMode="External"/><Relationship Id="rId1744" Type="http://schemas.openxmlformats.org/officeDocument/2006/relationships/hyperlink" Target="https://docs.google.com/document/d/1G3rXyPaWas56dNpdEnBWO5G3O2ikodii37B18ergiBg/edit?usp=drivesdk" TargetMode="External"/><Relationship Id="rId1745" Type="http://schemas.openxmlformats.org/officeDocument/2006/relationships/hyperlink" Target="https://drive.google.com/open?id=1Jw0dRb4Z2fEtcrdMfUMXrVC3SfWbHjew" TargetMode="External"/><Relationship Id="rId1746" Type="http://schemas.openxmlformats.org/officeDocument/2006/relationships/hyperlink" Target="https://drive.google.com/uc?export=view&amp;id=1Jw0dRb4Z2fEtcrdMfUMXrVC3SfWbHjew" TargetMode="External"/><Relationship Id="rId1747" Type="http://schemas.openxmlformats.org/officeDocument/2006/relationships/hyperlink" Target="https://docs.google.com/document/d/1xloGRWYy1Xv3HNLbi2w-IfJRjOI_PRTRb7w-rc4NG-0/edit?usp=drivesdk" TargetMode="External"/><Relationship Id="rId1748" Type="http://schemas.openxmlformats.org/officeDocument/2006/relationships/hyperlink" Target="https://drive.google.com/open?id=1Edj7VdOjMX9BQXeZ7_m5kmzUvJIvNPyM" TargetMode="External"/><Relationship Id="rId1749" Type="http://schemas.openxmlformats.org/officeDocument/2006/relationships/hyperlink" Target="https://drive.google.com/uc?export=view&amp;id=1Edj7VdOjMX9BQXeZ7_m5kmzUvJIvNPyM" TargetMode="External"/><Relationship Id="rId1740" Type="http://schemas.openxmlformats.org/officeDocument/2006/relationships/hyperlink" Target="https://drive.google.com/uc?export=view&amp;id=1YQ21k6LZwynczkrZeQKWQP52wvnynteK" TargetMode="External"/><Relationship Id="rId1710" Type="http://schemas.openxmlformats.org/officeDocument/2006/relationships/hyperlink" Target="https://drive.google.com/uc?export=view&amp;id=137LvFbmtxkUqdCYjQSOdFRorhhzVIoU_" TargetMode="External"/><Relationship Id="rId1711" Type="http://schemas.openxmlformats.org/officeDocument/2006/relationships/hyperlink" Target="https://docs.google.com/document/d/19S5tS93uHjH0aGR_skr_imD7MWROhYAg8WPujNmpuEg/edit?usp=drivesdk" TargetMode="External"/><Relationship Id="rId1712" Type="http://schemas.openxmlformats.org/officeDocument/2006/relationships/hyperlink" Target="https://drive.google.com/open?id=1Y0yX__jdGoND-TGGcSmgfitaGZ3O1Oc9" TargetMode="External"/><Relationship Id="rId1713" Type="http://schemas.openxmlformats.org/officeDocument/2006/relationships/hyperlink" Target="https://drive.google.com/uc?export=view&amp;id=1Y0yX__jdGoND-TGGcSmgfitaGZ3O1Oc9" TargetMode="External"/><Relationship Id="rId1714" Type="http://schemas.openxmlformats.org/officeDocument/2006/relationships/hyperlink" Target="https://docs.google.com/document/d/1V7mES7VnoqU3MOJdLMF6QjedurvuJAQc5_49a8kqxvQ/edit?usp=drivesdk" TargetMode="External"/><Relationship Id="rId1715" Type="http://schemas.openxmlformats.org/officeDocument/2006/relationships/hyperlink" Target="https://drive.google.com/open?id=1hCOvYrYaM1MDpgnaV7i7HyoLyXYBj2-L" TargetMode="External"/><Relationship Id="rId1716" Type="http://schemas.openxmlformats.org/officeDocument/2006/relationships/hyperlink" Target="https://drive.google.com/uc?export=view&amp;id=1hCOvYrYaM1MDpgnaV7i7HyoLyXYBj2-L" TargetMode="External"/><Relationship Id="rId1717" Type="http://schemas.openxmlformats.org/officeDocument/2006/relationships/hyperlink" Target="https://docs.google.com/document/d/1CZUZbIM1IE7OVWfFlq_F0unNd2llnfocLAGUc5WYw7k/edit?usp=drivesdk" TargetMode="External"/><Relationship Id="rId1718" Type="http://schemas.openxmlformats.org/officeDocument/2006/relationships/hyperlink" Target="https://drive.google.com/open?id=1Omf55zyyIKWdch6zxsu36gGuWtLVPs-1" TargetMode="External"/><Relationship Id="rId1719" Type="http://schemas.openxmlformats.org/officeDocument/2006/relationships/hyperlink" Target="https://drive.google.com/uc?export=view&amp;id=1Omf55zyyIKWdch6zxsu36gGuWtLVPs-1" TargetMode="External"/><Relationship Id="rId1700" Type="http://schemas.openxmlformats.org/officeDocument/2006/relationships/hyperlink" Target="https://drive.google.com/open?id=1a6uVw34ijisjNlGnHzADItYojASyqXCw" TargetMode="External"/><Relationship Id="rId1701" Type="http://schemas.openxmlformats.org/officeDocument/2006/relationships/hyperlink" Target="https://drive.google.com/uc?export=view&amp;id=1a6uVw34ijisjNlGnHzADItYojASyqXCw" TargetMode="External"/><Relationship Id="rId1702" Type="http://schemas.openxmlformats.org/officeDocument/2006/relationships/hyperlink" Target="https://docs.google.com/document/d/174ggXQ2fRv-Sp4nXF-ih-eGsXvAqPJpatoWH3Wc75lw/edit?usp=drivesdk" TargetMode="External"/><Relationship Id="rId1703" Type="http://schemas.openxmlformats.org/officeDocument/2006/relationships/hyperlink" Target="https://drive.google.com/open?id=1keKUA7h59ULGQjJLcgPs_NhjJZCZv0bj" TargetMode="External"/><Relationship Id="rId1704" Type="http://schemas.openxmlformats.org/officeDocument/2006/relationships/hyperlink" Target="https://drive.google.com/uc?export=view&amp;id=1keKUA7h59ULGQjJLcgPs_NhjJZCZv0bj" TargetMode="External"/><Relationship Id="rId1705" Type="http://schemas.openxmlformats.org/officeDocument/2006/relationships/hyperlink" Target="https://docs.google.com/document/d/1SUeCqh7unYMPopg6JltFmaii4BLvP3XVKRJEED_LC6U/edit?usp=drivesdk" TargetMode="External"/><Relationship Id="rId1706" Type="http://schemas.openxmlformats.org/officeDocument/2006/relationships/hyperlink" Target="https://drive.google.com/open?id=1JC_hp7dJt3MS5niwwswQwDzhGLBATvHG" TargetMode="External"/><Relationship Id="rId1707" Type="http://schemas.openxmlformats.org/officeDocument/2006/relationships/hyperlink" Target="https://drive.google.com/uc?export=view&amp;id=1JC_hp7dJt3MS5niwwswQwDzhGLBATvHG" TargetMode="External"/><Relationship Id="rId1708" Type="http://schemas.openxmlformats.org/officeDocument/2006/relationships/hyperlink" Target="https://docs.google.com/document/d/1SzRbgPyae4akZO2weZYAU2FfkRCxm7pdQI5ad6kMZXE/edit?usp=drivesdk" TargetMode="External"/><Relationship Id="rId1709" Type="http://schemas.openxmlformats.org/officeDocument/2006/relationships/hyperlink" Target="https://drive.google.com/open?id=137LvFbmtxkUqdCYjQSOdFRorhhzVIoU_" TargetMode="External"/><Relationship Id="rId40" Type="http://schemas.openxmlformats.org/officeDocument/2006/relationships/hyperlink" Target="https://drive.google.com/open?id=1X6oKd6N-LW09wEotS23IS7gA-v8Zweli" TargetMode="External"/><Relationship Id="rId3513" Type="http://schemas.openxmlformats.org/officeDocument/2006/relationships/hyperlink" Target="https://drive.google.com/uc?export=view&amp;id=1mFHqGtBycMzJEnFYK7XIWkVOzmDF0ox9" TargetMode="External"/><Relationship Id="rId3512" Type="http://schemas.openxmlformats.org/officeDocument/2006/relationships/hyperlink" Target="https://drive.google.com/open?id=1mFHqGtBycMzJEnFYK7XIWkVOzmDF0ox9" TargetMode="External"/><Relationship Id="rId42" Type="http://schemas.openxmlformats.org/officeDocument/2006/relationships/hyperlink" Target="https://docs.google.com/document/d/1dna-YAGCes6SW1gXOYesbvpbbbtAX5QmBllqvZXAUnU/edit?usp=drivesdk" TargetMode="External"/><Relationship Id="rId3515" Type="http://schemas.openxmlformats.org/officeDocument/2006/relationships/hyperlink" Target="https://drive.google.com/open?id=1Z8DyokO7OiLu9tvpagOmf4WZHrSNK67X" TargetMode="External"/><Relationship Id="rId41" Type="http://schemas.openxmlformats.org/officeDocument/2006/relationships/hyperlink" Target="https://drive.google.com/uc?export=view&amp;id=1X6oKd6N-LW09wEotS23IS7gA-v8Zweli" TargetMode="External"/><Relationship Id="rId3514" Type="http://schemas.openxmlformats.org/officeDocument/2006/relationships/hyperlink" Target="https://docs.google.com/document/d/1_w_nnOn5gf7cghMKqR_D1okYy8wm6H9F-BABfk1aVt8/edit?usp=drivesdk" TargetMode="External"/><Relationship Id="rId44" Type="http://schemas.openxmlformats.org/officeDocument/2006/relationships/hyperlink" Target="https://drive.google.com/uc?export=view&amp;id=1jbJsZ_0X2YOQ0sdysWcZMpvbTQFjl-o7" TargetMode="External"/><Relationship Id="rId3517" Type="http://schemas.openxmlformats.org/officeDocument/2006/relationships/hyperlink" Target="https://docs.google.com/document/d/1qAU70I-oOfWhBMycpipGbaeAa2_v87I8FlhXjTrnb4E/edit?usp=drivesdk" TargetMode="External"/><Relationship Id="rId43" Type="http://schemas.openxmlformats.org/officeDocument/2006/relationships/hyperlink" Target="https://drive.google.com/open?id=1jbJsZ_0X2YOQ0sdysWcZMpvbTQFjl-o7" TargetMode="External"/><Relationship Id="rId3516" Type="http://schemas.openxmlformats.org/officeDocument/2006/relationships/hyperlink" Target="https://drive.google.com/uc?export=view&amp;id=1Z8DyokO7OiLu9tvpagOmf4WZHrSNK67X" TargetMode="External"/><Relationship Id="rId46" Type="http://schemas.openxmlformats.org/officeDocument/2006/relationships/hyperlink" Target="https://drive.google.com/open?id=1aoERwgfIev3_D1FNH1rPMdjJumw2K0g1" TargetMode="External"/><Relationship Id="rId3519" Type="http://schemas.openxmlformats.org/officeDocument/2006/relationships/hyperlink" Target="https://drive.google.com/uc?export=view&amp;id=1Yer-5z8FlIcxzBI1bztliH-yzQ4iLc05" TargetMode="External"/><Relationship Id="rId45" Type="http://schemas.openxmlformats.org/officeDocument/2006/relationships/hyperlink" Target="https://docs.google.com/document/d/1ZtKTnvW6YMhGpYDkNGhkohED73w0zsVgEihhgI1Gcew/edit?usp=drivesdk" TargetMode="External"/><Relationship Id="rId3518" Type="http://schemas.openxmlformats.org/officeDocument/2006/relationships/hyperlink" Target="https://drive.google.com/open?id=1Yer-5z8FlIcxzBI1bztliH-yzQ4iLc05" TargetMode="External"/><Relationship Id="rId48" Type="http://schemas.openxmlformats.org/officeDocument/2006/relationships/hyperlink" Target="https://docs.google.com/document/d/1yY9EFzUGnB7iFzL4PQB58khv8CCQmS2GBON2G_vC6Ys/edit?usp=drivesdk" TargetMode="External"/><Relationship Id="rId47" Type="http://schemas.openxmlformats.org/officeDocument/2006/relationships/hyperlink" Target="https://drive.google.com/uc?export=view&amp;id=1aoERwgfIev3_D1FNH1rPMdjJumw2K0g1" TargetMode="External"/><Relationship Id="rId49" Type="http://schemas.openxmlformats.org/officeDocument/2006/relationships/hyperlink" Target="https://drive.google.com/open?id=1-CD3tEMlBIJHDKQXVCRaSNn_iZOD5VNr" TargetMode="External"/><Relationship Id="rId3511" Type="http://schemas.openxmlformats.org/officeDocument/2006/relationships/hyperlink" Target="https://docs.google.com/document/d/1G_EyKyF4MmL0H3tDPrXnJGotyWqJlf0fMflNLApVhMI/edit?usp=drivesdk" TargetMode="External"/><Relationship Id="rId3510" Type="http://schemas.openxmlformats.org/officeDocument/2006/relationships/hyperlink" Target="https://drive.google.com/uc?export=view&amp;id=1p5HtgZL-C1wVlU_9a3K7XHc1pNT0ruik" TargetMode="External"/><Relationship Id="rId3502" Type="http://schemas.openxmlformats.org/officeDocument/2006/relationships/hyperlink" Target="https://docs.google.com/document/d/1OfyeQ2ujoeREji5OqnGw1wIhhGi6Gyhqn9NWuG_vcVo/edit?usp=drivesdk" TargetMode="External"/><Relationship Id="rId3501" Type="http://schemas.openxmlformats.org/officeDocument/2006/relationships/hyperlink" Target="https://drive.google.com/uc?export=view&amp;id=1iLkWJePA50yIolJ_ZYJQQJajTHmR9vav" TargetMode="External"/><Relationship Id="rId31" Type="http://schemas.openxmlformats.org/officeDocument/2006/relationships/hyperlink" Target="https://drive.google.com/open?id=1Hh10FqKxMbv7uVLtY5-0wyaZ5dPr_nCi" TargetMode="External"/><Relationship Id="rId3504" Type="http://schemas.openxmlformats.org/officeDocument/2006/relationships/hyperlink" Target="https://drive.google.com/uc?export=view&amp;id=12EfLO7vIM3lDNumyXnudbWU069Wqi13P" TargetMode="External"/><Relationship Id="rId30" Type="http://schemas.openxmlformats.org/officeDocument/2006/relationships/hyperlink" Target="https://docs.google.com/document/d/1ys3KVIjbfI_yCNHbszPtcM4z5I1ulNJjeEt12-WBdps/edit?usp=drivesdk" TargetMode="External"/><Relationship Id="rId3503" Type="http://schemas.openxmlformats.org/officeDocument/2006/relationships/hyperlink" Target="https://drive.google.com/open?id=12EfLO7vIM3lDNumyXnudbWU069Wqi13P" TargetMode="External"/><Relationship Id="rId33" Type="http://schemas.openxmlformats.org/officeDocument/2006/relationships/hyperlink" Target="https://docs.google.com/document/d/1dzNrjNLB5gxAYW5txTV_xlLhNuFqF8BgX5L-toYHe2s/edit?usp=drivesdk" TargetMode="External"/><Relationship Id="rId3506" Type="http://schemas.openxmlformats.org/officeDocument/2006/relationships/hyperlink" Target="https://drive.google.com/open?id=1r5_dWvdPWlLCiNoAHKuT_4jpPLfIvSCR" TargetMode="External"/><Relationship Id="rId32" Type="http://schemas.openxmlformats.org/officeDocument/2006/relationships/hyperlink" Target="https://drive.google.com/uc?export=view&amp;id=1Hh10FqKxMbv7uVLtY5-0wyaZ5dPr_nCi" TargetMode="External"/><Relationship Id="rId3505" Type="http://schemas.openxmlformats.org/officeDocument/2006/relationships/hyperlink" Target="https://docs.google.com/document/d/10GQXqtWdky4vER8IuPzW5MHTKacNrio0CazOoZT8SIw/edit?usp=drivesdk" TargetMode="External"/><Relationship Id="rId35" Type="http://schemas.openxmlformats.org/officeDocument/2006/relationships/hyperlink" Target="https://drive.google.com/uc?export=view&amp;id=1KhJDuSdTEUhHTwFzKWDvp2vAlL3lqegF" TargetMode="External"/><Relationship Id="rId3508" Type="http://schemas.openxmlformats.org/officeDocument/2006/relationships/hyperlink" Target="https://docs.google.com/document/d/1JACQJ3en3ii6Qwl3LuP_5R_rWGpgGmu5Y2S-9zHqyEg/edit?usp=drivesdk" TargetMode="External"/><Relationship Id="rId34" Type="http://schemas.openxmlformats.org/officeDocument/2006/relationships/hyperlink" Target="https://drive.google.com/open?id=1KhJDuSdTEUhHTwFzKWDvp2vAlL3lqegF" TargetMode="External"/><Relationship Id="rId3507" Type="http://schemas.openxmlformats.org/officeDocument/2006/relationships/hyperlink" Target="https://drive.google.com/uc?export=view&amp;id=1r5_dWvdPWlLCiNoAHKuT_4jpPLfIvSCR" TargetMode="External"/><Relationship Id="rId3509" Type="http://schemas.openxmlformats.org/officeDocument/2006/relationships/hyperlink" Target="https://drive.google.com/open?id=1p5HtgZL-C1wVlU_9a3K7XHc1pNT0ruik" TargetMode="External"/><Relationship Id="rId37" Type="http://schemas.openxmlformats.org/officeDocument/2006/relationships/hyperlink" Target="https://drive.google.com/open?id=1WR5JqYZG0c9Of10n1-Etqm7AklVIubJ1" TargetMode="External"/><Relationship Id="rId36" Type="http://schemas.openxmlformats.org/officeDocument/2006/relationships/hyperlink" Target="https://docs.google.com/document/d/1Q3uQI_zjGqT62R9nc8h4JK0ZDhTBjJ5dpUoxEuOtxS8/edit?usp=drivesdk" TargetMode="External"/><Relationship Id="rId39" Type="http://schemas.openxmlformats.org/officeDocument/2006/relationships/hyperlink" Target="https://docs.google.com/document/d/18kMIxLzmpUtmMhN--b2WCavSxrqCk6yUjvdl-0GlJU8/edit?usp=drivesdk" TargetMode="External"/><Relationship Id="rId38" Type="http://schemas.openxmlformats.org/officeDocument/2006/relationships/hyperlink" Target="https://drive.google.com/uc?export=view&amp;id=1WR5JqYZG0c9Of10n1-Etqm7AklVIubJ1" TargetMode="External"/><Relationship Id="rId3500" Type="http://schemas.openxmlformats.org/officeDocument/2006/relationships/hyperlink" Target="https://drive.google.com/open?id=1iLkWJePA50yIolJ_ZYJQQJajTHmR9vav" TargetMode="External"/><Relationship Id="rId2203" Type="http://schemas.openxmlformats.org/officeDocument/2006/relationships/hyperlink" Target="https://docs.google.com/document/d/1sThW2bPPIEBB7AbeUnRmKlS0Kfgcqxa2YZZtudDFC_g/edit?usp=drivesdk" TargetMode="External"/><Relationship Id="rId3535" Type="http://schemas.openxmlformats.org/officeDocument/2006/relationships/hyperlink" Target="https://docs.google.com/document/d/1m3QxNwHbbpf9rTqvW4zhG476lae08PTx6lVT4unGiA8/edit?usp=drivesdk" TargetMode="External"/><Relationship Id="rId2204" Type="http://schemas.openxmlformats.org/officeDocument/2006/relationships/hyperlink" Target="https://drive.google.com/open?id=1XeNxr2RCGcYZGqVWNsZR_tWseFWRg-cd" TargetMode="External"/><Relationship Id="rId3534" Type="http://schemas.openxmlformats.org/officeDocument/2006/relationships/hyperlink" Target="https://drive.google.com/uc?export=view&amp;id=1ERtvsxzDcB7gcTzMevGkiY5PH_1W9kjn" TargetMode="External"/><Relationship Id="rId20" Type="http://schemas.openxmlformats.org/officeDocument/2006/relationships/hyperlink" Target="https://drive.google.com/uc?export=view&amp;id=1vE1B_tfDbaBKblA8StZsPpC4ITJysCEl" TargetMode="External"/><Relationship Id="rId2205" Type="http://schemas.openxmlformats.org/officeDocument/2006/relationships/hyperlink" Target="https://drive.google.com/uc?export=view&amp;id=1XeNxr2RCGcYZGqVWNsZR_tWseFWRg-cd" TargetMode="External"/><Relationship Id="rId3537" Type="http://schemas.openxmlformats.org/officeDocument/2006/relationships/hyperlink" Target="https://drive.google.com/uc?export=view&amp;id=1jpVtyfrv8XV6rOQWT2_f7cD7IPUmlZPD" TargetMode="External"/><Relationship Id="rId2206" Type="http://schemas.openxmlformats.org/officeDocument/2006/relationships/hyperlink" Target="https://docs.google.com/document/d/1FOP_UP9qygBZJy8UrtQG16t41QrRMHCGK-PGfzCQMbw/edit?usp=drivesdk" TargetMode="External"/><Relationship Id="rId3536" Type="http://schemas.openxmlformats.org/officeDocument/2006/relationships/hyperlink" Target="https://drive.google.com/open?id=1jpVtyfrv8XV6rOQWT2_f7cD7IPUmlZPD" TargetMode="External"/><Relationship Id="rId22" Type="http://schemas.openxmlformats.org/officeDocument/2006/relationships/hyperlink" Target="https://drive.google.com/open?id=1NJp57V1EXq-RRiWKRlFP9g1MoM0zzR7P" TargetMode="External"/><Relationship Id="rId2207" Type="http://schemas.openxmlformats.org/officeDocument/2006/relationships/hyperlink" Target="https://drive.google.com/open?id=1TK2n9WtdHxCMk-R5a9ncptG_PClLvy5Z" TargetMode="External"/><Relationship Id="rId3539" Type="http://schemas.openxmlformats.org/officeDocument/2006/relationships/hyperlink" Target="https://drive.google.com/open?id=1QcW4XPhvOp6kYcVwl7cVskoYJPWN5byN" TargetMode="External"/><Relationship Id="rId21" Type="http://schemas.openxmlformats.org/officeDocument/2006/relationships/hyperlink" Target="https://docs.google.com/document/d/1ViHyE4JGxDWZupHdUk4zAt49i7smMwFbTh1Z6OkpPwQ/edit?usp=drivesdk" TargetMode="External"/><Relationship Id="rId2208" Type="http://schemas.openxmlformats.org/officeDocument/2006/relationships/hyperlink" Target="https://drive.google.com/uc?export=view&amp;id=1TK2n9WtdHxCMk-R5a9ncptG_PClLvy5Z" TargetMode="External"/><Relationship Id="rId3538" Type="http://schemas.openxmlformats.org/officeDocument/2006/relationships/hyperlink" Target="https://docs.google.com/document/d/17gxZss64TDu-qQ0rK1wyf1LR9k532Tk6VNmwsA_EXHo/edit?usp=drivesdk" TargetMode="External"/><Relationship Id="rId24" Type="http://schemas.openxmlformats.org/officeDocument/2006/relationships/hyperlink" Target="https://docs.google.com/document/d/1X-orkqKk3fbi9_gK7KYFV4yxYUTJVb4yHi10hKKhnfw/edit?usp=drivesdk" TargetMode="External"/><Relationship Id="rId2209" Type="http://schemas.openxmlformats.org/officeDocument/2006/relationships/hyperlink" Target="https://docs.google.com/document/d/1Gn-kLU8gAB7O9JNpVITHnZ2KD59MUFBPG9x-SIRFjQk/edit?usp=drivesdk" TargetMode="External"/><Relationship Id="rId23" Type="http://schemas.openxmlformats.org/officeDocument/2006/relationships/hyperlink" Target="https://drive.google.com/uc?export=view&amp;id=1NJp57V1EXq-RRiWKRlFP9g1MoM0zzR7P" TargetMode="External"/><Relationship Id="rId26" Type="http://schemas.openxmlformats.org/officeDocument/2006/relationships/hyperlink" Target="https://drive.google.com/uc?export=view&amp;id=1SWgb1X9EY1UlxQIvrveDJTNEdUzAmOtp" TargetMode="External"/><Relationship Id="rId25" Type="http://schemas.openxmlformats.org/officeDocument/2006/relationships/hyperlink" Target="https://drive.google.com/open?id=1SWgb1X9EY1UlxQIvrveDJTNEdUzAmOtp" TargetMode="External"/><Relationship Id="rId28" Type="http://schemas.openxmlformats.org/officeDocument/2006/relationships/hyperlink" Target="https://drive.google.com/open?id=1U-0hkBOJ_oP3Oinp9eosS_rNqw2gY0r-" TargetMode="External"/><Relationship Id="rId27" Type="http://schemas.openxmlformats.org/officeDocument/2006/relationships/hyperlink" Target="https://docs.google.com/document/d/1F_HFneLnfBsxygIVvuCY_bdYs6aR-c_jLITKH90wJYg/edit?usp=drivesdk" TargetMode="External"/><Relationship Id="rId3531" Type="http://schemas.openxmlformats.org/officeDocument/2006/relationships/hyperlink" Target="https://drive.google.com/uc?export=view&amp;id=1d7ednEU4vgZMPX9sqaLHu8xNjJIBphmB" TargetMode="External"/><Relationship Id="rId29" Type="http://schemas.openxmlformats.org/officeDocument/2006/relationships/hyperlink" Target="https://drive.google.com/uc?export=view&amp;id=1U-0hkBOJ_oP3Oinp9eosS_rNqw2gY0r-" TargetMode="External"/><Relationship Id="rId2200" Type="http://schemas.openxmlformats.org/officeDocument/2006/relationships/hyperlink" Target="https://docs.google.com/document/d/1H8z2UthCnMn0abUU1chbYcnYZ8kGzEpQzTSl0bNkCgE/edit?usp=drivesdk" TargetMode="External"/><Relationship Id="rId3530" Type="http://schemas.openxmlformats.org/officeDocument/2006/relationships/hyperlink" Target="https://drive.google.com/open?id=1d7ednEU4vgZMPX9sqaLHu8xNjJIBphmB" TargetMode="External"/><Relationship Id="rId2201" Type="http://schemas.openxmlformats.org/officeDocument/2006/relationships/hyperlink" Target="https://drive.google.com/open?id=1SJ7_fUyNA3Lx2zkxrxgNxDIaMcC9yj-2" TargetMode="External"/><Relationship Id="rId3533" Type="http://schemas.openxmlformats.org/officeDocument/2006/relationships/hyperlink" Target="https://drive.google.com/open?id=1ERtvsxzDcB7gcTzMevGkiY5PH_1W9kjn" TargetMode="External"/><Relationship Id="rId2202" Type="http://schemas.openxmlformats.org/officeDocument/2006/relationships/hyperlink" Target="https://drive.google.com/uc?export=view&amp;id=1SJ7_fUyNA3Lx2zkxrxgNxDIaMcC9yj-2" TargetMode="External"/><Relationship Id="rId3532" Type="http://schemas.openxmlformats.org/officeDocument/2006/relationships/hyperlink" Target="https://docs.google.com/document/d/11WzbXqcuJa6Lh-gmbXWzQIpjX1oFL6jFt1I3x2ts8v0/edit?usp=drivesdk" TargetMode="External"/><Relationship Id="rId3524" Type="http://schemas.openxmlformats.org/officeDocument/2006/relationships/hyperlink" Target="https://drive.google.com/open?id=169Inn_BFxaLc0lntotbtoYp9r3_WUtG8" TargetMode="External"/><Relationship Id="rId3523" Type="http://schemas.openxmlformats.org/officeDocument/2006/relationships/hyperlink" Target="https://docs.google.com/document/d/1vUOsJ6WN6dKk9AWkk0cFu6y4bDzPtPRTce5q9QsN2xE/edit?usp=drivesdk" TargetMode="External"/><Relationship Id="rId3526" Type="http://schemas.openxmlformats.org/officeDocument/2006/relationships/hyperlink" Target="https://docs.google.com/document/d/1QCsYP9mJZ47pJf5i63sExw1lsEoAjzlxrT65k5Q9AXc/edit?usp=drivesdk" TargetMode="External"/><Relationship Id="rId3525" Type="http://schemas.openxmlformats.org/officeDocument/2006/relationships/hyperlink" Target="https://drive.google.com/uc?export=view&amp;id=169Inn_BFxaLc0lntotbtoYp9r3_WUtG8" TargetMode="External"/><Relationship Id="rId11" Type="http://schemas.openxmlformats.org/officeDocument/2006/relationships/hyperlink" Target="https://drive.google.com/uc?export=view&amp;id=1YzGrq7DUVBlJjEYEtYmMQ_tTvlotc1NC" TargetMode="External"/><Relationship Id="rId3528" Type="http://schemas.openxmlformats.org/officeDocument/2006/relationships/hyperlink" Target="https://drive.google.com/uc?export=view&amp;id=1jxUXDyYSnjE6i7xhRkTvYXxGEx56Ihnb" TargetMode="External"/><Relationship Id="rId10" Type="http://schemas.openxmlformats.org/officeDocument/2006/relationships/hyperlink" Target="https://drive.google.com/open?id=1YzGrq7DUVBlJjEYEtYmMQ_tTvlotc1NC" TargetMode="External"/><Relationship Id="rId3527" Type="http://schemas.openxmlformats.org/officeDocument/2006/relationships/hyperlink" Target="https://drive.google.com/open?id=1jxUXDyYSnjE6i7xhRkTvYXxGEx56Ihnb" TargetMode="External"/><Relationship Id="rId13" Type="http://schemas.openxmlformats.org/officeDocument/2006/relationships/hyperlink" Target="https://drive.google.com/open?id=1jwnR6mg67_PgmCk0uHDAiFF1D8aebnEd" TargetMode="External"/><Relationship Id="rId12" Type="http://schemas.openxmlformats.org/officeDocument/2006/relationships/hyperlink" Target="https://docs.google.com/document/d/1ClqYj9NS_ZHuEtCbdFoih_E5uosYUc-WWURCSQZbi1M/edit?usp=drivesdk" TargetMode="External"/><Relationship Id="rId3529" Type="http://schemas.openxmlformats.org/officeDocument/2006/relationships/hyperlink" Target="https://docs.google.com/document/d/1eSPJGp009n_XGbChPZCneA2Gj4Jvl4Rgm-fFetvwy8k/edit?usp=drivesdk" TargetMode="External"/><Relationship Id="rId15" Type="http://schemas.openxmlformats.org/officeDocument/2006/relationships/hyperlink" Target="https://docs.google.com/document/d/1IDdtK6y8J1eu5vjsfwAQ_g0GT7_LigcXxGajYOrzeto/edit?usp=drivesdk" TargetMode="External"/><Relationship Id="rId14" Type="http://schemas.openxmlformats.org/officeDocument/2006/relationships/hyperlink" Target="https://drive.google.com/uc?export=view&amp;id=1jwnR6mg67_PgmCk0uHDAiFF1D8aebnEd" TargetMode="External"/><Relationship Id="rId17" Type="http://schemas.openxmlformats.org/officeDocument/2006/relationships/hyperlink" Target="https://drive.google.com/uc?export=view&amp;id=1qTo2v4agbeoF_iNS8QrdltDzwQLKOUNY" TargetMode="External"/><Relationship Id="rId16" Type="http://schemas.openxmlformats.org/officeDocument/2006/relationships/hyperlink" Target="https://drive.google.com/open?id=1qTo2v4agbeoF_iNS8QrdltDzwQLKOUNY" TargetMode="External"/><Relationship Id="rId19" Type="http://schemas.openxmlformats.org/officeDocument/2006/relationships/hyperlink" Target="https://drive.google.com/open?id=1vE1B_tfDbaBKblA8StZsPpC4ITJysCEl" TargetMode="External"/><Relationship Id="rId3520" Type="http://schemas.openxmlformats.org/officeDocument/2006/relationships/hyperlink" Target="https://docs.google.com/document/d/1I5aP1_Wuu6PD1tAWC0MJ_QguqG6NzrLizybyGgiq7LU/edit?usp=drivesdk" TargetMode="External"/><Relationship Id="rId18" Type="http://schemas.openxmlformats.org/officeDocument/2006/relationships/hyperlink" Target="https://docs.google.com/document/d/1lljHNYVQ8qU2zbDRLBcByoUnTtLjZMMkK4bZwgWKUmU/edit?usp=drivesdk" TargetMode="External"/><Relationship Id="rId3522" Type="http://schemas.openxmlformats.org/officeDocument/2006/relationships/hyperlink" Target="https://drive.google.com/uc?export=view&amp;id=17gks1CYuRhc4w-GsfxHHO35umLaE-zNT" TargetMode="External"/><Relationship Id="rId3521" Type="http://schemas.openxmlformats.org/officeDocument/2006/relationships/hyperlink" Target="https://drive.google.com/open?id=17gks1CYuRhc4w-GsfxHHO35umLaE-zNT" TargetMode="External"/><Relationship Id="rId84" Type="http://schemas.openxmlformats.org/officeDocument/2006/relationships/hyperlink" Target="https://docs.google.com/document/d/1lXGXKA3aYQpVYJQfyV4zps6JX1GK1v-Vnc0a216KCKU/edit?usp=drivesdk" TargetMode="External"/><Relationship Id="rId1774" Type="http://schemas.openxmlformats.org/officeDocument/2006/relationships/hyperlink" Target="https://docs.google.com/document/d/1p7xjXR4juxt4CNrI5BvpKou4Q6BAuE5D1wCoqnLE5Ws/edit?usp=drivesdk" TargetMode="External"/><Relationship Id="rId83" Type="http://schemas.openxmlformats.org/officeDocument/2006/relationships/hyperlink" Target="https://drive.google.com/uc?export=view&amp;id=1WAEfEFyYB2gj5qQuzJx5XZRL_VSSh4L6" TargetMode="External"/><Relationship Id="rId1775" Type="http://schemas.openxmlformats.org/officeDocument/2006/relationships/hyperlink" Target="https://drive.google.com/open?id=1nzgZ9VWc_B1kYAVfj5S-K7YBOAtaUqMN" TargetMode="External"/><Relationship Id="rId86" Type="http://schemas.openxmlformats.org/officeDocument/2006/relationships/hyperlink" Target="https://drive.google.com/uc?export=view&amp;id=1SMAtZp3dm0b-7YiZN6svw1bHGQnctJXL" TargetMode="External"/><Relationship Id="rId1776" Type="http://schemas.openxmlformats.org/officeDocument/2006/relationships/hyperlink" Target="https://drive.google.com/uc?export=view&amp;id=1nzgZ9VWc_B1kYAVfj5S-K7YBOAtaUqMN" TargetMode="External"/><Relationship Id="rId85" Type="http://schemas.openxmlformats.org/officeDocument/2006/relationships/hyperlink" Target="https://drive.google.com/open?id=1SMAtZp3dm0b-7YiZN6svw1bHGQnctJXL" TargetMode="External"/><Relationship Id="rId1777" Type="http://schemas.openxmlformats.org/officeDocument/2006/relationships/hyperlink" Target="https://docs.google.com/document/d/1ur89a6NLT93WggeiRP7vPu-G-_Po5BX3bS8_YeN_lds/edit?usp=drivesdk" TargetMode="External"/><Relationship Id="rId88" Type="http://schemas.openxmlformats.org/officeDocument/2006/relationships/hyperlink" Target="https://drive.google.com/open?id=1iJ4UyQ2S5nz_TrD-F3adL4xCmViB_k6T" TargetMode="External"/><Relationship Id="rId1778" Type="http://schemas.openxmlformats.org/officeDocument/2006/relationships/hyperlink" Target="https://drive.google.com/open?id=1NBpxpJCZcQmhDfFrdENNmn_IpUbcUMlF" TargetMode="External"/><Relationship Id="rId87" Type="http://schemas.openxmlformats.org/officeDocument/2006/relationships/hyperlink" Target="https://docs.google.com/document/d/12iOaWgfe8ika1E4k8LWiUrnDRoSyuDiapHEheb1ZPbQ/edit?usp=drivesdk" TargetMode="External"/><Relationship Id="rId1779" Type="http://schemas.openxmlformats.org/officeDocument/2006/relationships/hyperlink" Target="https://drive.google.com/uc?export=view&amp;id=1NBpxpJCZcQmhDfFrdENNmn_IpUbcUMlF" TargetMode="External"/><Relationship Id="rId89" Type="http://schemas.openxmlformats.org/officeDocument/2006/relationships/hyperlink" Target="https://drive.google.com/uc?export=view&amp;id=1iJ4UyQ2S5nz_TrD-F3adL4xCmViB_k6T" TargetMode="External"/><Relationship Id="rId80" Type="http://schemas.openxmlformats.org/officeDocument/2006/relationships/hyperlink" Target="https://drive.google.com/uc?export=view&amp;id=1kFcDuG2OzXaMLlg-npumM_afXxgxyEsk" TargetMode="External"/><Relationship Id="rId82" Type="http://schemas.openxmlformats.org/officeDocument/2006/relationships/hyperlink" Target="https://drive.google.com/open?id=1WAEfEFyYB2gj5qQuzJx5XZRL_VSSh4L6" TargetMode="External"/><Relationship Id="rId81" Type="http://schemas.openxmlformats.org/officeDocument/2006/relationships/hyperlink" Target="https://docs.google.com/document/d/1E7KRz1v-LeCu8gefZkbBmdks0DgR0p6H23DKKLHGawA/edit?usp=drivesdk" TargetMode="External"/><Relationship Id="rId1770" Type="http://schemas.openxmlformats.org/officeDocument/2006/relationships/hyperlink" Target="https://drive.google.com/uc?export=view&amp;id=197hyNbKO9ohXFZwlf5g44zCWA_KiPsU6" TargetMode="External"/><Relationship Id="rId1771" Type="http://schemas.openxmlformats.org/officeDocument/2006/relationships/hyperlink" Target="https://docs.google.com/document/d/1O8JpBeMIbXJLKjdeYcDnyTU8IWabfGDN-fwU7NHvM8Q/edit?usp=drivesdk" TargetMode="External"/><Relationship Id="rId1772" Type="http://schemas.openxmlformats.org/officeDocument/2006/relationships/hyperlink" Target="https://drive.google.com/open?id=12sE9DyW8ZW3AMvcBX44pOvvureOoaxJR" TargetMode="External"/><Relationship Id="rId1773" Type="http://schemas.openxmlformats.org/officeDocument/2006/relationships/hyperlink" Target="https://drive.google.com/uc?export=view&amp;id=12sE9DyW8ZW3AMvcBX44pOvvureOoaxJR" TargetMode="External"/><Relationship Id="rId73" Type="http://schemas.openxmlformats.org/officeDocument/2006/relationships/hyperlink" Target="https://drive.google.com/open?id=1UX09wvon6QVOG6Ok8g3qx6ahjg96JVYb" TargetMode="External"/><Relationship Id="rId1763" Type="http://schemas.openxmlformats.org/officeDocument/2006/relationships/hyperlink" Target="https://drive.google.com/open?id=1mfAYUPybrX1mOE9MhJa9IdGwGD5bnYcQ" TargetMode="External"/><Relationship Id="rId72" Type="http://schemas.openxmlformats.org/officeDocument/2006/relationships/hyperlink" Target="https://docs.google.com/document/d/1Ajktr0ge7vFepV9V0q3IITFc8ka2AIXNjQ0wBnBw5E8/edit?usp=drivesdk" TargetMode="External"/><Relationship Id="rId1764" Type="http://schemas.openxmlformats.org/officeDocument/2006/relationships/hyperlink" Target="https://drive.google.com/uc?export=view&amp;id=1mfAYUPybrX1mOE9MhJa9IdGwGD5bnYcQ" TargetMode="External"/><Relationship Id="rId75" Type="http://schemas.openxmlformats.org/officeDocument/2006/relationships/hyperlink" Target="https://docs.google.com/document/d/1BOzDABVh6swVu0ru5g3i9sXOXy0voHSBDXFmoTirv90/edit?usp=drivesdk" TargetMode="External"/><Relationship Id="rId1765" Type="http://schemas.openxmlformats.org/officeDocument/2006/relationships/hyperlink" Target="https://docs.google.com/document/d/1wILWM1_tYSXF2p6jcgFWlT2oIIMFijxEM9wl6BCMZ8k/edit?usp=drivesdk" TargetMode="External"/><Relationship Id="rId74" Type="http://schemas.openxmlformats.org/officeDocument/2006/relationships/hyperlink" Target="https://drive.google.com/uc?export=view&amp;id=1UX09wvon6QVOG6Ok8g3qx6ahjg96JVYb" TargetMode="External"/><Relationship Id="rId1766" Type="http://schemas.openxmlformats.org/officeDocument/2006/relationships/hyperlink" Target="https://drive.google.com/open?id=1Aobb_hesk-uK46aEx_d9LZPoWajkpTF5" TargetMode="External"/><Relationship Id="rId77" Type="http://schemas.openxmlformats.org/officeDocument/2006/relationships/hyperlink" Target="https://drive.google.com/uc?export=view&amp;id=1mZuWOibzXSvJ5rffQbl3VgF8TZVkXhc4" TargetMode="External"/><Relationship Id="rId1767" Type="http://schemas.openxmlformats.org/officeDocument/2006/relationships/hyperlink" Target="https://drive.google.com/uc?export=view&amp;id=1Aobb_hesk-uK46aEx_d9LZPoWajkpTF5" TargetMode="External"/><Relationship Id="rId76" Type="http://schemas.openxmlformats.org/officeDocument/2006/relationships/hyperlink" Target="https://drive.google.com/open?id=1mZuWOibzXSvJ5rffQbl3VgF8TZVkXhc4" TargetMode="External"/><Relationship Id="rId1768" Type="http://schemas.openxmlformats.org/officeDocument/2006/relationships/hyperlink" Target="https://docs.google.com/document/d/1hBmPDUdVLBJ1e8d-4aAWILuabGAu_X0C-TFernW3Txo/edit?usp=drivesdk" TargetMode="External"/><Relationship Id="rId79" Type="http://schemas.openxmlformats.org/officeDocument/2006/relationships/hyperlink" Target="https://drive.google.com/open?id=1kFcDuG2OzXaMLlg-npumM_afXxgxyEsk" TargetMode="External"/><Relationship Id="rId1769" Type="http://schemas.openxmlformats.org/officeDocument/2006/relationships/hyperlink" Target="https://drive.google.com/open?id=197hyNbKO9ohXFZwlf5g44zCWA_KiPsU6" TargetMode="External"/><Relationship Id="rId78" Type="http://schemas.openxmlformats.org/officeDocument/2006/relationships/hyperlink" Target="https://docs.google.com/document/d/1NEpdE1zXbt9PXC8muwY-k4hxQYD6sH9Zub3wbWDprYk/edit?usp=drivesdk" TargetMode="External"/><Relationship Id="rId71" Type="http://schemas.openxmlformats.org/officeDocument/2006/relationships/hyperlink" Target="https://drive.google.com/uc?export=view&amp;id=1BK_zOqr0THTo5Ilp1MrvGL-c4qkDJJsd" TargetMode="External"/><Relationship Id="rId70" Type="http://schemas.openxmlformats.org/officeDocument/2006/relationships/hyperlink" Target="https://drive.google.com/open?id=1BK_zOqr0THTo5Ilp1MrvGL-c4qkDJJsd" TargetMode="External"/><Relationship Id="rId1760" Type="http://schemas.openxmlformats.org/officeDocument/2006/relationships/hyperlink" Target="https://drive.google.com/open?id=1kP8lV6YyE91z2u0lrrmLVw0pyTqBnYVK" TargetMode="External"/><Relationship Id="rId1761" Type="http://schemas.openxmlformats.org/officeDocument/2006/relationships/hyperlink" Target="https://drive.google.com/uc?export=view&amp;id=1kP8lV6YyE91z2u0lrrmLVw0pyTqBnYVK" TargetMode="External"/><Relationship Id="rId1762" Type="http://schemas.openxmlformats.org/officeDocument/2006/relationships/hyperlink" Target="https://docs.google.com/document/d/1YNW6aw3GlZHX-Uj7ngL9IAjyogxmFQ33_lWKYYTICjg/edit?usp=drivesdk" TargetMode="External"/><Relationship Id="rId62" Type="http://schemas.openxmlformats.org/officeDocument/2006/relationships/hyperlink" Target="https://drive.google.com/uc?export=view&amp;id=17DE8f2To229RgrZWBaVyFJ4GinLKmwKh" TargetMode="External"/><Relationship Id="rId1796" Type="http://schemas.openxmlformats.org/officeDocument/2006/relationships/hyperlink" Target="https://drive.google.com/open?id=1KVoP7zpES3lOiD9CnstDK8W6odXc7cSE" TargetMode="External"/><Relationship Id="rId61" Type="http://schemas.openxmlformats.org/officeDocument/2006/relationships/hyperlink" Target="https://drive.google.com/open?id=17DE8f2To229RgrZWBaVyFJ4GinLKmwKh" TargetMode="External"/><Relationship Id="rId1797" Type="http://schemas.openxmlformats.org/officeDocument/2006/relationships/hyperlink" Target="https://drive.google.com/uc?export=view&amp;id=1KVoP7zpES3lOiD9CnstDK8W6odXc7cSE" TargetMode="External"/><Relationship Id="rId64" Type="http://schemas.openxmlformats.org/officeDocument/2006/relationships/hyperlink" Target="https://drive.google.com/open?id=1Y52kaTICqIw0Yppe2TesxNi-CwlqxJte" TargetMode="External"/><Relationship Id="rId1798" Type="http://schemas.openxmlformats.org/officeDocument/2006/relationships/hyperlink" Target="https://docs.google.com/document/d/1SIw_FJ0BYR_UhSiJHy12iyu08o99dUguHlnxxkdiRNM/edit?usp=drivesdk" TargetMode="External"/><Relationship Id="rId63" Type="http://schemas.openxmlformats.org/officeDocument/2006/relationships/hyperlink" Target="https://docs.google.com/document/d/1ayWApseGgiEgejT5oMl4bV6OAxiD6x697d7CTfWQwYw/edit?usp=drivesdk" TargetMode="External"/><Relationship Id="rId1799" Type="http://schemas.openxmlformats.org/officeDocument/2006/relationships/hyperlink" Target="https://drive.google.com/open?id=1WeHgXOznYeHB4VktAEG36ITHrdu-rhZD" TargetMode="External"/><Relationship Id="rId66" Type="http://schemas.openxmlformats.org/officeDocument/2006/relationships/hyperlink" Target="https://docs.google.com/document/d/10P9ka2eiRCH6ZZkMv6NRqp0ChmkOXjUJKRnuSAxPbDM/edit?usp=drivesdk" TargetMode="External"/><Relationship Id="rId65" Type="http://schemas.openxmlformats.org/officeDocument/2006/relationships/hyperlink" Target="https://drive.google.com/uc?export=view&amp;id=1Y52kaTICqIw0Yppe2TesxNi-CwlqxJte" TargetMode="External"/><Relationship Id="rId68" Type="http://schemas.openxmlformats.org/officeDocument/2006/relationships/hyperlink" Target="https://drive.google.com/uc?export=view&amp;id=1Ppjxrdga5J-5zY-A1PTIuAoElu39vggn" TargetMode="External"/><Relationship Id="rId67" Type="http://schemas.openxmlformats.org/officeDocument/2006/relationships/hyperlink" Target="https://drive.google.com/open?id=1Ppjxrdga5J-5zY-A1PTIuAoElu39vggn" TargetMode="External"/><Relationship Id="rId60" Type="http://schemas.openxmlformats.org/officeDocument/2006/relationships/hyperlink" Target="https://docs.google.com/document/d/12SzgPtpVSPkt0_BwlFKLtSXMMuDD9bIpJPHK_oRI6RU/edit?usp=drivesdk" TargetMode="External"/><Relationship Id="rId69" Type="http://schemas.openxmlformats.org/officeDocument/2006/relationships/hyperlink" Target="https://docs.google.com/document/d/1S0_PmWhjN2z5c_tFKwMAypBaSUjotyEGowKBdTiXRd4/edit?usp=drivesdk" TargetMode="External"/><Relationship Id="rId1790" Type="http://schemas.openxmlformats.org/officeDocument/2006/relationships/hyperlink" Target="https://drive.google.com/open?id=1PSX7chej4ZPUuXFs0IwPF2FZSkckqYqe" TargetMode="External"/><Relationship Id="rId1791" Type="http://schemas.openxmlformats.org/officeDocument/2006/relationships/hyperlink" Target="https://drive.google.com/uc?export=view&amp;id=1PSX7chej4ZPUuXFs0IwPF2FZSkckqYqe" TargetMode="External"/><Relationship Id="rId1792" Type="http://schemas.openxmlformats.org/officeDocument/2006/relationships/hyperlink" Target="https://docs.google.com/document/d/1uRaGZSazrc49oesMBGL4bqINxbiwhdKnZ-BatQOjs28/edit?usp=drivesdk" TargetMode="External"/><Relationship Id="rId1793" Type="http://schemas.openxmlformats.org/officeDocument/2006/relationships/hyperlink" Target="https://drive.google.com/open?id=1cA5zn2Z3EQM9wOOHOg8h3RZUSWlLUvlr" TargetMode="External"/><Relationship Id="rId1794" Type="http://schemas.openxmlformats.org/officeDocument/2006/relationships/hyperlink" Target="https://drive.google.com/uc?export=view&amp;id=1cA5zn2Z3EQM9wOOHOg8h3RZUSWlLUvlr" TargetMode="External"/><Relationship Id="rId1795" Type="http://schemas.openxmlformats.org/officeDocument/2006/relationships/hyperlink" Target="https://docs.google.com/document/d/1jZRJI7rxm9i5b_FvYGOkJq0r4T1qVYRlOjJG85l5QfA/edit?usp=drivesdk" TargetMode="External"/><Relationship Id="rId51" Type="http://schemas.openxmlformats.org/officeDocument/2006/relationships/hyperlink" Target="https://docs.google.com/document/d/19XiP4h2FkWKkCmgzICJgWj-nUCL-tIYcTHl_AiJtEH0/edit?usp=drivesdk" TargetMode="External"/><Relationship Id="rId1785" Type="http://schemas.openxmlformats.org/officeDocument/2006/relationships/hyperlink" Target="https://drive.google.com/uc?export=view&amp;id=1O5wv03MF_vFEW3B6araHPiaNWW-f8OHG" TargetMode="External"/><Relationship Id="rId50" Type="http://schemas.openxmlformats.org/officeDocument/2006/relationships/hyperlink" Target="https://drive.google.com/uc?export=view&amp;id=1-CD3tEMlBIJHDKQXVCRaSNn_iZOD5VNr" TargetMode="External"/><Relationship Id="rId1786" Type="http://schemas.openxmlformats.org/officeDocument/2006/relationships/hyperlink" Target="https://docs.google.com/document/d/1YQEMJLK6EP5NOY5msCABOBSUksryCoLVrkDrRZA9thA/edit?usp=drivesdk" TargetMode="External"/><Relationship Id="rId53" Type="http://schemas.openxmlformats.org/officeDocument/2006/relationships/hyperlink" Target="https://drive.google.com/uc?export=view&amp;id=1B42LK9uQwlDpGNiPbUsJbq9bm79H4PJX" TargetMode="External"/><Relationship Id="rId1787" Type="http://schemas.openxmlformats.org/officeDocument/2006/relationships/hyperlink" Target="https://drive.google.com/open?id=1veCJ99AP2aBEnAAEbX6VSm83x396PHcZ" TargetMode="External"/><Relationship Id="rId52" Type="http://schemas.openxmlformats.org/officeDocument/2006/relationships/hyperlink" Target="https://drive.google.com/open?id=1B42LK9uQwlDpGNiPbUsJbq9bm79H4PJX" TargetMode="External"/><Relationship Id="rId1788" Type="http://schemas.openxmlformats.org/officeDocument/2006/relationships/hyperlink" Target="https://drive.google.com/uc?export=view&amp;id=1veCJ99AP2aBEnAAEbX6VSm83x396PHcZ" TargetMode="External"/><Relationship Id="rId55" Type="http://schemas.openxmlformats.org/officeDocument/2006/relationships/hyperlink" Target="https://drive.google.com/open?id=1ZkiqB-zJJNyWYLyW9deJKP1rBopWDqR4" TargetMode="External"/><Relationship Id="rId1789" Type="http://schemas.openxmlformats.org/officeDocument/2006/relationships/hyperlink" Target="https://docs.google.com/document/d/1z5ShSiCdwGfajjYOo-cElD2mzUStv-tBHeiBdmMXUJQ/edit?usp=drivesdk" TargetMode="External"/><Relationship Id="rId54" Type="http://schemas.openxmlformats.org/officeDocument/2006/relationships/hyperlink" Target="https://docs.google.com/document/d/1Syel5sSRmz_TSqrItN2DXr3b2B0Lh3H_d2fgj6iTBmM/edit?usp=drivesdk" TargetMode="External"/><Relationship Id="rId57" Type="http://schemas.openxmlformats.org/officeDocument/2006/relationships/hyperlink" Target="https://docs.google.com/document/d/1l1-kkTzHZohz27dnwo3rhEH9kzUGJBdvsT4wmMjrJ7M/edit?usp=drivesdk" TargetMode="External"/><Relationship Id="rId56" Type="http://schemas.openxmlformats.org/officeDocument/2006/relationships/hyperlink" Target="https://drive.google.com/uc?export=view&amp;id=1ZkiqB-zJJNyWYLyW9deJKP1rBopWDqR4" TargetMode="External"/><Relationship Id="rId59" Type="http://schemas.openxmlformats.org/officeDocument/2006/relationships/hyperlink" Target="https://drive.google.com/uc?export=view&amp;id=1QBSpJ4_2G99Q1nmgadiARdLlDxEkl-Jz" TargetMode="External"/><Relationship Id="rId58" Type="http://schemas.openxmlformats.org/officeDocument/2006/relationships/hyperlink" Target="https://drive.google.com/open?id=1QBSpJ4_2G99Q1nmgadiARdLlDxEkl-Jz" TargetMode="External"/><Relationship Id="rId1780" Type="http://schemas.openxmlformats.org/officeDocument/2006/relationships/hyperlink" Target="https://docs.google.com/document/d/1dWg0W6Qn9J8vM4fxlxrjfRain_yGM55Jfu2YzNDZZD4/edit?usp=drivesdk" TargetMode="External"/><Relationship Id="rId1781" Type="http://schemas.openxmlformats.org/officeDocument/2006/relationships/hyperlink" Target="https://drive.google.com/open?id=1kDNcblUfPdndmshraXqBor4CmllqIqID" TargetMode="External"/><Relationship Id="rId1782" Type="http://schemas.openxmlformats.org/officeDocument/2006/relationships/hyperlink" Target="https://drive.google.com/uc?export=view&amp;id=1kDNcblUfPdndmshraXqBor4CmllqIqID" TargetMode="External"/><Relationship Id="rId1783" Type="http://schemas.openxmlformats.org/officeDocument/2006/relationships/hyperlink" Target="https://docs.google.com/document/d/1DT-GSqTx_4w5bP4cE6hYF-y5rlwW7XaS4s0b4TDXEQ8/edit?usp=drivesdk" TargetMode="External"/><Relationship Id="rId1784" Type="http://schemas.openxmlformats.org/officeDocument/2006/relationships/hyperlink" Target="https://drive.google.com/open?id=1O5wv03MF_vFEW3B6araHPiaNWW-f8OHG" TargetMode="External"/><Relationship Id="rId2269" Type="http://schemas.openxmlformats.org/officeDocument/2006/relationships/hyperlink" Target="https://docs.google.com/document/d/1vu5fqYV75LcGz1-DRoDRyzNs2HK2-gYbWOHWYMxwszg/edit?usp=drivesdk" TargetMode="External"/><Relationship Id="rId349" Type="http://schemas.openxmlformats.org/officeDocument/2006/relationships/hyperlink" Target="https://drive.google.com/open?id=1E6gFIVXPQVsBqberSwYkx4qWMJ1lNbNK" TargetMode="External"/><Relationship Id="rId348" Type="http://schemas.openxmlformats.org/officeDocument/2006/relationships/hyperlink" Target="https://docs.google.com/document/d/1RCmrqlx0hoeMCb2MrIoopZEJ2RCqKymZ3Hym7J82zhM/edit?usp=drivesdk" TargetMode="External"/><Relationship Id="rId347" Type="http://schemas.openxmlformats.org/officeDocument/2006/relationships/hyperlink" Target="https://drive.google.com/uc?export=view&amp;id=1Teb5q7BQVDXaC5FS5vr1ooChthw20-bL" TargetMode="External"/><Relationship Id="rId346" Type="http://schemas.openxmlformats.org/officeDocument/2006/relationships/hyperlink" Target="https://drive.google.com/open?id=1Teb5q7BQVDXaC5FS5vr1ooChthw20-bL" TargetMode="External"/><Relationship Id="rId3591" Type="http://schemas.openxmlformats.org/officeDocument/2006/relationships/hyperlink" Target="https://drive.google.com/uc?export=view&amp;id=1lWq_PM2CaEsKkyKSa_au3YvW9KTsbBbU" TargetMode="External"/><Relationship Id="rId2260" Type="http://schemas.openxmlformats.org/officeDocument/2006/relationships/hyperlink" Target="https://docs.google.com/document/d/1wny-hmUPZVDJN_k31VhtzfONwWix85k7Gx4VxNTTKVM/edit?usp=drivesdk" TargetMode="External"/><Relationship Id="rId3590" Type="http://schemas.openxmlformats.org/officeDocument/2006/relationships/hyperlink" Target="https://drive.google.com/open?id=1lWq_PM2CaEsKkyKSa_au3YvW9KTsbBbU" TargetMode="External"/><Relationship Id="rId341" Type="http://schemas.openxmlformats.org/officeDocument/2006/relationships/hyperlink" Target="https://drive.google.com/uc?export=view&amp;id=105m-AHgD5fdlbc5OzGZhbxW2vH-tF_rC" TargetMode="External"/><Relationship Id="rId2261" Type="http://schemas.openxmlformats.org/officeDocument/2006/relationships/hyperlink" Target="https://drive.google.com/open?id=1o-7O8zz0k9Lso3LO1q9hAy4RXTM8Y75I" TargetMode="External"/><Relationship Id="rId3593" Type="http://schemas.openxmlformats.org/officeDocument/2006/relationships/hyperlink" Target="https://drive.google.com/open?id=1km8ud22jMJWMuIXVpMP13WTca5DR4vM1" TargetMode="External"/><Relationship Id="rId340" Type="http://schemas.openxmlformats.org/officeDocument/2006/relationships/hyperlink" Target="https://drive.google.com/open?id=105m-AHgD5fdlbc5OzGZhbxW2vH-tF_rC" TargetMode="External"/><Relationship Id="rId2262" Type="http://schemas.openxmlformats.org/officeDocument/2006/relationships/hyperlink" Target="https://drive.google.com/uc?export=view&amp;id=1o-7O8zz0k9Lso3LO1q9hAy4RXTM8Y75I" TargetMode="External"/><Relationship Id="rId3592" Type="http://schemas.openxmlformats.org/officeDocument/2006/relationships/hyperlink" Target="https://docs.google.com/document/d/1YBAPsGa2Det72IjtGeSQx0d2jwa9vd-IX7byylQVmT0/edit?usp=drivesdk" TargetMode="External"/><Relationship Id="rId2263" Type="http://schemas.openxmlformats.org/officeDocument/2006/relationships/hyperlink" Target="https://docs.google.com/document/d/1WCYlui-PhPX4tWZyjM_SkuHi04Q0qLRFvcZzQNfBMCI/edit?usp=drivesdk" TargetMode="External"/><Relationship Id="rId3595" Type="http://schemas.openxmlformats.org/officeDocument/2006/relationships/hyperlink" Target="https://docs.google.com/document/d/1EEaj08Ug0pBslOJhORirc7HzIfA5Ej_h33kxnGjCMH0/edit?usp=drivesdk" TargetMode="External"/><Relationship Id="rId2264" Type="http://schemas.openxmlformats.org/officeDocument/2006/relationships/hyperlink" Target="https://drive.google.com/open?id=1s3wZRfKMO66n8-km36T_5eftErrwbhGQ" TargetMode="External"/><Relationship Id="rId3594" Type="http://schemas.openxmlformats.org/officeDocument/2006/relationships/hyperlink" Target="https://drive.google.com/uc?export=view&amp;id=1km8ud22jMJWMuIXVpMP13WTca5DR4vM1" TargetMode="External"/><Relationship Id="rId345" Type="http://schemas.openxmlformats.org/officeDocument/2006/relationships/hyperlink" Target="https://docs.google.com/document/d/1G2SMtgWrALWek8k9y_X9ZQ7XX9QkGz15k14J3YAhg1U/edit?usp=drivesdk" TargetMode="External"/><Relationship Id="rId2265" Type="http://schemas.openxmlformats.org/officeDocument/2006/relationships/hyperlink" Target="https://drive.google.com/uc?export=view&amp;id=1s3wZRfKMO66n8-km36T_5eftErrwbhGQ" TargetMode="External"/><Relationship Id="rId3597" Type="http://schemas.openxmlformats.org/officeDocument/2006/relationships/hyperlink" Target="https://drive.google.com/uc?export=view&amp;id=1d0SWSGt2MT69pt53rXSeGVToeL_NJS0G" TargetMode="External"/><Relationship Id="rId344" Type="http://schemas.openxmlformats.org/officeDocument/2006/relationships/hyperlink" Target="https://drive.google.com/uc?export=view&amp;id=18eYOurLLeHiQXzUnUwZV0d4wwTE1QDU7" TargetMode="External"/><Relationship Id="rId2266" Type="http://schemas.openxmlformats.org/officeDocument/2006/relationships/hyperlink" Target="https://docs.google.com/document/d/1gHreO_XdEhfAfz4JP7YfHFnP3adaB8FdlgYCqF3RRL0/edit?usp=drivesdk" TargetMode="External"/><Relationship Id="rId3596" Type="http://schemas.openxmlformats.org/officeDocument/2006/relationships/hyperlink" Target="https://drive.google.com/open?id=1d0SWSGt2MT69pt53rXSeGVToeL_NJS0G" TargetMode="External"/><Relationship Id="rId343" Type="http://schemas.openxmlformats.org/officeDocument/2006/relationships/hyperlink" Target="https://drive.google.com/open?id=18eYOurLLeHiQXzUnUwZV0d4wwTE1QDU7" TargetMode="External"/><Relationship Id="rId2267" Type="http://schemas.openxmlformats.org/officeDocument/2006/relationships/hyperlink" Target="https://drive.google.com/open?id=1nSQ7zOdy81b8EK2BAV06Y23FIhEpxu8G" TargetMode="External"/><Relationship Id="rId3599" Type="http://schemas.openxmlformats.org/officeDocument/2006/relationships/hyperlink" Target="https://drive.google.com/open?id=1AytHYyB65zAEUNirZ75bloyzERlW5z6m" TargetMode="External"/><Relationship Id="rId342" Type="http://schemas.openxmlformats.org/officeDocument/2006/relationships/hyperlink" Target="https://docs.google.com/document/d/1TbvSs_86eMVjOkMJgtgTNjTOCVVgVQlM30bz_Kh3pJA/edit?usp=drivesdk" TargetMode="External"/><Relationship Id="rId2268" Type="http://schemas.openxmlformats.org/officeDocument/2006/relationships/hyperlink" Target="https://drive.google.com/uc?export=view&amp;id=1nSQ7zOdy81b8EK2BAV06Y23FIhEpxu8G" TargetMode="External"/><Relationship Id="rId3598" Type="http://schemas.openxmlformats.org/officeDocument/2006/relationships/hyperlink" Target="https://docs.google.com/document/d/1pLCn1Zhe4HOibphSCkkOeBC74v9wGTk6RMusgeHqZ38/edit?usp=drivesdk" TargetMode="External"/><Relationship Id="rId2258" Type="http://schemas.openxmlformats.org/officeDocument/2006/relationships/hyperlink" Target="https://drive.google.com/open?id=1XnBMGPtPYcFdRyAW0aJ8lURT9mxajHMc" TargetMode="External"/><Relationship Id="rId2259" Type="http://schemas.openxmlformats.org/officeDocument/2006/relationships/hyperlink" Target="https://drive.google.com/uc?export=view&amp;id=1XnBMGPtPYcFdRyAW0aJ8lURT9mxajHMc" TargetMode="External"/><Relationship Id="rId3589" Type="http://schemas.openxmlformats.org/officeDocument/2006/relationships/hyperlink" Target="https://docs.google.com/document/d/1l0jzGd82VLITlKxVJwv1HjoBAlhYcKpCCCZX86gTEgg/edit?usp=drivesdk" TargetMode="External"/><Relationship Id="rId338" Type="http://schemas.openxmlformats.org/officeDocument/2006/relationships/hyperlink" Target="https://drive.google.com/uc?export=view&amp;id=1d89uQLJPib62LyOUSo76lbs6UKP1QS0e" TargetMode="External"/><Relationship Id="rId337" Type="http://schemas.openxmlformats.org/officeDocument/2006/relationships/hyperlink" Target="https://drive.google.com/open?id=1d89uQLJPib62LyOUSo76lbs6UKP1QS0e" TargetMode="External"/><Relationship Id="rId336" Type="http://schemas.openxmlformats.org/officeDocument/2006/relationships/hyperlink" Target="https://docs.google.com/document/d/1XpolPwjj3A5DKdQVuE8wOmMm_kOLxkknmxkGvSSLAIM/edit?usp=drivesdk" TargetMode="External"/><Relationship Id="rId335" Type="http://schemas.openxmlformats.org/officeDocument/2006/relationships/hyperlink" Target="https://drive.google.com/uc?export=view&amp;id=1x6oCFdJONYTOLxdNxNEU090rNiF8du-G" TargetMode="External"/><Relationship Id="rId3580" Type="http://schemas.openxmlformats.org/officeDocument/2006/relationships/hyperlink" Target="https://docs.google.com/document/d/1vN0AlQtMagbXTA_4ujMkyAZYRqO2V8PCqGYJucqnpZg/edit?usp=drivesdk" TargetMode="External"/><Relationship Id="rId339" Type="http://schemas.openxmlformats.org/officeDocument/2006/relationships/hyperlink" Target="https://docs.google.com/document/d/1ugLn4iyyRIWOyBQdpS6MwSwG2OndDnc416ZAyoOqjz0/edit?usp=drivesdk" TargetMode="External"/><Relationship Id="rId330" Type="http://schemas.openxmlformats.org/officeDocument/2006/relationships/hyperlink" Target="https://docs.google.com/document/d/11EwW1Fzs8sMs6CN8HGxJ68deV-tp-MQ2WWEcC4P8aLk/edit?usp=drivesdk" TargetMode="External"/><Relationship Id="rId2250" Type="http://schemas.openxmlformats.org/officeDocument/2006/relationships/hyperlink" Target="https://drive.google.com/uc?export=view&amp;id=1DO8-V8cyOoz_LrmlEG7N7fHKGTWpuLJR" TargetMode="External"/><Relationship Id="rId3582" Type="http://schemas.openxmlformats.org/officeDocument/2006/relationships/hyperlink" Target="https://drive.google.com/uc?export=view&amp;id=1X6SsbqVHfxuTISgdg35to8rGl0z_rozA" TargetMode="External"/><Relationship Id="rId2251" Type="http://schemas.openxmlformats.org/officeDocument/2006/relationships/hyperlink" Target="https://docs.google.com/document/d/1ytoWo3PkJ5Av-p_NArN7DYFTsT8yIMRYYFvFL4WiLcE/edit?usp=drivesdk" TargetMode="External"/><Relationship Id="rId3581" Type="http://schemas.openxmlformats.org/officeDocument/2006/relationships/hyperlink" Target="https://drive.google.com/open?id=1X6SsbqVHfxuTISgdg35to8rGl0z_rozA" TargetMode="External"/><Relationship Id="rId2252" Type="http://schemas.openxmlformats.org/officeDocument/2006/relationships/hyperlink" Target="https://drive.google.com/open?id=1H8JLLbNFcKEa-_lsKWZKWRW-DJmrB6hp" TargetMode="External"/><Relationship Id="rId3584" Type="http://schemas.openxmlformats.org/officeDocument/2006/relationships/hyperlink" Target="https://drive.google.com/open?id=1uyYMZzSQd6pBdG7hSORJh5bo74860YRo" TargetMode="External"/><Relationship Id="rId2253" Type="http://schemas.openxmlformats.org/officeDocument/2006/relationships/hyperlink" Target="https://drive.google.com/uc?export=view&amp;id=1H8JLLbNFcKEa-_lsKWZKWRW-DJmrB6hp" TargetMode="External"/><Relationship Id="rId3583" Type="http://schemas.openxmlformats.org/officeDocument/2006/relationships/hyperlink" Target="https://docs.google.com/document/d/1y4DSUHSBV61vHt1cBt7JkMXPkgbU_FFBn7E7Y_VlinQ/edit?usp=drivesdk" TargetMode="External"/><Relationship Id="rId334" Type="http://schemas.openxmlformats.org/officeDocument/2006/relationships/hyperlink" Target="https://drive.google.com/open?id=1x6oCFdJONYTOLxdNxNEU090rNiF8du-G" TargetMode="External"/><Relationship Id="rId2254" Type="http://schemas.openxmlformats.org/officeDocument/2006/relationships/hyperlink" Target="https://docs.google.com/document/d/14GDLYNFyOKeA2IfXGQYewBGriZCrE42nnPP3G2WXqnc/edit?usp=drivesdk" TargetMode="External"/><Relationship Id="rId3586" Type="http://schemas.openxmlformats.org/officeDocument/2006/relationships/hyperlink" Target="https://docs.google.com/document/d/1FzhoiMO7Y9W0Z_Rj5H7odyFwVKZWXpWfhBAT0znvQ_k/edit?usp=drivesdk" TargetMode="External"/><Relationship Id="rId333" Type="http://schemas.openxmlformats.org/officeDocument/2006/relationships/hyperlink" Target="https://docs.google.com/document/d/1Qrx7PuQiOkbPoP6gCgBHTaYDf-gf5lrC_rybSNbLmMA/edit?usp=drivesdk" TargetMode="External"/><Relationship Id="rId2255" Type="http://schemas.openxmlformats.org/officeDocument/2006/relationships/hyperlink" Target="https://drive.google.com/open?id=1dl-fjD66Q2PNuitN52Hf9VD88CE8pajQ" TargetMode="External"/><Relationship Id="rId3585" Type="http://schemas.openxmlformats.org/officeDocument/2006/relationships/hyperlink" Target="https://drive.google.com/uc?export=view&amp;id=1uyYMZzSQd6pBdG7hSORJh5bo74860YRo" TargetMode="External"/><Relationship Id="rId332" Type="http://schemas.openxmlformats.org/officeDocument/2006/relationships/hyperlink" Target="https://drive.google.com/uc?export=view&amp;id=18lkcm9K71xaJjbPy-6EDKxUfwlTbQNnP" TargetMode="External"/><Relationship Id="rId2256" Type="http://schemas.openxmlformats.org/officeDocument/2006/relationships/hyperlink" Target="https://drive.google.com/uc?export=view&amp;id=1dl-fjD66Q2PNuitN52Hf9VD88CE8pajQ" TargetMode="External"/><Relationship Id="rId3588" Type="http://schemas.openxmlformats.org/officeDocument/2006/relationships/hyperlink" Target="https://drive.google.com/uc?export=view&amp;id=1v5Dvyk5xWY3_bWQEXHpaMAkTTtG9JH88" TargetMode="External"/><Relationship Id="rId331" Type="http://schemas.openxmlformats.org/officeDocument/2006/relationships/hyperlink" Target="https://drive.google.com/open?id=18lkcm9K71xaJjbPy-6EDKxUfwlTbQNnP" TargetMode="External"/><Relationship Id="rId2257" Type="http://schemas.openxmlformats.org/officeDocument/2006/relationships/hyperlink" Target="https://docs.google.com/document/d/1xowiWKEGo1JnHiqeLhpZJ-okPmdZNYa5Lgdg4Fcfu4g/edit?usp=drivesdk" TargetMode="External"/><Relationship Id="rId3587" Type="http://schemas.openxmlformats.org/officeDocument/2006/relationships/hyperlink" Target="https://drive.google.com/open?id=1v5Dvyk5xWY3_bWQEXHpaMAkTTtG9JH88" TargetMode="External"/><Relationship Id="rId370" Type="http://schemas.openxmlformats.org/officeDocument/2006/relationships/hyperlink" Target="https://drive.google.com/open?id=1Kch2WqEBnOGDC4YNZNSbkCWH0ZMMzRt3" TargetMode="External"/><Relationship Id="rId369" Type="http://schemas.openxmlformats.org/officeDocument/2006/relationships/hyperlink" Target="https://docs.google.com/document/d/1ed3QBPji3h8d4IvX-RI_Rq87LaFdJmG25FOHzWrZGW0/edit?usp=drivesdk" TargetMode="External"/><Relationship Id="rId368" Type="http://schemas.openxmlformats.org/officeDocument/2006/relationships/hyperlink" Target="https://drive.google.com/uc?export=view&amp;id=1rXrXaIWVZfkvDURO_xCZKTE-hzRp1AT0" TargetMode="External"/><Relationship Id="rId2280" Type="http://schemas.openxmlformats.org/officeDocument/2006/relationships/hyperlink" Target="https://drive.google.com/uc?export=view&amp;id=1oK8aeSmn9dDDlGg5lwqChM5JnIKsMcxx" TargetMode="External"/><Relationship Id="rId2281" Type="http://schemas.openxmlformats.org/officeDocument/2006/relationships/hyperlink" Target="https://docs.google.com/document/d/1MwuUe2dUhrXEEwPx1DeO9v3optlXV5DvSnXrZo48Ba0/edit?usp=drivesdk" TargetMode="External"/><Relationship Id="rId2282" Type="http://schemas.openxmlformats.org/officeDocument/2006/relationships/hyperlink" Target="https://drive.google.com/open?id=16ybcSKDL_izplI_c3o44ah9h0lDaxw82" TargetMode="External"/><Relationship Id="rId363" Type="http://schemas.openxmlformats.org/officeDocument/2006/relationships/hyperlink" Target="https://docs.google.com/document/d/1RAwzXnsjbpLcimYuQ5lhpzeTweBdBtchGAYeKcwmzQM/edit?usp=drivesdk" TargetMode="External"/><Relationship Id="rId2283" Type="http://schemas.openxmlformats.org/officeDocument/2006/relationships/hyperlink" Target="https://drive.google.com/uc?export=view&amp;id=16ybcSKDL_izplI_c3o44ah9h0lDaxw82" TargetMode="External"/><Relationship Id="rId362" Type="http://schemas.openxmlformats.org/officeDocument/2006/relationships/hyperlink" Target="https://drive.google.com/uc?export=view&amp;id=18XLxRTSzRjMj8KTTwU9xlLpoDgrmIA1e" TargetMode="External"/><Relationship Id="rId2284" Type="http://schemas.openxmlformats.org/officeDocument/2006/relationships/hyperlink" Target="https://docs.google.com/document/d/1DGTl6I32DLw4k9ep7T_mtNQeUZyGgUY3QDJMGK6FqjQ/edit?usp=drivesdk" TargetMode="External"/><Relationship Id="rId361" Type="http://schemas.openxmlformats.org/officeDocument/2006/relationships/hyperlink" Target="https://drive.google.com/open?id=18XLxRTSzRjMj8KTTwU9xlLpoDgrmIA1e" TargetMode="External"/><Relationship Id="rId2285" Type="http://schemas.openxmlformats.org/officeDocument/2006/relationships/hyperlink" Target="https://drive.google.com/open?id=1k1c9KwfJKIJRcHD48YggIOgqMbNQCz36" TargetMode="External"/><Relationship Id="rId360" Type="http://schemas.openxmlformats.org/officeDocument/2006/relationships/hyperlink" Target="https://docs.google.com/document/d/1A6G-Sv1bmBaBol_5cAy1pKh0DDaoqOrHbS0XOpfkYko/edit?usp=drivesdk" TargetMode="External"/><Relationship Id="rId2286" Type="http://schemas.openxmlformats.org/officeDocument/2006/relationships/hyperlink" Target="https://drive.google.com/uc?export=view&amp;id=1k1c9KwfJKIJRcHD48YggIOgqMbNQCz36" TargetMode="External"/><Relationship Id="rId367" Type="http://schemas.openxmlformats.org/officeDocument/2006/relationships/hyperlink" Target="https://drive.google.com/open?id=1rXrXaIWVZfkvDURO_xCZKTE-hzRp1AT0" TargetMode="External"/><Relationship Id="rId2287" Type="http://schemas.openxmlformats.org/officeDocument/2006/relationships/hyperlink" Target="https://docs.google.com/document/d/1WZfE25XeowtgbpO5cMSA_qKopckQ4mkEqTpLAhOuce4/edit?usp=drivesdk" TargetMode="External"/><Relationship Id="rId366" Type="http://schemas.openxmlformats.org/officeDocument/2006/relationships/hyperlink" Target="https://docs.google.com/document/d/1THKtCCDIyvIdzKHIG4oODTQWOtwrtD_zmKpdCTDkmQ4/edit?usp=drivesdk" TargetMode="External"/><Relationship Id="rId2288" Type="http://schemas.openxmlformats.org/officeDocument/2006/relationships/hyperlink" Target="https://drive.google.com/open?id=128KjfpXneIN6_arbUfXHjDsYrcJnhh6N" TargetMode="External"/><Relationship Id="rId365" Type="http://schemas.openxmlformats.org/officeDocument/2006/relationships/hyperlink" Target="https://drive.google.com/uc?export=view&amp;id=1rebjOTVx2xk1wX8K7qNf0JSvBqD6HTW5" TargetMode="External"/><Relationship Id="rId2289" Type="http://schemas.openxmlformats.org/officeDocument/2006/relationships/hyperlink" Target="https://drive.google.com/uc?export=view&amp;id=128KjfpXneIN6_arbUfXHjDsYrcJnhh6N" TargetMode="External"/><Relationship Id="rId364" Type="http://schemas.openxmlformats.org/officeDocument/2006/relationships/hyperlink" Target="https://drive.google.com/open?id=1rebjOTVx2xk1wX8K7qNf0JSvBqD6HTW5" TargetMode="External"/><Relationship Id="rId95" Type="http://schemas.openxmlformats.org/officeDocument/2006/relationships/hyperlink" Target="https://drive.google.com/uc?export=view&amp;id=1bvlWDQ98sA2EttfYaLtvIQlmLQQ3w9TY" TargetMode="External"/><Relationship Id="rId94" Type="http://schemas.openxmlformats.org/officeDocument/2006/relationships/hyperlink" Target="https://drive.google.com/open?id=1bvlWDQ98sA2EttfYaLtvIQlmLQQ3w9TY" TargetMode="External"/><Relationship Id="rId97" Type="http://schemas.openxmlformats.org/officeDocument/2006/relationships/hyperlink" Target="https://drive.google.com/open?id=12mMJgktMd_3oZWY0GsML2i3TfZhhrCqJ" TargetMode="External"/><Relationship Id="rId96" Type="http://schemas.openxmlformats.org/officeDocument/2006/relationships/hyperlink" Target="https://docs.google.com/document/d/1-bQioHCbVK45dp52tLoGplqH46M7RKo1pLhCa7HElMo/edit?usp=drivesdk" TargetMode="External"/><Relationship Id="rId99" Type="http://schemas.openxmlformats.org/officeDocument/2006/relationships/hyperlink" Target="https://docs.google.com/document/d/16etZwwX-QZTbi7W8WdwrZ3OBrnwDJxHU3P9_tGuZ2D0/edit?usp=drivesdk" TargetMode="External"/><Relationship Id="rId98" Type="http://schemas.openxmlformats.org/officeDocument/2006/relationships/hyperlink" Target="https://drive.google.com/uc?export=view&amp;id=12mMJgktMd_3oZWY0GsML2i3TfZhhrCqJ" TargetMode="External"/><Relationship Id="rId91" Type="http://schemas.openxmlformats.org/officeDocument/2006/relationships/hyperlink" Target="https://drive.google.com/open?id=1r3cAj5WlSpeTYSdo6fLYylI-JTKSeDBs" TargetMode="External"/><Relationship Id="rId90" Type="http://schemas.openxmlformats.org/officeDocument/2006/relationships/hyperlink" Target="https://docs.google.com/document/d/1ZRAI8LC2llMYO0apwSGwaqO5n-0TWcTdQF7RbsDhHcI/edit?usp=drivesdk" TargetMode="External"/><Relationship Id="rId93" Type="http://schemas.openxmlformats.org/officeDocument/2006/relationships/hyperlink" Target="https://docs.google.com/document/d/1zMD0V9RAmIjMHPRBBJczSyWijZTvEIiNGSaFdqhnVg8/edit?usp=drivesdk" TargetMode="External"/><Relationship Id="rId92" Type="http://schemas.openxmlformats.org/officeDocument/2006/relationships/hyperlink" Target="https://drive.google.com/uc?export=view&amp;id=1r3cAj5WlSpeTYSdo6fLYylI-JTKSeDBs" TargetMode="External"/><Relationship Id="rId359" Type="http://schemas.openxmlformats.org/officeDocument/2006/relationships/hyperlink" Target="https://drive.google.com/uc?export=view&amp;id=1xsEeqigCoPLYrrsfy7wQlVTpMKZ9o3KJ" TargetMode="External"/><Relationship Id="rId358" Type="http://schemas.openxmlformats.org/officeDocument/2006/relationships/hyperlink" Target="https://drive.google.com/open?id=1xsEeqigCoPLYrrsfy7wQlVTpMKZ9o3KJ" TargetMode="External"/><Relationship Id="rId357" Type="http://schemas.openxmlformats.org/officeDocument/2006/relationships/hyperlink" Target="https://docs.google.com/document/d/1ecPfx4YV6WFJClXaD0P7tlGhbSS_Lqc-drCuIcybfmw/edit?usp=drivesdk" TargetMode="External"/><Relationship Id="rId2270" Type="http://schemas.openxmlformats.org/officeDocument/2006/relationships/hyperlink" Target="https://drive.google.com/open?id=1uHs1lMs8dEgXbzWOJDtSGmZq9p3qe2Kw" TargetMode="External"/><Relationship Id="rId2271" Type="http://schemas.openxmlformats.org/officeDocument/2006/relationships/hyperlink" Target="https://drive.google.com/uc?export=view&amp;id=1uHs1lMs8dEgXbzWOJDtSGmZq9p3qe2Kw" TargetMode="External"/><Relationship Id="rId352" Type="http://schemas.openxmlformats.org/officeDocument/2006/relationships/hyperlink" Target="https://drive.google.com/open?id=1UHJhVKgHqv9f-q73Uxz8gywldDFdnjnC" TargetMode="External"/><Relationship Id="rId2272" Type="http://schemas.openxmlformats.org/officeDocument/2006/relationships/hyperlink" Target="https://docs.google.com/document/d/1vobbkptmaYhq_mJ-GYAzTd1KStaIfnSKLhIEknB8bAA/edit?usp=drivesdk" TargetMode="External"/><Relationship Id="rId351" Type="http://schemas.openxmlformats.org/officeDocument/2006/relationships/hyperlink" Target="https://docs.google.com/document/d/1-FF_mJ1NvBErYZcRLs0CbdkYo4kWwocIeRjfTrjbYrs/edit?usp=drivesdk" TargetMode="External"/><Relationship Id="rId2273" Type="http://schemas.openxmlformats.org/officeDocument/2006/relationships/hyperlink" Target="https://drive.google.com/open?id=11RLcRcsI_saeWl38_I-5tDTE-HdepNje" TargetMode="External"/><Relationship Id="rId350" Type="http://schemas.openxmlformats.org/officeDocument/2006/relationships/hyperlink" Target="https://drive.google.com/uc?export=view&amp;id=1E6gFIVXPQVsBqberSwYkx4qWMJ1lNbNK" TargetMode="External"/><Relationship Id="rId2274" Type="http://schemas.openxmlformats.org/officeDocument/2006/relationships/hyperlink" Target="https://drive.google.com/uc?export=view&amp;id=11RLcRcsI_saeWl38_I-5tDTE-HdepNje" TargetMode="External"/><Relationship Id="rId2275" Type="http://schemas.openxmlformats.org/officeDocument/2006/relationships/hyperlink" Target="https://docs.google.com/document/d/1ML5VUmYEbdKoykJRyQCL72p9ZtWUB0_ZCtpnxvRbnvg/edit?usp=drivesdk" TargetMode="External"/><Relationship Id="rId356" Type="http://schemas.openxmlformats.org/officeDocument/2006/relationships/hyperlink" Target="https://drive.google.com/uc?export=view&amp;id=1H0dUBiDO_QbQ1mQcLVSP48A92IBVbtZ_" TargetMode="External"/><Relationship Id="rId2276" Type="http://schemas.openxmlformats.org/officeDocument/2006/relationships/hyperlink" Target="https://drive.google.com/open?id=1kTwoOswy1NSdZ9vw2IoWIKnKLEbSBzmP" TargetMode="External"/><Relationship Id="rId355" Type="http://schemas.openxmlformats.org/officeDocument/2006/relationships/hyperlink" Target="https://drive.google.com/open?id=1H0dUBiDO_QbQ1mQcLVSP48A92IBVbtZ_" TargetMode="External"/><Relationship Id="rId2277" Type="http://schemas.openxmlformats.org/officeDocument/2006/relationships/hyperlink" Target="https://drive.google.com/uc?export=view&amp;id=1kTwoOswy1NSdZ9vw2IoWIKnKLEbSBzmP" TargetMode="External"/><Relationship Id="rId354" Type="http://schemas.openxmlformats.org/officeDocument/2006/relationships/hyperlink" Target="https://docs.google.com/document/d/1tK-KkfuOsd9i46UW6b2cazThT30me6uxQ1VLXwLc21U/edit?usp=drivesdk" TargetMode="External"/><Relationship Id="rId2278" Type="http://schemas.openxmlformats.org/officeDocument/2006/relationships/hyperlink" Target="https://docs.google.com/document/d/17DspEX5UWFTDAWcAfSY4RFDbI9mQLRPiz5Y84j-0KSw/edit?usp=drivesdk" TargetMode="External"/><Relationship Id="rId353" Type="http://schemas.openxmlformats.org/officeDocument/2006/relationships/hyperlink" Target="https://drive.google.com/uc?export=view&amp;id=1UHJhVKgHqv9f-q73Uxz8gywldDFdnjnC" TargetMode="External"/><Relationship Id="rId2279" Type="http://schemas.openxmlformats.org/officeDocument/2006/relationships/hyperlink" Target="https://drive.google.com/open?id=1oK8aeSmn9dDDlGg5lwqChM5JnIKsMcxx" TargetMode="External"/><Relationship Id="rId2225" Type="http://schemas.openxmlformats.org/officeDocument/2006/relationships/hyperlink" Target="https://drive.google.com/open?id=1XGdBPXeq9X8znyHh7EA6PZrxbC-PWtcT" TargetMode="External"/><Relationship Id="rId3557" Type="http://schemas.openxmlformats.org/officeDocument/2006/relationships/hyperlink" Target="https://drive.google.com/open?id=11hji5jRCtOdeOykoA89YW_U77u5mgB54" TargetMode="External"/><Relationship Id="rId2226" Type="http://schemas.openxmlformats.org/officeDocument/2006/relationships/hyperlink" Target="https://drive.google.com/uc?export=view&amp;id=1XGdBPXeq9X8znyHh7EA6PZrxbC-PWtcT" TargetMode="External"/><Relationship Id="rId3556" Type="http://schemas.openxmlformats.org/officeDocument/2006/relationships/hyperlink" Target="https://docs.google.com/document/d/1WJnk6Z_6S3XSR3nb-0J-mqcv4iIHawrmtAJFvYWGq9U/edit?usp=drivesdk" TargetMode="External"/><Relationship Id="rId2227" Type="http://schemas.openxmlformats.org/officeDocument/2006/relationships/hyperlink" Target="https://docs.google.com/document/d/11Y5O5p_R-gyUKJMl8GZj_y4aFABIFRIkhzmg9daOQJ0/edit?usp=drivesdk" TargetMode="External"/><Relationship Id="rId3559" Type="http://schemas.openxmlformats.org/officeDocument/2006/relationships/hyperlink" Target="https://docs.google.com/document/d/1sIevQHZj8dyVY4tkdswHCuK-qTu4xeC-uTswYL924pQ/edit?usp=drivesdk" TargetMode="External"/><Relationship Id="rId2228" Type="http://schemas.openxmlformats.org/officeDocument/2006/relationships/hyperlink" Target="https://drive.google.com/open?id=1fDm7upElFErbn1CGpjYfawLgfeSTjSbD" TargetMode="External"/><Relationship Id="rId3558" Type="http://schemas.openxmlformats.org/officeDocument/2006/relationships/hyperlink" Target="https://drive.google.com/uc?export=view&amp;id=11hji5jRCtOdeOykoA89YW_U77u5mgB54" TargetMode="External"/><Relationship Id="rId2229" Type="http://schemas.openxmlformats.org/officeDocument/2006/relationships/hyperlink" Target="https://drive.google.com/uc?export=view&amp;id=1fDm7upElFErbn1CGpjYfawLgfeSTjSbD" TargetMode="External"/><Relationship Id="rId305" Type="http://schemas.openxmlformats.org/officeDocument/2006/relationships/hyperlink" Target="https://drive.google.com/uc?export=view&amp;id=1f7SK0KVB7Kxk8gPTvSEwEgjG49vTJxV9" TargetMode="External"/><Relationship Id="rId304" Type="http://schemas.openxmlformats.org/officeDocument/2006/relationships/hyperlink" Target="https://drive.google.com/open?id=1f7SK0KVB7Kxk8gPTvSEwEgjG49vTJxV9" TargetMode="External"/><Relationship Id="rId303" Type="http://schemas.openxmlformats.org/officeDocument/2006/relationships/hyperlink" Target="https://docs.google.com/document/d/1K9O7Zb1adH2j6iCNi5Lu3TRmToXOwl2R_wmSF-s5id4/edit?usp=drivesdk" TargetMode="External"/><Relationship Id="rId302" Type="http://schemas.openxmlformats.org/officeDocument/2006/relationships/hyperlink" Target="https://drive.google.com/uc?export=view&amp;id=1dcTxsXFZbFvE1IXiyWSRhYeO11zM0VHr" TargetMode="External"/><Relationship Id="rId309" Type="http://schemas.openxmlformats.org/officeDocument/2006/relationships/hyperlink" Target="https://docs.google.com/document/d/1o1u9_ZN3R1hcZQ8CC32yLwfigfh3LA1gUVMU9wvq8RM/edit?usp=drivesdk" TargetMode="External"/><Relationship Id="rId308" Type="http://schemas.openxmlformats.org/officeDocument/2006/relationships/hyperlink" Target="https://drive.google.com/uc?export=view&amp;id=1QN4bpCa8kD2amuE0z0pfD4A9QX2y4V0Z" TargetMode="External"/><Relationship Id="rId307" Type="http://schemas.openxmlformats.org/officeDocument/2006/relationships/hyperlink" Target="https://drive.google.com/open?id=1QN4bpCa8kD2amuE0z0pfD4A9QX2y4V0Z" TargetMode="External"/><Relationship Id="rId306" Type="http://schemas.openxmlformats.org/officeDocument/2006/relationships/hyperlink" Target="https://docs.google.com/document/d/1LIFDmgUB13QQMz6ajxTBuWR153ncYWmZ2I3xI7bnpuw/edit?usp=drivesdk" TargetMode="External"/><Relationship Id="rId3551" Type="http://schemas.openxmlformats.org/officeDocument/2006/relationships/hyperlink" Target="https://drive.google.com/open?id=1GWzqQrUcPx1-FD6jR7W3lI6F8hhH9v8F" TargetMode="External"/><Relationship Id="rId2220" Type="http://schemas.openxmlformats.org/officeDocument/2006/relationships/hyperlink" Target="https://drive.google.com/uc?export=view&amp;id=1mg5tVwjkV0yI3ox0h1EyI5iONZKvWyV9" TargetMode="External"/><Relationship Id="rId3550" Type="http://schemas.openxmlformats.org/officeDocument/2006/relationships/hyperlink" Target="https://docs.google.com/document/d/1MipM7zDVtJxDbg93ozMqgZPJ5xQLutdPTn3GzdoFUIQ/edit?usp=drivesdk" TargetMode="External"/><Relationship Id="rId301" Type="http://schemas.openxmlformats.org/officeDocument/2006/relationships/hyperlink" Target="https://drive.google.com/open?id=1dcTxsXFZbFvE1IXiyWSRhYeO11zM0VHr" TargetMode="External"/><Relationship Id="rId2221" Type="http://schemas.openxmlformats.org/officeDocument/2006/relationships/hyperlink" Target="https://docs.google.com/document/d/1pgb94rXq70B42p7JOf6u1cnSgk4LU7g7_FRDfuZo8lE/edit?usp=drivesdk" TargetMode="External"/><Relationship Id="rId3553" Type="http://schemas.openxmlformats.org/officeDocument/2006/relationships/hyperlink" Target="https://docs.google.com/document/d/1Ia37vLD0Fv0eKcEFuhxHls2uw26iX-X1vEywn2pXmr4/edit?usp=drivesdk" TargetMode="External"/><Relationship Id="rId300" Type="http://schemas.openxmlformats.org/officeDocument/2006/relationships/hyperlink" Target="https://docs.google.com/document/d/1M-P_gg7gBCViJH9lCjuXXAfqa0WxPmay3GfruQm2I6g/edit?usp=drivesdk" TargetMode="External"/><Relationship Id="rId2222" Type="http://schemas.openxmlformats.org/officeDocument/2006/relationships/hyperlink" Target="https://drive.google.com/open?id=1zeUQ2puWPoSZbSivrI_bQx_HxRw3bZx1" TargetMode="External"/><Relationship Id="rId3552" Type="http://schemas.openxmlformats.org/officeDocument/2006/relationships/hyperlink" Target="https://drive.google.com/uc?export=view&amp;id=1GWzqQrUcPx1-FD6jR7W3lI6F8hhH9v8F" TargetMode="External"/><Relationship Id="rId2223" Type="http://schemas.openxmlformats.org/officeDocument/2006/relationships/hyperlink" Target="https://drive.google.com/uc?export=view&amp;id=1zeUQ2puWPoSZbSivrI_bQx_HxRw3bZx1" TargetMode="External"/><Relationship Id="rId3555" Type="http://schemas.openxmlformats.org/officeDocument/2006/relationships/hyperlink" Target="https://drive.google.com/uc?export=view&amp;id=17S6kZ-5V-_otdEE67kymETR5roRhJwEx" TargetMode="External"/><Relationship Id="rId2224" Type="http://schemas.openxmlformats.org/officeDocument/2006/relationships/hyperlink" Target="https://docs.google.com/document/d/1NAZZgHCMQwoSrml9450VxFJQeEyDh1NyMWBFlJTnjw8/edit?usp=drivesdk" TargetMode="External"/><Relationship Id="rId3554" Type="http://schemas.openxmlformats.org/officeDocument/2006/relationships/hyperlink" Target="https://drive.google.com/open?id=17S6kZ-5V-_otdEE67kymETR5roRhJwEx" TargetMode="External"/><Relationship Id="rId2214" Type="http://schemas.openxmlformats.org/officeDocument/2006/relationships/hyperlink" Target="https://drive.google.com/uc?export=view&amp;id=1COGCGLhUoBrCNKGlWU-QP0tX0giE_SUD" TargetMode="External"/><Relationship Id="rId3546" Type="http://schemas.openxmlformats.org/officeDocument/2006/relationships/hyperlink" Target="https://drive.google.com/uc?export=view&amp;id=1_J11u4TA0rPCwbWeQENLNvy36Z-QNOtc" TargetMode="External"/><Relationship Id="rId2215" Type="http://schemas.openxmlformats.org/officeDocument/2006/relationships/hyperlink" Target="https://docs.google.com/document/d/198WuFshB9HNbk0llqje01WUkMKckAQeQru6Cpl8NkOg/edit?usp=drivesdk" TargetMode="External"/><Relationship Id="rId3545" Type="http://schemas.openxmlformats.org/officeDocument/2006/relationships/hyperlink" Target="https://drive.google.com/open?id=1_J11u4TA0rPCwbWeQENLNvy36Z-QNOtc" TargetMode="External"/><Relationship Id="rId2216" Type="http://schemas.openxmlformats.org/officeDocument/2006/relationships/hyperlink" Target="https://drive.google.com/open?id=1y_B41_w0Q5AMFmtJ6zlUUMpPSiOA0_ma" TargetMode="External"/><Relationship Id="rId3548" Type="http://schemas.openxmlformats.org/officeDocument/2006/relationships/hyperlink" Target="https://drive.google.com/open?id=1OQiM9uiT_Hd7yGifP9zX9zpgkbCae-SU" TargetMode="External"/><Relationship Id="rId2217" Type="http://schemas.openxmlformats.org/officeDocument/2006/relationships/hyperlink" Target="https://drive.google.com/uc?export=view&amp;id=1y_B41_w0Q5AMFmtJ6zlUUMpPSiOA0_ma" TargetMode="External"/><Relationship Id="rId3547" Type="http://schemas.openxmlformats.org/officeDocument/2006/relationships/hyperlink" Target="https://docs.google.com/document/d/1g9Nc1B75jNDeA1j6mnDz8B9nT-gJYUP0PoMUYBwElPE/edit?usp=drivesdk" TargetMode="External"/><Relationship Id="rId2218" Type="http://schemas.openxmlformats.org/officeDocument/2006/relationships/hyperlink" Target="https://docs.google.com/document/d/1E64b0KQgu6aiqI5U992lKL_4jbaEXe2-nY-PoNRTjmM/edit?usp=drivesdk" TargetMode="External"/><Relationship Id="rId2219" Type="http://schemas.openxmlformats.org/officeDocument/2006/relationships/hyperlink" Target="https://drive.google.com/open?id=1mg5tVwjkV0yI3ox0h1EyI5iONZKvWyV9" TargetMode="External"/><Relationship Id="rId3549" Type="http://schemas.openxmlformats.org/officeDocument/2006/relationships/hyperlink" Target="https://drive.google.com/uc?export=view&amp;id=1OQiM9uiT_Hd7yGifP9zX9zpgkbCae-SU" TargetMode="External"/><Relationship Id="rId3540" Type="http://schemas.openxmlformats.org/officeDocument/2006/relationships/hyperlink" Target="https://drive.google.com/uc?export=view&amp;id=1QcW4XPhvOp6kYcVwl7cVskoYJPWN5byN" TargetMode="External"/><Relationship Id="rId2210" Type="http://schemas.openxmlformats.org/officeDocument/2006/relationships/hyperlink" Target="https://drive.google.com/open?id=17Ex11xQEq-RWXmSRirIcnhNYMCuzIQpS" TargetMode="External"/><Relationship Id="rId3542" Type="http://schemas.openxmlformats.org/officeDocument/2006/relationships/hyperlink" Target="https://drive.google.com/open?id=1IXXK54dNAppTEDFrmhN7uEk82QX4Sxxh" TargetMode="External"/><Relationship Id="rId2211" Type="http://schemas.openxmlformats.org/officeDocument/2006/relationships/hyperlink" Target="https://drive.google.com/uc?export=view&amp;id=17Ex11xQEq-RWXmSRirIcnhNYMCuzIQpS" TargetMode="External"/><Relationship Id="rId3541" Type="http://schemas.openxmlformats.org/officeDocument/2006/relationships/hyperlink" Target="https://docs.google.com/document/d/1G-cI8ndNzAktOArYb1eu7-tl1d0fouvw6g-Pv5xZ6ts/edit?usp=drivesdk" TargetMode="External"/><Relationship Id="rId2212" Type="http://schemas.openxmlformats.org/officeDocument/2006/relationships/hyperlink" Target="https://docs.google.com/document/d/1zMJbdhN4dFkCT48YsFT2-NaEnYwml_scwjnGQbPlH94/edit?usp=drivesdk" TargetMode="External"/><Relationship Id="rId3544" Type="http://schemas.openxmlformats.org/officeDocument/2006/relationships/hyperlink" Target="https://docs.google.com/document/d/15ecOAAPQiaRRt7KOv8t-wFBC1k6CYbLpi_TiCEFiySM/edit?usp=drivesdk" TargetMode="External"/><Relationship Id="rId2213" Type="http://schemas.openxmlformats.org/officeDocument/2006/relationships/hyperlink" Target="https://drive.google.com/open?id=1COGCGLhUoBrCNKGlWU-QP0tX0giE_SUD" TargetMode="External"/><Relationship Id="rId3543" Type="http://schemas.openxmlformats.org/officeDocument/2006/relationships/hyperlink" Target="https://drive.google.com/uc?export=view&amp;id=1IXXK54dNAppTEDFrmhN7uEk82QX4Sxxh" TargetMode="External"/><Relationship Id="rId2247" Type="http://schemas.openxmlformats.org/officeDocument/2006/relationships/hyperlink" Target="https://drive.google.com/uc?export=view&amp;id=1Mkrd0zuPZgD4KIcnoF_LgtDitFmxuZHD" TargetMode="External"/><Relationship Id="rId3579" Type="http://schemas.openxmlformats.org/officeDocument/2006/relationships/hyperlink" Target="https://drive.google.com/uc?export=view&amp;id=18xhAL7rHh_G7XaDIDcszAfW-bkZuxPgc" TargetMode="External"/><Relationship Id="rId2248" Type="http://schemas.openxmlformats.org/officeDocument/2006/relationships/hyperlink" Target="https://docs.google.com/document/d/1E_c4iqQL26mtuWNVvuKeCcb2U3HQm3HG__I2UmfT1Vc/edit?usp=drivesdk" TargetMode="External"/><Relationship Id="rId3578" Type="http://schemas.openxmlformats.org/officeDocument/2006/relationships/hyperlink" Target="https://drive.google.com/open?id=18xhAL7rHh_G7XaDIDcszAfW-bkZuxPgc" TargetMode="External"/><Relationship Id="rId2249" Type="http://schemas.openxmlformats.org/officeDocument/2006/relationships/hyperlink" Target="https://drive.google.com/open?id=1DO8-V8cyOoz_LrmlEG7N7fHKGTWpuLJR" TargetMode="External"/><Relationship Id="rId327" Type="http://schemas.openxmlformats.org/officeDocument/2006/relationships/hyperlink" Target="https://docs.google.com/document/d/1PpILB5CnMPytfQovByq-4SX1UFgG4K7f0Px9j5wzrbY/edit?usp=drivesdk" TargetMode="External"/><Relationship Id="rId326" Type="http://schemas.openxmlformats.org/officeDocument/2006/relationships/hyperlink" Target="https://drive.google.com/uc?export=view&amp;id=1rMt2aPjqE9AH4J0USHemsjcx95ryMhdB" TargetMode="External"/><Relationship Id="rId325" Type="http://schemas.openxmlformats.org/officeDocument/2006/relationships/hyperlink" Target="https://drive.google.com/open?id=1rMt2aPjqE9AH4J0USHemsjcx95ryMhdB" TargetMode="External"/><Relationship Id="rId324" Type="http://schemas.openxmlformats.org/officeDocument/2006/relationships/hyperlink" Target="https://docs.google.com/document/d/1ul4PI44CiZSnzzXOXOSsNEoarrymCq8KpU9E0OhnirA/edit?usp=drivesdk" TargetMode="External"/><Relationship Id="rId329" Type="http://schemas.openxmlformats.org/officeDocument/2006/relationships/hyperlink" Target="https://drive.google.com/uc?export=view&amp;id=1NxgLtviXn2XZSuLKECeqYwpCHFWA3ynT" TargetMode="External"/><Relationship Id="rId328" Type="http://schemas.openxmlformats.org/officeDocument/2006/relationships/hyperlink" Target="https://drive.google.com/open?id=1NxgLtviXn2XZSuLKECeqYwpCHFWA3ynT" TargetMode="External"/><Relationship Id="rId3571" Type="http://schemas.openxmlformats.org/officeDocument/2006/relationships/hyperlink" Target="https://docs.google.com/document/d/17rEbpCey1XbP8VwaNi06rkACZIvLmLgA2AH_SFkPoYg/edit?usp=drivesdk" TargetMode="External"/><Relationship Id="rId2240" Type="http://schemas.openxmlformats.org/officeDocument/2006/relationships/hyperlink" Target="https://drive.google.com/open?id=1NhbaZ9RbvtPddmHU27HOFwrMU914bLju" TargetMode="External"/><Relationship Id="rId3570" Type="http://schemas.openxmlformats.org/officeDocument/2006/relationships/hyperlink" Target="https://drive.google.com/uc?export=view&amp;id=1_UlQccIt705Ajyf69OFKj58HXmY9y2lK" TargetMode="External"/><Relationship Id="rId2241" Type="http://schemas.openxmlformats.org/officeDocument/2006/relationships/hyperlink" Target="https://drive.google.com/uc?export=view&amp;id=1NhbaZ9RbvtPddmHU27HOFwrMU914bLju" TargetMode="External"/><Relationship Id="rId3573" Type="http://schemas.openxmlformats.org/officeDocument/2006/relationships/hyperlink" Target="https://drive.google.com/uc?export=view&amp;id=1-WtuG9anJApLifO1vb7lmW1pmimfIm3S" TargetMode="External"/><Relationship Id="rId2242" Type="http://schemas.openxmlformats.org/officeDocument/2006/relationships/hyperlink" Target="https://docs.google.com/document/d/1YPh4W8SNBols5kZhD6MiO7k6R9ktmKu4q3cc1pSjUv4/edit?usp=drivesdk" TargetMode="External"/><Relationship Id="rId3572" Type="http://schemas.openxmlformats.org/officeDocument/2006/relationships/hyperlink" Target="https://drive.google.com/open?id=1-WtuG9anJApLifO1vb7lmW1pmimfIm3S" TargetMode="External"/><Relationship Id="rId323" Type="http://schemas.openxmlformats.org/officeDocument/2006/relationships/hyperlink" Target="https://drive.google.com/uc?export=view&amp;id=1yiPpWTxNaLOevhT1Euys5HP3kl8i3vv6" TargetMode="External"/><Relationship Id="rId2243" Type="http://schemas.openxmlformats.org/officeDocument/2006/relationships/hyperlink" Target="https://drive.google.com/open?id=1oillOvyG6C2LbBN_weB7UKdnUo4u-aIJ" TargetMode="External"/><Relationship Id="rId3575" Type="http://schemas.openxmlformats.org/officeDocument/2006/relationships/hyperlink" Target="https://drive.google.com/open?id=1oE66pT-IYawFFnQDhEkiTjnUrnPPIgVS" TargetMode="External"/><Relationship Id="rId322" Type="http://schemas.openxmlformats.org/officeDocument/2006/relationships/hyperlink" Target="https://drive.google.com/open?id=1yiPpWTxNaLOevhT1Euys5HP3kl8i3vv6" TargetMode="External"/><Relationship Id="rId2244" Type="http://schemas.openxmlformats.org/officeDocument/2006/relationships/hyperlink" Target="https://drive.google.com/uc?export=view&amp;id=1oillOvyG6C2LbBN_weB7UKdnUo4u-aIJ" TargetMode="External"/><Relationship Id="rId3574" Type="http://schemas.openxmlformats.org/officeDocument/2006/relationships/hyperlink" Target="https://docs.google.com/document/d/1oms4SzcSH1hW3lOKTBuWcuaLzSkMSYo1IPJaI_VjnY0/edit?usp=drivesdk" TargetMode="External"/><Relationship Id="rId321" Type="http://schemas.openxmlformats.org/officeDocument/2006/relationships/hyperlink" Target="https://docs.google.com/document/d/15Cq-HTaDUPEA2CyM_NCNvynkyvfm3y8_wJ3PYr6u2o4/edit?usp=drivesdk" TargetMode="External"/><Relationship Id="rId2245" Type="http://schemas.openxmlformats.org/officeDocument/2006/relationships/hyperlink" Target="https://docs.google.com/document/d/1NocqywkjKMvxiCJLJTsxFXDm2iukZohv1ZI2slGAXIk/edit?usp=drivesdk" TargetMode="External"/><Relationship Id="rId3577" Type="http://schemas.openxmlformats.org/officeDocument/2006/relationships/hyperlink" Target="https://docs.google.com/document/d/1X7d6O6UIZS-BLq0OOQZXlhSDFbSTSr8t1Xsal_YKmTw/edit?usp=drivesdk" TargetMode="External"/><Relationship Id="rId320" Type="http://schemas.openxmlformats.org/officeDocument/2006/relationships/hyperlink" Target="https://drive.google.com/uc?export=view&amp;id=1WGuwHIXm-l5Fdib4BZiFvIFXj-48w22y" TargetMode="External"/><Relationship Id="rId2246" Type="http://schemas.openxmlformats.org/officeDocument/2006/relationships/hyperlink" Target="https://drive.google.com/open?id=1Mkrd0zuPZgD4KIcnoF_LgtDitFmxuZHD" TargetMode="External"/><Relationship Id="rId3576" Type="http://schemas.openxmlformats.org/officeDocument/2006/relationships/hyperlink" Target="https://drive.google.com/uc?export=view&amp;id=1oE66pT-IYawFFnQDhEkiTjnUrnPPIgVS" TargetMode="External"/><Relationship Id="rId2236" Type="http://schemas.openxmlformats.org/officeDocument/2006/relationships/hyperlink" Target="https://docs.google.com/document/d/1f7UTD8yS8mQKdWLz9J3uXgPyWb6ZJorbB3i29H1xyb8/edit?usp=drivesdk" TargetMode="External"/><Relationship Id="rId3568" Type="http://schemas.openxmlformats.org/officeDocument/2006/relationships/hyperlink" Target="https://docs.google.com/document/d/1eFGljLbCXQCSdJcNOy2t-kvcpqWjEDPR2p9RqOOf5ug/edit?usp=drivesdk" TargetMode="External"/><Relationship Id="rId2237" Type="http://schemas.openxmlformats.org/officeDocument/2006/relationships/hyperlink" Target="https://drive.google.com/open?id=1AgOZsgcgRmbeIVFYE0cKgmdEKEKi-YQm" TargetMode="External"/><Relationship Id="rId3567" Type="http://schemas.openxmlformats.org/officeDocument/2006/relationships/hyperlink" Target="https://drive.google.com/uc?export=view&amp;id=1lDGDg62hCvgBZyGcMLsAuJm2qrbroTiC" TargetMode="External"/><Relationship Id="rId2238" Type="http://schemas.openxmlformats.org/officeDocument/2006/relationships/hyperlink" Target="https://drive.google.com/uc?export=view&amp;id=1AgOZsgcgRmbeIVFYE0cKgmdEKEKi-YQm" TargetMode="External"/><Relationship Id="rId2239" Type="http://schemas.openxmlformats.org/officeDocument/2006/relationships/hyperlink" Target="https://docs.google.com/document/d/1v3cGbVm0mSrJukiauStL9mrr8wAowyXdXQ0gufvgtHQ/edit?usp=drivesdk" TargetMode="External"/><Relationship Id="rId3569" Type="http://schemas.openxmlformats.org/officeDocument/2006/relationships/hyperlink" Target="https://drive.google.com/open?id=1_UlQccIt705Ajyf69OFKj58HXmY9y2lK" TargetMode="External"/><Relationship Id="rId316" Type="http://schemas.openxmlformats.org/officeDocument/2006/relationships/hyperlink" Target="https://drive.google.com/open?id=1odWhxLHiO9r-w8ollrs6ALXph57LHU-B" TargetMode="External"/><Relationship Id="rId315" Type="http://schemas.openxmlformats.org/officeDocument/2006/relationships/hyperlink" Target="https://docs.google.com/document/d/1O9Ly2uzg9PEyeJu2yx59Lo9_MRe31iRCsKBLktF5ROM/edit?usp=drivesdk" TargetMode="External"/><Relationship Id="rId314" Type="http://schemas.openxmlformats.org/officeDocument/2006/relationships/hyperlink" Target="https://drive.google.com/uc?export=view&amp;id=1oJufbEHdgFtyBlENsm4USVUqT_2Fgmcf" TargetMode="External"/><Relationship Id="rId313" Type="http://schemas.openxmlformats.org/officeDocument/2006/relationships/hyperlink" Target="https://drive.google.com/open?id=1oJufbEHdgFtyBlENsm4USVUqT_2Fgmcf" TargetMode="External"/><Relationship Id="rId319" Type="http://schemas.openxmlformats.org/officeDocument/2006/relationships/hyperlink" Target="https://drive.google.com/open?id=1WGuwHIXm-l5Fdib4BZiFvIFXj-48w22y" TargetMode="External"/><Relationship Id="rId318" Type="http://schemas.openxmlformats.org/officeDocument/2006/relationships/hyperlink" Target="https://docs.google.com/document/d/1SM-Hx6at-QRQeAWu4xB8xIHr1R29mftHsOnGIDpi0fw/edit?usp=drivesdk" TargetMode="External"/><Relationship Id="rId317" Type="http://schemas.openxmlformats.org/officeDocument/2006/relationships/hyperlink" Target="https://drive.google.com/uc?export=view&amp;id=1odWhxLHiO9r-w8ollrs6ALXph57LHU-B" TargetMode="External"/><Relationship Id="rId3560" Type="http://schemas.openxmlformats.org/officeDocument/2006/relationships/hyperlink" Target="https://drive.google.com/open?id=1-VSjsgOhDPoozBxq2HoIFtUAJqp7ua37" TargetMode="External"/><Relationship Id="rId2230" Type="http://schemas.openxmlformats.org/officeDocument/2006/relationships/hyperlink" Target="https://docs.google.com/document/d/13R-6ye8Cp68dPqs_NXIdkOq-3LJiAbImPXhsGUcD-Xo/edit?usp=drivesdk" TargetMode="External"/><Relationship Id="rId3562" Type="http://schemas.openxmlformats.org/officeDocument/2006/relationships/hyperlink" Target="https://docs.google.com/document/d/15CTVlGfJ7fK-WZRadlk6VWf_jPaNvaTXfmUkU5xwpHM/edit?usp=drivesdk" TargetMode="External"/><Relationship Id="rId2231" Type="http://schemas.openxmlformats.org/officeDocument/2006/relationships/hyperlink" Target="https://drive.google.com/open?id=1WOVyxwunShcWMREEXQf1nuq0wBUPHC_3" TargetMode="External"/><Relationship Id="rId3561" Type="http://schemas.openxmlformats.org/officeDocument/2006/relationships/hyperlink" Target="https://drive.google.com/uc?export=view&amp;id=1-VSjsgOhDPoozBxq2HoIFtUAJqp7ua37" TargetMode="External"/><Relationship Id="rId312" Type="http://schemas.openxmlformats.org/officeDocument/2006/relationships/hyperlink" Target="https://docs.google.com/document/d/1rT15CKQ4zM-j2wbQ1hrHa-_AhcBkTy8PsBDFNGSUYxc/edit?usp=drivesdk" TargetMode="External"/><Relationship Id="rId2232" Type="http://schemas.openxmlformats.org/officeDocument/2006/relationships/hyperlink" Target="https://drive.google.com/uc?export=view&amp;id=1WOVyxwunShcWMREEXQf1nuq0wBUPHC_3" TargetMode="External"/><Relationship Id="rId3564" Type="http://schemas.openxmlformats.org/officeDocument/2006/relationships/hyperlink" Target="https://drive.google.com/uc?export=view&amp;id=1lYR0uPK1NkpwAJJv92gvU0j0WGEQAdFl" TargetMode="External"/><Relationship Id="rId311" Type="http://schemas.openxmlformats.org/officeDocument/2006/relationships/hyperlink" Target="https://drive.google.com/uc?export=view&amp;id=1p1cCKwh03quyKnQW3-JIsbKeOvue4MtF" TargetMode="External"/><Relationship Id="rId2233" Type="http://schemas.openxmlformats.org/officeDocument/2006/relationships/hyperlink" Target="https://docs.google.com/document/d/1t49y1S2c12CVN84BygP_NETnz6zpo7NB2NbrcBfGk_I/edit?usp=drivesdk" TargetMode="External"/><Relationship Id="rId3563" Type="http://schemas.openxmlformats.org/officeDocument/2006/relationships/hyperlink" Target="https://drive.google.com/open?id=1lYR0uPK1NkpwAJJv92gvU0j0WGEQAdFl" TargetMode="External"/><Relationship Id="rId310" Type="http://schemas.openxmlformats.org/officeDocument/2006/relationships/hyperlink" Target="https://drive.google.com/open?id=1p1cCKwh03quyKnQW3-JIsbKeOvue4MtF" TargetMode="External"/><Relationship Id="rId2234" Type="http://schemas.openxmlformats.org/officeDocument/2006/relationships/hyperlink" Target="https://drive.google.com/open?id=1jGna-SirjYQqrlD_PStJKkN-qj-Ru97p" TargetMode="External"/><Relationship Id="rId3566" Type="http://schemas.openxmlformats.org/officeDocument/2006/relationships/hyperlink" Target="https://drive.google.com/open?id=1lDGDg62hCvgBZyGcMLsAuJm2qrbroTiC" TargetMode="External"/><Relationship Id="rId2235" Type="http://schemas.openxmlformats.org/officeDocument/2006/relationships/hyperlink" Target="https://drive.google.com/uc?export=view&amp;id=1jGna-SirjYQqrlD_PStJKkN-qj-Ru97p" TargetMode="External"/><Relationship Id="rId3565" Type="http://schemas.openxmlformats.org/officeDocument/2006/relationships/hyperlink" Target="https://docs.google.com/document/d/17AHDQuRwPE5ZrSWevsGD-zBuWb4zA8V0p7w6bEf9IBo/edit?usp=drivesdk" TargetMode="External"/><Relationship Id="rId4040" Type="http://schemas.openxmlformats.org/officeDocument/2006/relationships/hyperlink" Target="https://drive.google.com/open?id=1FeAUPD-ptK5D4tWj-twhdNogy_8PelWe" TargetMode="External"/><Relationship Id="rId4042" Type="http://schemas.openxmlformats.org/officeDocument/2006/relationships/hyperlink" Target="https://docs.google.com/document/d/1eS4EU_wNWsxoG6TfRsjJAoD8L59M4T3uRBkB5UGmR24/edit?usp=drivesdk" TargetMode="External"/><Relationship Id="rId4041" Type="http://schemas.openxmlformats.org/officeDocument/2006/relationships/hyperlink" Target="https://drive.google.com/uc?export=view&amp;id=1FeAUPD-ptK5D4tWj-twhdNogy_8PelWe" TargetMode="External"/><Relationship Id="rId4044" Type="http://schemas.openxmlformats.org/officeDocument/2006/relationships/hyperlink" Target="https://drive.google.com/uc?export=view&amp;id=1xEn6B_N4bArrEpCTQMeYe3DtAcbLsu-L" TargetMode="External"/><Relationship Id="rId4043" Type="http://schemas.openxmlformats.org/officeDocument/2006/relationships/hyperlink" Target="https://drive.google.com/open?id=1xEn6B_N4bArrEpCTQMeYe3DtAcbLsu-L" TargetMode="External"/><Relationship Id="rId4046" Type="http://schemas.openxmlformats.org/officeDocument/2006/relationships/hyperlink" Target="https://drive.google.com/open?id=1DGlUrMdW3sWzw2HYxDWl2Uy9iRXX85IT" TargetMode="External"/><Relationship Id="rId4045" Type="http://schemas.openxmlformats.org/officeDocument/2006/relationships/hyperlink" Target="https://docs.google.com/document/d/1yQ3Ux0e3iV2YaB9fJIKxeKDkyS8g2Iywl5I-L5wMIRk/edit?usp=drivesdk" TargetMode="External"/><Relationship Id="rId4048" Type="http://schemas.openxmlformats.org/officeDocument/2006/relationships/hyperlink" Target="https://docs.google.com/document/d/1O0n2PHKj4hL_3eHuknOCnYQLQL7B129_60nXUr15HTk/edit?usp=drivesdk" TargetMode="External"/><Relationship Id="rId4047" Type="http://schemas.openxmlformats.org/officeDocument/2006/relationships/hyperlink" Target="https://drive.google.com/uc?export=view&amp;id=1DGlUrMdW3sWzw2HYxDWl2Uy9iRXX85IT" TargetMode="External"/><Relationship Id="rId4049" Type="http://schemas.openxmlformats.org/officeDocument/2006/relationships/hyperlink" Target="https://drive.google.com/open?id=1vWbJSz8Mmd3ftumTOJCGw2cVdl22I9Td" TargetMode="External"/><Relationship Id="rId4031" Type="http://schemas.openxmlformats.org/officeDocument/2006/relationships/hyperlink" Target="https://drive.google.com/open?id=14t0oph4uWKiMJ4zi3gYHz674nFFt0DYK" TargetMode="External"/><Relationship Id="rId4030" Type="http://schemas.openxmlformats.org/officeDocument/2006/relationships/hyperlink" Target="https://docs.google.com/document/d/1HgnqEfSpoC32-KUxvBx42YLrS6WkD-Mv19F4jElZizs/edit?usp=drivesdk" TargetMode="External"/><Relationship Id="rId297" Type="http://schemas.openxmlformats.org/officeDocument/2006/relationships/hyperlink" Target="https://docs.google.com/document/d/1cy6aQgNrvLxS3HEMAro0eDLajcV46-HwF95rPCCdZCg/edit?usp=drivesdk" TargetMode="External"/><Relationship Id="rId4033" Type="http://schemas.openxmlformats.org/officeDocument/2006/relationships/hyperlink" Target="https://docs.google.com/document/d/1ni_84SIB9sYDdt563BTRsfsauRb-_MqBnurM6iFRduQ/edit?usp=drivesdk" TargetMode="External"/><Relationship Id="rId296" Type="http://schemas.openxmlformats.org/officeDocument/2006/relationships/hyperlink" Target="https://drive.google.com/uc?export=view&amp;id=1e-Z92i40PIyzw4G9k00n2GG8bz6uUfek" TargetMode="External"/><Relationship Id="rId4032" Type="http://schemas.openxmlformats.org/officeDocument/2006/relationships/hyperlink" Target="https://drive.google.com/uc?export=view&amp;id=14t0oph4uWKiMJ4zi3gYHz674nFFt0DYK" TargetMode="External"/><Relationship Id="rId295" Type="http://schemas.openxmlformats.org/officeDocument/2006/relationships/hyperlink" Target="https://drive.google.com/open?id=1e-Z92i40PIyzw4G9k00n2GG8bz6uUfek" TargetMode="External"/><Relationship Id="rId4035" Type="http://schemas.openxmlformats.org/officeDocument/2006/relationships/hyperlink" Target="https://drive.google.com/uc?export=view&amp;id=1zPFbckdSYoP-DwEHmsbmZWzCYvRDbbHJ" TargetMode="External"/><Relationship Id="rId294" Type="http://schemas.openxmlformats.org/officeDocument/2006/relationships/hyperlink" Target="https://docs.google.com/document/d/1jtTMXQL5ffg79jJ9yRJPz863IPQknke15tJmor8hGTU/edit?usp=drivesdk" TargetMode="External"/><Relationship Id="rId4034" Type="http://schemas.openxmlformats.org/officeDocument/2006/relationships/hyperlink" Target="https://drive.google.com/open?id=1zPFbckdSYoP-DwEHmsbmZWzCYvRDbbHJ" TargetMode="External"/><Relationship Id="rId4037" Type="http://schemas.openxmlformats.org/officeDocument/2006/relationships/hyperlink" Target="https://drive.google.com/open?id=1zxPIcJNOwS5DBwUGQBnZIU7SjGDyRIYh" TargetMode="External"/><Relationship Id="rId4036" Type="http://schemas.openxmlformats.org/officeDocument/2006/relationships/hyperlink" Target="https://docs.google.com/document/d/1H7g6-8vwm49CIRq3c__n1M2y5jI6K09sYS_9_6NEm6Q/edit?usp=drivesdk" TargetMode="External"/><Relationship Id="rId299" Type="http://schemas.openxmlformats.org/officeDocument/2006/relationships/hyperlink" Target="https://drive.google.com/uc?export=view&amp;id=1hqy52dXwxkVLp81HACDtqpIzCuLj25TN" TargetMode="External"/><Relationship Id="rId4039" Type="http://schemas.openxmlformats.org/officeDocument/2006/relationships/hyperlink" Target="https://docs.google.com/document/d/1LZ2LPyjcwFOyk4fBoofXHsNBltYM2rAtepA1BGxI3Mw/edit?usp=drivesdk" TargetMode="External"/><Relationship Id="rId298" Type="http://schemas.openxmlformats.org/officeDocument/2006/relationships/hyperlink" Target="https://drive.google.com/open?id=1hqy52dXwxkVLp81HACDtqpIzCuLj25TN" TargetMode="External"/><Relationship Id="rId4038" Type="http://schemas.openxmlformats.org/officeDocument/2006/relationships/hyperlink" Target="https://drive.google.com/uc?export=view&amp;id=1zxPIcJNOwS5DBwUGQBnZIU7SjGDyRIYh" TargetMode="External"/><Relationship Id="rId4060" Type="http://schemas.openxmlformats.org/officeDocument/2006/relationships/hyperlink" Target="https://docs.google.com/document/d/1gyik5UNsC9fJnplqmB5QKxhnGyr_gl-XqpN3OPx8M0w/edit?usp=drivesdk" TargetMode="External"/><Relationship Id="rId4062" Type="http://schemas.openxmlformats.org/officeDocument/2006/relationships/hyperlink" Target="https://drive.google.com/uc?export=view&amp;id=1-pXbVwRouTD2GuL6jerRw5OuQKHeWd6O" TargetMode="External"/><Relationship Id="rId4061" Type="http://schemas.openxmlformats.org/officeDocument/2006/relationships/hyperlink" Target="https://drive.google.com/open?id=1-pXbVwRouTD2GuL6jerRw5OuQKHeWd6O" TargetMode="External"/><Relationship Id="rId4064" Type="http://schemas.openxmlformats.org/officeDocument/2006/relationships/hyperlink" Target="https://drive.google.com/open?id=1CZM3GRszoZH3HhIayju8QmW2WZGnfDFk" TargetMode="External"/><Relationship Id="rId4063" Type="http://schemas.openxmlformats.org/officeDocument/2006/relationships/hyperlink" Target="https://docs.google.com/document/d/1AAfcIyrjEAHXiO0Fr0nQTasYCxIUrqdHo6jf0_P_6WA/edit?usp=drivesdk" TargetMode="External"/><Relationship Id="rId4066" Type="http://schemas.openxmlformats.org/officeDocument/2006/relationships/hyperlink" Target="https://docs.google.com/document/d/1TgEgvx2SdnCv7smKSRDeAqyl9NZ5aUV_8HuthIG0xOo/edit?usp=drivesdk" TargetMode="External"/><Relationship Id="rId4065" Type="http://schemas.openxmlformats.org/officeDocument/2006/relationships/hyperlink" Target="https://drive.google.com/uc?export=view&amp;id=1CZM3GRszoZH3HhIayju8QmW2WZGnfDFk" TargetMode="External"/><Relationship Id="rId4068" Type="http://schemas.openxmlformats.org/officeDocument/2006/relationships/hyperlink" Target="https://drive.google.com/uc?export=view&amp;id=1sepXEQqpjVrNEQR8P4FgnfKzIfNflMcl" TargetMode="External"/><Relationship Id="rId4067" Type="http://schemas.openxmlformats.org/officeDocument/2006/relationships/hyperlink" Target="https://drive.google.com/open?id=1sepXEQqpjVrNEQR8P4FgnfKzIfNflMcl" TargetMode="External"/><Relationship Id="rId4069" Type="http://schemas.openxmlformats.org/officeDocument/2006/relationships/hyperlink" Target="https://docs.google.com/document/d/1xmF-0lxhHIGvyiuS7N8dnsX6kwZ8D_f4KQ7VAaaYjmk/edit?usp=drivesdk" TargetMode="External"/><Relationship Id="rId4051" Type="http://schemas.openxmlformats.org/officeDocument/2006/relationships/hyperlink" Target="https://docs.google.com/document/d/1RM9dtUN8nS6JreM7dWqQWMXAM6HM9C3E958lUZsVG5o/edit?usp=drivesdk" TargetMode="External"/><Relationship Id="rId4050" Type="http://schemas.openxmlformats.org/officeDocument/2006/relationships/hyperlink" Target="https://drive.google.com/uc?export=view&amp;id=1vWbJSz8Mmd3ftumTOJCGw2cVdl22I9Td" TargetMode="External"/><Relationship Id="rId4053" Type="http://schemas.openxmlformats.org/officeDocument/2006/relationships/hyperlink" Target="https://drive.google.com/uc?export=view&amp;id=111V6qJfX6vAlTJM3fOTudaf1h3flz-Am" TargetMode="External"/><Relationship Id="rId4052" Type="http://schemas.openxmlformats.org/officeDocument/2006/relationships/hyperlink" Target="https://drive.google.com/open?id=111V6qJfX6vAlTJM3fOTudaf1h3flz-Am" TargetMode="External"/><Relationship Id="rId4055" Type="http://schemas.openxmlformats.org/officeDocument/2006/relationships/hyperlink" Target="https://drive.google.com/open?id=1eb3S1owY8Tk_TIQycr5VM6xYFV5ZJV6A" TargetMode="External"/><Relationship Id="rId4054" Type="http://schemas.openxmlformats.org/officeDocument/2006/relationships/hyperlink" Target="https://docs.google.com/document/d/15oG6OXtPgdHHKvEKrJT5rWE9nMxUQeDcVgUlNGzxSyI/edit?usp=drivesdk" TargetMode="External"/><Relationship Id="rId4057" Type="http://schemas.openxmlformats.org/officeDocument/2006/relationships/hyperlink" Target="https://docs.google.com/document/d/1irWiYAk4RC8n200vmT2ra5XJoI6oWIlfcQhXryaAu48/edit?usp=drivesdk" TargetMode="External"/><Relationship Id="rId4056" Type="http://schemas.openxmlformats.org/officeDocument/2006/relationships/hyperlink" Target="https://drive.google.com/uc?export=view&amp;id=1eb3S1owY8Tk_TIQycr5VM6xYFV5ZJV6A" TargetMode="External"/><Relationship Id="rId4059" Type="http://schemas.openxmlformats.org/officeDocument/2006/relationships/hyperlink" Target="https://drive.google.com/uc?export=view&amp;id=1poOllMDqL8a4lUs0KESrwpcpY3h5xE3B" TargetMode="External"/><Relationship Id="rId4058" Type="http://schemas.openxmlformats.org/officeDocument/2006/relationships/hyperlink" Target="https://drive.google.com/open?id=1poOllMDqL8a4lUs0KESrwpcpY3h5xE3B" TargetMode="External"/><Relationship Id="rId4008" Type="http://schemas.openxmlformats.org/officeDocument/2006/relationships/hyperlink" Target="https://drive.google.com/uc?export=view&amp;id=1Zv4i5SCBMuOix-F6Iat3bcg7JkLufR6q" TargetMode="External"/><Relationship Id="rId4007" Type="http://schemas.openxmlformats.org/officeDocument/2006/relationships/hyperlink" Target="https://drive.google.com/open?id=1Zv4i5SCBMuOix-F6Iat3bcg7JkLufR6q" TargetMode="External"/><Relationship Id="rId4009" Type="http://schemas.openxmlformats.org/officeDocument/2006/relationships/hyperlink" Target="https://docs.google.com/document/d/18vSvKX8MlvPqehul7mMZNZKQnRgUbJCcNEVWrcDilVs/edit?usp=drivesdk" TargetMode="External"/><Relationship Id="rId271" Type="http://schemas.openxmlformats.org/officeDocument/2006/relationships/hyperlink" Target="https://drive.google.com/open?id=1d4oehX6cIXXxj6euwZO3Up2OFuvZDGQn" TargetMode="External"/><Relationship Id="rId270" Type="http://schemas.openxmlformats.org/officeDocument/2006/relationships/hyperlink" Target="https://docs.google.com/document/d/1ul3DLImunUr4nl68Ju7p-4k1_7NhZf4JRjhqTC5WbaU/edit?usp=drivesdk" TargetMode="External"/><Relationship Id="rId269" Type="http://schemas.openxmlformats.org/officeDocument/2006/relationships/hyperlink" Target="https://drive.google.com/uc?export=view&amp;id=1v50eXdFei-MWfI-1riYrBfNtlnDQjl0K" TargetMode="External"/><Relationship Id="rId264" Type="http://schemas.openxmlformats.org/officeDocument/2006/relationships/hyperlink" Target="https://docs.google.com/document/d/1Gt0HAA5Mz2bH4ePZ9CTnul-uaMS8LtPYYENLWkpm1Nw/edit?usp=drivesdk" TargetMode="External"/><Relationship Id="rId4000" Type="http://schemas.openxmlformats.org/officeDocument/2006/relationships/hyperlink" Target="https://docs.google.com/document/d/1H92QFcbrGHCzHgWyx-qlr-ZKgZ-oRP8UgaLM4RKbvb8/edit?usp=drivesdk" TargetMode="External"/><Relationship Id="rId263" Type="http://schemas.openxmlformats.org/officeDocument/2006/relationships/hyperlink" Target="https://drive.google.com/uc?export=view&amp;id=1lv1kHTM4E3k5C-5FW-DBCqC8cN0PHz4R" TargetMode="External"/><Relationship Id="rId262" Type="http://schemas.openxmlformats.org/officeDocument/2006/relationships/hyperlink" Target="https://drive.google.com/open?id=1lv1kHTM4E3k5C-5FW-DBCqC8cN0PHz4R" TargetMode="External"/><Relationship Id="rId4002" Type="http://schemas.openxmlformats.org/officeDocument/2006/relationships/hyperlink" Target="https://drive.google.com/uc?export=view&amp;id=1STav8Sqc0ztV41QRYHpcSORY3YC7_YQQ" TargetMode="External"/><Relationship Id="rId261" Type="http://schemas.openxmlformats.org/officeDocument/2006/relationships/hyperlink" Target="https://docs.google.com/document/d/1Ka6nZqsPg5TqFcER0TIc4CvCSBbfnxNfFs0wPr29OSY/edit?usp=drivesdk" TargetMode="External"/><Relationship Id="rId4001" Type="http://schemas.openxmlformats.org/officeDocument/2006/relationships/hyperlink" Target="https://drive.google.com/open?id=1STav8Sqc0ztV41QRYHpcSORY3YC7_YQQ" TargetMode="External"/><Relationship Id="rId268" Type="http://schemas.openxmlformats.org/officeDocument/2006/relationships/hyperlink" Target="https://drive.google.com/open?id=1v50eXdFei-MWfI-1riYrBfNtlnDQjl0K" TargetMode="External"/><Relationship Id="rId4004" Type="http://schemas.openxmlformats.org/officeDocument/2006/relationships/hyperlink" Target="https://drive.google.com/open?id=1J34c3EqaYG6ZGA0d_2N1_xRMx4b-ZyRl" TargetMode="External"/><Relationship Id="rId267" Type="http://schemas.openxmlformats.org/officeDocument/2006/relationships/hyperlink" Target="https://docs.google.com/document/d/1SiWe2p1VetPFOIEsQRyvwGhcxiOM9ogpgnvFcWllbTI/edit?usp=drivesdk" TargetMode="External"/><Relationship Id="rId4003" Type="http://schemas.openxmlformats.org/officeDocument/2006/relationships/hyperlink" Target="https://docs.google.com/document/d/1xQdn1bA4p7u4gBPgZNJQC7zAdkrcKdzpxCT9Uy0x8IU/edit?usp=drivesdk" TargetMode="External"/><Relationship Id="rId266" Type="http://schemas.openxmlformats.org/officeDocument/2006/relationships/hyperlink" Target="https://drive.google.com/uc?export=view&amp;id=1-VXHdF97tg91HZyKOVKODzhk75qZ59sI" TargetMode="External"/><Relationship Id="rId4006" Type="http://schemas.openxmlformats.org/officeDocument/2006/relationships/hyperlink" Target="https://docs.google.com/document/d/1x1-dOT3S29zObGZQeqmEt0igCCfdezhUS_d1o2y93r0/edit?usp=drivesdk" TargetMode="External"/><Relationship Id="rId265" Type="http://schemas.openxmlformats.org/officeDocument/2006/relationships/hyperlink" Target="https://drive.google.com/open?id=1-VXHdF97tg91HZyKOVKODzhk75qZ59sI" TargetMode="External"/><Relationship Id="rId4005" Type="http://schemas.openxmlformats.org/officeDocument/2006/relationships/hyperlink" Target="https://drive.google.com/uc?export=view&amp;id=1J34c3EqaYG6ZGA0d_2N1_xRMx4b-ZyRl" TargetMode="External"/><Relationship Id="rId260" Type="http://schemas.openxmlformats.org/officeDocument/2006/relationships/hyperlink" Target="https://drive.google.com/uc?export=view&amp;id=1L0JnDPqgzdhPUahlMs7jWAqCHYHBh1Ld" TargetMode="External"/><Relationship Id="rId259" Type="http://schemas.openxmlformats.org/officeDocument/2006/relationships/hyperlink" Target="https://drive.google.com/open?id=1L0JnDPqgzdhPUahlMs7jWAqCHYHBh1Ld" TargetMode="External"/><Relationship Id="rId258" Type="http://schemas.openxmlformats.org/officeDocument/2006/relationships/hyperlink" Target="https://docs.google.com/document/d/1HCVTqKBcWb6Ss8UCh7RBdrS5nKmihQ60rrFib8gaa9w/edit?usp=drivesdk" TargetMode="External"/><Relationship Id="rId2290" Type="http://schemas.openxmlformats.org/officeDocument/2006/relationships/hyperlink" Target="https://docs.google.com/document/d/1YhdkU40FIiaPuMPmuisccZO4AiFwhOLF_gkXiqrcpmc/edit?usp=drivesdk" TargetMode="External"/><Relationship Id="rId2291" Type="http://schemas.openxmlformats.org/officeDocument/2006/relationships/hyperlink" Target="https://drive.google.com/open?id=1pRekUXJuCddEBmy3Sl8QPpu8JmR7NR1_" TargetMode="External"/><Relationship Id="rId2292" Type="http://schemas.openxmlformats.org/officeDocument/2006/relationships/hyperlink" Target="https://drive.google.com/uc?export=view&amp;id=1pRekUXJuCddEBmy3Sl8QPpu8JmR7NR1_" TargetMode="External"/><Relationship Id="rId2293" Type="http://schemas.openxmlformats.org/officeDocument/2006/relationships/hyperlink" Target="https://docs.google.com/document/d/1VMf8Py_c0TUOpEfa8ycKzuJ2pKW53Y0zDecafKS78SU/edit?usp=drivesdk" TargetMode="External"/><Relationship Id="rId253" Type="http://schemas.openxmlformats.org/officeDocument/2006/relationships/hyperlink" Target="https://drive.google.com/open?id=10zvwPdfobXoVd-9o37CQdGp2NR55Pqf2" TargetMode="External"/><Relationship Id="rId2294" Type="http://schemas.openxmlformats.org/officeDocument/2006/relationships/hyperlink" Target="https://drive.google.com/open?id=1XLLVnyu5bIPTje7mYXjPNFgZOrIZqOWk" TargetMode="External"/><Relationship Id="rId252" Type="http://schemas.openxmlformats.org/officeDocument/2006/relationships/hyperlink" Target="https://docs.google.com/document/d/1hs8U6vEWpkZocV-6igMZFmEOhV-um7LFRG4kXcoLkeI/edit?usp=drivesdk" TargetMode="External"/><Relationship Id="rId2295" Type="http://schemas.openxmlformats.org/officeDocument/2006/relationships/hyperlink" Target="https://drive.google.com/uc?export=view&amp;id=1XLLVnyu5bIPTje7mYXjPNFgZOrIZqOWk" TargetMode="External"/><Relationship Id="rId251" Type="http://schemas.openxmlformats.org/officeDocument/2006/relationships/hyperlink" Target="https://drive.google.com/uc?export=view&amp;id=1gNfMpQDivoBo2uwN6Ook3xO_D4zjbX7a" TargetMode="External"/><Relationship Id="rId2296" Type="http://schemas.openxmlformats.org/officeDocument/2006/relationships/hyperlink" Target="https://docs.google.com/document/d/1m_T2PXjRiSDr9Gn5GN5sFVxppYGJiP7q6QnJBKYbNpA/edit?usp=drivesdk" TargetMode="External"/><Relationship Id="rId250" Type="http://schemas.openxmlformats.org/officeDocument/2006/relationships/hyperlink" Target="https://drive.google.com/open?id=1gNfMpQDivoBo2uwN6Ook3xO_D4zjbX7a" TargetMode="External"/><Relationship Id="rId2297" Type="http://schemas.openxmlformats.org/officeDocument/2006/relationships/hyperlink" Target="https://drive.google.com/open?id=1y7-EKQB00Ag-B7FEoSKdU-N1dUMiqUwZ" TargetMode="External"/><Relationship Id="rId257" Type="http://schemas.openxmlformats.org/officeDocument/2006/relationships/hyperlink" Target="https://drive.google.com/uc?export=view&amp;id=12CXHUa9pGre51NeCXOB60NtIlSirY41E" TargetMode="External"/><Relationship Id="rId2298" Type="http://schemas.openxmlformats.org/officeDocument/2006/relationships/hyperlink" Target="https://drive.google.com/uc?export=view&amp;id=1y7-EKQB00Ag-B7FEoSKdU-N1dUMiqUwZ" TargetMode="External"/><Relationship Id="rId256" Type="http://schemas.openxmlformats.org/officeDocument/2006/relationships/hyperlink" Target="https://drive.google.com/open?id=12CXHUa9pGre51NeCXOB60NtIlSirY41E" TargetMode="External"/><Relationship Id="rId2299" Type="http://schemas.openxmlformats.org/officeDocument/2006/relationships/hyperlink" Target="https://docs.google.com/document/d/10EPH85v8ihsAOqEZC3azh-zcmTFt5aX9YrSxZO3zZsA/edit?usp=drivesdk" TargetMode="External"/><Relationship Id="rId255" Type="http://schemas.openxmlformats.org/officeDocument/2006/relationships/hyperlink" Target="https://docs.google.com/document/d/1idFQHXerMIV4HLyYbvvpyFazUqHsbe1axEnVJ3sxMG4/edit?usp=drivesdk" TargetMode="External"/><Relationship Id="rId254" Type="http://schemas.openxmlformats.org/officeDocument/2006/relationships/hyperlink" Target="https://drive.google.com/uc?export=view&amp;id=10zvwPdfobXoVd-9o37CQdGp2NR55Pqf2" TargetMode="External"/><Relationship Id="rId4029" Type="http://schemas.openxmlformats.org/officeDocument/2006/relationships/hyperlink" Target="https://drive.google.com/uc?export=view&amp;id=1YGnzZzBfuBW11rhtAonSTDQoXKTgq3YQ" TargetMode="External"/><Relationship Id="rId293" Type="http://schemas.openxmlformats.org/officeDocument/2006/relationships/hyperlink" Target="https://drive.google.com/uc?export=view&amp;id=1dluk22mn1X6Yrr2ACQ6VF6E6HXNH4Jxk" TargetMode="External"/><Relationship Id="rId292" Type="http://schemas.openxmlformats.org/officeDocument/2006/relationships/hyperlink" Target="https://drive.google.com/open?id=1dluk22mn1X6Yrr2ACQ6VF6E6HXNH4Jxk" TargetMode="External"/><Relationship Id="rId291" Type="http://schemas.openxmlformats.org/officeDocument/2006/relationships/hyperlink" Target="https://docs.google.com/document/d/1xOjNKtviyis-6wYlFWtv_87CCbxdvH4koLOCp9OMfk8/edit?usp=drivesdk" TargetMode="External"/><Relationship Id="rId290" Type="http://schemas.openxmlformats.org/officeDocument/2006/relationships/hyperlink" Target="https://drive.google.com/uc?export=view&amp;id=1opAvWTR_K3QkUc_IltuL2W6IZIcG7sg9" TargetMode="External"/><Relationship Id="rId4020" Type="http://schemas.openxmlformats.org/officeDocument/2006/relationships/hyperlink" Target="https://drive.google.com/uc?export=view&amp;id=1ibfxOi5FZFhNqPfBWhpbUznk5wMcGQFK" TargetMode="External"/><Relationship Id="rId286" Type="http://schemas.openxmlformats.org/officeDocument/2006/relationships/hyperlink" Target="https://drive.google.com/open?id=1mrrp-0-zEkCtHCIuC7NDnfxjodtcjdDC" TargetMode="External"/><Relationship Id="rId4022" Type="http://schemas.openxmlformats.org/officeDocument/2006/relationships/hyperlink" Target="https://drive.google.com/open?id=1fQ4Ba8hZvrRC_q3Ob9HyyuwxqR58feoS" TargetMode="External"/><Relationship Id="rId285" Type="http://schemas.openxmlformats.org/officeDocument/2006/relationships/hyperlink" Target="https://docs.google.com/document/d/1uFC9T4QDJWR64zl5l6CC9h0ylFBi3Ziugars_1ScZJ4/edit?usp=drivesdk" TargetMode="External"/><Relationship Id="rId4021" Type="http://schemas.openxmlformats.org/officeDocument/2006/relationships/hyperlink" Target="https://docs.google.com/document/d/1sjvvQCOoj_xatj0VIElCRd2EzkBNm6aJSZWbZgfrDXs/edit?usp=drivesdk" TargetMode="External"/><Relationship Id="rId284" Type="http://schemas.openxmlformats.org/officeDocument/2006/relationships/hyperlink" Target="https://drive.google.com/uc?export=view&amp;id=14h5Yatcytb_4598m3GW_or4StjfL42No" TargetMode="External"/><Relationship Id="rId4024" Type="http://schemas.openxmlformats.org/officeDocument/2006/relationships/hyperlink" Target="https://docs.google.com/document/d/1Sg7c3o7SgSI11Jde4s9Zla5RvTOAwuSuRz8KL56yXQA/edit?usp=drivesdk" TargetMode="External"/><Relationship Id="rId283" Type="http://schemas.openxmlformats.org/officeDocument/2006/relationships/hyperlink" Target="https://drive.google.com/open?id=14h5Yatcytb_4598m3GW_or4StjfL42No" TargetMode="External"/><Relationship Id="rId4023" Type="http://schemas.openxmlformats.org/officeDocument/2006/relationships/hyperlink" Target="https://drive.google.com/uc?export=view&amp;id=1fQ4Ba8hZvrRC_q3Ob9HyyuwxqR58feoS" TargetMode="External"/><Relationship Id="rId4026" Type="http://schemas.openxmlformats.org/officeDocument/2006/relationships/hyperlink" Target="https://drive.google.com/uc?export=view&amp;id=1qLuewM2fTMlJDyY4Mb0y4XxRdXCFWAag" TargetMode="External"/><Relationship Id="rId289" Type="http://schemas.openxmlformats.org/officeDocument/2006/relationships/hyperlink" Target="https://drive.google.com/open?id=1opAvWTR_K3QkUc_IltuL2W6IZIcG7sg9" TargetMode="External"/><Relationship Id="rId4025" Type="http://schemas.openxmlformats.org/officeDocument/2006/relationships/hyperlink" Target="https://drive.google.com/open?id=1qLuewM2fTMlJDyY4Mb0y4XxRdXCFWAag" TargetMode="External"/><Relationship Id="rId288" Type="http://schemas.openxmlformats.org/officeDocument/2006/relationships/hyperlink" Target="https://docs.google.com/document/d/1HdHfyTVdOq8qrqIQmy729lyhHjIS-iKrzE7rd5V4ZCs/edit?usp=drivesdk" TargetMode="External"/><Relationship Id="rId4028" Type="http://schemas.openxmlformats.org/officeDocument/2006/relationships/hyperlink" Target="https://drive.google.com/open?id=1YGnzZzBfuBW11rhtAonSTDQoXKTgq3YQ" TargetMode="External"/><Relationship Id="rId287" Type="http://schemas.openxmlformats.org/officeDocument/2006/relationships/hyperlink" Target="https://drive.google.com/uc?export=view&amp;id=1mrrp-0-zEkCtHCIuC7NDnfxjodtcjdDC" TargetMode="External"/><Relationship Id="rId4027" Type="http://schemas.openxmlformats.org/officeDocument/2006/relationships/hyperlink" Target="https://docs.google.com/document/d/1uTpyIxave6OwQYmtWxxecgP8mMgapt0-LB5DhisvLH8/edit?usp=drivesdk" TargetMode="External"/><Relationship Id="rId4019" Type="http://schemas.openxmlformats.org/officeDocument/2006/relationships/hyperlink" Target="https://drive.google.com/open?id=1ibfxOi5FZFhNqPfBWhpbUznk5wMcGQFK" TargetMode="External"/><Relationship Id="rId4018" Type="http://schemas.openxmlformats.org/officeDocument/2006/relationships/hyperlink" Target="https://docs.google.com/document/d/1IAv3D18TXeFXF3MH8vzxOkM-07i0dFqscL61EAiWO3Q/edit?usp=drivesdk" TargetMode="External"/><Relationship Id="rId282" Type="http://schemas.openxmlformats.org/officeDocument/2006/relationships/hyperlink" Target="https://docs.google.com/document/d/1YelBjpS2Ihgu7Flu5bDKWBYDuE-izY3LBQezWAJjBQA/edit?usp=drivesdk" TargetMode="External"/><Relationship Id="rId281" Type="http://schemas.openxmlformats.org/officeDocument/2006/relationships/hyperlink" Target="https://drive.google.com/uc?export=view&amp;id=1ChggcJCnIj_9Ezf3WM6pp6PLtyOFkBHY" TargetMode="External"/><Relationship Id="rId280" Type="http://schemas.openxmlformats.org/officeDocument/2006/relationships/hyperlink" Target="https://drive.google.com/open?id=1ChggcJCnIj_9Ezf3WM6pp6PLtyOFkBHY" TargetMode="External"/><Relationship Id="rId275" Type="http://schemas.openxmlformats.org/officeDocument/2006/relationships/hyperlink" Target="https://drive.google.com/uc?export=view&amp;id=13Qfk14b8tHflBfXKraaqM87tE648ErhO" TargetMode="External"/><Relationship Id="rId4011" Type="http://schemas.openxmlformats.org/officeDocument/2006/relationships/hyperlink" Target="https://drive.google.com/uc?export=view&amp;id=1SFivxXLGb8fG6WZK_m7T5B8UzNIOZbA5" TargetMode="External"/><Relationship Id="rId274" Type="http://schemas.openxmlformats.org/officeDocument/2006/relationships/hyperlink" Target="https://drive.google.com/open?id=13Qfk14b8tHflBfXKraaqM87tE648ErhO" TargetMode="External"/><Relationship Id="rId4010" Type="http://schemas.openxmlformats.org/officeDocument/2006/relationships/hyperlink" Target="https://drive.google.com/open?id=1SFivxXLGb8fG6WZK_m7T5B8UzNIOZbA5" TargetMode="External"/><Relationship Id="rId273" Type="http://schemas.openxmlformats.org/officeDocument/2006/relationships/hyperlink" Target="https://docs.google.com/document/d/1lwPpkmqkyOtvdgmA6tiTl733mA2fVvTKuTRkHlhwPpI/edit?usp=drivesdk" TargetMode="External"/><Relationship Id="rId4013" Type="http://schemas.openxmlformats.org/officeDocument/2006/relationships/hyperlink" Target="https://drive.google.com/open?id=140eRNVTZSktnosVTaJ80m408HlIkqPjp" TargetMode="External"/><Relationship Id="rId272" Type="http://schemas.openxmlformats.org/officeDocument/2006/relationships/hyperlink" Target="https://drive.google.com/uc?export=view&amp;id=1d4oehX6cIXXxj6euwZO3Up2OFuvZDGQn" TargetMode="External"/><Relationship Id="rId4012" Type="http://schemas.openxmlformats.org/officeDocument/2006/relationships/hyperlink" Target="https://docs.google.com/document/d/11FOe4QuOZo5o7dko6CftrkFkXIVRYozgRgqL3SjTo6A/edit?usp=drivesdk" TargetMode="External"/><Relationship Id="rId279" Type="http://schemas.openxmlformats.org/officeDocument/2006/relationships/hyperlink" Target="https://docs.google.com/document/d/1tQRdHWSsIrZofNTA0ju92p15fwPjQLzjxhN38FATCcs/edit?usp=drivesdk" TargetMode="External"/><Relationship Id="rId4015" Type="http://schemas.openxmlformats.org/officeDocument/2006/relationships/hyperlink" Target="https://docs.google.com/document/d/1GogGrJzbxxhnyvZZzyLnaOqJvNdTxZNYi5wG2HV3PYA/edit?usp=drivesdk" TargetMode="External"/><Relationship Id="rId278" Type="http://schemas.openxmlformats.org/officeDocument/2006/relationships/hyperlink" Target="https://drive.google.com/uc?export=view&amp;id=1yRM_2d13_RDqHzfC2lmcHYBmv4gJlBUd" TargetMode="External"/><Relationship Id="rId4014" Type="http://schemas.openxmlformats.org/officeDocument/2006/relationships/hyperlink" Target="https://drive.google.com/uc?export=view&amp;id=140eRNVTZSktnosVTaJ80m408HlIkqPjp" TargetMode="External"/><Relationship Id="rId277" Type="http://schemas.openxmlformats.org/officeDocument/2006/relationships/hyperlink" Target="https://drive.google.com/open?id=1yRM_2d13_RDqHzfC2lmcHYBmv4gJlBUd" TargetMode="External"/><Relationship Id="rId4017" Type="http://schemas.openxmlformats.org/officeDocument/2006/relationships/hyperlink" Target="https://drive.google.com/uc?export=view&amp;id=1UX2Le9D1I6d7XW5sBxlbBf8NX38baWG5" TargetMode="External"/><Relationship Id="rId276" Type="http://schemas.openxmlformats.org/officeDocument/2006/relationships/hyperlink" Target="https://docs.google.com/document/d/1haHUnoL7--LALdNRJh0EMZhsn0uAe48K_25ZBIowOzs/edit?usp=drivesdk" TargetMode="External"/><Relationship Id="rId4016" Type="http://schemas.openxmlformats.org/officeDocument/2006/relationships/hyperlink" Target="https://drive.google.com/open?id=1UX2Le9D1I6d7XW5sBxlbBf8NX38baWG5" TargetMode="External"/><Relationship Id="rId1851" Type="http://schemas.openxmlformats.org/officeDocument/2006/relationships/hyperlink" Target="https://drive.google.com/uc?export=view&amp;id=1tKKnFVrr0Tmcxsdi0hAKIKOA3PZp-YnO" TargetMode="External"/><Relationship Id="rId1852" Type="http://schemas.openxmlformats.org/officeDocument/2006/relationships/hyperlink" Target="https://docs.google.com/document/d/1tNKVDFFIdBC6ffd-rc3Th8t17Qgtsq6m_NgzDDpas7Q/edit?usp=drivesdk" TargetMode="External"/><Relationship Id="rId1853" Type="http://schemas.openxmlformats.org/officeDocument/2006/relationships/hyperlink" Target="https://drive.google.com/open?id=1PfFM5yGZqI6x_mxJiMHdSXED8X3i5U41" TargetMode="External"/><Relationship Id="rId1854" Type="http://schemas.openxmlformats.org/officeDocument/2006/relationships/hyperlink" Target="https://drive.google.com/uc?export=view&amp;id=1PfFM5yGZqI6x_mxJiMHdSXED8X3i5U41" TargetMode="External"/><Relationship Id="rId1855" Type="http://schemas.openxmlformats.org/officeDocument/2006/relationships/hyperlink" Target="https://docs.google.com/document/d/10yUEZbHl_Gte7BLGGzXof-3oBnNqJ5w6VXPjo0a-JrE/edit?usp=drivesdk" TargetMode="External"/><Relationship Id="rId1856" Type="http://schemas.openxmlformats.org/officeDocument/2006/relationships/hyperlink" Target="https://drive.google.com/open?id=1owOlIbgBREirbN98ms7v1JTQoHqb6Shi" TargetMode="External"/><Relationship Id="rId1857" Type="http://schemas.openxmlformats.org/officeDocument/2006/relationships/hyperlink" Target="https://drive.google.com/uc?export=view&amp;id=1owOlIbgBREirbN98ms7v1JTQoHqb6Shi" TargetMode="External"/><Relationship Id="rId1858" Type="http://schemas.openxmlformats.org/officeDocument/2006/relationships/hyperlink" Target="https://docs.google.com/document/d/1tNXKx1UKcqfIoibWWi_dYPX5XWyvbn3tItRuArkFJkU/edit?usp=drivesdk" TargetMode="External"/><Relationship Id="rId1859" Type="http://schemas.openxmlformats.org/officeDocument/2006/relationships/hyperlink" Target="https://drive.google.com/open?id=1jLn8AAjQ_j6PO38nXFw0FZ8A1SGfQL_0" TargetMode="External"/><Relationship Id="rId1850" Type="http://schemas.openxmlformats.org/officeDocument/2006/relationships/hyperlink" Target="https://drive.google.com/open?id=1tKKnFVrr0Tmcxsdi0hAKIKOA3PZp-YnO" TargetMode="External"/><Relationship Id="rId1840" Type="http://schemas.openxmlformats.org/officeDocument/2006/relationships/hyperlink" Target="https://docs.google.com/document/d/1tv9euoW1H5wSOoIZlUv9hASNZTooQCGPAE-zYZfoVbk/edit?usp=drivesdk" TargetMode="External"/><Relationship Id="rId1841" Type="http://schemas.openxmlformats.org/officeDocument/2006/relationships/hyperlink" Target="https://drive.google.com/open?id=1Xy16vj2DAgrebL3qDvpltIKptayA3Rxd" TargetMode="External"/><Relationship Id="rId1842" Type="http://schemas.openxmlformats.org/officeDocument/2006/relationships/hyperlink" Target="https://drive.google.com/uc?export=view&amp;id=1Xy16vj2DAgrebL3qDvpltIKptayA3Rxd" TargetMode="External"/><Relationship Id="rId1843" Type="http://schemas.openxmlformats.org/officeDocument/2006/relationships/hyperlink" Target="https://docs.google.com/document/d/1ZZXJkAVUr3Dk7zwqwnRlAp6MkX_QV_K-BmNPlM7n0u4/edit?usp=drivesdk" TargetMode="External"/><Relationship Id="rId1844" Type="http://schemas.openxmlformats.org/officeDocument/2006/relationships/hyperlink" Target="https://drive.google.com/open?id=10VgCWoSU9KQQdoWauhu3d1jJ63i_9KuL" TargetMode="External"/><Relationship Id="rId1845" Type="http://schemas.openxmlformats.org/officeDocument/2006/relationships/hyperlink" Target="https://drive.google.com/uc?export=view&amp;id=10VgCWoSU9KQQdoWauhu3d1jJ63i_9KuL" TargetMode="External"/><Relationship Id="rId1846" Type="http://schemas.openxmlformats.org/officeDocument/2006/relationships/hyperlink" Target="https://docs.google.com/document/d/1w_TXOKBBbmPC1xzOp3VTm_8FP6BrIBVAxjsiQF9ew6Q/edit?usp=drivesdk" TargetMode="External"/><Relationship Id="rId1847" Type="http://schemas.openxmlformats.org/officeDocument/2006/relationships/hyperlink" Target="https://drive.google.com/open?id=1WSK0hz8BhhMssjTKzLAjIVa8HBF5bSvh" TargetMode="External"/><Relationship Id="rId1848" Type="http://schemas.openxmlformats.org/officeDocument/2006/relationships/hyperlink" Target="https://drive.google.com/uc?export=view&amp;id=1WSK0hz8BhhMssjTKzLAjIVa8HBF5bSvh" TargetMode="External"/><Relationship Id="rId1849" Type="http://schemas.openxmlformats.org/officeDocument/2006/relationships/hyperlink" Target="https://docs.google.com/document/d/1kZY9kAbdUIKPN1K1MbdrEBeeycg0J1qKOvhjEDo6SGo/edit?usp=drivesdk" TargetMode="External"/><Relationship Id="rId1873" Type="http://schemas.openxmlformats.org/officeDocument/2006/relationships/hyperlink" Target="https://docs.google.com/document/d/1GZmaftkzGSn5FE75dfL2kgi8oPfdz7QcCDKp1k-U-uU/edit?usp=drivesdk" TargetMode="External"/><Relationship Id="rId1874" Type="http://schemas.openxmlformats.org/officeDocument/2006/relationships/hyperlink" Target="https://drive.google.com/open?id=1dD7y434NRDJMkAHowpp-5UxKOalkAHne" TargetMode="External"/><Relationship Id="rId1875" Type="http://schemas.openxmlformats.org/officeDocument/2006/relationships/hyperlink" Target="https://drive.google.com/uc?export=view&amp;id=1dD7y434NRDJMkAHowpp-5UxKOalkAHne" TargetMode="External"/><Relationship Id="rId1876" Type="http://schemas.openxmlformats.org/officeDocument/2006/relationships/hyperlink" Target="https://docs.google.com/document/d/1wBvwWbC_eJ4X4X3CRiYQtMEImiOfORfIuW8J9hzRlq8/edit?usp=drivesdk" TargetMode="External"/><Relationship Id="rId1877" Type="http://schemas.openxmlformats.org/officeDocument/2006/relationships/hyperlink" Target="https://drive.google.com/open?id=1A0C6pNB08AfiOy-_hJ72oP4dYLzugm2O" TargetMode="External"/><Relationship Id="rId1878" Type="http://schemas.openxmlformats.org/officeDocument/2006/relationships/hyperlink" Target="https://drive.google.com/uc?export=view&amp;id=1A0C6pNB08AfiOy-_hJ72oP4dYLzugm2O" TargetMode="External"/><Relationship Id="rId1879" Type="http://schemas.openxmlformats.org/officeDocument/2006/relationships/hyperlink" Target="https://docs.google.com/document/d/1NwDqNvii860-TAQF83yLsn4plKU_BRwx28hIHyLIB1w/edit?usp=drivesdk" TargetMode="External"/><Relationship Id="rId1870" Type="http://schemas.openxmlformats.org/officeDocument/2006/relationships/hyperlink" Target="https://docs.google.com/document/d/1OcJMZ3mLbmTKHJRM44P_K1MhHJr9CPQALH_DBwJhhFw/edit?usp=drivesdk" TargetMode="External"/><Relationship Id="rId1871" Type="http://schemas.openxmlformats.org/officeDocument/2006/relationships/hyperlink" Target="https://drive.google.com/open?id=1XNRoBidnG3oXNPV8MuoNzNkfR4UL_Eb5" TargetMode="External"/><Relationship Id="rId1872" Type="http://schemas.openxmlformats.org/officeDocument/2006/relationships/hyperlink" Target="https://drive.google.com/uc?export=view&amp;id=1XNRoBidnG3oXNPV8MuoNzNkfR4UL_Eb5" TargetMode="External"/><Relationship Id="rId1862" Type="http://schemas.openxmlformats.org/officeDocument/2006/relationships/hyperlink" Target="https://drive.google.com/open?id=1g4GtWnXYuwI01HNW1-qDr-tKdcNP6FvZ" TargetMode="External"/><Relationship Id="rId1863" Type="http://schemas.openxmlformats.org/officeDocument/2006/relationships/hyperlink" Target="https://drive.google.com/uc?export=view&amp;id=1g4GtWnXYuwI01HNW1-qDr-tKdcNP6FvZ" TargetMode="External"/><Relationship Id="rId1864" Type="http://schemas.openxmlformats.org/officeDocument/2006/relationships/hyperlink" Target="https://docs.google.com/document/d/1vun1C78B3gqwuYGVwzA73X2PD4dWplO60lgaYSzbf3o/edit?usp=drivesdk" TargetMode="External"/><Relationship Id="rId1865" Type="http://schemas.openxmlformats.org/officeDocument/2006/relationships/hyperlink" Target="https://drive.google.com/open?id=1sd_1S39ty34NRCKW1lVtT2q8o21Wqfja" TargetMode="External"/><Relationship Id="rId1866" Type="http://schemas.openxmlformats.org/officeDocument/2006/relationships/hyperlink" Target="https://drive.google.com/uc?export=view&amp;id=1sd_1S39ty34NRCKW1lVtT2q8o21Wqfja" TargetMode="External"/><Relationship Id="rId1867" Type="http://schemas.openxmlformats.org/officeDocument/2006/relationships/hyperlink" Target="https://docs.google.com/document/d/160ScWv5KzuQ3AI3bu_p1ab0i-1KqrQp9wEaM-14GLrs/edit?usp=drivesdk" TargetMode="External"/><Relationship Id="rId1868" Type="http://schemas.openxmlformats.org/officeDocument/2006/relationships/hyperlink" Target="https://drive.google.com/open?id=1m-tUCWFvfnBQET58iG2x39rompdN9vUg" TargetMode="External"/><Relationship Id="rId1869" Type="http://schemas.openxmlformats.org/officeDocument/2006/relationships/hyperlink" Target="https://drive.google.com/uc?export=view&amp;id=1m-tUCWFvfnBQET58iG2x39rompdN9vUg" TargetMode="External"/><Relationship Id="rId1860" Type="http://schemas.openxmlformats.org/officeDocument/2006/relationships/hyperlink" Target="https://drive.google.com/uc?export=view&amp;id=1jLn8AAjQ_j6PO38nXFw0FZ8A1SGfQL_0" TargetMode="External"/><Relationship Id="rId1861" Type="http://schemas.openxmlformats.org/officeDocument/2006/relationships/hyperlink" Target="https://docs.google.com/document/d/1eK-AVVBJWq2yXvt73H0RNeB0cQGirqA04e6WUut7w6M/edit?usp=drivesdk" TargetMode="External"/><Relationship Id="rId1810" Type="http://schemas.openxmlformats.org/officeDocument/2006/relationships/hyperlink" Target="https://docs.google.com/document/d/156djVDNr4jvIhL3cWkKErzAWfmn-n09XTki8IVIp2j8/edit?usp=drivesdk" TargetMode="External"/><Relationship Id="rId1811" Type="http://schemas.openxmlformats.org/officeDocument/2006/relationships/hyperlink" Target="https://drive.google.com/open?id=1G1dQlJ5ydRwaInENCTkzpMkN1kh1tShk" TargetMode="External"/><Relationship Id="rId1812" Type="http://schemas.openxmlformats.org/officeDocument/2006/relationships/hyperlink" Target="https://drive.google.com/uc?export=view&amp;id=1G1dQlJ5ydRwaInENCTkzpMkN1kh1tShk" TargetMode="External"/><Relationship Id="rId1813" Type="http://schemas.openxmlformats.org/officeDocument/2006/relationships/hyperlink" Target="https://docs.google.com/document/d/1SD-EA4DuDnfEny44bbYmUc_pKYlVvXoiGCfZBorQO3A/edit?usp=drivesdk" TargetMode="External"/><Relationship Id="rId1814" Type="http://schemas.openxmlformats.org/officeDocument/2006/relationships/hyperlink" Target="https://drive.google.com/open?id=1Kn-quoVpmEIahw_wVb_ZifTa4ykmnOGI" TargetMode="External"/><Relationship Id="rId1815" Type="http://schemas.openxmlformats.org/officeDocument/2006/relationships/hyperlink" Target="https://drive.google.com/uc?export=view&amp;id=1Kn-quoVpmEIahw_wVb_ZifTa4ykmnOGI" TargetMode="External"/><Relationship Id="rId1816" Type="http://schemas.openxmlformats.org/officeDocument/2006/relationships/hyperlink" Target="https://docs.google.com/document/d/1pxpYF8yk6igR7tD4cMUYWHV4tMlKxCvT6Mc_Gp5Xzew/edit?usp=drivesdk" TargetMode="External"/><Relationship Id="rId1817" Type="http://schemas.openxmlformats.org/officeDocument/2006/relationships/hyperlink" Target="https://drive.google.com/open?id=1A4MdXdisLPGQKPge_n4wEc4z0-RtNu4B" TargetMode="External"/><Relationship Id="rId1818" Type="http://schemas.openxmlformats.org/officeDocument/2006/relationships/hyperlink" Target="https://drive.google.com/uc?export=view&amp;id=1A4MdXdisLPGQKPge_n4wEc4z0-RtNu4B" TargetMode="External"/><Relationship Id="rId1819" Type="http://schemas.openxmlformats.org/officeDocument/2006/relationships/hyperlink" Target="https://docs.google.com/document/d/1Cdkk-YTzV6954tHlY5FfPbFzXNnXVT74aDYI9OJQ0gM/edit?usp=drivesdk" TargetMode="External"/><Relationship Id="rId4080" Type="http://schemas.openxmlformats.org/officeDocument/2006/relationships/hyperlink" Target="https://drive.google.com/uc?export=view&amp;id=1fKF7tFOI-pWtC5VfnzwXa1ewz7vveoO-" TargetMode="External"/><Relationship Id="rId4082" Type="http://schemas.openxmlformats.org/officeDocument/2006/relationships/hyperlink" Target="https://drive.google.com/open?id=1esQZGYVJuBeESpQ9hD1DGjYb0E2xQkR_" TargetMode="External"/><Relationship Id="rId4081" Type="http://schemas.openxmlformats.org/officeDocument/2006/relationships/hyperlink" Target="https://docs.google.com/document/d/1u-Tcmv3Kek--8z1PQIM5NkuiMeBIONns0zZGFQCkZ5A/edit?usp=drivesdk" TargetMode="External"/><Relationship Id="rId4084" Type="http://schemas.openxmlformats.org/officeDocument/2006/relationships/hyperlink" Target="https://docs.google.com/document/d/1lyyHez3r_iZC6JNQZjUp8P33eM_UWkdzFYO2lIUSOTg/edit?usp=drivesdk" TargetMode="External"/><Relationship Id="rId4083" Type="http://schemas.openxmlformats.org/officeDocument/2006/relationships/hyperlink" Target="https://drive.google.com/uc?export=view&amp;id=1esQZGYVJuBeESpQ9hD1DGjYb0E2xQkR_" TargetMode="External"/><Relationship Id="rId4086" Type="http://schemas.openxmlformats.org/officeDocument/2006/relationships/hyperlink" Target="https://drive.google.com/uc?export=view&amp;id=1PvGijOVyAeFiDYYqpiaw9yyRzrGZyxvq" TargetMode="External"/><Relationship Id="rId4085" Type="http://schemas.openxmlformats.org/officeDocument/2006/relationships/hyperlink" Target="https://drive.google.com/open?id=1PvGijOVyAeFiDYYqpiaw9yyRzrGZyxvq" TargetMode="External"/><Relationship Id="rId4088" Type="http://schemas.openxmlformats.org/officeDocument/2006/relationships/hyperlink" Target="https://drive.google.com/open?id=136-bYVGaqUc4bRm3rn9ruEzTBCAGOPgH" TargetMode="External"/><Relationship Id="rId4087" Type="http://schemas.openxmlformats.org/officeDocument/2006/relationships/hyperlink" Target="https://docs.google.com/document/d/1uPZL_2b-asQnn8kv-aUqW_4r0YPqn6hbY0xsz1wt6oI/edit?usp=drivesdk" TargetMode="External"/><Relationship Id="rId4089" Type="http://schemas.openxmlformats.org/officeDocument/2006/relationships/hyperlink" Target="https://drive.google.com/uc?export=view&amp;id=136-bYVGaqUc4bRm3rn9ruEzTBCAGOPgH" TargetMode="External"/><Relationship Id="rId1800" Type="http://schemas.openxmlformats.org/officeDocument/2006/relationships/hyperlink" Target="https://drive.google.com/uc?export=view&amp;id=1WeHgXOznYeHB4VktAEG36ITHrdu-rhZD" TargetMode="External"/><Relationship Id="rId1801" Type="http://schemas.openxmlformats.org/officeDocument/2006/relationships/hyperlink" Target="https://docs.google.com/document/d/13nsrOAh3b1p2tLCVDxsKy6wupcxTd5i7u5KW_2PgEv4/edit?usp=drivesdk" TargetMode="External"/><Relationship Id="rId1802" Type="http://schemas.openxmlformats.org/officeDocument/2006/relationships/hyperlink" Target="https://drive.google.com/open?id=16ZxfReeeXsq_ogRim_B6nstpz5aDja54" TargetMode="External"/><Relationship Id="rId1803" Type="http://schemas.openxmlformats.org/officeDocument/2006/relationships/hyperlink" Target="https://drive.google.com/uc?export=view&amp;id=16ZxfReeeXsq_ogRim_B6nstpz5aDja54" TargetMode="External"/><Relationship Id="rId1804" Type="http://schemas.openxmlformats.org/officeDocument/2006/relationships/hyperlink" Target="https://docs.google.com/document/d/1_h7MSvvqfLY0j8NS-gEAJ19fKunlVcQwFyeQoToTq7s/edit?usp=drivesdk" TargetMode="External"/><Relationship Id="rId1805" Type="http://schemas.openxmlformats.org/officeDocument/2006/relationships/hyperlink" Target="https://drive.google.com/open?id=1mSzUfbItPojFJz-yRtkhp6073GlsYuYe" TargetMode="External"/><Relationship Id="rId1806" Type="http://schemas.openxmlformats.org/officeDocument/2006/relationships/hyperlink" Target="https://drive.google.com/uc?export=view&amp;id=1mSzUfbItPojFJz-yRtkhp6073GlsYuYe" TargetMode="External"/><Relationship Id="rId1807" Type="http://schemas.openxmlformats.org/officeDocument/2006/relationships/hyperlink" Target="https://docs.google.com/document/d/1IS924h3IXrmSRjxs1Jm-5Ez6_WzfRyANAJev37xCEz0/edit?usp=drivesdk" TargetMode="External"/><Relationship Id="rId1808" Type="http://schemas.openxmlformats.org/officeDocument/2006/relationships/hyperlink" Target="https://drive.google.com/open?id=1XG76coqd_8BXcuk9ljBoRYuxpxku3XaQ" TargetMode="External"/><Relationship Id="rId1809" Type="http://schemas.openxmlformats.org/officeDocument/2006/relationships/hyperlink" Target="https://drive.google.com/uc?export=view&amp;id=1XG76coqd_8BXcuk9ljBoRYuxpxku3XaQ" TargetMode="External"/><Relationship Id="rId4071" Type="http://schemas.openxmlformats.org/officeDocument/2006/relationships/hyperlink" Target="https://drive.google.com/uc?export=view&amp;id=1hb60HVhj_M400sMtcZpZvLxRirBaKRp9" TargetMode="External"/><Relationship Id="rId4070" Type="http://schemas.openxmlformats.org/officeDocument/2006/relationships/hyperlink" Target="https://drive.google.com/open?id=1hb60HVhj_M400sMtcZpZvLxRirBaKRp9" TargetMode="External"/><Relationship Id="rId4073" Type="http://schemas.openxmlformats.org/officeDocument/2006/relationships/hyperlink" Target="https://drive.google.com/open?id=1Miiu3yEWqa9X4c1EiMIydyLMrKM2PySE" TargetMode="External"/><Relationship Id="rId4072" Type="http://schemas.openxmlformats.org/officeDocument/2006/relationships/hyperlink" Target="https://docs.google.com/document/d/1Q2HfrwBGeHCJYbMi2YCj7m5IWiSO3LLe_jkEiaBJEHc/edit?usp=drivesdk" TargetMode="External"/><Relationship Id="rId4075" Type="http://schemas.openxmlformats.org/officeDocument/2006/relationships/hyperlink" Target="https://docs.google.com/document/d/1BtIVpe70vL1JvpWDwGMGtXmlfdMM4r5SnVkRXu2jHWs/edit?usp=drivesdk" TargetMode="External"/><Relationship Id="rId4074" Type="http://schemas.openxmlformats.org/officeDocument/2006/relationships/hyperlink" Target="https://drive.google.com/uc?export=view&amp;id=1Miiu3yEWqa9X4c1EiMIydyLMrKM2PySE" TargetMode="External"/><Relationship Id="rId4077" Type="http://schemas.openxmlformats.org/officeDocument/2006/relationships/hyperlink" Target="https://drive.google.com/uc?export=view&amp;id=1ZmWk_ZZG3VbWzE5EZ_W1Xm9u9_SK_hgm" TargetMode="External"/><Relationship Id="rId4076" Type="http://schemas.openxmlformats.org/officeDocument/2006/relationships/hyperlink" Target="https://drive.google.com/open?id=1ZmWk_ZZG3VbWzE5EZ_W1Xm9u9_SK_hgm" TargetMode="External"/><Relationship Id="rId4079" Type="http://schemas.openxmlformats.org/officeDocument/2006/relationships/hyperlink" Target="https://drive.google.com/open?id=1fKF7tFOI-pWtC5VfnzwXa1ewz7vveoO-" TargetMode="External"/><Relationship Id="rId4078" Type="http://schemas.openxmlformats.org/officeDocument/2006/relationships/hyperlink" Target="https://docs.google.com/document/d/1wlMxjc7uHgt1Mm8Oj4qQ4oKT_jFQUdqXNS5rjRQ6UmU/edit?usp=drivesdk" TargetMode="External"/><Relationship Id="rId1830" Type="http://schemas.openxmlformats.org/officeDocument/2006/relationships/hyperlink" Target="https://drive.google.com/uc?export=view&amp;id=1EZKONb8o1s6gSXOSEFGvWe2X_IX9qZv0" TargetMode="External"/><Relationship Id="rId1831" Type="http://schemas.openxmlformats.org/officeDocument/2006/relationships/hyperlink" Target="https://docs.google.com/document/d/1zeMmktRAuOY6FvvLDFH6kr0mLdh0h8uYrI8CJoDS3DY/edit?usp=drivesdk" TargetMode="External"/><Relationship Id="rId1832" Type="http://schemas.openxmlformats.org/officeDocument/2006/relationships/hyperlink" Target="https://drive.google.com/open?id=1hqpWQooApYxpnjGrNOupGcKg_GEsNE11" TargetMode="External"/><Relationship Id="rId1833" Type="http://schemas.openxmlformats.org/officeDocument/2006/relationships/hyperlink" Target="https://drive.google.com/uc?export=view&amp;id=1hqpWQooApYxpnjGrNOupGcKg_GEsNE11" TargetMode="External"/><Relationship Id="rId1834" Type="http://schemas.openxmlformats.org/officeDocument/2006/relationships/hyperlink" Target="https://docs.google.com/document/d/12QTMEXRwbuR-PvSgzTMHxHwR3rXPhGJ9aPxJmtUQ3Ro/edit?usp=drivesdk" TargetMode="External"/><Relationship Id="rId1835" Type="http://schemas.openxmlformats.org/officeDocument/2006/relationships/hyperlink" Target="https://drive.google.com/open?id=1PCAZzrBO5iHYaNwbA69v5zW0LrE-Xkjc" TargetMode="External"/><Relationship Id="rId1836" Type="http://schemas.openxmlformats.org/officeDocument/2006/relationships/hyperlink" Target="https://drive.google.com/uc?export=view&amp;id=1PCAZzrBO5iHYaNwbA69v5zW0LrE-Xkjc" TargetMode="External"/><Relationship Id="rId1837" Type="http://schemas.openxmlformats.org/officeDocument/2006/relationships/hyperlink" Target="https://docs.google.com/document/d/138YvLPn1zhYjA0B1a_fCPgZwO7XKLkQbweOTHuDxqpI/edit?usp=drivesdk" TargetMode="External"/><Relationship Id="rId1838" Type="http://schemas.openxmlformats.org/officeDocument/2006/relationships/hyperlink" Target="https://drive.google.com/open?id=14HASMXZR50RaeLAKgRInME-6bzUhbMYD" TargetMode="External"/><Relationship Id="rId1839" Type="http://schemas.openxmlformats.org/officeDocument/2006/relationships/hyperlink" Target="https://drive.google.com/uc?export=view&amp;id=14HASMXZR50RaeLAKgRInME-6bzUhbMYD" TargetMode="External"/><Relationship Id="rId1820" Type="http://schemas.openxmlformats.org/officeDocument/2006/relationships/hyperlink" Target="https://drive.google.com/open?id=11OhTgzxJE7WILlDa3XjuhByLYrcG9FNT" TargetMode="External"/><Relationship Id="rId1821" Type="http://schemas.openxmlformats.org/officeDocument/2006/relationships/hyperlink" Target="https://drive.google.com/uc?export=view&amp;id=11OhTgzxJE7WILlDa3XjuhByLYrcG9FNT" TargetMode="External"/><Relationship Id="rId1822" Type="http://schemas.openxmlformats.org/officeDocument/2006/relationships/hyperlink" Target="https://docs.google.com/document/d/1QqW6h2YNtJd4zQJKiW0DGqJ-hOLFYsRg2ZrKRntCB3c/edit?usp=drivesdk" TargetMode="External"/><Relationship Id="rId1823" Type="http://schemas.openxmlformats.org/officeDocument/2006/relationships/hyperlink" Target="https://drive.google.com/open?id=1HcZwZU959K6EaHmWfimyeQbrSp3Ju3E9" TargetMode="External"/><Relationship Id="rId1824" Type="http://schemas.openxmlformats.org/officeDocument/2006/relationships/hyperlink" Target="https://drive.google.com/uc?export=view&amp;id=1HcZwZU959K6EaHmWfimyeQbrSp3Ju3E9" TargetMode="External"/><Relationship Id="rId1825" Type="http://schemas.openxmlformats.org/officeDocument/2006/relationships/hyperlink" Target="https://docs.google.com/document/d/1m2yptDZUAIImgQrF1rALEStVM8gFfG2ch_TFk6Ic7cU/edit?usp=drivesdk" TargetMode="External"/><Relationship Id="rId1826" Type="http://schemas.openxmlformats.org/officeDocument/2006/relationships/hyperlink" Target="https://drive.google.com/open?id=1zsAjlJajLsEVZKqy5yq2AamAnuJ06E9n" TargetMode="External"/><Relationship Id="rId1827" Type="http://schemas.openxmlformats.org/officeDocument/2006/relationships/hyperlink" Target="https://drive.google.com/uc?export=view&amp;id=1zsAjlJajLsEVZKqy5yq2AamAnuJ06E9n" TargetMode="External"/><Relationship Id="rId1828" Type="http://schemas.openxmlformats.org/officeDocument/2006/relationships/hyperlink" Target="https://docs.google.com/document/d/1x1uwV43JnfOoRPEX6wX86CmqIAlZuNObkFDAuk6qbsw/edit?usp=drivesdk" TargetMode="External"/><Relationship Id="rId1829" Type="http://schemas.openxmlformats.org/officeDocument/2006/relationships/hyperlink" Target="https://drive.google.com/open?id=1EZKONb8o1s6gSXOSEFGvWe2X_IX9qZv0" TargetMode="External"/><Relationship Id="rId4091" Type="http://schemas.openxmlformats.org/officeDocument/2006/relationships/hyperlink" Target="https://drive.google.com/open?id=1yZV2vHppuNmhCqPyur7iVWp1S_LDhRpX" TargetMode="External"/><Relationship Id="rId4090" Type="http://schemas.openxmlformats.org/officeDocument/2006/relationships/hyperlink" Target="https://docs.google.com/document/d/128grHd4P1YoaTDqvuhgczNK7_1HmaEm59AwW_lFKkmo/edit?usp=drivesdk" TargetMode="External"/><Relationship Id="rId4093" Type="http://schemas.openxmlformats.org/officeDocument/2006/relationships/hyperlink" Target="https://docs.google.com/document/d/1_pQpzbOgmgo5py9BhThUxgMgLFLEmNh_PZDaOV96uqU/edit?usp=drivesdk" TargetMode="External"/><Relationship Id="rId4092" Type="http://schemas.openxmlformats.org/officeDocument/2006/relationships/hyperlink" Target="https://drive.google.com/uc?export=view&amp;id=1yZV2vHppuNmhCqPyur7iVWp1S_LDhRpX" TargetMode="External"/><Relationship Id="rId4095" Type="http://schemas.openxmlformats.org/officeDocument/2006/relationships/hyperlink" Target="https://drive.google.com/uc?export=view&amp;id=1tOlx3nLlPnE4QswFuCCYdCUghe1HLRKL" TargetMode="External"/><Relationship Id="rId4094" Type="http://schemas.openxmlformats.org/officeDocument/2006/relationships/hyperlink" Target="https://drive.google.com/open?id=1tOlx3nLlPnE4QswFuCCYdCUghe1HLRKL" TargetMode="External"/><Relationship Id="rId4097" Type="http://schemas.openxmlformats.org/officeDocument/2006/relationships/hyperlink" Target="https://drive.google.com/open?id=1ZsV9Co_xH7rkIG7YbSVhCdHiL-UzY14W" TargetMode="External"/><Relationship Id="rId4096" Type="http://schemas.openxmlformats.org/officeDocument/2006/relationships/hyperlink" Target="https://docs.google.com/document/d/16Oenn4SxXS9iZr0nu9Y6w7OuJ2XCFrNIPJuWIFrNtIc/edit?usp=drivesdk" TargetMode="External"/><Relationship Id="rId4099" Type="http://schemas.openxmlformats.org/officeDocument/2006/relationships/hyperlink" Target="https://docs.google.com/document/d/15A4P76QL4PjDybztlQoFYF8-RYPuT-LNBYjutUuPZwA/edit?usp=drivesdk" TargetMode="External"/><Relationship Id="rId4098" Type="http://schemas.openxmlformats.org/officeDocument/2006/relationships/hyperlink" Target="https://drive.google.com/uc?export=view&amp;id=1ZsV9Co_xH7rkIG7YbSVhCdHiL-UzY14W" TargetMode="External"/><Relationship Id="rId2302" Type="http://schemas.openxmlformats.org/officeDocument/2006/relationships/hyperlink" Target="https://docs.google.com/document/d/15EL5WCIu3BHzuX5EawFeDKkahyUmxWNoXXIO1oaYWPA/edit?usp=drivesdk" TargetMode="External"/><Relationship Id="rId3634" Type="http://schemas.openxmlformats.org/officeDocument/2006/relationships/hyperlink" Target="https://docs.google.com/document/d/1Wwu03EFTYLnsLCgJz2KsnscooRsr-oBTI6srC8gKB40/edit?usp=drivesdk" TargetMode="External"/><Relationship Id="rId2303" Type="http://schemas.openxmlformats.org/officeDocument/2006/relationships/hyperlink" Target="https://drive.google.com/open?id=14UTLoS7jHYnrl30t2J1Q8AkLOmsyZRo8" TargetMode="External"/><Relationship Id="rId3633" Type="http://schemas.openxmlformats.org/officeDocument/2006/relationships/hyperlink" Target="https://drive.google.com/uc?export=view&amp;id=1LOzuO7UEoQtsfjnWv_XbLJq06KYBIop8" TargetMode="External"/><Relationship Id="rId2304" Type="http://schemas.openxmlformats.org/officeDocument/2006/relationships/hyperlink" Target="https://drive.google.com/uc?export=view&amp;id=14UTLoS7jHYnrl30t2J1Q8AkLOmsyZRo8" TargetMode="External"/><Relationship Id="rId3636" Type="http://schemas.openxmlformats.org/officeDocument/2006/relationships/hyperlink" Target="https://drive.google.com/uc?export=view&amp;id=15NvTlJfG34IKMbfIVi1PW0t9EzzKfojF" TargetMode="External"/><Relationship Id="rId2305" Type="http://schemas.openxmlformats.org/officeDocument/2006/relationships/hyperlink" Target="https://docs.google.com/document/d/1tWz2dKBB1YDSZ_eWEbODuf3mT7AaO6hgC4tMP8qQGzI/edit?usp=drivesdk" TargetMode="External"/><Relationship Id="rId3635" Type="http://schemas.openxmlformats.org/officeDocument/2006/relationships/hyperlink" Target="https://drive.google.com/open?id=15NvTlJfG34IKMbfIVi1PW0t9EzzKfojF" TargetMode="External"/><Relationship Id="rId2306" Type="http://schemas.openxmlformats.org/officeDocument/2006/relationships/hyperlink" Target="https://drive.google.com/open?id=1SLyASnlYrOUmTUzpkWfxKkh0sQSwVHKs" TargetMode="External"/><Relationship Id="rId3638" Type="http://schemas.openxmlformats.org/officeDocument/2006/relationships/hyperlink" Target="https://drive.google.com/open?id=1acD7OA2ejXG-qz42DGyJsKjEIqrvLT-m" TargetMode="External"/><Relationship Id="rId2307" Type="http://schemas.openxmlformats.org/officeDocument/2006/relationships/hyperlink" Target="https://drive.google.com/uc?export=view&amp;id=1SLyASnlYrOUmTUzpkWfxKkh0sQSwVHKs" TargetMode="External"/><Relationship Id="rId3637" Type="http://schemas.openxmlformats.org/officeDocument/2006/relationships/hyperlink" Target="https://docs.google.com/document/d/16VN3hvbRRwZVKe1WvjGBlhl0lNEIBmRqGJ9BB-Cr1MM/edit?usp=drivesdk" TargetMode="External"/><Relationship Id="rId2308" Type="http://schemas.openxmlformats.org/officeDocument/2006/relationships/hyperlink" Target="https://docs.google.com/document/d/10Ub9UqH6hV1empySAs597AxNVNh2ApsKjnVdg-Uqk_w/edit?usp=drivesdk" TargetMode="External"/><Relationship Id="rId2309" Type="http://schemas.openxmlformats.org/officeDocument/2006/relationships/hyperlink" Target="https://drive.google.com/open?id=15c6Dt96ue2M-JMOmPv7FSqyb7bnme7hy" TargetMode="External"/><Relationship Id="rId3639" Type="http://schemas.openxmlformats.org/officeDocument/2006/relationships/hyperlink" Target="https://drive.google.com/uc?export=view&amp;id=1acD7OA2ejXG-qz42DGyJsKjEIqrvLT-m" TargetMode="External"/><Relationship Id="rId3630" Type="http://schemas.openxmlformats.org/officeDocument/2006/relationships/hyperlink" Target="https://drive.google.com/uc?export=view&amp;id=1GlAWwIrb7Ma9D1-6KlaDjTrPfKW2ghWz" TargetMode="External"/><Relationship Id="rId2300" Type="http://schemas.openxmlformats.org/officeDocument/2006/relationships/hyperlink" Target="https://drive.google.com/open?id=1fwJDL20RcQZ0vMtNUYU6SP97pjtnzkdP" TargetMode="External"/><Relationship Id="rId3632" Type="http://schemas.openxmlformats.org/officeDocument/2006/relationships/hyperlink" Target="https://drive.google.com/open?id=1LOzuO7UEoQtsfjnWv_XbLJq06KYBIop8" TargetMode="External"/><Relationship Id="rId2301" Type="http://schemas.openxmlformats.org/officeDocument/2006/relationships/hyperlink" Target="https://drive.google.com/uc?export=view&amp;id=1fwJDL20RcQZ0vMtNUYU6SP97pjtnzkdP" TargetMode="External"/><Relationship Id="rId3631" Type="http://schemas.openxmlformats.org/officeDocument/2006/relationships/hyperlink" Target="https://docs.google.com/document/d/1kKFmk4jrtcsOvS-LVG-K9N8xoXqwlIp1nVeTA4fvHnE/edit?usp=drivesdk" TargetMode="External"/><Relationship Id="rId3623" Type="http://schemas.openxmlformats.org/officeDocument/2006/relationships/hyperlink" Target="https://drive.google.com/open?id=18Lb4cu6Y5Ll_FM9FYeyQgf4MhDuFfiGb" TargetMode="External"/><Relationship Id="rId3622" Type="http://schemas.openxmlformats.org/officeDocument/2006/relationships/hyperlink" Target="https://docs.google.com/document/d/1ZZVmc3Lu7KdKrG9YrbqRbuNBaW_QW1Zig3gB0EeuPq4/edit?usp=drivesdk" TargetMode="External"/><Relationship Id="rId3625" Type="http://schemas.openxmlformats.org/officeDocument/2006/relationships/hyperlink" Target="https://docs.google.com/document/d/1N9ERqrcJs9RGxMaKyOecN5r0I_2Y0hnNvJr8CrRRCdk/edit?usp=drivesdk" TargetMode="External"/><Relationship Id="rId3624" Type="http://schemas.openxmlformats.org/officeDocument/2006/relationships/hyperlink" Target="https://drive.google.com/uc?export=view&amp;id=18Lb4cu6Y5Ll_FM9FYeyQgf4MhDuFfiGb" TargetMode="External"/><Relationship Id="rId3627" Type="http://schemas.openxmlformats.org/officeDocument/2006/relationships/hyperlink" Target="https://drive.google.com/uc?export=view&amp;id=1EjzWeQjpJZz2C36jCSy97a0cQNM9PLLJ" TargetMode="External"/><Relationship Id="rId3626" Type="http://schemas.openxmlformats.org/officeDocument/2006/relationships/hyperlink" Target="https://drive.google.com/open?id=1EjzWeQjpJZz2C36jCSy97a0cQNM9PLLJ" TargetMode="External"/><Relationship Id="rId3629" Type="http://schemas.openxmlformats.org/officeDocument/2006/relationships/hyperlink" Target="https://drive.google.com/open?id=1GlAWwIrb7Ma9D1-6KlaDjTrPfKW2ghWz" TargetMode="External"/><Relationship Id="rId3628" Type="http://schemas.openxmlformats.org/officeDocument/2006/relationships/hyperlink" Target="https://docs.google.com/document/d/1vjeLT_HxNMuyKux3MD1gIRHnepy2u0R-Bw1y-Fze9Uw/edit?usp=drivesdk" TargetMode="External"/><Relationship Id="rId3621" Type="http://schemas.openxmlformats.org/officeDocument/2006/relationships/hyperlink" Target="https://drive.google.com/uc?export=view&amp;id=1p7Kvepqy5MUgJ5huia4uMc0YW0PApmyq" TargetMode="External"/><Relationship Id="rId3620" Type="http://schemas.openxmlformats.org/officeDocument/2006/relationships/hyperlink" Target="https://drive.google.com/open?id=1p7Kvepqy5MUgJ5huia4uMc0YW0PApmyq" TargetMode="External"/><Relationship Id="rId2324" Type="http://schemas.openxmlformats.org/officeDocument/2006/relationships/hyperlink" Target="https://drive.google.com/open?id=1YXy3XsibxVUk1C9eBFxZxsw8mNq9fEVk" TargetMode="External"/><Relationship Id="rId3656" Type="http://schemas.openxmlformats.org/officeDocument/2006/relationships/hyperlink" Target="https://drive.google.com/open?id=1wRw6CimokK5p7eqsL9N42UsEM9wDeUY5" TargetMode="External"/><Relationship Id="rId2325" Type="http://schemas.openxmlformats.org/officeDocument/2006/relationships/hyperlink" Target="https://drive.google.com/uc?export=view&amp;id=1YXy3XsibxVUk1C9eBFxZxsw8mNq9fEVk" TargetMode="External"/><Relationship Id="rId3655" Type="http://schemas.openxmlformats.org/officeDocument/2006/relationships/hyperlink" Target="https://docs.google.com/document/d/1geJZBVpaebH35Qtr20P-fg9d_KDWnoq9wUQyjYMmDoo/edit?usp=drivesdk" TargetMode="External"/><Relationship Id="rId2326" Type="http://schemas.openxmlformats.org/officeDocument/2006/relationships/hyperlink" Target="https://docs.google.com/document/d/1PeyrfZK6aYIhpg5xU1BXYWfKZBuOBHdYbUbyxpKmG1c/edit?usp=drivesdk" TargetMode="External"/><Relationship Id="rId3658" Type="http://schemas.openxmlformats.org/officeDocument/2006/relationships/hyperlink" Target="https://docs.google.com/document/d/1hx_31AnjtqboAIBX5RJo5LffmrqKCfZbhQU_rAWLVBg/edit?usp=drivesdk" TargetMode="External"/><Relationship Id="rId2327" Type="http://schemas.openxmlformats.org/officeDocument/2006/relationships/hyperlink" Target="https://drive.google.com/open?id=1kPy0xmXt6Qx5tWgQGNNO3NgfhLxobsMh" TargetMode="External"/><Relationship Id="rId3657" Type="http://schemas.openxmlformats.org/officeDocument/2006/relationships/hyperlink" Target="https://drive.google.com/uc?export=view&amp;id=1wRw6CimokK5p7eqsL9N42UsEM9wDeUY5" TargetMode="External"/><Relationship Id="rId2328" Type="http://schemas.openxmlformats.org/officeDocument/2006/relationships/hyperlink" Target="https://drive.google.com/uc?export=view&amp;id=1kPy0xmXt6Qx5tWgQGNNO3NgfhLxobsMh" TargetMode="External"/><Relationship Id="rId2329" Type="http://schemas.openxmlformats.org/officeDocument/2006/relationships/hyperlink" Target="https://docs.google.com/document/d/1h-tyAzUTNX-PBN9U4NS547CTnI7Ir1Z7uRB6OmkoOnc/edit?usp=drivesdk" TargetMode="External"/><Relationship Id="rId3659" Type="http://schemas.openxmlformats.org/officeDocument/2006/relationships/hyperlink" Target="https://drive.google.com/open?id=1l-2wdulcECdIodBRxz2GuUj27AQXeVdu" TargetMode="External"/><Relationship Id="rId3650" Type="http://schemas.openxmlformats.org/officeDocument/2006/relationships/hyperlink" Target="https://drive.google.com/open?id=1dyxC2YbF7EHHaOSn3pzJht0RzxrGT80X" TargetMode="External"/><Relationship Id="rId2320" Type="http://schemas.openxmlformats.org/officeDocument/2006/relationships/hyperlink" Target="https://docs.google.com/document/d/1hsHD5zwPLb9wQl9emUolokFco1kM8jaXAgGH5umk_Ck/edit?usp=drivesdk" TargetMode="External"/><Relationship Id="rId3652" Type="http://schemas.openxmlformats.org/officeDocument/2006/relationships/hyperlink" Target="https://docs.google.com/document/d/1hWnYtAZeYssQLGyoaVQPMDCQEvbJjTYWY6uT2le3gd0/edit?usp=drivesdk" TargetMode="External"/><Relationship Id="rId2321" Type="http://schemas.openxmlformats.org/officeDocument/2006/relationships/hyperlink" Target="https://drive.google.com/open?id=19LJWfSc8rCqi2OF_aRhAyH4kyyrPyjKP" TargetMode="External"/><Relationship Id="rId3651" Type="http://schemas.openxmlformats.org/officeDocument/2006/relationships/hyperlink" Target="https://drive.google.com/uc?export=view&amp;id=1dyxC2YbF7EHHaOSn3pzJht0RzxrGT80X" TargetMode="External"/><Relationship Id="rId2322" Type="http://schemas.openxmlformats.org/officeDocument/2006/relationships/hyperlink" Target="https://drive.google.com/uc?export=view&amp;id=19LJWfSc8rCqi2OF_aRhAyH4kyyrPyjKP" TargetMode="External"/><Relationship Id="rId3654" Type="http://schemas.openxmlformats.org/officeDocument/2006/relationships/hyperlink" Target="https://drive.google.com/uc?export=view&amp;id=1fVffqw-BLc0bFj3MMitNvbcawMQmowPg" TargetMode="External"/><Relationship Id="rId2323" Type="http://schemas.openxmlformats.org/officeDocument/2006/relationships/hyperlink" Target="https://docs.google.com/document/d/1HGgQYiDbo8v5iFALlVVrfbwX2fKQ63AySv0hkuZKrmk/edit?usp=drivesdk" TargetMode="External"/><Relationship Id="rId3653" Type="http://schemas.openxmlformats.org/officeDocument/2006/relationships/hyperlink" Target="https://drive.google.com/open?id=1fVffqw-BLc0bFj3MMitNvbcawMQmowPg" TargetMode="External"/><Relationship Id="rId2313" Type="http://schemas.openxmlformats.org/officeDocument/2006/relationships/hyperlink" Target="https://drive.google.com/uc?export=view&amp;id=1tbzfChEG_HLvtEpe7MCMNs9lrpcVy0XV" TargetMode="External"/><Relationship Id="rId3645" Type="http://schemas.openxmlformats.org/officeDocument/2006/relationships/hyperlink" Target="https://drive.google.com/uc?export=view&amp;id=1qn8XvSTzGkIo1HSAVO0Ugt9fsMDBwD_0" TargetMode="External"/><Relationship Id="rId2314" Type="http://schemas.openxmlformats.org/officeDocument/2006/relationships/hyperlink" Target="https://docs.google.com/document/d/151Prt1s3O7-StMwsegAj6oOGd_Gn7WyFvWKTQ9DRGV8/edit?usp=drivesdk" TargetMode="External"/><Relationship Id="rId3644" Type="http://schemas.openxmlformats.org/officeDocument/2006/relationships/hyperlink" Target="https://drive.google.com/open?id=1qn8XvSTzGkIo1HSAVO0Ugt9fsMDBwD_0" TargetMode="External"/><Relationship Id="rId2315" Type="http://schemas.openxmlformats.org/officeDocument/2006/relationships/hyperlink" Target="https://drive.google.com/open?id=1L5NtkqhbAiiAvTTuD5xg9O1tXebm84ta" TargetMode="External"/><Relationship Id="rId3647" Type="http://schemas.openxmlformats.org/officeDocument/2006/relationships/hyperlink" Target="https://drive.google.com/open?id=1gpoHfrfigNILrGroxa9WQB_HFzwOxQGf" TargetMode="External"/><Relationship Id="rId2316" Type="http://schemas.openxmlformats.org/officeDocument/2006/relationships/hyperlink" Target="https://drive.google.com/uc?export=view&amp;id=1L5NtkqhbAiiAvTTuD5xg9O1tXebm84ta" TargetMode="External"/><Relationship Id="rId3646" Type="http://schemas.openxmlformats.org/officeDocument/2006/relationships/hyperlink" Target="https://docs.google.com/document/d/186akLkeRdJt-FRuGnbvGRRsj4w9h_ezvEPRWXdbjDWw/edit?usp=drivesdk" TargetMode="External"/><Relationship Id="rId2317" Type="http://schemas.openxmlformats.org/officeDocument/2006/relationships/hyperlink" Target="https://docs.google.com/document/d/1pr6Ab7W0kYvfpeE-TAgzByWl2f1hpoTl4ktLQajVMaE/edit?usp=drivesdk" TargetMode="External"/><Relationship Id="rId3649" Type="http://schemas.openxmlformats.org/officeDocument/2006/relationships/hyperlink" Target="https://docs.google.com/document/d/13MtyRZJ61JT-m6lcVQkh1scQ0qteaG4pkDoRshKJiC4/edit?usp=drivesdk" TargetMode="External"/><Relationship Id="rId2318" Type="http://schemas.openxmlformats.org/officeDocument/2006/relationships/hyperlink" Target="https://drive.google.com/open?id=1fakajvS-eiIWg7ctJFdTwWAii92giK7z" TargetMode="External"/><Relationship Id="rId3648" Type="http://schemas.openxmlformats.org/officeDocument/2006/relationships/hyperlink" Target="https://drive.google.com/uc?export=view&amp;id=1gpoHfrfigNILrGroxa9WQB_HFzwOxQGf" TargetMode="External"/><Relationship Id="rId2319" Type="http://schemas.openxmlformats.org/officeDocument/2006/relationships/hyperlink" Target="https://drive.google.com/uc?export=view&amp;id=1fakajvS-eiIWg7ctJFdTwWAii92giK7z" TargetMode="External"/><Relationship Id="rId3641" Type="http://schemas.openxmlformats.org/officeDocument/2006/relationships/hyperlink" Target="https://drive.google.com/open?id=1dEb9Ks1ZU_lf5gMXglCd7vxMNWpESb-A" TargetMode="External"/><Relationship Id="rId2310" Type="http://schemas.openxmlformats.org/officeDocument/2006/relationships/hyperlink" Target="https://drive.google.com/uc?export=view&amp;id=15c6Dt96ue2M-JMOmPv7FSqyb7bnme7hy" TargetMode="External"/><Relationship Id="rId3640" Type="http://schemas.openxmlformats.org/officeDocument/2006/relationships/hyperlink" Target="https://docs.google.com/document/d/1OJfQwWOKz-Zp8e4B5WQGTrUeWsILwq1tyFvsWEqLGEA/edit?usp=drivesdk" TargetMode="External"/><Relationship Id="rId2311" Type="http://schemas.openxmlformats.org/officeDocument/2006/relationships/hyperlink" Target="https://docs.google.com/document/d/1G2DiDw7tfnCG54fJjVCvHyc1xMfbifi_c0524w3lejw/edit?usp=drivesdk" TargetMode="External"/><Relationship Id="rId3643" Type="http://schemas.openxmlformats.org/officeDocument/2006/relationships/hyperlink" Target="https://docs.google.com/document/d/1L9LPaqRSDQdVU1csntWmBRrNFJszYkAPSAT2kMFIy2M/edit?usp=drivesdk" TargetMode="External"/><Relationship Id="rId2312" Type="http://schemas.openxmlformats.org/officeDocument/2006/relationships/hyperlink" Target="https://drive.google.com/open?id=1tbzfChEG_HLvtEpe7MCMNs9lrpcVy0XV" TargetMode="External"/><Relationship Id="rId3642" Type="http://schemas.openxmlformats.org/officeDocument/2006/relationships/hyperlink" Target="https://drive.google.com/uc?export=view&amp;id=1dEb9Ks1ZU_lf5gMXglCd7vxMNWpESb-A" TargetMode="External"/><Relationship Id="rId1895" Type="http://schemas.openxmlformats.org/officeDocument/2006/relationships/hyperlink" Target="https://drive.google.com/open?id=1idZYCMrwrqNX58hpgZaUGws03ZejgkAN" TargetMode="External"/><Relationship Id="rId1896" Type="http://schemas.openxmlformats.org/officeDocument/2006/relationships/hyperlink" Target="https://drive.google.com/uc?export=view&amp;id=1idZYCMrwrqNX58hpgZaUGws03ZejgkAN" TargetMode="External"/><Relationship Id="rId1897" Type="http://schemas.openxmlformats.org/officeDocument/2006/relationships/hyperlink" Target="https://docs.google.com/document/d/1_BEBjYkfMZxfKrgepLU9Kcgo3J9QY9YhPPhXPZg7L9k/edit?usp=drivesdk" TargetMode="External"/><Relationship Id="rId1898" Type="http://schemas.openxmlformats.org/officeDocument/2006/relationships/hyperlink" Target="https://drive.google.com/open?id=1aD8b8ctMjYpkx0k-rmnOHpdvbRSD-mBf" TargetMode="External"/><Relationship Id="rId1899" Type="http://schemas.openxmlformats.org/officeDocument/2006/relationships/hyperlink" Target="https://drive.google.com/uc?export=view&amp;id=1aD8b8ctMjYpkx0k-rmnOHpdvbRSD-mBf" TargetMode="External"/><Relationship Id="rId1890" Type="http://schemas.openxmlformats.org/officeDocument/2006/relationships/hyperlink" Target="https://drive.google.com/uc?export=view&amp;id=1hScMXH5rB41L6Ys7lEHv_qjrFw1s2kp5" TargetMode="External"/><Relationship Id="rId1891" Type="http://schemas.openxmlformats.org/officeDocument/2006/relationships/hyperlink" Target="https://docs.google.com/document/d/1DeS9lEMGWiZM8DMo1KSCK1s0WwEOYooMTDEL6AptxvY/edit?usp=drivesdk" TargetMode="External"/><Relationship Id="rId1892" Type="http://schemas.openxmlformats.org/officeDocument/2006/relationships/hyperlink" Target="https://drive.google.com/open?id=1dGM48Tzu3zHOD2kerJoYtiTrWJBdANly" TargetMode="External"/><Relationship Id="rId1893" Type="http://schemas.openxmlformats.org/officeDocument/2006/relationships/hyperlink" Target="https://drive.google.com/uc?export=view&amp;id=1dGM48Tzu3zHOD2kerJoYtiTrWJBdANly" TargetMode="External"/><Relationship Id="rId1894" Type="http://schemas.openxmlformats.org/officeDocument/2006/relationships/hyperlink" Target="https://docs.google.com/document/d/1HEpBURMikvdLiHy3NubB7_fOTemTkJFl95HvOpVMMA0/edit?usp=drivesdk" TargetMode="External"/><Relationship Id="rId1884" Type="http://schemas.openxmlformats.org/officeDocument/2006/relationships/hyperlink" Target="https://drive.google.com/uc?export=view&amp;id=1kXg-QjZR38ekT4JGsUPuYnj3Ko8mqTPI" TargetMode="External"/><Relationship Id="rId1885" Type="http://schemas.openxmlformats.org/officeDocument/2006/relationships/hyperlink" Target="https://docs.google.com/document/d/1tcSOv8AojxJxaIAh1cEFf6D17154ygxAGdn-C4ozySU/edit?usp=drivesdk" TargetMode="External"/><Relationship Id="rId1886" Type="http://schemas.openxmlformats.org/officeDocument/2006/relationships/hyperlink" Target="https://drive.google.com/open?id=1Yy0XSXnCwC7uJSAJX5m2jOIg6enjx6sG" TargetMode="External"/><Relationship Id="rId1887" Type="http://schemas.openxmlformats.org/officeDocument/2006/relationships/hyperlink" Target="https://drive.google.com/uc?export=view&amp;id=1Yy0XSXnCwC7uJSAJX5m2jOIg6enjx6sG" TargetMode="External"/><Relationship Id="rId1888" Type="http://schemas.openxmlformats.org/officeDocument/2006/relationships/hyperlink" Target="https://docs.google.com/document/d/1Ji_nVQpM9x1XYhqxGG9aEUCP5vFIc9ez4dKGcUVrRwc/edit?usp=drivesdk" TargetMode="External"/><Relationship Id="rId1889" Type="http://schemas.openxmlformats.org/officeDocument/2006/relationships/hyperlink" Target="https://drive.google.com/open?id=1hScMXH5rB41L6Ys7lEHv_qjrFw1s2kp5" TargetMode="External"/><Relationship Id="rId1880" Type="http://schemas.openxmlformats.org/officeDocument/2006/relationships/hyperlink" Target="https://drive.google.com/open?id=1o3Ijek7sE9mPhj9pheG-f1R0P255j4hb" TargetMode="External"/><Relationship Id="rId1881" Type="http://schemas.openxmlformats.org/officeDocument/2006/relationships/hyperlink" Target="https://drive.google.com/uc?export=view&amp;id=1o3Ijek7sE9mPhj9pheG-f1R0P255j4hb" TargetMode="External"/><Relationship Id="rId1882" Type="http://schemas.openxmlformats.org/officeDocument/2006/relationships/hyperlink" Target="https://docs.google.com/document/d/1ExEjuGjxoGzpiSU2JVOxlxzWENclP6_hb0cJhRMNbaA/edit?usp=drivesdk" TargetMode="External"/><Relationship Id="rId1883" Type="http://schemas.openxmlformats.org/officeDocument/2006/relationships/hyperlink" Target="https://drive.google.com/open?id=1kXg-QjZR38ekT4JGsUPuYnj3Ko8mqTPI" TargetMode="External"/><Relationship Id="rId3612" Type="http://schemas.openxmlformats.org/officeDocument/2006/relationships/hyperlink" Target="https://drive.google.com/uc?export=view&amp;id=1sBlzHVInIV_II5KNYjH79DeYmt-kHTW6" TargetMode="External"/><Relationship Id="rId3611" Type="http://schemas.openxmlformats.org/officeDocument/2006/relationships/hyperlink" Target="https://drive.google.com/open?id=1sBlzHVInIV_II5KNYjH79DeYmt-kHTW6" TargetMode="External"/><Relationship Id="rId3614" Type="http://schemas.openxmlformats.org/officeDocument/2006/relationships/hyperlink" Target="https://drive.google.com/open?id=1bZGRMEKPDDjTjw1xNzDZaUifnaY0BW83" TargetMode="External"/><Relationship Id="rId3613" Type="http://schemas.openxmlformats.org/officeDocument/2006/relationships/hyperlink" Target="https://docs.google.com/document/d/1IwSk3KtNkq0tfQ3W0MsVttdVixcM4Y-siYXZu7Ealrw/edit?usp=drivesdk" TargetMode="External"/><Relationship Id="rId3616" Type="http://schemas.openxmlformats.org/officeDocument/2006/relationships/hyperlink" Target="https://docs.google.com/document/d/1C3XBrlCRsjS_sM4BuPlNWvaE9R5iL9L8xahkpB4cSjQ/edit?usp=drivesdk" TargetMode="External"/><Relationship Id="rId3615" Type="http://schemas.openxmlformats.org/officeDocument/2006/relationships/hyperlink" Target="https://drive.google.com/uc?export=view&amp;id=1bZGRMEKPDDjTjw1xNzDZaUifnaY0BW83" TargetMode="External"/><Relationship Id="rId3618" Type="http://schemas.openxmlformats.org/officeDocument/2006/relationships/hyperlink" Target="https://drive.google.com/uc?export=view&amp;id=1qwvoqKUOS_9JdUd8OaNURptPUX8BToz3" TargetMode="External"/><Relationship Id="rId3617" Type="http://schemas.openxmlformats.org/officeDocument/2006/relationships/hyperlink" Target="https://drive.google.com/open?id=1qwvoqKUOS_9JdUd8OaNURptPUX8BToz3" TargetMode="External"/><Relationship Id="rId3619" Type="http://schemas.openxmlformats.org/officeDocument/2006/relationships/hyperlink" Target="https://docs.google.com/document/d/1fho_P5WpdamRkRlppODd_daBOElPlKi6KcU9L5Ed2is/edit?usp=drivesdk" TargetMode="External"/><Relationship Id="rId3610" Type="http://schemas.openxmlformats.org/officeDocument/2006/relationships/hyperlink" Target="https://docs.google.com/document/d/1K1zmbuecNi_Dp3IoR6jVfnOdXKRYfGP5wxIbP9gd3KM/edit?usp=drivesdk" TargetMode="External"/><Relationship Id="rId3601" Type="http://schemas.openxmlformats.org/officeDocument/2006/relationships/hyperlink" Target="https://docs.google.com/document/d/133M94BjuSv_eyBscqQC7-j767RWqT29EZjSD7AwPvT0/edit?usp=drivesdk" TargetMode="External"/><Relationship Id="rId3600" Type="http://schemas.openxmlformats.org/officeDocument/2006/relationships/hyperlink" Target="https://drive.google.com/uc?export=view&amp;id=1AytHYyB65zAEUNirZ75bloyzERlW5z6m" TargetMode="External"/><Relationship Id="rId3603" Type="http://schemas.openxmlformats.org/officeDocument/2006/relationships/hyperlink" Target="https://drive.google.com/uc?export=view&amp;id=1QuiiFP_wreGsoqHJzZDTiqw9QR2vX33K" TargetMode="External"/><Relationship Id="rId3602" Type="http://schemas.openxmlformats.org/officeDocument/2006/relationships/hyperlink" Target="https://drive.google.com/open?id=1QuiiFP_wreGsoqHJzZDTiqw9QR2vX33K" TargetMode="External"/><Relationship Id="rId3605" Type="http://schemas.openxmlformats.org/officeDocument/2006/relationships/hyperlink" Target="https://drive.google.com/open?id=1L58kCa8OBlqRbIRmR1EgAsnz1RrYOqUw" TargetMode="External"/><Relationship Id="rId3604" Type="http://schemas.openxmlformats.org/officeDocument/2006/relationships/hyperlink" Target="https://docs.google.com/document/d/1V6n4oJtNCklSPLRnrCYze8SszgpWsRkruMVx-QF9rKw/edit?usp=drivesdk" TargetMode="External"/><Relationship Id="rId3607" Type="http://schemas.openxmlformats.org/officeDocument/2006/relationships/hyperlink" Target="https://docs.google.com/document/d/1gnD1zuhiLRdTP7f2zTKVEX5ZR38FCP3nYB8pmENCTbg/edit?usp=drivesdk" TargetMode="External"/><Relationship Id="rId3606" Type="http://schemas.openxmlformats.org/officeDocument/2006/relationships/hyperlink" Target="https://drive.google.com/uc?export=view&amp;id=1L58kCa8OBlqRbIRmR1EgAsnz1RrYOqUw" TargetMode="External"/><Relationship Id="rId3609" Type="http://schemas.openxmlformats.org/officeDocument/2006/relationships/hyperlink" Target="https://drive.google.com/uc?export=view&amp;id=1vuu7STchn7Aq1-Ofjg9Dqo33wRX5lEe1" TargetMode="External"/><Relationship Id="rId3608" Type="http://schemas.openxmlformats.org/officeDocument/2006/relationships/hyperlink" Target="https://drive.google.com/open?id=1vuu7STchn7Aq1-Ofjg9Dqo33wRX5lEe1" TargetMode="External"/><Relationship Id="rId1059" Type="http://schemas.openxmlformats.org/officeDocument/2006/relationships/hyperlink" Target="https://drive.google.com/open?id=1gdh0dl9hesWuTnk6LjktrDYS7X8A1F-e" TargetMode="External"/><Relationship Id="rId228" Type="http://schemas.openxmlformats.org/officeDocument/2006/relationships/hyperlink" Target="https://docs.google.com/document/d/1zlRpKHQfi_dBABXea2c0ZGfjZzpsMcwlgZLBZ2nVOX8/edit?usp=drivesdk" TargetMode="External"/><Relationship Id="rId227" Type="http://schemas.openxmlformats.org/officeDocument/2006/relationships/hyperlink" Target="https://drive.google.com/uc?export=view&amp;id=1dgCqq-1fNUIHZXgX0Wp1WkJbYSPj-2s1" TargetMode="External"/><Relationship Id="rId226" Type="http://schemas.openxmlformats.org/officeDocument/2006/relationships/hyperlink" Target="https://drive.google.com/open?id=1dgCqq-1fNUIHZXgX0Wp1WkJbYSPj-2s1" TargetMode="External"/><Relationship Id="rId225" Type="http://schemas.openxmlformats.org/officeDocument/2006/relationships/hyperlink" Target="https://docs.google.com/document/d/1KT_PsC2Kl3nwTNPN9jW2vnXHD0gnDTU9dZ3ofsDoVE8/edit?usp=drivesdk" TargetMode="External"/><Relationship Id="rId2380" Type="http://schemas.openxmlformats.org/officeDocument/2006/relationships/hyperlink" Target="https://docs.google.com/document/d/1xHoC_WX-K6q9h_fITH_qEibZNYvWu-Ifwdc1_Evkd68/edit?usp=drivesdk" TargetMode="External"/><Relationship Id="rId229" Type="http://schemas.openxmlformats.org/officeDocument/2006/relationships/hyperlink" Target="https://drive.google.com/open?id=1Ik12MSVNv0kqKb1YPYcPSSIyrdf02hbq" TargetMode="External"/><Relationship Id="rId1050" Type="http://schemas.openxmlformats.org/officeDocument/2006/relationships/hyperlink" Target="https://drive.google.com/open?id=1Eq0n9ocKpUh7bX-lZUGSb4t0zLMWQk5M" TargetMode="External"/><Relationship Id="rId2381" Type="http://schemas.openxmlformats.org/officeDocument/2006/relationships/hyperlink" Target="https://drive.google.com/open?id=14wHfNTuoLKl7EWsqoaTeqw8ehy-4ol5V" TargetMode="External"/><Relationship Id="rId220" Type="http://schemas.openxmlformats.org/officeDocument/2006/relationships/hyperlink" Target="https://drive.google.com/open?id=165bYs3mXX8kDwUz4_ZH1mQznzrYuVv0r" TargetMode="External"/><Relationship Id="rId1051" Type="http://schemas.openxmlformats.org/officeDocument/2006/relationships/hyperlink" Target="https://drive.google.com/uc?export=view&amp;id=1Eq0n9ocKpUh7bX-lZUGSb4t0zLMWQk5M" TargetMode="External"/><Relationship Id="rId2382" Type="http://schemas.openxmlformats.org/officeDocument/2006/relationships/hyperlink" Target="https://drive.google.com/uc?export=view&amp;id=14wHfNTuoLKl7EWsqoaTeqw8ehy-4ol5V" TargetMode="External"/><Relationship Id="rId1052" Type="http://schemas.openxmlformats.org/officeDocument/2006/relationships/hyperlink" Target="https://docs.google.com/document/d/1L2dDT88EZmprM6Q0Gj7052hh3xwZ30p82m-W6MMOA7w/edit?usp=drivesdk" TargetMode="External"/><Relationship Id="rId2383" Type="http://schemas.openxmlformats.org/officeDocument/2006/relationships/hyperlink" Target="https://docs.google.com/document/d/1sb0m-z5_Ws1Sp4ZzfPod0zNdAh-6me9jGI_s84ZIkTw/edit?usp=drivesdk" TargetMode="External"/><Relationship Id="rId1053" Type="http://schemas.openxmlformats.org/officeDocument/2006/relationships/hyperlink" Target="https://drive.google.com/open?id=1qyVm0OMjwcPMLEogLb73V4VY8F-bC-DW" TargetMode="External"/><Relationship Id="rId2384" Type="http://schemas.openxmlformats.org/officeDocument/2006/relationships/hyperlink" Target="https://drive.google.com/open?id=1Qx3g8AxXlYcmTc_BkMii_ynvg5_s4UfF" TargetMode="External"/><Relationship Id="rId1054" Type="http://schemas.openxmlformats.org/officeDocument/2006/relationships/hyperlink" Target="https://drive.google.com/uc?export=view&amp;id=1qyVm0OMjwcPMLEogLb73V4VY8F-bC-DW" TargetMode="External"/><Relationship Id="rId2385" Type="http://schemas.openxmlformats.org/officeDocument/2006/relationships/hyperlink" Target="https://drive.google.com/uc?export=view&amp;id=1Qx3g8AxXlYcmTc_BkMii_ynvg5_s4UfF" TargetMode="External"/><Relationship Id="rId224" Type="http://schemas.openxmlformats.org/officeDocument/2006/relationships/hyperlink" Target="https://drive.google.com/uc?export=view&amp;id=19kjK8bdNJG6qZzxuzmcDiX9zW7d_ufS-" TargetMode="External"/><Relationship Id="rId1055" Type="http://schemas.openxmlformats.org/officeDocument/2006/relationships/hyperlink" Target="https://docs.google.com/document/d/1DHfpT1JB4PzbFUozE0JnZra3BkUk7r8CUzTp6OhVLaA/edit?usp=drivesdk" TargetMode="External"/><Relationship Id="rId2386" Type="http://schemas.openxmlformats.org/officeDocument/2006/relationships/hyperlink" Target="https://docs.google.com/document/d/1Wq4teLw6hQwZ8kbp_NWLA8AHPADhbHgLGefGursqFsw/edit?usp=drivesdk" TargetMode="External"/><Relationship Id="rId223" Type="http://schemas.openxmlformats.org/officeDocument/2006/relationships/hyperlink" Target="https://drive.google.com/open?id=19kjK8bdNJG6qZzxuzmcDiX9zW7d_ufS-" TargetMode="External"/><Relationship Id="rId1056" Type="http://schemas.openxmlformats.org/officeDocument/2006/relationships/hyperlink" Target="https://drive.google.com/open?id=1CR14y8Zadt1JLs9ViKs8IEKyUhMUP__9" TargetMode="External"/><Relationship Id="rId2387" Type="http://schemas.openxmlformats.org/officeDocument/2006/relationships/hyperlink" Target="https://drive.google.com/open?id=1lnmE-OUIbCl0Sz2vfYZ29ckezAJtVbHV" TargetMode="External"/><Relationship Id="rId222" Type="http://schemas.openxmlformats.org/officeDocument/2006/relationships/hyperlink" Target="https://docs.google.com/document/d/1oLIx51TX-SQZbKNycqDENY7xi705wAkyqDBspU5I0gs/edit?usp=drivesdk" TargetMode="External"/><Relationship Id="rId1057" Type="http://schemas.openxmlformats.org/officeDocument/2006/relationships/hyperlink" Target="https://drive.google.com/uc?export=view&amp;id=1CR14y8Zadt1JLs9ViKs8IEKyUhMUP__9" TargetMode="External"/><Relationship Id="rId2388" Type="http://schemas.openxmlformats.org/officeDocument/2006/relationships/hyperlink" Target="https://drive.google.com/uc?export=view&amp;id=1lnmE-OUIbCl0Sz2vfYZ29ckezAJtVbHV" TargetMode="External"/><Relationship Id="rId221" Type="http://schemas.openxmlformats.org/officeDocument/2006/relationships/hyperlink" Target="https://drive.google.com/uc?export=view&amp;id=165bYs3mXX8kDwUz4_ZH1mQznzrYuVv0r" TargetMode="External"/><Relationship Id="rId1058" Type="http://schemas.openxmlformats.org/officeDocument/2006/relationships/hyperlink" Target="https://docs.google.com/document/d/17rRfG4WlhJlmlC8uQcIjX30lJy6WiBhBH-8_Z0xrOXs/edit?usp=drivesdk" TargetMode="External"/><Relationship Id="rId2389" Type="http://schemas.openxmlformats.org/officeDocument/2006/relationships/hyperlink" Target="https://docs.google.com/document/d/1utO169VYBgRpHqoY1UVGVRGWVH3ofl-r3n61pIzOVNc/edit?usp=drivesdk" TargetMode="External"/><Relationship Id="rId1048" Type="http://schemas.openxmlformats.org/officeDocument/2006/relationships/hyperlink" Target="https://drive.google.com/uc?export=view&amp;id=1jFKM1luI3u9o2wySMuIMLFOagfcXKWLg" TargetMode="External"/><Relationship Id="rId2379" Type="http://schemas.openxmlformats.org/officeDocument/2006/relationships/hyperlink" Target="https://drive.google.com/uc?export=view&amp;id=1CtDzQFXAyzYRLps4oT5fGPXsFOQGsTfm" TargetMode="External"/><Relationship Id="rId1049" Type="http://schemas.openxmlformats.org/officeDocument/2006/relationships/hyperlink" Target="https://docs.google.com/document/d/1VcHnJEvOPSc4hfVSCNR7H9c6aSUYs0Nzm_PiLCwTyZU/edit?usp=drivesdk" TargetMode="External"/><Relationship Id="rId217" Type="http://schemas.openxmlformats.org/officeDocument/2006/relationships/hyperlink" Target="https://drive.google.com/open?id=1p7JCu-CfjBfK6TSkt2B6QsfkFgC-zKcF" TargetMode="External"/><Relationship Id="rId216" Type="http://schemas.openxmlformats.org/officeDocument/2006/relationships/hyperlink" Target="https://docs.google.com/document/d/1TStGA1rxyjrF0IzapCm1Y83Rj8RE1uH2wg67eCjTisk/edit?usp=drivesdk" TargetMode="External"/><Relationship Id="rId215" Type="http://schemas.openxmlformats.org/officeDocument/2006/relationships/hyperlink" Target="https://drive.google.com/uc?export=view&amp;id=1eAhTgG2JiLhYPpPsQFfpk3_JcjVpNyFZ" TargetMode="External"/><Relationship Id="rId214" Type="http://schemas.openxmlformats.org/officeDocument/2006/relationships/hyperlink" Target="https://drive.google.com/open?id=1eAhTgG2JiLhYPpPsQFfpk3_JcjVpNyFZ" TargetMode="External"/><Relationship Id="rId219" Type="http://schemas.openxmlformats.org/officeDocument/2006/relationships/hyperlink" Target="https://docs.google.com/document/d/1m75oDUTeoiHoopzC850Lm5dOADjypDPpamJ1WG20SNI/edit?usp=drivesdk" TargetMode="External"/><Relationship Id="rId218" Type="http://schemas.openxmlformats.org/officeDocument/2006/relationships/hyperlink" Target="https://drive.google.com/uc?export=view&amp;id=1p7JCu-CfjBfK6TSkt2B6QsfkFgC-zKcF" TargetMode="External"/><Relationship Id="rId2370" Type="http://schemas.openxmlformats.org/officeDocument/2006/relationships/hyperlink" Target="https://drive.google.com/uc?export=view&amp;id=1C27RARxGfMM6iLrbbS9d1wvhjAAUrdvm" TargetMode="External"/><Relationship Id="rId1040" Type="http://schemas.openxmlformats.org/officeDocument/2006/relationships/hyperlink" Target="https://docs.google.com/document/d/1z2sF5dRFA5w_0B377d3PnsVKb65osgGBU_Bo8mA_sOA/edit?usp=drivesdk" TargetMode="External"/><Relationship Id="rId2371" Type="http://schemas.openxmlformats.org/officeDocument/2006/relationships/hyperlink" Target="https://docs.google.com/document/d/14p6ouvE5jp3Of4zDl3U8uVjNACX1sAriVCPyUrOGHbU/edit?usp=drivesdk" TargetMode="External"/><Relationship Id="rId1041" Type="http://schemas.openxmlformats.org/officeDocument/2006/relationships/hyperlink" Target="https://drive.google.com/open?id=1IvovL3wJQHgdgYJJVeC3B0g1aoUiv4xO" TargetMode="External"/><Relationship Id="rId2372" Type="http://schemas.openxmlformats.org/officeDocument/2006/relationships/hyperlink" Target="https://drive.google.com/open?id=1BBEmYFFmoyOa85bNDh7_UVaRDSRTA-SP" TargetMode="External"/><Relationship Id="rId1042" Type="http://schemas.openxmlformats.org/officeDocument/2006/relationships/hyperlink" Target="https://drive.google.com/uc?export=view&amp;id=1IvovL3wJQHgdgYJJVeC3B0g1aoUiv4xO" TargetMode="External"/><Relationship Id="rId2373" Type="http://schemas.openxmlformats.org/officeDocument/2006/relationships/hyperlink" Target="https://drive.google.com/uc?export=view&amp;id=1BBEmYFFmoyOa85bNDh7_UVaRDSRTA-SP" TargetMode="External"/><Relationship Id="rId1043" Type="http://schemas.openxmlformats.org/officeDocument/2006/relationships/hyperlink" Target="https://docs.google.com/document/d/1xK9nAQhob92kYfLJiVRyF4DjTW8hlzUAfwpJFpytSCU/edit?usp=drivesdk" TargetMode="External"/><Relationship Id="rId2374" Type="http://schemas.openxmlformats.org/officeDocument/2006/relationships/hyperlink" Target="https://docs.google.com/document/d/1suwP6xxbxJo-GivCbf7JjY7QgZr98kFa26sMIcw3c2Q/edit?usp=drivesdk" TargetMode="External"/><Relationship Id="rId213" Type="http://schemas.openxmlformats.org/officeDocument/2006/relationships/hyperlink" Target="https://docs.google.com/document/d/16HOF0nke_u8Vv2xdTT_Yt65oZgo-7A1YH2HjBqur07s/edit?usp=drivesdk" TargetMode="External"/><Relationship Id="rId1044" Type="http://schemas.openxmlformats.org/officeDocument/2006/relationships/hyperlink" Target="https://drive.google.com/open?id=1u-PFEe2MzaIkyHfmIcJDjQgpCf8O1tvm" TargetMode="External"/><Relationship Id="rId2375" Type="http://schemas.openxmlformats.org/officeDocument/2006/relationships/hyperlink" Target="https://drive.google.com/open?id=1OEXoHdUxHRb7UIUFHzLYxoPZTk5O2edE" TargetMode="External"/><Relationship Id="rId212" Type="http://schemas.openxmlformats.org/officeDocument/2006/relationships/hyperlink" Target="https://drive.google.com/uc?export=view&amp;id=1qrLMgoqyBIJc61frqU5bmaa9fL5PfXEc" TargetMode="External"/><Relationship Id="rId1045" Type="http://schemas.openxmlformats.org/officeDocument/2006/relationships/hyperlink" Target="https://drive.google.com/uc?export=view&amp;id=1u-PFEe2MzaIkyHfmIcJDjQgpCf8O1tvm" TargetMode="External"/><Relationship Id="rId2376" Type="http://schemas.openxmlformats.org/officeDocument/2006/relationships/hyperlink" Target="https://drive.google.com/uc?export=view&amp;id=1OEXoHdUxHRb7UIUFHzLYxoPZTk5O2edE" TargetMode="External"/><Relationship Id="rId211" Type="http://schemas.openxmlformats.org/officeDocument/2006/relationships/hyperlink" Target="https://drive.google.com/open?id=1qrLMgoqyBIJc61frqU5bmaa9fL5PfXEc" TargetMode="External"/><Relationship Id="rId1046" Type="http://schemas.openxmlformats.org/officeDocument/2006/relationships/hyperlink" Target="https://docs.google.com/document/d/1wRvtdMLz7YhJcrvRDdJFEkGsnZBJVqiNbmTMT-Rz6Uw/edit?usp=drivesdk" TargetMode="External"/><Relationship Id="rId2377" Type="http://schemas.openxmlformats.org/officeDocument/2006/relationships/hyperlink" Target="https://docs.google.com/document/d/1RQyQqmll-hMqD6sl4zBwp7V8Iw0jUQYEYX8wHrKH3ag/edit?usp=drivesdk" TargetMode="External"/><Relationship Id="rId210" Type="http://schemas.openxmlformats.org/officeDocument/2006/relationships/hyperlink" Target="https://docs.google.com/document/d/1-jt55P32dKENrES7bSiDzeorQh0C-x2K06p2beIwTls/edit?usp=drivesdk" TargetMode="External"/><Relationship Id="rId1047" Type="http://schemas.openxmlformats.org/officeDocument/2006/relationships/hyperlink" Target="https://drive.google.com/open?id=1jFKM1luI3u9o2wySMuIMLFOagfcXKWLg" TargetMode="External"/><Relationship Id="rId2378" Type="http://schemas.openxmlformats.org/officeDocument/2006/relationships/hyperlink" Target="https://drive.google.com/open?id=1CtDzQFXAyzYRLps4oT5fGPXsFOQGsTfm" TargetMode="External"/><Relationship Id="rId4107" Type="http://schemas.openxmlformats.org/officeDocument/2006/relationships/hyperlink" Target="https://drive.google.com/uc?export=view&amp;id=1L1nx7UvMIZUT2htMSfnmLJBWZpQjLfq7" TargetMode="External"/><Relationship Id="rId4106" Type="http://schemas.openxmlformats.org/officeDocument/2006/relationships/hyperlink" Target="https://drive.google.com/open?id=1L1nx7UvMIZUT2htMSfnmLJBWZpQjLfq7" TargetMode="External"/><Relationship Id="rId4109" Type="http://schemas.openxmlformats.org/officeDocument/2006/relationships/hyperlink" Target="https://drive.google.com/open?id=14aM0DJNtLqz72Nci02vp2Fr2esZWPdeC" TargetMode="External"/><Relationship Id="rId4108" Type="http://schemas.openxmlformats.org/officeDocument/2006/relationships/hyperlink" Target="https://docs.google.com/document/d/1MmDt3aBYZEcaVuhc9DEfMRo8j0kh91zSO6icQY0zmDw/edit?usp=drivesdk" TargetMode="External"/><Relationship Id="rId249" Type="http://schemas.openxmlformats.org/officeDocument/2006/relationships/hyperlink" Target="https://docs.google.com/document/d/1lOCd1fe9Op1TogGvjcOdlHYw9dGa0r05v_YOeWI_v3c/edit?usp=drivesdk" TargetMode="External"/><Relationship Id="rId248" Type="http://schemas.openxmlformats.org/officeDocument/2006/relationships/hyperlink" Target="https://drive.google.com/uc?export=view&amp;id=1VYhHY0hEvXjyQ8M8FIhG7Qr2AUEiomBt" TargetMode="External"/><Relationship Id="rId247" Type="http://schemas.openxmlformats.org/officeDocument/2006/relationships/hyperlink" Target="https://drive.google.com/open?id=1VYhHY0hEvXjyQ8M8FIhG7Qr2AUEiomBt" TargetMode="External"/><Relationship Id="rId1070" Type="http://schemas.openxmlformats.org/officeDocument/2006/relationships/hyperlink" Target="https://docs.google.com/document/d/1NDNyw6-gBE6SwcxGGcBtygz-QNl4L6tIHkbb36RigvE/edit?usp=drivesdk" TargetMode="External"/><Relationship Id="rId1071" Type="http://schemas.openxmlformats.org/officeDocument/2006/relationships/hyperlink" Target="https://drive.google.com/open?id=1UVyzXtkmCYGTW5BQQEb7FgS5oA5QvMC7" TargetMode="External"/><Relationship Id="rId1072" Type="http://schemas.openxmlformats.org/officeDocument/2006/relationships/hyperlink" Target="https://drive.google.com/uc?export=view&amp;id=1UVyzXtkmCYGTW5BQQEb7FgS5oA5QvMC7" TargetMode="External"/><Relationship Id="rId242" Type="http://schemas.openxmlformats.org/officeDocument/2006/relationships/hyperlink" Target="https://drive.google.com/uc?export=view&amp;id=1WKk6XhN9sQ5_vV1G1_847GfocVVf63hp" TargetMode="External"/><Relationship Id="rId1073" Type="http://schemas.openxmlformats.org/officeDocument/2006/relationships/hyperlink" Target="https://docs.google.com/document/d/1X-P6pmPTTuM4B52gkW3v1cn1juVqjnbfB_Xz3UUJvfQ/edit?usp=drivesdk" TargetMode="External"/><Relationship Id="rId241" Type="http://schemas.openxmlformats.org/officeDocument/2006/relationships/hyperlink" Target="https://drive.google.com/open?id=1WKk6XhN9sQ5_vV1G1_847GfocVVf63hp" TargetMode="External"/><Relationship Id="rId1074" Type="http://schemas.openxmlformats.org/officeDocument/2006/relationships/hyperlink" Target="https://drive.google.com/open?id=11N5Krzz1EgQ8ve42wIaty8vqk8ZAiHHc" TargetMode="External"/><Relationship Id="rId240" Type="http://schemas.openxmlformats.org/officeDocument/2006/relationships/hyperlink" Target="https://docs.google.com/document/d/1eWDHb25bUIk92-oXbtjZq3PKVkdHTNOM5sbGTtp6xOs/edit?usp=drivesdk" TargetMode="External"/><Relationship Id="rId1075" Type="http://schemas.openxmlformats.org/officeDocument/2006/relationships/hyperlink" Target="https://drive.google.com/uc?export=view&amp;id=11N5Krzz1EgQ8ve42wIaty8vqk8ZAiHHc" TargetMode="External"/><Relationship Id="rId4101" Type="http://schemas.openxmlformats.org/officeDocument/2006/relationships/hyperlink" Target="https://drive.google.com/uc?export=view&amp;id=1RuhPVa73mshdE3h7mgU9n_HiRTk0l8aI" TargetMode="External"/><Relationship Id="rId1076" Type="http://schemas.openxmlformats.org/officeDocument/2006/relationships/hyperlink" Target="https://docs.google.com/document/d/1UBvS8RdDb2rmki0IUQuSt1pO8zZ0zlCcayfUmnhbnjg/edit?usp=drivesdk" TargetMode="External"/><Relationship Id="rId4100" Type="http://schemas.openxmlformats.org/officeDocument/2006/relationships/hyperlink" Target="https://drive.google.com/open?id=1RuhPVa73mshdE3h7mgU9n_HiRTk0l8aI" TargetMode="External"/><Relationship Id="rId246" Type="http://schemas.openxmlformats.org/officeDocument/2006/relationships/hyperlink" Target="https://docs.google.com/document/d/1DnQeeH3h3OWpfG9aA40JFVqlUKkeQbBW5Tf52Mpmlmk/edit?usp=drivesdk" TargetMode="External"/><Relationship Id="rId1077" Type="http://schemas.openxmlformats.org/officeDocument/2006/relationships/hyperlink" Target="https://drive.google.com/open?id=1nEne_vYAWS9AmvIVZ6BDc-b87XFpn-lt" TargetMode="External"/><Relationship Id="rId4103" Type="http://schemas.openxmlformats.org/officeDocument/2006/relationships/hyperlink" Target="https://drive.google.com/open?id=1V1AxgRxWVpoBuEqQJ23FNdR1dJ6mAs7K" TargetMode="External"/><Relationship Id="rId245" Type="http://schemas.openxmlformats.org/officeDocument/2006/relationships/hyperlink" Target="https://drive.google.com/uc?export=view&amp;id=18enLEvEaGMkDFzndxGYUbQjp795zC4oZ" TargetMode="External"/><Relationship Id="rId1078" Type="http://schemas.openxmlformats.org/officeDocument/2006/relationships/hyperlink" Target="https://drive.google.com/uc?export=view&amp;id=1nEne_vYAWS9AmvIVZ6BDc-b87XFpn-lt" TargetMode="External"/><Relationship Id="rId4102" Type="http://schemas.openxmlformats.org/officeDocument/2006/relationships/hyperlink" Target="https://docs.google.com/document/d/16pjYj9SNQHMtfZWONHbvjk9542R5kB8DGzEoH0-wCt8/edit?usp=drivesdk" TargetMode="External"/><Relationship Id="rId244" Type="http://schemas.openxmlformats.org/officeDocument/2006/relationships/hyperlink" Target="https://drive.google.com/open?id=18enLEvEaGMkDFzndxGYUbQjp795zC4oZ" TargetMode="External"/><Relationship Id="rId1079" Type="http://schemas.openxmlformats.org/officeDocument/2006/relationships/hyperlink" Target="https://docs.google.com/document/d/1bRZ5COWltTKYK_UOEQ1enWkAO2YLjJt5L5a1EjN51iY/edit?usp=drivesdk" TargetMode="External"/><Relationship Id="rId4105" Type="http://schemas.openxmlformats.org/officeDocument/2006/relationships/hyperlink" Target="https://docs.google.com/document/d/1X5c4tsLT5P8ObtUVrYw8Kc1xAXETzMO8YvKuSQI_ju8/edit?usp=drivesdk" TargetMode="External"/><Relationship Id="rId243" Type="http://schemas.openxmlformats.org/officeDocument/2006/relationships/hyperlink" Target="https://docs.google.com/document/d/1PJ847fLeSAwEmxkJDQSYEWin8EiB_valfUOYbGM1qCQ/edit?usp=drivesdk" TargetMode="External"/><Relationship Id="rId4104" Type="http://schemas.openxmlformats.org/officeDocument/2006/relationships/hyperlink" Target="https://drive.google.com/uc?export=view&amp;id=1V1AxgRxWVpoBuEqQJ23FNdR1dJ6mAs7K" TargetMode="External"/><Relationship Id="rId239" Type="http://schemas.openxmlformats.org/officeDocument/2006/relationships/hyperlink" Target="https://drive.google.com/uc?export=view&amp;id=1AMNylIEjjirgOLb0Rd1XY2xthT1A4h9D" TargetMode="External"/><Relationship Id="rId238" Type="http://schemas.openxmlformats.org/officeDocument/2006/relationships/hyperlink" Target="https://drive.google.com/open?id=1AMNylIEjjirgOLb0Rd1XY2xthT1A4h9D" TargetMode="External"/><Relationship Id="rId237" Type="http://schemas.openxmlformats.org/officeDocument/2006/relationships/hyperlink" Target="https://docs.google.com/document/d/1xqH8pdCAwnnLFabMuxtQ7i0AHjQUUlFNgBbx0TkZB0Q/edit?usp=drivesdk" TargetMode="External"/><Relationship Id="rId236" Type="http://schemas.openxmlformats.org/officeDocument/2006/relationships/hyperlink" Target="https://drive.google.com/uc?export=view&amp;id=1a8GudGYIr5F87847hqOF2IhetyZ01jeS" TargetMode="External"/><Relationship Id="rId2390" Type="http://schemas.openxmlformats.org/officeDocument/2006/relationships/hyperlink" Target="https://drive.google.com/open?id=1jvL9XrGIPPwFU23M7Tx5OTzLTfNC1xzS" TargetMode="External"/><Relationship Id="rId1060" Type="http://schemas.openxmlformats.org/officeDocument/2006/relationships/hyperlink" Target="https://drive.google.com/uc?export=view&amp;id=1gdh0dl9hesWuTnk6LjktrDYS7X8A1F-e" TargetMode="External"/><Relationship Id="rId2391" Type="http://schemas.openxmlformats.org/officeDocument/2006/relationships/hyperlink" Target="https://drive.google.com/uc?export=view&amp;id=1jvL9XrGIPPwFU23M7Tx5OTzLTfNC1xzS" TargetMode="External"/><Relationship Id="rId1061" Type="http://schemas.openxmlformats.org/officeDocument/2006/relationships/hyperlink" Target="https://docs.google.com/document/d/142l56Bq5kJ6FGaqJ_atNU6d9HZRClV6JN8ZhQNZrCcQ/edit?usp=drivesdk" TargetMode="External"/><Relationship Id="rId2392" Type="http://schemas.openxmlformats.org/officeDocument/2006/relationships/hyperlink" Target="https://docs.google.com/document/d/1y9Vwqmmf0-ijVYRyzJL0gX7xLZ6Ip_Dvj2PF3Aw3j1w/edit?usp=drivesdk" TargetMode="External"/><Relationship Id="rId231" Type="http://schemas.openxmlformats.org/officeDocument/2006/relationships/hyperlink" Target="https://docs.google.com/document/d/1E4JiYZrY2trVI15VjCLjCD98W41zVEqcxJsTU1J2404/edit?usp=drivesdk" TargetMode="External"/><Relationship Id="rId1062" Type="http://schemas.openxmlformats.org/officeDocument/2006/relationships/hyperlink" Target="https://drive.google.com/open?id=12esORQH_pnD6EiaOw4B2MVhC1UrbuKxj" TargetMode="External"/><Relationship Id="rId2393" Type="http://schemas.openxmlformats.org/officeDocument/2006/relationships/hyperlink" Target="https://drive.google.com/open?id=1cHteHFPmwy4_vDck832Fcjb8luUQ2B5c" TargetMode="External"/><Relationship Id="rId230" Type="http://schemas.openxmlformats.org/officeDocument/2006/relationships/hyperlink" Target="https://drive.google.com/uc?export=view&amp;id=1Ik12MSVNv0kqKb1YPYcPSSIyrdf02hbq" TargetMode="External"/><Relationship Id="rId1063" Type="http://schemas.openxmlformats.org/officeDocument/2006/relationships/hyperlink" Target="https://drive.google.com/uc?export=view&amp;id=12esORQH_pnD6EiaOw4B2MVhC1UrbuKxj" TargetMode="External"/><Relationship Id="rId2394" Type="http://schemas.openxmlformats.org/officeDocument/2006/relationships/hyperlink" Target="https://drive.google.com/uc?export=view&amp;id=1cHteHFPmwy4_vDck832Fcjb8luUQ2B5c" TargetMode="External"/><Relationship Id="rId1064" Type="http://schemas.openxmlformats.org/officeDocument/2006/relationships/hyperlink" Target="https://docs.google.com/document/d/1FXRSYxJTEdFNBaQGGX5aaOPSa-EfpIu13qFSIyDqVYs/edit?usp=drivesdk" TargetMode="External"/><Relationship Id="rId2395" Type="http://schemas.openxmlformats.org/officeDocument/2006/relationships/hyperlink" Target="https://docs.google.com/document/d/1u9KxWbyeZYjun3eCeEivhAT4HFmiWX0idsIN4LgJtCo/edit?usp=drivesdk" TargetMode="External"/><Relationship Id="rId1065" Type="http://schemas.openxmlformats.org/officeDocument/2006/relationships/hyperlink" Target="https://drive.google.com/open?id=1LWHF_RYX3dDckktjddjDKAZJSTat6nY3" TargetMode="External"/><Relationship Id="rId2396" Type="http://schemas.openxmlformats.org/officeDocument/2006/relationships/hyperlink" Target="https://drive.google.com/open?id=1l3CInTJTwZXJ7KSbtsEfWTTntfTgsoYm" TargetMode="External"/><Relationship Id="rId235" Type="http://schemas.openxmlformats.org/officeDocument/2006/relationships/hyperlink" Target="https://drive.google.com/open?id=1a8GudGYIr5F87847hqOF2IhetyZ01jeS" TargetMode="External"/><Relationship Id="rId1066" Type="http://schemas.openxmlformats.org/officeDocument/2006/relationships/hyperlink" Target="https://drive.google.com/uc?export=view&amp;id=1LWHF_RYX3dDckktjddjDKAZJSTat6nY3" TargetMode="External"/><Relationship Id="rId2397" Type="http://schemas.openxmlformats.org/officeDocument/2006/relationships/hyperlink" Target="https://drive.google.com/uc?export=view&amp;id=1l3CInTJTwZXJ7KSbtsEfWTTntfTgsoYm" TargetMode="External"/><Relationship Id="rId234" Type="http://schemas.openxmlformats.org/officeDocument/2006/relationships/hyperlink" Target="https://docs.google.com/document/d/1YfVZRcX8bC3rK4_vE89I5LgjVxiqSz1Xs4a9EMlX4vE/edit?usp=drivesdk" TargetMode="External"/><Relationship Id="rId1067" Type="http://schemas.openxmlformats.org/officeDocument/2006/relationships/hyperlink" Target="https://docs.google.com/document/d/1rTuzohmMSDtNTTR_QGFPATIjBxzv18zP34l235HErTg/edit?usp=drivesdk" TargetMode="External"/><Relationship Id="rId2398" Type="http://schemas.openxmlformats.org/officeDocument/2006/relationships/hyperlink" Target="https://docs.google.com/document/d/1wQLNSVAYHOFf0qKa69xLMyh_2FVOEmzfb4VvvlMPS2s/edit?usp=drivesdk" TargetMode="External"/><Relationship Id="rId233" Type="http://schemas.openxmlformats.org/officeDocument/2006/relationships/hyperlink" Target="https://drive.google.com/uc?export=view&amp;id=13BYZk1qXamXkgWCajuBdTq7QZpgYpJGW" TargetMode="External"/><Relationship Id="rId1068" Type="http://schemas.openxmlformats.org/officeDocument/2006/relationships/hyperlink" Target="https://drive.google.com/open?id=1vZf76-W6NUFb32m3QTL2qtStDm7ELE-k" TargetMode="External"/><Relationship Id="rId2399" Type="http://schemas.openxmlformats.org/officeDocument/2006/relationships/hyperlink" Target="https://drive.google.com/open?id=14X86l143fHR3DP6yDThgfh4JCKfbJGyK" TargetMode="External"/><Relationship Id="rId232" Type="http://schemas.openxmlformats.org/officeDocument/2006/relationships/hyperlink" Target="https://drive.google.com/open?id=13BYZk1qXamXkgWCajuBdTq7QZpgYpJGW" TargetMode="External"/><Relationship Id="rId1069" Type="http://schemas.openxmlformats.org/officeDocument/2006/relationships/hyperlink" Target="https://drive.google.com/uc?export=view&amp;id=1vZf76-W6NUFb32m3QTL2qtStDm7ELE-k" TargetMode="External"/><Relationship Id="rId1015" Type="http://schemas.openxmlformats.org/officeDocument/2006/relationships/hyperlink" Target="https://docs.google.com/document/d/1UYSRI4bDZl6KJhFj-7gdltXTvGTM5aawVpfJ_Z2cwVQ/edit?usp=drivesdk" TargetMode="External"/><Relationship Id="rId2346" Type="http://schemas.openxmlformats.org/officeDocument/2006/relationships/hyperlink" Target="https://drive.google.com/uc?export=view&amp;id=1pjhq8r5R21SOTzfv4Gd6ss8ax8YuwY4S" TargetMode="External"/><Relationship Id="rId3678" Type="http://schemas.openxmlformats.org/officeDocument/2006/relationships/hyperlink" Target="https://drive.google.com/uc?export=view&amp;id=1us4L8qvEP9uusABlocBgv1VyfxoRB-TF" TargetMode="External"/><Relationship Id="rId1016" Type="http://schemas.openxmlformats.org/officeDocument/2006/relationships/hyperlink" Target="https://drive.google.com/open?id=1OAqSYbxn9Gyf1Q4TfFX62iAvAWkpdzT_" TargetMode="External"/><Relationship Id="rId2347" Type="http://schemas.openxmlformats.org/officeDocument/2006/relationships/hyperlink" Target="https://docs.google.com/document/d/1uG9eorTlSap3fvDwtOYoNC7fLYDHLmwUcMYKWR4r1YE/edit?usp=drivesdk" TargetMode="External"/><Relationship Id="rId3677" Type="http://schemas.openxmlformats.org/officeDocument/2006/relationships/hyperlink" Target="https://drive.google.com/open?id=1us4L8qvEP9uusABlocBgv1VyfxoRB-TF" TargetMode="External"/><Relationship Id="rId1017" Type="http://schemas.openxmlformats.org/officeDocument/2006/relationships/hyperlink" Target="https://drive.google.com/uc?export=view&amp;id=1OAqSYbxn9Gyf1Q4TfFX62iAvAWkpdzT_" TargetMode="External"/><Relationship Id="rId2348" Type="http://schemas.openxmlformats.org/officeDocument/2006/relationships/hyperlink" Target="https://drive.google.com/open?id=1t79rtoX9MJzRSefjtHVmafRVKTDFVkUT" TargetMode="External"/><Relationship Id="rId1018" Type="http://schemas.openxmlformats.org/officeDocument/2006/relationships/hyperlink" Target="https://docs.google.com/document/d/10ZCVii8xpQGPVmF4VZH4rFSOdideapzhTGt5WZwQoGk/edit?usp=drivesdk" TargetMode="External"/><Relationship Id="rId2349" Type="http://schemas.openxmlformats.org/officeDocument/2006/relationships/hyperlink" Target="https://drive.google.com/uc?export=view&amp;id=1t79rtoX9MJzRSefjtHVmafRVKTDFVkUT" TargetMode="External"/><Relationship Id="rId3679" Type="http://schemas.openxmlformats.org/officeDocument/2006/relationships/hyperlink" Target="https://docs.google.com/document/d/12WfJSF8wjcZsWQgFd3gFhxm0bvZrag-Zu1NFIAdGQ3k/edit?usp=drivesdk" TargetMode="External"/><Relationship Id="rId1019" Type="http://schemas.openxmlformats.org/officeDocument/2006/relationships/hyperlink" Target="https://drive.google.com/open?id=1HAKmEIJXuYmnpiNYKTnd9ojeG5qXlMKn" TargetMode="External"/><Relationship Id="rId3670" Type="http://schemas.openxmlformats.org/officeDocument/2006/relationships/hyperlink" Target="https://docs.google.com/document/d/1Z_VpG02uAk-YfcqzFhVEac7UwjXsnK88zRNI2O1Zqn8/edit?usp=drivesdk" TargetMode="External"/><Relationship Id="rId2340" Type="http://schemas.openxmlformats.org/officeDocument/2006/relationships/hyperlink" Target="https://drive.google.com/uc?export=view&amp;id=1IKBLV-0qTeBj4DJoG5xmI96kZv8B1SXB" TargetMode="External"/><Relationship Id="rId3672" Type="http://schemas.openxmlformats.org/officeDocument/2006/relationships/hyperlink" Target="https://drive.google.com/uc?export=view&amp;id=1WM1x4HGJVitJg7edFqhwfLKr0sMbblS7" TargetMode="External"/><Relationship Id="rId1010" Type="http://schemas.openxmlformats.org/officeDocument/2006/relationships/hyperlink" Target="https://drive.google.com/open?id=11AvNsF8qUaskO8vC-8cQKzyn-5POO1uN" TargetMode="External"/><Relationship Id="rId2341" Type="http://schemas.openxmlformats.org/officeDocument/2006/relationships/hyperlink" Target="https://docs.google.com/document/d/1xS0bzF3-z7kP-hsOPhVf1QERIWEy27Zr0ezm_PV-A90/edit?usp=drivesdk" TargetMode="External"/><Relationship Id="rId3671" Type="http://schemas.openxmlformats.org/officeDocument/2006/relationships/hyperlink" Target="https://drive.google.com/open?id=1WM1x4HGJVitJg7edFqhwfLKr0sMbblS7" TargetMode="External"/><Relationship Id="rId1011" Type="http://schemas.openxmlformats.org/officeDocument/2006/relationships/hyperlink" Target="https://drive.google.com/uc?export=view&amp;id=11AvNsF8qUaskO8vC-8cQKzyn-5POO1uN" TargetMode="External"/><Relationship Id="rId2342" Type="http://schemas.openxmlformats.org/officeDocument/2006/relationships/hyperlink" Target="https://drive.google.com/open?id=1mGMnHU1RAosDY3Pm1jD4CU1bEjnorIcm" TargetMode="External"/><Relationship Id="rId3674" Type="http://schemas.openxmlformats.org/officeDocument/2006/relationships/hyperlink" Target="https://drive.google.com/open?id=1-BkKMrV3gW2pVogNJRsXpuAIc7hP-f01" TargetMode="External"/><Relationship Id="rId1012" Type="http://schemas.openxmlformats.org/officeDocument/2006/relationships/hyperlink" Target="https://docs.google.com/document/d/1zyqsNsWOFNsrlbPCZJVCAFZuF1wQHNwc9RoxZs9fyPg/edit?usp=drivesdk" TargetMode="External"/><Relationship Id="rId2343" Type="http://schemas.openxmlformats.org/officeDocument/2006/relationships/hyperlink" Target="https://drive.google.com/uc?export=view&amp;id=1mGMnHU1RAosDY3Pm1jD4CU1bEjnorIcm" TargetMode="External"/><Relationship Id="rId3673" Type="http://schemas.openxmlformats.org/officeDocument/2006/relationships/hyperlink" Target="https://docs.google.com/document/d/1LrLqDg6PXKcO8LquH1zboc66GJlxBzwjNohDBqCulfw/edit?usp=drivesdk" TargetMode="External"/><Relationship Id="rId1013" Type="http://schemas.openxmlformats.org/officeDocument/2006/relationships/hyperlink" Target="https://drive.google.com/open?id=1M83ZHz6EJehvJZNR9mf2Sdfa5CmuljTV" TargetMode="External"/><Relationship Id="rId2344" Type="http://schemas.openxmlformats.org/officeDocument/2006/relationships/hyperlink" Target="https://docs.google.com/document/d/19jT2pKZx-Gp-_G5nqKMltzBn-X15t_40tSlSrIhDeO0/edit?usp=drivesdk" TargetMode="External"/><Relationship Id="rId3676" Type="http://schemas.openxmlformats.org/officeDocument/2006/relationships/hyperlink" Target="https://docs.google.com/document/d/1FrHqMLoke_1JfFGBHOcO_DKJ49U8h2Tad34TQVZw6Ek/edit?usp=drivesdk" TargetMode="External"/><Relationship Id="rId1014" Type="http://schemas.openxmlformats.org/officeDocument/2006/relationships/hyperlink" Target="https://drive.google.com/uc?export=view&amp;id=1M83ZHz6EJehvJZNR9mf2Sdfa5CmuljTV" TargetMode="External"/><Relationship Id="rId2345" Type="http://schemas.openxmlformats.org/officeDocument/2006/relationships/hyperlink" Target="https://drive.google.com/open?id=1pjhq8r5R21SOTzfv4Gd6ss8ax8YuwY4S" TargetMode="External"/><Relationship Id="rId3675" Type="http://schemas.openxmlformats.org/officeDocument/2006/relationships/hyperlink" Target="https://drive.google.com/uc?export=view&amp;id=1-BkKMrV3gW2pVogNJRsXpuAIc7hP-f01" TargetMode="External"/><Relationship Id="rId1004" Type="http://schemas.openxmlformats.org/officeDocument/2006/relationships/hyperlink" Target="https://drive.google.com/open?id=1sFAP_x_-RYt0PFNeyWZK3kzb4cPTEeWy" TargetMode="External"/><Relationship Id="rId2335" Type="http://schemas.openxmlformats.org/officeDocument/2006/relationships/hyperlink" Target="https://docs.google.com/document/d/16bsGStaY2mToUTbNHz7SVakfXCQKQpZ-qKeoQ4hSQXo/edit?usp=drivesdk" TargetMode="External"/><Relationship Id="rId3667" Type="http://schemas.openxmlformats.org/officeDocument/2006/relationships/hyperlink" Target="https://docs.google.com/document/d/17zsCa1F75Ajr5iprsyefEAR32I59nZmwsNoEmQQmPEA/edit?usp=drivesdk" TargetMode="External"/><Relationship Id="rId1005" Type="http://schemas.openxmlformats.org/officeDocument/2006/relationships/hyperlink" Target="https://drive.google.com/uc?export=view&amp;id=1sFAP_x_-RYt0PFNeyWZK3kzb4cPTEeWy" TargetMode="External"/><Relationship Id="rId2336" Type="http://schemas.openxmlformats.org/officeDocument/2006/relationships/hyperlink" Target="https://drive.google.com/open?id=1KMBfBkN-1pXMfCBlwN_-pcjqQriSw5G3" TargetMode="External"/><Relationship Id="rId3666" Type="http://schemas.openxmlformats.org/officeDocument/2006/relationships/hyperlink" Target="https://drive.google.com/uc?export=view&amp;id=1Z1eUfNXFXoUCBXHFSbALlZ4M3xggLKIi" TargetMode="External"/><Relationship Id="rId1006" Type="http://schemas.openxmlformats.org/officeDocument/2006/relationships/hyperlink" Target="https://docs.google.com/document/d/1Gzs-Fed0z1v_CSC38zG-_pAc_rQhQnmiDVqPjRIeXOU/edit?usp=drivesdk" TargetMode="External"/><Relationship Id="rId2337" Type="http://schemas.openxmlformats.org/officeDocument/2006/relationships/hyperlink" Target="https://drive.google.com/uc?export=view&amp;id=1KMBfBkN-1pXMfCBlwN_-pcjqQriSw5G3" TargetMode="External"/><Relationship Id="rId3669" Type="http://schemas.openxmlformats.org/officeDocument/2006/relationships/hyperlink" Target="https://drive.google.com/uc?export=view&amp;id=1f6AouDNnXWsgeQ7_v1AwmW-KFTBmgP2N" TargetMode="External"/><Relationship Id="rId1007" Type="http://schemas.openxmlformats.org/officeDocument/2006/relationships/hyperlink" Target="https://drive.google.com/open?id=1aK4y_Ld8Efn9JJbV_W6Pe6SOoBrqSBRZ" TargetMode="External"/><Relationship Id="rId2338" Type="http://schemas.openxmlformats.org/officeDocument/2006/relationships/hyperlink" Target="https://docs.google.com/document/d/1vaFkJUaukjWuq5PilcCkDNCoo2FYyBPH5gHmTtNLM38/edit?usp=drivesdk" TargetMode="External"/><Relationship Id="rId3668" Type="http://schemas.openxmlformats.org/officeDocument/2006/relationships/hyperlink" Target="https://drive.google.com/open?id=1f6AouDNnXWsgeQ7_v1AwmW-KFTBmgP2N" TargetMode="External"/><Relationship Id="rId1008" Type="http://schemas.openxmlformats.org/officeDocument/2006/relationships/hyperlink" Target="https://drive.google.com/uc?export=view&amp;id=1aK4y_Ld8Efn9JJbV_W6Pe6SOoBrqSBRZ" TargetMode="External"/><Relationship Id="rId2339" Type="http://schemas.openxmlformats.org/officeDocument/2006/relationships/hyperlink" Target="https://drive.google.com/open?id=1IKBLV-0qTeBj4DJoG5xmI96kZv8B1SXB" TargetMode="External"/><Relationship Id="rId1009" Type="http://schemas.openxmlformats.org/officeDocument/2006/relationships/hyperlink" Target="https://docs.google.com/document/d/11rDd_ybeqYLeQIDnr3SsqyQtNQ-GFTMSpVPXMpvU8Qg/edit?usp=drivesdk" TargetMode="External"/><Relationship Id="rId3661" Type="http://schemas.openxmlformats.org/officeDocument/2006/relationships/hyperlink" Target="https://docs.google.com/document/d/15fj2LblxtdMY1ZPemcEgCsQXKkznB1d9V7u6fKiF7FM/edit?usp=drivesdk" TargetMode="External"/><Relationship Id="rId2330" Type="http://schemas.openxmlformats.org/officeDocument/2006/relationships/hyperlink" Target="https://drive.google.com/open?id=1Bi2uyXDZQ5gb4BvmHAcPFwO85m9NHcEo" TargetMode="External"/><Relationship Id="rId3660" Type="http://schemas.openxmlformats.org/officeDocument/2006/relationships/hyperlink" Target="https://drive.google.com/uc?export=view&amp;id=1l-2wdulcECdIodBRxz2GuUj27AQXeVdu" TargetMode="External"/><Relationship Id="rId1000" Type="http://schemas.openxmlformats.org/officeDocument/2006/relationships/hyperlink" Target="https://docs.google.com/document/d/1XVvaU9uRknPwBDNyOS70-bQNjYgeZ23X5yz0rr8uZ70/edit?usp=drivesdk" TargetMode="External"/><Relationship Id="rId2331" Type="http://schemas.openxmlformats.org/officeDocument/2006/relationships/hyperlink" Target="https://drive.google.com/uc?export=view&amp;id=1Bi2uyXDZQ5gb4BvmHAcPFwO85m9NHcEo" TargetMode="External"/><Relationship Id="rId3663" Type="http://schemas.openxmlformats.org/officeDocument/2006/relationships/hyperlink" Target="https://drive.google.com/uc?export=view&amp;id=1ihSGmNDNRVgit3DGsZ0MuTzl47FwTt4Y" TargetMode="External"/><Relationship Id="rId1001" Type="http://schemas.openxmlformats.org/officeDocument/2006/relationships/hyperlink" Target="https://drive.google.com/open?id=1qCrlvxT-98ojv5BdWNTNNM4wsVxkU0z3" TargetMode="External"/><Relationship Id="rId2332" Type="http://schemas.openxmlformats.org/officeDocument/2006/relationships/hyperlink" Target="https://docs.google.com/document/d/1JvWobLbdyaSDY0zw01kWxpxA2nFvsXGyhxl-VhZqsm8/edit?usp=drivesdk" TargetMode="External"/><Relationship Id="rId3662" Type="http://schemas.openxmlformats.org/officeDocument/2006/relationships/hyperlink" Target="https://drive.google.com/open?id=1ihSGmNDNRVgit3DGsZ0MuTzl47FwTt4Y" TargetMode="External"/><Relationship Id="rId1002" Type="http://schemas.openxmlformats.org/officeDocument/2006/relationships/hyperlink" Target="https://drive.google.com/uc?export=view&amp;id=1qCrlvxT-98ojv5BdWNTNNM4wsVxkU0z3" TargetMode="External"/><Relationship Id="rId2333" Type="http://schemas.openxmlformats.org/officeDocument/2006/relationships/hyperlink" Target="https://drive.google.com/open?id=1bzp-kFGZsVSstq9k0vXaX8HS5bOW2-rs" TargetMode="External"/><Relationship Id="rId3665" Type="http://schemas.openxmlformats.org/officeDocument/2006/relationships/hyperlink" Target="https://drive.google.com/open?id=1Z1eUfNXFXoUCBXHFSbALlZ4M3xggLKIi" TargetMode="External"/><Relationship Id="rId1003" Type="http://schemas.openxmlformats.org/officeDocument/2006/relationships/hyperlink" Target="https://docs.google.com/document/d/1l4bgbfjIw3ukjwmYXc3O0naV7rv7Kf4JBDHnvKvhxjg/edit?usp=drivesdk" TargetMode="External"/><Relationship Id="rId2334" Type="http://schemas.openxmlformats.org/officeDocument/2006/relationships/hyperlink" Target="https://drive.google.com/uc?export=view&amp;id=1bzp-kFGZsVSstq9k0vXaX8HS5bOW2-rs" TargetMode="External"/><Relationship Id="rId3664" Type="http://schemas.openxmlformats.org/officeDocument/2006/relationships/hyperlink" Target="https://docs.google.com/document/d/1FiXGxTIE_wFgKVTRp8K5pdVzLT1mQ8SYcj4RNmOHghs/edit?usp=drivesdk" TargetMode="External"/><Relationship Id="rId1037" Type="http://schemas.openxmlformats.org/officeDocument/2006/relationships/hyperlink" Target="https://drive.google.com/open?id=1yyTZais64zyKujnMkHGBBGKVicL8HN_6" TargetMode="External"/><Relationship Id="rId2368" Type="http://schemas.openxmlformats.org/officeDocument/2006/relationships/hyperlink" Target="https://docs.google.com/document/d/1C_anSynNXwMU2UTDBBMSSwmUVup-i0GJYF3UMTjGtVo/edit?usp=drivesdk" TargetMode="External"/><Relationship Id="rId1038" Type="http://schemas.openxmlformats.org/officeDocument/2006/relationships/hyperlink" Target="https://drive.google.com/uc?export=view&amp;id=1yyTZais64zyKujnMkHGBBGKVicL8HN_6" TargetMode="External"/><Relationship Id="rId2369" Type="http://schemas.openxmlformats.org/officeDocument/2006/relationships/hyperlink" Target="https://drive.google.com/open?id=1C27RARxGfMM6iLrbbS9d1wvhjAAUrdvm" TargetMode="External"/><Relationship Id="rId3699" Type="http://schemas.openxmlformats.org/officeDocument/2006/relationships/hyperlink" Target="https://drive.google.com/uc?export=view&amp;id=1h4MeeCkgdGf1_yYHgHCPlHUUgKgj2uXc" TargetMode="External"/><Relationship Id="rId1039" Type="http://schemas.openxmlformats.org/officeDocument/2006/relationships/hyperlink" Target="https://docs.google.com/document/d/148mmXSR3hh70halMEAVYx2glfg3JMkOPEdbaEvmQFNA/edit?usp=drivesdk" TargetMode="External"/><Relationship Id="rId206" Type="http://schemas.openxmlformats.org/officeDocument/2006/relationships/hyperlink" Target="https://drive.google.com/uc?export=view&amp;id=1aP48EeVE_KzqFEu8pqsqjnzgn3F36KNv" TargetMode="External"/><Relationship Id="rId205" Type="http://schemas.openxmlformats.org/officeDocument/2006/relationships/hyperlink" Target="https://drive.google.com/open?id=1aP48EeVE_KzqFEu8pqsqjnzgn3F36KNv" TargetMode="External"/><Relationship Id="rId204" Type="http://schemas.openxmlformats.org/officeDocument/2006/relationships/hyperlink" Target="https://docs.google.com/document/d/1maOw8WGQ0-XBO-7DyRLi11rV5JLeV7DDigEIFtvWqfw/edit?usp=drivesdk" TargetMode="External"/><Relationship Id="rId203" Type="http://schemas.openxmlformats.org/officeDocument/2006/relationships/hyperlink" Target="https://drive.google.com/uc?export=view&amp;id=1hJ1NNvF4tx2adDP3r2q9NRIE2dluOsKL" TargetMode="External"/><Relationship Id="rId209" Type="http://schemas.openxmlformats.org/officeDocument/2006/relationships/hyperlink" Target="https://drive.google.com/uc?export=view&amp;id=118g-JTaEszjWthrtGVCo928qyPEqsjZ1" TargetMode="External"/><Relationship Id="rId208" Type="http://schemas.openxmlformats.org/officeDocument/2006/relationships/hyperlink" Target="https://drive.google.com/open?id=118g-JTaEszjWthrtGVCo928qyPEqsjZ1" TargetMode="External"/><Relationship Id="rId3690" Type="http://schemas.openxmlformats.org/officeDocument/2006/relationships/hyperlink" Target="https://drive.google.com/uc?export=view&amp;id=1jGLhhLyKWc9PbzsR6tQD7bIKMLH7i013" TargetMode="External"/><Relationship Id="rId207" Type="http://schemas.openxmlformats.org/officeDocument/2006/relationships/hyperlink" Target="https://docs.google.com/document/d/1JwQU6nwazaxgS6bEdn3gye9QuikHDUsX3If_fmh9fvk/edit?usp=drivesdk" TargetMode="External"/><Relationship Id="rId2360" Type="http://schemas.openxmlformats.org/officeDocument/2006/relationships/hyperlink" Target="https://drive.google.com/open?id=1mLxGfYdOkWvwmUz1-7SvW3b3cII1RLql" TargetMode="External"/><Relationship Id="rId3692" Type="http://schemas.openxmlformats.org/officeDocument/2006/relationships/hyperlink" Target="https://drive.google.com/open?id=111TUSfYdVP_HJz8kxwImqFzDuVvs3txz" TargetMode="External"/><Relationship Id="rId1030" Type="http://schemas.openxmlformats.org/officeDocument/2006/relationships/hyperlink" Target="https://docs.google.com/document/d/1vCL1_2Wib3uB7CSUY0z1lJEvMDHwJjrzxueGJkATUxw/edit?usp=drivesdk" TargetMode="External"/><Relationship Id="rId2361" Type="http://schemas.openxmlformats.org/officeDocument/2006/relationships/hyperlink" Target="https://drive.google.com/uc?export=view&amp;id=1mLxGfYdOkWvwmUz1-7SvW3b3cII1RLql" TargetMode="External"/><Relationship Id="rId3691" Type="http://schemas.openxmlformats.org/officeDocument/2006/relationships/hyperlink" Target="https://docs.google.com/document/d/1qlwzcHs6pc8q-lEmgpm2Hgd_JFwBLtQe1_ZPX1B_Kas/edit?usp=drivesdk" TargetMode="External"/><Relationship Id="rId1031" Type="http://schemas.openxmlformats.org/officeDocument/2006/relationships/hyperlink" Target="https://drive.google.com/open?id=1Xbo1VVkKD8x2L-l3UVsxqBONDa0vifqq" TargetMode="External"/><Relationship Id="rId2362" Type="http://schemas.openxmlformats.org/officeDocument/2006/relationships/hyperlink" Target="https://docs.google.com/document/d/1EHAQb5zjyRZObVGa2_XT7RBQaStC9mGUxz43KcUXqjc/edit?usp=drivesdk" TargetMode="External"/><Relationship Id="rId3694" Type="http://schemas.openxmlformats.org/officeDocument/2006/relationships/hyperlink" Target="https://docs.google.com/document/d/1WdIAJyq_yulaEVgDZtf82ITLtWlgYswyN8Bu2ehBswM/edit?usp=drivesdk" TargetMode="External"/><Relationship Id="rId1032" Type="http://schemas.openxmlformats.org/officeDocument/2006/relationships/hyperlink" Target="https://drive.google.com/uc?export=view&amp;id=1Xbo1VVkKD8x2L-l3UVsxqBONDa0vifqq" TargetMode="External"/><Relationship Id="rId2363" Type="http://schemas.openxmlformats.org/officeDocument/2006/relationships/hyperlink" Target="https://drive.google.com/open?id=1_z08pwHcsbH8l8UvaSnujZBO45EnA4jg" TargetMode="External"/><Relationship Id="rId3693" Type="http://schemas.openxmlformats.org/officeDocument/2006/relationships/hyperlink" Target="https://drive.google.com/uc?export=view&amp;id=111TUSfYdVP_HJz8kxwImqFzDuVvs3txz" TargetMode="External"/><Relationship Id="rId202" Type="http://schemas.openxmlformats.org/officeDocument/2006/relationships/hyperlink" Target="https://drive.google.com/open?id=1hJ1NNvF4tx2adDP3r2q9NRIE2dluOsKL" TargetMode="External"/><Relationship Id="rId1033" Type="http://schemas.openxmlformats.org/officeDocument/2006/relationships/hyperlink" Target="https://docs.google.com/document/d/1Y8vEs_su2Q9OjAESeYZLz6Fxpydyz9klRgkeXzMLHn8/edit?usp=drivesdk" TargetMode="External"/><Relationship Id="rId2364" Type="http://schemas.openxmlformats.org/officeDocument/2006/relationships/hyperlink" Target="https://drive.google.com/uc?export=view&amp;id=1_z08pwHcsbH8l8UvaSnujZBO45EnA4jg" TargetMode="External"/><Relationship Id="rId3696" Type="http://schemas.openxmlformats.org/officeDocument/2006/relationships/hyperlink" Target="https://drive.google.com/uc?export=view&amp;id=17r-2XJTv9tJEOMmv6rk7QY-g6K9mm9NZ" TargetMode="External"/><Relationship Id="rId201" Type="http://schemas.openxmlformats.org/officeDocument/2006/relationships/hyperlink" Target="https://docs.google.com/document/d/1Z8tb-gUGuTXWb27chyP8JtsJFnE8ANQCdHRJtKDwrr0/edit?usp=drivesdk" TargetMode="External"/><Relationship Id="rId1034" Type="http://schemas.openxmlformats.org/officeDocument/2006/relationships/hyperlink" Target="https://drive.google.com/open?id=142wWEoDVAc8Er945lvg-Fi2g4UFKhWXA" TargetMode="External"/><Relationship Id="rId2365" Type="http://schemas.openxmlformats.org/officeDocument/2006/relationships/hyperlink" Target="https://docs.google.com/document/d/19TNqZH8lXbNR8aAptZROMH8rwHmBEca15HKAu6CBQAc/edit?usp=drivesdk" TargetMode="External"/><Relationship Id="rId3695" Type="http://schemas.openxmlformats.org/officeDocument/2006/relationships/hyperlink" Target="https://drive.google.com/open?id=17r-2XJTv9tJEOMmv6rk7QY-g6K9mm9NZ" TargetMode="External"/><Relationship Id="rId200" Type="http://schemas.openxmlformats.org/officeDocument/2006/relationships/hyperlink" Target="https://drive.google.com/uc?export=view&amp;id=1dTSorYbBp3YFvgUmh1VR1R3ClEMhLM5_" TargetMode="External"/><Relationship Id="rId1035" Type="http://schemas.openxmlformats.org/officeDocument/2006/relationships/hyperlink" Target="https://drive.google.com/uc?export=view&amp;id=142wWEoDVAc8Er945lvg-Fi2g4UFKhWXA" TargetMode="External"/><Relationship Id="rId2366" Type="http://schemas.openxmlformats.org/officeDocument/2006/relationships/hyperlink" Target="https://drive.google.com/open?id=13eutnshG06C0P-3rL9FVlikQHOcb-uh8" TargetMode="External"/><Relationship Id="rId3698" Type="http://schemas.openxmlformats.org/officeDocument/2006/relationships/hyperlink" Target="https://drive.google.com/open?id=1h4MeeCkgdGf1_yYHgHCPlHUUgKgj2uXc" TargetMode="External"/><Relationship Id="rId1036" Type="http://schemas.openxmlformats.org/officeDocument/2006/relationships/hyperlink" Target="https://docs.google.com/document/d/1vfLpcW1yL2LjmPffAR8KL9OsmRF35YEeBm28D3eEr_k/edit?usp=drivesdk" TargetMode="External"/><Relationship Id="rId2367" Type="http://schemas.openxmlformats.org/officeDocument/2006/relationships/hyperlink" Target="https://drive.google.com/uc?export=view&amp;id=13eutnshG06C0P-3rL9FVlikQHOcb-uh8" TargetMode="External"/><Relationship Id="rId3697" Type="http://schemas.openxmlformats.org/officeDocument/2006/relationships/hyperlink" Target="https://docs.google.com/document/d/1Z8M1oF0Cs12niyeceK7Y3BLcmWTH3EJZLnlCigr4n64/edit?usp=drivesdk" TargetMode="External"/><Relationship Id="rId1026" Type="http://schemas.openxmlformats.org/officeDocument/2006/relationships/hyperlink" Target="https://drive.google.com/uc?export=view&amp;id=1uHyuph73DsOkeBTM3GfyJ5zJficcm1Ze" TargetMode="External"/><Relationship Id="rId2357" Type="http://schemas.openxmlformats.org/officeDocument/2006/relationships/hyperlink" Target="https://drive.google.com/open?id=1yzg-GignQT0JSHUe2JS7WlR935BdwiwO" TargetMode="External"/><Relationship Id="rId3689" Type="http://schemas.openxmlformats.org/officeDocument/2006/relationships/hyperlink" Target="https://drive.google.com/open?id=1jGLhhLyKWc9PbzsR6tQD7bIKMLH7i013" TargetMode="External"/><Relationship Id="rId1027" Type="http://schemas.openxmlformats.org/officeDocument/2006/relationships/hyperlink" Target="https://docs.google.com/document/d/18_J5OXm4cZ65BGnCFFGK-bK1W5uPLJuarWT6kcDIIr0/edit?usp=drivesdk" TargetMode="External"/><Relationship Id="rId2358" Type="http://schemas.openxmlformats.org/officeDocument/2006/relationships/hyperlink" Target="https://drive.google.com/uc?export=view&amp;id=1yzg-GignQT0JSHUe2JS7WlR935BdwiwO" TargetMode="External"/><Relationship Id="rId3688" Type="http://schemas.openxmlformats.org/officeDocument/2006/relationships/hyperlink" Target="https://docs.google.com/document/d/1k_dgiD7x0aqGHhdfCTi_jhhIrIXLwxhigINZ0SvxaQc/edit?usp=drivesdk" TargetMode="External"/><Relationship Id="rId1028" Type="http://schemas.openxmlformats.org/officeDocument/2006/relationships/hyperlink" Target="https://drive.google.com/open?id=1i7Z7hH3ARop3gehl4UezwZjEfbZcndlx" TargetMode="External"/><Relationship Id="rId2359" Type="http://schemas.openxmlformats.org/officeDocument/2006/relationships/hyperlink" Target="https://docs.google.com/document/d/1fTCW5H1WV5uyRz-4HoguQd900uLBcZh-nLZqP14a3SA/edit?usp=drivesdk" TargetMode="External"/><Relationship Id="rId1029" Type="http://schemas.openxmlformats.org/officeDocument/2006/relationships/hyperlink" Target="https://drive.google.com/uc?export=view&amp;id=1i7Z7hH3ARop3gehl4UezwZjEfbZcndlx" TargetMode="External"/><Relationship Id="rId3681" Type="http://schemas.openxmlformats.org/officeDocument/2006/relationships/hyperlink" Target="https://drive.google.com/uc?export=view&amp;id=10OfikwMqI0xxge5-9sJTHIQRCFjKH1HA" TargetMode="External"/><Relationship Id="rId2350" Type="http://schemas.openxmlformats.org/officeDocument/2006/relationships/hyperlink" Target="https://docs.google.com/document/d/11q9nRZOsKd1ccLGRONIqgbP6d1ERZHnqoQpyPHmcXww/edit?usp=drivesdk" TargetMode="External"/><Relationship Id="rId3680" Type="http://schemas.openxmlformats.org/officeDocument/2006/relationships/hyperlink" Target="https://drive.google.com/open?id=10OfikwMqI0xxge5-9sJTHIQRCFjKH1HA" TargetMode="External"/><Relationship Id="rId1020" Type="http://schemas.openxmlformats.org/officeDocument/2006/relationships/hyperlink" Target="https://drive.google.com/uc?export=view&amp;id=1HAKmEIJXuYmnpiNYKTnd9ojeG5qXlMKn" TargetMode="External"/><Relationship Id="rId2351" Type="http://schemas.openxmlformats.org/officeDocument/2006/relationships/hyperlink" Target="https://drive.google.com/open?id=1ECbuVBMfgQD0-P6W4Y5i5OO0xR-oSMOj" TargetMode="External"/><Relationship Id="rId3683" Type="http://schemas.openxmlformats.org/officeDocument/2006/relationships/hyperlink" Target="https://drive.google.com/open?id=1Pe2gs4Y6WpKqjzFm-sslL4jgrDAgoGzS" TargetMode="External"/><Relationship Id="rId1021" Type="http://schemas.openxmlformats.org/officeDocument/2006/relationships/hyperlink" Target="https://docs.google.com/document/d/1l-djuS8FZ_hJ1SOFgY-MjwYkPzOKoe4Nn5HQkGVz1oE/edit?usp=drivesdk" TargetMode="External"/><Relationship Id="rId2352" Type="http://schemas.openxmlformats.org/officeDocument/2006/relationships/hyperlink" Target="https://drive.google.com/uc?export=view&amp;id=1ECbuVBMfgQD0-P6W4Y5i5OO0xR-oSMOj" TargetMode="External"/><Relationship Id="rId3682" Type="http://schemas.openxmlformats.org/officeDocument/2006/relationships/hyperlink" Target="https://docs.google.com/document/d/1r16AKGHk4IBOKSSmDg11kVpO_0MwOrgnpb_-dt5ZEwc/edit?usp=drivesdk" TargetMode="External"/><Relationship Id="rId1022" Type="http://schemas.openxmlformats.org/officeDocument/2006/relationships/hyperlink" Target="https://drive.google.com/open?id=1K4ZRXGvshwbNj-UNrkdWMfwW23WGHNFd" TargetMode="External"/><Relationship Id="rId2353" Type="http://schemas.openxmlformats.org/officeDocument/2006/relationships/hyperlink" Target="https://docs.google.com/document/d/1pMGGM_-1-Pg4_MSLBDfDIbjvau77MziFogXGR5oNSVI/edit?usp=drivesdk" TargetMode="External"/><Relationship Id="rId3685" Type="http://schemas.openxmlformats.org/officeDocument/2006/relationships/hyperlink" Target="https://docs.google.com/document/d/1ITNRI1aCtIpMcf5DVi3Wcr-UTcUd0s5cjzR4l9RqyT0/edit?usp=drivesdk" TargetMode="External"/><Relationship Id="rId1023" Type="http://schemas.openxmlformats.org/officeDocument/2006/relationships/hyperlink" Target="https://drive.google.com/uc?export=view&amp;id=1K4ZRXGvshwbNj-UNrkdWMfwW23WGHNFd" TargetMode="External"/><Relationship Id="rId2354" Type="http://schemas.openxmlformats.org/officeDocument/2006/relationships/hyperlink" Target="https://drive.google.com/open?id=1q7C8BUPCVulYAsOlOwh6Sj4zv8te4yrS" TargetMode="External"/><Relationship Id="rId3684" Type="http://schemas.openxmlformats.org/officeDocument/2006/relationships/hyperlink" Target="https://drive.google.com/uc?export=view&amp;id=1Pe2gs4Y6WpKqjzFm-sslL4jgrDAgoGzS" TargetMode="External"/><Relationship Id="rId1024" Type="http://schemas.openxmlformats.org/officeDocument/2006/relationships/hyperlink" Target="https://docs.google.com/document/d/1cSgR4GkLFuN4O0KBEcRWKtRp-3qvA5snvPaGzuuPhXQ/edit?usp=drivesdk" TargetMode="External"/><Relationship Id="rId2355" Type="http://schemas.openxmlformats.org/officeDocument/2006/relationships/hyperlink" Target="https://drive.google.com/uc?export=view&amp;id=1q7C8BUPCVulYAsOlOwh6Sj4zv8te4yrS" TargetMode="External"/><Relationship Id="rId3687" Type="http://schemas.openxmlformats.org/officeDocument/2006/relationships/hyperlink" Target="https://drive.google.com/uc?export=view&amp;id=1fantLUAGj3YV5eAsdYTCOZU0ZASr_qWP" TargetMode="External"/><Relationship Id="rId1025" Type="http://schemas.openxmlformats.org/officeDocument/2006/relationships/hyperlink" Target="https://drive.google.com/open?id=1uHyuph73DsOkeBTM3GfyJ5zJficcm1Ze" TargetMode="External"/><Relationship Id="rId2356" Type="http://schemas.openxmlformats.org/officeDocument/2006/relationships/hyperlink" Target="https://docs.google.com/document/d/1yjWkqf8G6XXcteERt3nQjKCfAalbG_LErK06-ecgl0c/edit?usp=drivesdk" TargetMode="External"/><Relationship Id="rId3686" Type="http://schemas.openxmlformats.org/officeDocument/2006/relationships/hyperlink" Target="https://drive.google.com/open?id=1fantLUAGj3YV5eAsdYTCOZU0ZASr_qWP" TargetMode="External"/><Relationship Id="rId4161" Type="http://schemas.openxmlformats.org/officeDocument/2006/relationships/hyperlink" Target="https://drive.google.com/uc?export=view&amp;id=1_1vjC-kaYIpmI766Jdke1cqAbMTBDzQd" TargetMode="External"/><Relationship Id="rId4160" Type="http://schemas.openxmlformats.org/officeDocument/2006/relationships/hyperlink" Target="https://drive.google.com/open?id=1_1vjC-kaYIpmI766Jdke1cqAbMTBDzQd" TargetMode="External"/><Relationship Id="rId4163" Type="http://schemas.openxmlformats.org/officeDocument/2006/relationships/hyperlink" Target="https://drive.google.com/open?id=1_Z_NfDr4yyBl79qsLnf_9Yv3jXDToAmX" TargetMode="External"/><Relationship Id="rId4162" Type="http://schemas.openxmlformats.org/officeDocument/2006/relationships/hyperlink" Target="https://docs.google.com/document/d/1UA-DpAYUNCIGdX-02QtDpRLuUqGAtigDFx_ACAISgqY/edit?usp=drivesdk" TargetMode="External"/><Relationship Id="rId4165" Type="http://schemas.openxmlformats.org/officeDocument/2006/relationships/hyperlink" Target="https://docs.google.com/document/d/1hW-6ue87doIKlVbr3VwUgtpOdqYQEDmmvKOFu4OtRJI/edit?usp=drivesdk" TargetMode="External"/><Relationship Id="rId4164" Type="http://schemas.openxmlformats.org/officeDocument/2006/relationships/hyperlink" Target="https://drive.google.com/uc?export=view&amp;id=1_Z_NfDr4yyBl79qsLnf_9Yv3jXDToAmX" TargetMode="External"/><Relationship Id="rId4167" Type="http://schemas.openxmlformats.org/officeDocument/2006/relationships/hyperlink" Target="https://drive.google.com/uc?export=view&amp;id=1Qr6Leyco0Z768jTHJE5Tw60YqBDzb5TJ" TargetMode="External"/><Relationship Id="rId4166" Type="http://schemas.openxmlformats.org/officeDocument/2006/relationships/hyperlink" Target="https://drive.google.com/open?id=1Qr6Leyco0Z768jTHJE5Tw60YqBDzb5TJ" TargetMode="External"/><Relationship Id="rId4169" Type="http://schemas.openxmlformats.org/officeDocument/2006/relationships/hyperlink" Target="https://drive.google.com/open?id=1qLPsqJB-lCYXIo3eAWi9L40Knt8K3fu9" TargetMode="External"/><Relationship Id="rId4168" Type="http://schemas.openxmlformats.org/officeDocument/2006/relationships/hyperlink" Target="https://docs.google.com/document/d/1rBSivnPlnS--YUfeL-lSu_quu4VJOaVOJg3I0_rquF0/edit?usp=drivesdk" TargetMode="External"/><Relationship Id="rId4150" Type="http://schemas.openxmlformats.org/officeDocument/2006/relationships/hyperlink" Target="https://docs.google.com/document/d/1xwjAODe6cBLoM-DNM6Vwu648NqWjM8r-kl5Gtp3Tv0o/edit?usp=drivesdk" TargetMode="External"/><Relationship Id="rId4152" Type="http://schemas.openxmlformats.org/officeDocument/2006/relationships/hyperlink" Target="https://drive.google.com/uc?export=view&amp;id=1qyg277FOQSgriw-G9Dxw1lWr8MbDZ-9j" TargetMode="External"/><Relationship Id="rId4151" Type="http://schemas.openxmlformats.org/officeDocument/2006/relationships/hyperlink" Target="https://drive.google.com/open?id=1qyg277FOQSgriw-G9Dxw1lWr8MbDZ-9j" TargetMode="External"/><Relationship Id="rId4154" Type="http://schemas.openxmlformats.org/officeDocument/2006/relationships/hyperlink" Target="https://drive.google.com/open?id=1876AHqTditoG5RTU-Nl-LIRuumoru72V" TargetMode="External"/><Relationship Id="rId4153" Type="http://schemas.openxmlformats.org/officeDocument/2006/relationships/hyperlink" Target="https://docs.google.com/document/d/1az8ryxkIlBzJH5rydj1oycf-xERw7lU1BbKDVXQrYf4/edit?usp=drivesdk" TargetMode="External"/><Relationship Id="rId4156" Type="http://schemas.openxmlformats.org/officeDocument/2006/relationships/hyperlink" Target="https://docs.google.com/document/d/1Xu9NLi9OnSsTV6P_NJQ2xx3JoQbbawxmWR0C1kDiZBE/edit?usp=drivesdk" TargetMode="External"/><Relationship Id="rId4155" Type="http://schemas.openxmlformats.org/officeDocument/2006/relationships/hyperlink" Target="https://drive.google.com/uc?export=view&amp;id=1876AHqTditoG5RTU-Nl-LIRuumoru72V" TargetMode="External"/><Relationship Id="rId4158" Type="http://schemas.openxmlformats.org/officeDocument/2006/relationships/hyperlink" Target="https://drive.google.com/uc?export=view&amp;id=1ew1iJ-InE9_iYrY0AA-3CuBIhRwWWatt" TargetMode="External"/><Relationship Id="rId4157" Type="http://schemas.openxmlformats.org/officeDocument/2006/relationships/hyperlink" Target="https://drive.google.com/open?id=1ew1iJ-InE9_iYrY0AA-3CuBIhRwWWatt" TargetMode="External"/><Relationship Id="rId4159" Type="http://schemas.openxmlformats.org/officeDocument/2006/relationships/hyperlink" Target="https://docs.google.com/document/d/1g9zOkc_LofS0xidgHjtUe-qYfz48T3gqEm_Gi9-vrV0/edit?usp=drivesdk" TargetMode="External"/><Relationship Id="rId1910" Type="http://schemas.openxmlformats.org/officeDocument/2006/relationships/hyperlink" Target="https://drive.google.com/open?id=1qKKYf7lGeqgNB-OrpOT6lnpqodEPFhDK" TargetMode="External"/><Relationship Id="rId1911" Type="http://schemas.openxmlformats.org/officeDocument/2006/relationships/hyperlink" Target="https://drive.google.com/uc?export=view&amp;id=1qKKYf7lGeqgNB-OrpOT6lnpqodEPFhDK" TargetMode="External"/><Relationship Id="rId1912" Type="http://schemas.openxmlformats.org/officeDocument/2006/relationships/hyperlink" Target="https://docs.google.com/document/d/1uR7W412YO_l07YF6I-4xma9YTtKZzFdtcwexVWH69AQ/edit?usp=drivesdk" TargetMode="External"/><Relationship Id="rId1913" Type="http://schemas.openxmlformats.org/officeDocument/2006/relationships/hyperlink" Target="https://drive.google.com/open?id=187oy-gjxVPm-OvMSa5Zds1V37HnV6EHm" TargetMode="External"/><Relationship Id="rId1914" Type="http://schemas.openxmlformats.org/officeDocument/2006/relationships/hyperlink" Target="https://drive.google.com/uc?export=view&amp;id=187oy-gjxVPm-OvMSa5Zds1V37HnV6EHm" TargetMode="External"/><Relationship Id="rId1915" Type="http://schemas.openxmlformats.org/officeDocument/2006/relationships/hyperlink" Target="https://docs.google.com/document/d/1iK3JHKxZmUh_xQasXAz9Z9MtkvKTqjgFi0jPUALG8t4/edit?usp=drivesdk" TargetMode="External"/><Relationship Id="rId1916" Type="http://schemas.openxmlformats.org/officeDocument/2006/relationships/hyperlink" Target="https://drive.google.com/open?id=13ouVNcDtdIztXPBLNzvSx6oykLTxT1_S" TargetMode="External"/><Relationship Id="rId1917" Type="http://schemas.openxmlformats.org/officeDocument/2006/relationships/hyperlink" Target="https://drive.google.com/uc?export=view&amp;id=13ouVNcDtdIztXPBLNzvSx6oykLTxT1_S" TargetMode="External"/><Relationship Id="rId1918" Type="http://schemas.openxmlformats.org/officeDocument/2006/relationships/hyperlink" Target="https://docs.google.com/document/d/1Na0zgoL7_6LCj2ykMSpYznP4XlIuSoBrXzSkSXQvUaE/edit?usp=drivesdk" TargetMode="External"/><Relationship Id="rId1919" Type="http://schemas.openxmlformats.org/officeDocument/2006/relationships/hyperlink" Target="https://drive.google.com/open?id=1XKbr7AHPc_I05KRUUv71oV8MZm0DeFEm" TargetMode="External"/><Relationship Id="rId4181" Type="http://schemas.openxmlformats.org/officeDocument/2006/relationships/hyperlink" Target="https://drive.google.com/open?id=1cfdG_l6zQH_7xGyClInxvhNTM5Br5Pp7" TargetMode="External"/><Relationship Id="rId4180" Type="http://schemas.openxmlformats.org/officeDocument/2006/relationships/hyperlink" Target="https://docs.google.com/document/d/1daN8RUB_b20U84MyjHsp6KI5gdotVMpQImo71rSKL6Q/edit?usp=drivesdk" TargetMode="External"/><Relationship Id="rId4183" Type="http://schemas.openxmlformats.org/officeDocument/2006/relationships/hyperlink" Target="https://docs.google.com/document/d/1hkkmybFdOxW0bowq881_1xAvVumR16HuwEmvRkvMQjo/edit?usp=drivesdk" TargetMode="External"/><Relationship Id="rId4182" Type="http://schemas.openxmlformats.org/officeDocument/2006/relationships/hyperlink" Target="https://drive.google.com/uc?export=view&amp;id=1cfdG_l6zQH_7xGyClInxvhNTM5Br5Pp7" TargetMode="External"/><Relationship Id="rId4185" Type="http://schemas.openxmlformats.org/officeDocument/2006/relationships/hyperlink" Target="https://drive.google.com/uc?export=view&amp;id=1iwJ5vFVR8_eI0-ZluFqEFXdTyRZKi0oA" TargetMode="External"/><Relationship Id="rId4184" Type="http://schemas.openxmlformats.org/officeDocument/2006/relationships/hyperlink" Target="https://drive.google.com/open?id=1iwJ5vFVR8_eI0-ZluFqEFXdTyRZKi0oA" TargetMode="External"/><Relationship Id="rId4187" Type="http://schemas.openxmlformats.org/officeDocument/2006/relationships/hyperlink" Target="https://drive.google.com/open?id=1NcqO_U5EwtX4f_9BuHqSSbNOdMRsJH-S" TargetMode="External"/><Relationship Id="rId4186" Type="http://schemas.openxmlformats.org/officeDocument/2006/relationships/hyperlink" Target="https://docs.google.com/document/d/144Eue8Z9fYWuLsL8mo3hD110adABI10HVep4-YxZuGc/edit?usp=drivesdk" TargetMode="External"/><Relationship Id="rId4189" Type="http://schemas.openxmlformats.org/officeDocument/2006/relationships/hyperlink" Target="https://docs.google.com/document/d/10is4kAXR1oKtJLlbplkEykkvqjtb780MJJmOy8Yfy5I/edit?usp=drivesdk" TargetMode="External"/><Relationship Id="rId4188" Type="http://schemas.openxmlformats.org/officeDocument/2006/relationships/hyperlink" Target="https://drive.google.com/uc?export=view&amp;id=1NcqO_U5EwtX4f_9BuHqSSbNOdMRsJH-S" TargetMode="External"/><Relationship Id="rId1900" Type="http://schemas.openxmlformats.org/officeDocument/2006/relationships/hyperlink" Target="https://docs.google.com/document/d/1ZxSFi6m3xr4pvOeH3ZQUjDPCNuNl_X_WEwiOUVxtAPA/edit?usp=drivesdk" TargetMode="External"/><Relationship Id="rId1901" Type="http://schemas.openxmlformats.org/officeDocument/2006/relationships/hyperlink" Target="https://drive.google.com/open?id=17FYln0p_rSHQP6KG0gISGu-fkakxElF8" TargetMode="External"/><Relationship Id="rId1902" Type="http://schemas.openxmlformats.org/officeDocument/2006/relationships/hyperlink" Target="https://drive.google.com/uc?export=view&amp;id=17FYln0p_rSHQP6KG0gISGu-fkakxElF8" TargetMode="External"/><Relationship Id="rId1903" Type="http://schemas.openxmlformats.org/officeDocument/2006/relationships/hyperlink" Target="https://docs.google.com/document/d/13aRIY-dgnSQQ8pB9MJhBu3vvCcHiBFLeFDvF2oEPWRE/edit?usp=drivesdk" TargetMode="External"/><Relationship Id="rId1904" Type="http://schemas.openxmlformats.org/officeDocument/2006/relationships/hyperlink" Target="https://drive.google.com/open?id=1l9v7SNElgNiMmVha-aLL6q8hFk0lpyuO" TargetMode="External"/><Relationship Id="rId1905" Type="http://schemas.openxmlformats.org/officeDocument/2006/relationships/hyperlink" Target="https://drive.google.com/uc?export=view&amp;id=1l9v7SNElgNiMmVha-aLL6q8hFk0lpyuO" TargetMode="External"/><Relationship Id="rId1906" Type="http://schemas.openxmlformats.org/officeDocument/2006/relationships/hyperlink" Target="https://docs.google.com/document/d/1laWuQBSBJFcdBnTWI0n88bIh2JAo5I3Oy0OVa4ESWTM/edit?usp=drivesdk" TargetMode="External"/><Relationship Id="rId1907" Type="http://schemas.openxmlformats.org/officeDocument/2006/relationships/hyperlink" Target="https://drive.google.com/open?id=1waiAWg9JFfydyMxOpo6dpSSQCfgwFvcT" TargetMode="External"/><Relationship Id="rId1908" Type="http://schemas.openxmlformats.org/officeDocument/2006/relationships/hyperlink" Target="https://drive.google.com/uc?export=view&amp;id=1waiAWg9JFfydyMxOpo6dpSSQCfgwFvcT" TargetMode="External"/><Relationship Id="rId1909" Type="http://schemas.openxmlformats.org/officeDocument/2006/relationships/hyperlink" Target="https://docs.google.com/document/d/1MXfwcV7s4oLyUqkd6lrwNpGSdEn0_R4KsQFxBTiJq_U/edit?usp=drivesdk" TargetMode="External"/><Relationship Id="rId4170" Type="http://schemas.openxmlformats.org/officeDocument/2006/relationships/hyperlink" Target="https://drive.google.com/uc?export=view&amp;id=1qLPsqJB-lCYXIo3eAWi9L40Knt8K3fu9" TargetMode="External"/><Relationship Id="rId4172" Type="http://schemas.openxmlformats.org/officeDocument/2006/relationships/hyperlink" Target="https://drive.google.com/open?id=1sIwE7qrAmEzGJ1tDHKMn4WkXkF_E_w-k" TargetMode="External"/><Relationship Id="rId4171" Type="http://schemas.openxmlformats.org/officeDocument/2006/relationships/hyperlink" Target="https://docs.google.com/document/d/1MyyWYmx2XY_51tGLBYFP4freVFLyzMG5FaBS-8pWbcE/edit?usp=drivesdk" TargetMode="External"/><Relationship Id="rId4174" Type="http://schemas.openxmlformats.org/officeDocument/2006/relationships/hyperlink" Target="https://docs.google.com/document/d/13HNa_sgX_ygm9_a1iq_bB-If9q7o0iP8Zhbt5PgQDXo/edit?usp=drivesdk" TargetMode="External"/><Relationship Id="rId4173" Type="http://schemas.openxmlformats.org/officeDocument/2006/relationships/hyperlink" Target="https://drive.google.com/uc?export=view&amp;id=1sIwE7qrAmEzGJ1tDHKMn4WkXkF_E_w-k" TargetMode="External"/><Relationship Id="rId4176" Type="http://schemas.openxmlformats.org/officeDocument/2006/relationships/hyperlink" Target="https://drive.google.com/uc?export=view&amp;id=1EvCjKNdQQtrzPDiLsQw5iVrlpM-3mWLW" TargetMode="External"/><Relationship Id="rId4175" Type="http://schemas.openxmlformats.org/officeDocument/2006/relationships/hyperlink" Target="https://drive.google.com/open?id=1EvCjKNdQQtrzPDiLsQw5iVrlpM-3mWLW" TargetMode="External"/><Relationship Id="rId4178" Type="http://schemas.openxmlformats.org/officeDocument/2006/relationships/hyperlink" Target="https://drive.google.com/open?id=15f8qlS58q1byg3-aS7TnlUi9zOaB8pDO" TargetMode="External"/><Relationship Id="rId4177" Type="http://schemas.openxmlformats.org/officeDocument/2006/relationships/hyperlink" Target="https://docs.google.com/document/d/11EoZcHmYzd4vJbCb2b8lEWeKKSezxcoSlcHbjaToDEc/edit?usp=drivesdk" TargetMode="External"/><Relationship Id="rId4179" Type="http://schemas.openxmlformats.org/officeDocument/2006/relationships/hyperlink" Target="https://drive.google.com/uc?export=view&amp;id=15f8qlS58q1byg3-aS7TnlUi9zOaB8pDO" TargetMode="External"/><Relationship Id="rId4129" Type="http://schemas.openxmlformats.org/officeDocument/2006/relationships/hyperlink" Target="https://docs.google.com/document/d/10YrwElcr2ZJ1dWzYWJ2_dqJLr8VNzw5rdNfVZCR1ozM/edit?usp=drivesdk" TargetMode="External"/><Relationship Id="rId4128" Type="http://schemas.openxmlformats.org/officeDocument/2006/relationships/hyperlink" Target="https://drive.google.com/uc?export=view&amp;id=1YZ7GamFvBd28St1qjzzwEOmGHALv6ElX" TargetMode="External"/><Relationship Id="rId1090" Type="http://schemas.openxmlformats.org/officeDocument/2006/relationships/hyperlink" Target="https://drive.google.com/uc?export=view&amp;id=1c5Tric8kcVBQbDMMTD5JaHHPfdR9r4Nk" TargetMode="External"/><Relationship Id="rId1091" Type="http://schemas.openxmlformats.org/officeDocument/2006/relationships/hyperlink" Target="https://docs.google.com/document/d/1CISRrYKMgG8cHiH2hXMKzNukTH03fudt1vapz69LXrs/edit?usp=drivesdk" TargetMode="External"/><Relationship Id="rId1092" Type="http://schemas.openxmlformats.org/officeDocument/2006/relationships/hyperlink" Target="https://drive.google.com/open?id=1zg8NI2ftPvw_WvqvT31q1WfXOEE0wTLR" TargetMode="External"/><Relationship Id="rId1093" Type="http://schemas.openxmlformats.org/officeDocument/2006/relationships/hyperlink" Target="https://drive.google.com/uc?export=view&amp;id=1zg8NI2ftPvw_WvqvT31q1WfXOEE0wTLR" TargetMode="External"/><Relationship Id="rId1094" Type="http://schemas.openxmlformats.org/officeDocument/2006/relationships/hyperlink" Target="https://docs.google.com/document/d/15Qd31Gtlj9RMaLLlIVgY8kVaKJwzLzpFL1911u_xqDo/edit?usp=drivesdk" TargetMode="External"/><Relationship Id="rId1095" Type="http://schemas.openxmlformats.org/officeDocument/2006/relationships/hyperlink" Target="https://drive.google.com/open?id=13WjDlojsagLWD9GWcJHZPVQLnWDKsQAi" TargetMode="External"/><Relationship Id="rId4121" Type="http://schemas.openxmlformats.org/officeDocument/2006/relationships/hyperlink" Target="https://drive.google.com/open?id=1BuRLEzOW9i8Q_eyGSy9Eo-VIATI1ZS2G" TargetMode="External"/><Relationship Id="rId1096" Type="http://schemas.openxmlformats.org/officeDocument/2006/relationships/hyperlink" Target="https://drive.google.com/uc?export=view&amp;id=13WjDlojsagLWD9GWcJHZPVQLnWDKsQAi" TargetMode="External"/><Relationship Id="rId4120" Type="http://schemas.openxmlformats.org/officeDocument/2006/relationships/hyperlink" Target="https://docs.google.com/document/d/15m3orWgjADkrs7Ca2i4yBYWSgCA4N2DqSaGg1L-x9jY/edit?usp=drivesdk" TargetMode="External"/><Relationship Id="rId1097" Type="http://schemas.openxmlformats.org/officeDocument/2006/relationships/hyperlink" Target="https://docs.google.com/document/d/1PYXjscKbpYWwYzlc8XfnQ3JineAvFsCGnUcPbUUFLNE/edit?usp=drivesdk" TargetMode="External"/><Relationship Id="rId4123" Type="http://schemas.openxmlformats.org/officeDocument/2006/relationships/hyperlink" Target="https://docs.google.com/document/d/1zPYm2QeIepJsB5JYzBZ86VDycug1LExRml4yQ3PsKo0/edit?usp=drivesdk" TargetMode="External"/><Relationship Id="rId1098" Type="http://schemas.openxmlformats.org/officeDocument/2006/relationships/hyperlink" Target="https://drive.google.com/open?id=1hB9_Afkj7VcMt_4uDYa_C1-UAiIokvfu" TargetMode="External"/><Relationship Id="rId4122" Type="http://schemas.openxmlformats.org/officeDocument/2006/relationships/hyperlink" Target="https://drive.google.com/uc?export=view&amp;id=1BuRLEzOW9i8Q_eyGSy9Eo-VIATI1ZS2G" TargetMode="External"/><Relationship Id="rId1099" Type="http://schemas.openxmlformats.org/officeDocument/2006/relationships/hyperlink" Target="https://drive.google.com/uc?export=view&amp;id=1hB9_Afkj7VcMt_4uDYa_C1-UAiIokvfu" TargetMode="External"/><Relationship Id="rId4125" Type="http://schemas.openxmlformats.org/officeDocument/2006/relationships/hyperlink" Target="https://drive.google.com/uc?export=view&amp;id=14THFSNhNQ6KNBLx5OmNPTjuKcvrXaXf2" TargetMode="External"/><Relationship Id="rId4124" Type="http://schemas.openxmlformats.org/officeDocument/2006/relationships/hyperlink" Target="https://drive.google.com/open?id=14THFSNhNQ6KNBLx5OmNPTjuKcvrXaXf2" TargetMode="External"/><Relationship Id="rId4127" Type="http://schemas.openxmlformats.org/officeDocument/2006/relationships/hyperlink" Target="https://drive.google.com/open?id=1YZ7GamFvBd28St1qjzzwEOmGHALv6ElX" TargetMode="External"/><Relationship Id="rId4126" Type="http://schemas.openxmlformats.org/officeDocument/2006/relationships/hyperlink" Target="https://docs.google.com/document/d/1iP-UiE5Axyi3Ku3CchF_KrNlrLTkopBEIlOYY4H3TWM/edit?usp=drivesdk" TargetMode="External"/><Relationship Id="rId4118" Type="http://schemas.openxmlformats.org/officeDocument/2006/relationships/hyperlink" Target="https://drive.google.com/open?id=1AK5Cag6BAXSAmCIN3cl7ZBzW8XUgfIk2" TargetMode="External"/><Relationship Id="rId4117" Type="http://schemas.openxmlformats.org/officeDocument/2006/relationships/hyperlink" Target="https://docs.google.com/document/d/1LbJfj4C3981ReLQjMiYicHojfEQ1lHS5OVNH_pK2Q28/edit?usp=drivesdk" TargetMode="External"/><Relationship Id="rId4119" Type="http://schemas.openxmlformats.org/officeDocument/2006/relationships/hyperlink" Target="https://drive.google.com/uc?export=view&amp;id=1AK5Cag6BAXSAmCIN3cl7ZBzW8XUgfIk2" TargetMode="External"/><Relationship Id="rId1080" Type="http://schemas.openxmlformats.org/officeDocument/2006/relationships/hyperlink" Target="https://drive.google.com/open?id=1m_vvL3OiiQ5twA6NwC2TH1vnixDvfPwt" TargetMode="External"/><Relationship Id="rId1081" Type="http://schemas.openxmlformats.org/officeDocument/2006/relationships/hyperlink" Target="https://drive.google.com/uc?export=view&amp;id=1m_vvL3OiiQ5twA6NwC2TH1vnixDvfPwt" TargetMode="External"/><Relationship Id="rId1082" Type="http://schemas.openxmlformats.org/officeDocument/2006/relationships/hyperlink" Target="https://docs.google.com/document/d/1L9gl6qfSdzd54mnley6uUFzkTBQwbs-zsLAZ35wniS0/edit?usp=drivesdk" TargetMode="External"/><Relationship Id="rId1083" Type="http://schemas.openxmlformats.org/officeDocument/2006/relationships/hyperlink" Target="https://drive.google.com/open?id=1VA2nWCNLQZb15KnRI6x6jxzE2-Oap3Tj" TargetMode="External"/><Relationship Id="rId1084" Type="http://schemas.openxmlformats.org/officeDocument/2006/relationships/hyperlink" Target="https://drive.google.com/uc?export=view&amp;id=1VA2nWCNLQZb15KnRI6x6jxzE2-Oap3Tj" TargetMode="External"/><Relationship Id="rId4110" Type="http://schemas.openxmlformats.org/officeDocument/2006/relationships/hyperlink" Target="https://drive.google.com/uc?export=view&amp;id=14aM0DJNtLqz72Nci02vp2Fr2esZWPdeC" TargetMode="External"/><Relationship Id="rId1085" Type="http://schemas.openxmlformats.org/officeDocument/2006/relationships/hyperlink" Target="https://docs.google.com/document/d/1i6rgKcmtLoNq5a730gcZM_7Q0iNs_L5QVPUY-3S5D-w/edit?usp=drivesdk" TargetMode="External"/><Relationship Id="rId1086" Type="http://schemas.openxmlformats.org/officeDocument/2006/relationships/hyperlink" Target="https://drive.google.com/open?id=1pc7tMC6pmtvm1dRK8lNHFdlFOlJq0fM6" TargetMode="External"/><Relationship Id="rId4112" Type="http://schemas.openxmlformats.org/officeDocument/2006/relationships/hyperlink" Target="https://drive.google.com/open?id=1n_UblbK5EmC_BfQS4-KPOvOSuyaPYz29" TargetMode="External"/><Relationship Id="rId1087" Type="http://schemas.openxmlformats.org/officeDocument/2006/relationships/hyperlink" Target="https://drive.google.com/uc?export=view&amp;id=1pc7tMC6pmtvm1dRK8lNHFdlFOlJq0fM6" TargetMode="External"/><Relationship Id="rId4111" Type="http://schemas.openxmlformats.org/officeDocument/2006/relationships/hyperlink" Target="https://docs.google.com/document/d/16ijiiDMwEh9tr9Duh0mc2Uqv3fiezR9-IRKyfWYWdmQ/edit?usp=drivesdk" TargetMode="External"/><Relationship Id="rId1088" Type="http://schemas.openxmlformats.org/officeDocument/2006/relationships/hyperlink" Target="https://docs.google.com/document/d/1mvzookh4xk1f3Y_esp6j9a1h3z7lx73mr5th6sebz1c/edit?usp=drivesdk" TargetMode="External"/><Relationship Id="rId4114" Type="http://schemas.openxmlformats.org/officeDocument/2006/relationships/hyperlink" Target="https://docs.google.com/document/d/1-nzRAsOqDsIYie-Jn2cIJ1orD1m6NMwkiZLzrBCAqCc/edit?usp=drivesdk" TargetMode="External"/><Relationship Id="rId1089" Type="http://schemas.openxmlformats.org/officeDocument/2006/relationships/hyperlink" Target="https://drive.google.com/open?id=1c5Tric8kcVBQbDMMTD5JaHHPfdR9r4Nk" TargetMode="External"/><Relationship Id="rId4113" Type="http://schemas.openxmlformats.org/officeDocument/2006/relationships/hyperlink" Target="https://drive.google.com/uc?export=view&amp;id=1n_UblbK5EmC_BfQS4-KPOvOSuyaPYz29" TargetMode="External"/><Relationship Id="rId4116" Type="http://schemas.openxmlformats.org/officeDocument/2006/relationships/hyperlink" Target="https://drive.google.com/uc?export=view&amp;id=1cD0Q5cupfvhUYuVAgvnFPjaOXJTAoOfR" TargetMode="External"/><Relationship Id="rId4115" Type="http://schemas.openxmlformats.org/officeDocument/2006/relationships/hyperlink" Target="https://drive.google.com/open?id=1cD0Q5cupfvhUYuVAgvnFPjaOXJTAoOfR" TargetMode="External"/><Relationship Id="rId4141" Type="http://schemas.openxmlformats.org/officeDocument/2006/relationships/hyperlink" Target="https://docs.google.com/document/d/1cQnnrub2mW5Wirn30HYFVHidqiTLVmv6nE8CEM0rs1s/edit?usp=drivesdk" TargetMode="External"/><Relationship Id="rId4140" Type="http://schemas.openxmlformats.org/officeDocument/2006/relationships/hyperlink" Target="https://drive.google.com/uc?export=view&amp;id=148gZrb3Y6arLCidN19Tfqta02_6SWN8p" TargetMode="External"/><Relationship Id="rId4143" Type="http://schemas.openxmlformats.org/officeDocument/2006/relationships/hyperlink" Target="https://drive.google.com/uc?export=view&amp;id=1uLAnqY2FRRoBYdboHTuoeAAO2t9a6fUo" TargetMode="External"/><Relationship Id="rId4142" Type="http://schemas.openxmlformats.org/officeDocument/2006/relationships/hyperlink" Target="https://drive.google.com/open?id=1uLAnqY2FRRoBYdboHTuoeAAO2t9a6fUo" TargetMode="External"/><Relationship Id="rId4145" Type="http://schemas.openxmlformats.org/officeDocument/2006/relationships/hyperlink" Target="https://drive.google.com/open?id=18PWABE7hrXpTO_29qAz3pSCfiSBFeU9C" TargetMode="External"/><Relationship Id="rId4144" Type="http://schemas.openxmlformats.org/officeDocument/2006/relationships/hyperlink" Target="https://docs.google.com/document/d/1IBzHjLKU88h0F1T5yiYsRV1BFwB3Jr92GH2WxAAdhOc/edit?usp=drivesdk" TargetMode="External"/><Relationship Id="rId4147" Type="http://schemas.openxmlformats.org/officeDocument/2006/relationships/hyperlink" Target="https://docs.google.com/document/d/1fTIOML5U7KkXKlEcwfsZ36o7mylPJe3f0abEeExuUAA/edit?usp=drivesdk" TargetMode="External"/><Relationship Id="rId4146" Type="http://schemas.openxmlformats.org/officeDocument/2006/relationships/hyperlink" Target="https://drive.google.com/uc?export=view&amp;id=18PWABE7hrXpTO_29qAz3pSCfiSBFeU9C" TargetMode="External"/><Relationship Id="rId4149" Type="http://schemas.openxmlformats.org/officeDocument/2006/relationships/hyperlink" Target="https://drive.google.com/uc?export=view&amp;id=1fUTUeRq6i74M_J65IFGCLZWTgcZyKJBz" TargetMode="External"/><Relationship Id="rId4148" Type="http://schemas.openxmlformats.org/officeDocument/2006/relationships/hyperlink" Target="https://drive.google.com/open?id=1fUTUeRq6i74M_J65IFGCLZWTgcZyKJBz" TargetMode="External"/><Relationship Id="rId4139" Type="http://schemas.openxmlformats.org/officeDocument/2006/relationships/hyperlink" Target="https://drive.google.com/open?id=148gZrb3Y6arLCidN19Tfqta02_6SWN8p" TargetMode="External"/><Relationship Id="rId4130" Type="http://schemas.openxmlformats.org/officeDocument/2006/relationships/hyperlink" Target="https://drive.google.com/open?id=1EKb4W9ZcNznFDUPrilR3rI5E-vcNJA6C" TargetMode="External"/><Relationship Id="rId4132" Type="http://schemas.openxmlformats.org/officeDocument/2006/relationships/hyperlink" Target="https://docs.google.com/document/d/1bWD9UtXCv0P7yUAHe_POKf_q8ybUQ4z-kJ8OQx_yB_E/edit?usp=drivesdk" TargetMode="External"/><Relationship Id="rId4131" Type="http://schemas.openxmlformats.org/officeDocument/2006/relationships/hyperlink" Target="https://drive.google.com/uc?export=view&amp;id=1EKb4W9ZcNznFDUPrilR3rI5E-vcNJA6C" TargetMode="External"/><Relationship Id="rId4134" Type="http://schemas.openxmlformats.org/officeDocument/2006/relationships/hyperlink" Target="https://drive.google.com/uc?export=view&amp;id=1BlWg4c6oI2szkMiX9UQv-PG55zBJtOym" TargetMode="External"/><Relationship Id="rId4133" Type="http://schemas.openxmlformats.org/officeDocument/2006/relationships/hyperlink" Target="https://drive.google.com/open?id=1BlWg4c6oI2szkMiX9UQv-PG55zBJtOym" TargetMode="External"/><Relationship Id="rId4136" Type="http://schemas.openxmlformats.org/officeDocument/2006/relationships/hyperlink" Target="https://drive.google.com/open?id=1_ZlEYDlSHn1asCCVFhKbR9Q40QBUpIio" TargetMode="External"/><Relationship Id="rId4135" Type="http://schemas.openxmlformats.org/officeDocument/2006/relationships/hyperlink" Target="https://docs.google.com/document/d/1jWgKhQpQkiVdCArSfhsjLZEgtFFFBro0Aa5d983QNEM/edit?usp=drivesdk" TargetMode="External"/><Relationship Id="rId4138" Type="http://schemas.openxmlformats.org/officeDocument/2006/relationships/hyperlink" Target="https://docs.google.com/document/d/191n6jxSBb8Yvfsnh22c-P3l8PqYsSTaMpo2HDY6RJjk/edit?usp=drivesdk" TargetMode="External"/><Relationship Id="rId4137" Type="http://schemas.openxmlformats.org/officeDocument/2006/relationships/hyperlink" Target="https://drive.google.com/uc?export=view&amp;id=1_ZlEYDlSHn1asCCVFhKbR9Q40QBUpIio" TargetMode="External"/><Relationship Id="rId1972" Type="http://schemas.openxmlformats.org/officeDocument/2006/relationships/hyperlink" Target="https://docs.google.com/document/d/1x4VGmnyVtOigrWHcO_wcM4MAnw-TlTz1Rx0dQr6aUFY/edit?usp=drivesdk" TargetMode="External"/><Relationship Id="rId1973" Type="http://schemas.openxmlformats.org/officeDocument/2006/relationships/hyperlink" Target="https://drive.google.com/open?id=1lYx9zZGop4wAuk-L130EthmzCwkNSwrw" TargetMode="External"/><Relationship Id="rId1974" Type="http://schemas.openxmlformats.org/officeDocument/2006/relationships/hyperlink" Target="https://drive.google.com/uc?export=view&amp;id=1lYx9zZGop4wAuk-L130EthmzCwkNSwrw" TargetMode="External"/><Relationship Id="rId1975" Type="http://schemas.openxmlformats.org/officeDocument/2006/relationships/hyperlink" Target="https://docs.google.com/document/d/1ZN-tAwVx8pNWSAmdx52M9NQIurCiMyfYkPA873QM9Q8/edit?usp=drivesdk" TargetMode="External"/><Relationship Id="rId1976" Type="http://schemas.openxmlformats.org/officeDocument/2006/relationships/hyperlink" Target="https://drive.google.com/open?id=1eGYkJ-Q2yNXyFFRn-BNm6-d7-onSNWqp" TargetMode="External"/><Relationship Id="rId1977" Type="http://schemas.openxmlformats.org/officeDocument/2006/relationships/hyperlink" Target="https://drive.google.com/uc?export=view&amp;id=1eGYkJ-Q2yNXyFFRn-BNm6-d7-onSNWqp" TargetMode="External"/><Relationship Id="rId1978" Type="http://schemas.openxmlformats.org/officeDocument/2006/relationships/hyperlink" Target="https://docs.google.com/document/d/1TyaVw3YOgs3j6BivNLCmClqgVQKJroc9eX2W9T_1PCA/edit?usp=drivesdk" TargetMode="External"/><Relationship Id="rId1979" Type="http://schemas.openxmlformats.org/officeDocument/2006/relationships/hyperlink" Target="https://drive.google.com/open?id=1lPIVeIktgdE0Ad4jf4kKFptrZhM9oXTe" TargetMode="External"/><Relationship Id="rId1970" Type="http://schemas.openxmlformats.org/officeDocument/2006/relationships/hyperlink" Target="https://drive.google.com/open?id=1KRwB8q3TU0w5j5Fm4DwuqgFefAAQuwKY" TargetMode="External"/><Relationship Id="rId1971" Type="http://schemas.openxmlformats.org/officeDocument/2006/relationships/hyperlink" Target="https://drive.google.com/uc?export=view&amp;id=1KRwB8q3TU0w5j5Fm4DwuqgFefAAQuwKY" TargetMode="External"/><Relationship Id="rId1961" Type="http://schemas.openxmlformats.org/officeDocument/2006/relationships/hyperlink" Target="https://drive.google.com/open?id=1t1bOp4Jb-GilnJB562ZuEX-pVf9YV1wb" TargetMode="External"/><Relationship Id="rId1962" Type="http://schemas.openxmlformats.org/officeDocument/2006/relationships/hyperlink" Target="https://drive.google.com/uc?export=view&amp;id=1t1bOp4Jb-GilnJB562ZuEX-pVf9YV1wb" TargetMode="External"/><Relationship Id="rId1963" Type="http://schemas.openxmlformats.org/officeDocument/2006/relationships/hyperlink" Target="https://docs.google.com/document/d/1xwz_kLODllHMEAYRFRBsrmnmBHENlAPMsSF3bpCxIIk/edit?usp=drivesdk" TargetMode="External"/><Relationship Id="rId1964" Type="http://schemas.openxmlformats.org/officeDocument/2006/relationships/hyperlink" Target="https://drive.google.com/open?id=16Y8NbRadEhZm0ZvYDh4LXgIc3hlgX8jl" TargetMode="External"/><Relationship Id="rId1965" Type="http://schemas.openxmlformats.org/officeDocument/2006/relationships/hyperlink" Target="https://drive.google.com/uc?export=view&amp;id=16Y8NbRadEhZm0ZvYDh4LXgIc3hlgX8jl" TargetMode="External"/><Relationship Id="rId1966" Type="http://schemas.openxmlformats.org/officeDocument/2006/relationships/hyperlink" Target="https://docs.google.com/document/d/1M_cp_o0aszrFEoSODPtngpuEhDhqNXjiw8FJIBGNoms/edit?usp=drivesdk" TargetMode="External"/><Relationship Id="rId1967" Type="http://schemas.openxmlformats.org/officeDocument/2006/relationships/hyperlink" Target="https://drive.google.com/open?id=1VnGK2EqxcrSMieD2zHBYAD4AGiLpMjjL" TargetMode="External"/><Relationship Id="rId1968" Type="http://schemas.openxmlformats.org/officeDocument/2006/relationships/hyperlink" Target="https://drive.google.com/uc?export=view&amp;id=1VnGK2EqxcrSMieD2zHBYAD4AGiLpMjjL" TargetMode="External"/><Relationship Id="rId1969" Type="http://schemas.openxmlformats.org/officeDocument/2006/relationships/hyperlink" Target="https://docs.google.com/document/d/1swGkMss59A1QHJlz086ZCgFE6QmvRJxgs4p9YUOXG7w/edit?usp=drivesdk" TargetMode="External"/><Relationship Id="rId1960" Type="http://schemas.openxmlformats.org/officeDocument/2006/relationships/hyperlink" Target="https://docs.google.com/document/d/1aq4ZYoSnonURqBHluwybk2RTUbiAo-tZPpty9uTRAoY/edit?usp=drivesdk" TargetMode="External"/><Relationship Id="rId1994" Type="http://schemas.openxmlformats.org/officeDocument/2006/relationships/hyperlink" Target="https://drive.google.com/open?id=1VjRWspUpaq4hKcblpSVZtsGQx1s64HNs" TargetMode="External"/><Relationship Id="rId1995" Type="http://schemas.openxmlformats.org/officeDocument/2006/relationships/hyperlink" Target="https://drive.google.com/uc?export=view&amp;id=1VjRWspUpaq4hKcblpSVZtsGQx1s64HNs" TargetMode="External"/><Relationship Id="rId1996" Type="http://schemas.openxmlformats.org/officeDocument/2006/relationships/hyperlink" Target="https://docs.google.com/document/d/1LOG4wiBmI_c6dm3zm3NUBcQHX9SAWJt0YDbzJaoWchM/edit?usp=drivesdk" TargetMode="External"/><Relationship Id="rId1997" Type="http://schemas.openxmlformats.org/officeDocument/2006/relationships/hyperlink" Target="https://drive.google.com/open?id=1v6O5Da9dWXkjh-Y2EySuBjj1onziuB-f" TargetMode="External"/><Relationship Id="rId1998" Type="http://schemas.openxmlformats.org/officeDocument/2006/relationships/hyperlink" Target="https://drive.google.com/uc?export=view&amp;id=1v6O5Da9dWXkjh-Y2EySuBjj1onziuB-f" TargetMode="External"/><Relationship Id="rId1999" Type="http://schemas.openxmlformats.org/officeDocument/2006/relationships/hyperlink" Target="https://docs.google.com/document/d/1NKDX7ChjsG5lA0YQncsSgI74_rDXvOCPZA5YMlDWwMU/edit?usp=drivesdk" TargetMode="External"/><Relationship Id="rId1990" Type="http://schemas.openxmlformats.org/officeDocument/2006/relationships/hyperlink" Target="https://docs.google.com/document/d/1r9vvpU6IwgSEVJ4JiqmHJ5x5MALGRAeX3B6NFa6zviU/edit?usp=drivesdk" TargetMode="External"/><Relationship Id="rId1991" Type="http://schemas.openxmlformats.org/officeDocument/2006/relationships/hyperlink" Target="https://drive.google.com/open?id=1lRxUEbDW8iy2M8ttb3x7dEMpLUKsbNp0" TargetMode="External"/><Relationship Id="rId1992" Type="http://schemas.openxmlformats.org/officeDocument/2006/relationships/hyperlink" Target="https://drive.google.com/uc?export=view&amp;id=1lRxUEbDW8iy2M8ttb3x7dEMpLUKsbNp0" TargetMode="External"/><Relationship Id="rId1993" Type="http://schemas.openxmlformats.org/officeDocument/2006/relationships/hyperlink" Target="https://docs.google.com/document/d/1ZgT0e0yCaZ21XV5W7AV_qTjUE9Ua1grQ0KyPuRLfKEA/edit?usp=drivesdk" TargetMode="External"/><Relationship Id="rId1983" Type="http://schemas.openxmlformats.org/officeDocument/2006/relationships/hyperlink" Target="https://drive.google.com/uc?export=view&amp;id=19_1pJqeP3Z7srDtlC21OSUneBlLgp9Ig" TargetMode="External"/><Relationship Id="rId1984" Type="http://schemas.openxmlformats.org/officeDocument/2006/relationships/hyperlink" Target="https://docs.google.com/document/d/1k0npuKlSDG3vqrr0OkiJDBEUiJIDFAOZMQACXFOcuJE/edit?usp=drivesdk" TargetMode="External"/><Relationship Id="rId1985" Type="http://schemas.openxmlformats.org/officeDocument/2006/relationships/hyperlink" Target="https://drive.google.com/open?id=11zG5NLV1H_PXK-do8U0IiUEy1n7su4Q3" TargetMode="External"/><Relationship Id="rId1986" Type="http://schemas.openxmlformats.org/officeDocument/2006/relationships/hyperlink" Target="https://drive.google.com/uc?export=view&amp;id=11zG5NLV1H_PXK-do8U0IiUEy1n7su4Q3" TargetMode="External"/><Relationship Id="rId1987" Type="http://schemas.openxmlformats.org/officeDocument/2006/relationships/hyperlink" Target="https://docs.google.com/document/d/1aU7N2VS1ycjT2ZrgEfsXkrSjTbAuehStMH8R2vLrvjc/edit?usp=drivesdk" TargetMode="External"/><Relationship Id="rId1988" Type="http://schemas.openxmlformats.org/officeDocument/2006/relationships/hyperlink" Target="https://drive.google.com/open?id=1eCczXwv_GGFBL42x8YT74x2bFcDLVWp9" TargetMode="External"/><Relationship Id="rId1989" Type="http://schemas.openxmlformats.org/officeDocument/2006/relationships/hyperlink" Target="https://drive.google.com/uc?export=view&amp;id=1eCczXwv_GGFBL42x8YT74x2bFcDLVWp9" TargetMode="External"/><Relationship Id="rId1980" Type="http://schemas.openxmlformats.org/officeDocument/2006/relationships/hyperlink" Target="https://drive.google.com/uc?export=view&amp;id=1lPIVeIktgdE0Ad4jf4kKFptrZhM9oXTe" TargetMode="External"/><Relationship Id="rId1981" Type="http://schemas.openxmlformats.org/officeDocument/2006/relationships/hyperlink" Target="https://docs.google.com/document/d/1iDW0NxGiknTYURLX_AZ5KToLp7sZFOVwpZ20g2GxUJU/edit?usp=drivesdk" TargetMode="External"/><Relationship Id="rId1982" Type="http://schemas.openxmlformats.org/officeDocument/2006/relationships/hyperlink" Target="https://drive.google.com/open?id=19_1pJqeP3Z7srDtlC21OSUneBlLgp9Ig" TargetMode="External"/><Relationship Id="rId1930" Type="http://schemas.openxmlformats.org/officeDocument/2006/relationships/hyperlink" Target="https://docs.google.com/document/d/1oRySeikvrFniwE6WqaoHByou5FF8nQfAwCjwwnRjXEw/edit?usp=drivesdk" TargetMode="External"/><Relationship Id="rId1931" Type="http://schemas.openxmlformats.org/officeDocument/2006/relationships/hyperlink" Target="https://drive.google.com/open?id=1HjVxBJKGl6M_WiAyoRmT_Vc5NwvZI59O" TargetMode="External"/><Relationship Id="rId1932" Type="http://schemas.openxmlformats.org/officeDocument/2006/relationships/hyperlink" Target="https://drive.google.com/uc?export=view&amp;id=1HjVxBJKGl6M_WiAyoRmT_Vc5NwvZI59O" TargetMode="External"/><Relationship Id="rId1933" Type="http://schemas.openxmlformats.org/officeDocument/2006/relationships/hyperlink" Target="https://docs.google.com/document/d/1sTLv-oumlQh9lqpVDzvfmrLk-meqYs5twI0SCjLU5zs/edit?usp=drivesdk" TargetMode="External"/><Relationship Id="rId1934" Type="http://schemas.openxmlformats.org/officeDocument/2006/relationships/hyperlink" Target="https://drive.google.com/open?id=1KiP0_pINZLq27b6E5a1jIqyYDWkmpgAL" TargetMode="External"/><Relationship Id="rId1935" Type="http://schemas.openxmlformats.org/officeDocument/2006/relationships/hyperlink" Target="https://drive.google.com/uc?export=view&amp;id=1KiP0_pINZLq27b6E5a1jIqyYDWkmpgAL" TargetMode="External"/><Relationship Id="rId1936" Type="http://schemas.openxmlformats.org/officeDocument/2006/relationships/hyperlink" Target="https://docs.google.com/document/d/114PMmRYQ6ZWnfbPpmjN8m7GJn9dk30CObO_shYzLBTQ/edit?usp=drivesdk" TargetMode="External"/><Relationship Id="rId1937" Type="http://schemas.openxmlformats.org/officeDocument/2006/relationships/hyperlink" Target="https://drive.google.com/open?id=1HK47fVuOrJo7HfiPLEhac1YXGka6hBh8" TargetMode="External"/><Relationship Id="rId1938" Type="http://schemas.openxmlformats.org/officeDocument/2006/relationships/hyperlink" Target="https://drive.google.com/uc?export=view&amp;id=1HK47fVuOrJo7HfiPLEhac1YXGka6hBh8" TargetMode="External"/><Relationship Id="rId1939" Type="http://schemas.openxmlformats.org/officeDocument/2006/relationships/hyperlink" Target="https://docs.google.com/document/d/1pbylcKTX14tN2Pq1zh_gIXdxNQPc_Zxe4LfEpASFsjY/edit?usp=drivesdk" TargetMode="External"/><Relationship Id="rId1920" Type="http://schemas.openxmlformats.org/officeDocument/2006/relationships/hyperlink" Target="https://drive.google.com/uc?export=view&amp;id=1XKbr7AHPc_I05KRUUv71oV8MZm0DeFEm" TargetMode="External"/><Relationship Id="rId1921" Type="http://schemas.openxmlformats.org/officeDocument/2006/relationships/hyperlink" Target="https://docs.google.com/document/d/1QVhPbkdAIk3sYHnYVjkbP3qZPA1EZ98Z3sHWT6FIZWg/edit?usp=drivesdk" TargetMode="External"/><Relationship Id="rId1922" Type="http://schemas.openxmlformats.org/officeDocument/2006/relationships/hyperlink" Target="https://drive.google.com/open?id=1OnrLIcHW2Z3A3RHrDZ3JTZMbiiyT-NwF" TargetMode="External"/><Relationship Id="rId1923" Type="http://schemas.openxmlformats.org/officeDocument/2006/relationships/hyperlink" Target="https://drive.google.com/uc?export=view&amp;id=1OnrLIcHW2Z3A3RHrDZ3JTZMbiiyT-NwF" TargetMode="External"/><Relationship Id="rId1924" Type="http://schemas.openxmlformats.org/officeDocument/2006/relationships/hyperlink" Target="https://docs.google.com/document/d/1mzmkL73v8MpZjTSEu22GwJ8gmVVqpO5njxl4xu0xrDo/edit?usp=drivesdk" TargetMode="External"/><Relationship Id="rId1925" Type="http://schemas.openxmlformats.org/officeDocument/2006/relationships/hyperlink" Target="https://drive.google.com/open?id=1ckG5flDRVQFbyuTELO6oqKPmhzzpC-Nq" TargetMode="External"/><Relationship Id="rId1926" Type="http://schemas.openxmlformats.org/officeDocument/2006/relationships/hyperlink" Target="https://drive.google.com/uc?export=view&amp;id=1ckG5flDRVQFbyuTELO6oqKPmhzzpC-Nq" TargetMode="External"/><Relationship Id="rId1927" Type="http://schemas.openxmlformats.org/officeDocument/2006/relationships/hyperlink" Target="https://docs.google.com/document/d/1lqPNxNsDkaK75VSZ3F7laSdPgZ1UcVhhqCzZVIaEA68/edit?usp=drivesdk" TargetMode="External"/><Relationship Id="rId1928" Type="http://schemas.openxmlformats.org/officeDocument/2006/relationships/hyperlink" Target="https://drive.google.com/open?id=1IDDlHe6iD_CAlJQopb5FZqS36vg4NVti" TargetMode="External"/><Relationship Id="rId1929" Type="http://schemas.openxmlformats.org/officeDocument/2006/relationships/hyperlink" Target="https://drive.google.com/uc?export=view&amp;id=1IDDlHe6iD_CAlJQopb5FZqS36vg4NVti" TargetMode="External"/><Relationship Id="rId4190" Type="http://schemas.openxmlformats.org/officeDocument/2006/relationships/hyperlink" Target="https://drive.google.com/open?id=1NneM8NfzpRpfm-XjjkS2IoQ07TNRfR_R" TargetMode="External"/><Relationship Id="rId4192" Type="http://schemas.openxmlformats.org/officeDocument/2006/relationships/hyperlink" Target="https://docs.google.com/document/d/1iv0xfEGBqEV0WPrwSvd9WtN6QFyOEgRgJN1JoTmf3iw/edit?usp=drivesdk" TargetMode="External"/><Relationship Id="rId4191" Type="http://schemas.openxmlformats.org/officeDocument/2006/relationships/hyperlink" Target="https://drive.google.com/uc?export=view&amp;id=1NneM8NfzpRpfm-XjjkS2IoQ07TNRfR_R" TargetMode="External"/><Relationship Id="rId4194" Type="http://schemas.openxmlformats.org/officeDocument/2006/relationships/hyperlink" Target="https://drive.google.com/uc?export=view&amp;id=1cVlWiCnccLEl8M3jb71xVJ9nxw8afffg" TargetMode="External"/><Relationship Id="rId4193" Type="http://schemas.openxmlformats.org/officeDocument/2006/relationships/hyperlink" Target="https://drive.google.com/open?id=1cVlWiCnccLEl8M3jb71xVJ9nxw8afffg" TargetMode="External"/><Relationship Id="rId4196" Type="http://schemas.openxmlformats.org/officeDocument/2006/relationships/hyperlink" Target="https://drive.google.com/open?id=1CMABnZidlgvBZhFfIXsFCIA5lq0wmZ2f" TargetMode="External"/><Relationship Id="rId4195" Type="http://schemas.openxmlformats.org/officeDocument/2006/relationships/hyperlink" Target="https://docs.google.com/document/d/18_WWf357IrLkR2SP6mXJ6JV40Dh3oskNVnuaid1AP2g/edit?usp=drivesdk" TargetMode="External"/><Relationship Id="rId4198" Type="http://schemas.openxmlformats.org/officeDocument/2006/relationships/hyperlink" Target="https://docs.google.com/document/d/1eKEboqeGMhxylzK-pTOUa0yxtWshEgPeKVv3GUyd5TQ/edit?usp=drivesdk" TargetMode="External"/><Relationship Id="rId4197" Type="http://schemas.openxmlformats.org/officeDocument/2006/relationships/hyperlink" Target="https://drive.google.com/uc?export=view&amp;id=1CMABnZidlgvBZhFfIXsFCIA5lq0wmZ2f" TargetMode="External"/><Relationship Id="rId4199" Type="http://schemas.openxmlformats.org/officeDocument/2006/relationships/hyperlink" Target="https://drive.google.com/open?id=1T9VAxKkQsutkM25RLP-W6hxZRZi0RYog" TargetMode="External"/><Relationship Id="rId1950" Type="http://schemas.openxmlformats.org/officeDocument/2006/relationships/hyperlink" Target="https://drive.google.com/uc?export=view&amp;id=1vzWrRwR5xOWcBJUnqz3IvfWLjCHClLY5" TargetMode="External"/><Relationship Id="rId1951" Type="http://schemas.openxmlformats.org/officeDocument/2006/relationships/hyperlink" Target="https://docs.google.com/document/d/1JgYAQq1PZxLfwKpTIyI9ap1UJ5JKUweLNLDh3quVOMs/edit?usp=drivesdk" TargetMode="External"/><Relationship Id="rId1952" Type="http://schemas.openxmlformats.org/officeDocument/2006/relationships/hyperlink" Target="https://drive.google.com/open?id=1wQ-5wWLxuTaJnC71tm7naUw8uWV6d-kS" TargetMode="External"/><Relationship Id="rId1953" Type="http://schemas.openxmlformats.org/officeDocument/2006/relationships/hyperlink" Target="https://drive.google.com/uc?export=view&amp;id=1wQ-5wWLxuTaJnC71tm7naUw8uWV6d-kS" TargetMode="External"/><Relationship Id="rId1954" Type="http://schemas.openxmlformats.org/officeDocument/2006/relationships/hyperlink" Target="https://docs.google.com/document/d/1o50OvMFk_1ZWH3_HAZGriyhTus2lSwjADIJKK9I1tTI/edit?usp=drivesdk" TargetMode="External"/><Relationship Id="rId1955" Type="http://schemas.openxmlformats.org/officeDocument/2006/relationships/hyperlink" Target="https://drive.google.com/open?id=1c9UIdC9GscFfgd2tbJcCMZWXyIMIXZ4f" TargetMode="External"/><Relationship Id="rId1956" Type="http://schemas.openxmlformats.org/officeDocument/2006/relationships/hyperlink" Target="https://drive.google.com/uc?export=view&amp;id=1c9UIdC9GscFfgd2tbJcCMZWXyIMIXZ4f" TargetMode="External"/><Relationship Id="rId1957" Type="http://schemas.openxmlformats.org/officeDocument/2006/relationships/hyperlink" Target="https://docs.google.com/document/d/1_7KtodBV6wUC2rfCMurK1SgOU10lcSziH3vSPY6KDeQ/edit?usp=drivesdk" TargetMode="External"/><Relationship Id="rId1958" Type="http://schemas.openxmlformats.org/officeDocument/2006/relationships/hyperlink" Target="https://drive.google.com/open?id=1Jk_hbjiKBslZLdN8pkvZ5Nh89WoSCiOP" TargetMode="External"/><Relationship Id="rId1959" Type="http://schemas.openxmlformats.org/officeDocument/2006/relationships/hyperlink" Target="https://drive.google.com/uc?export=view&amp;id=1Jk_hbjiKBslZLdN8pkvZ5Nh89WoSCiOP" TargetMode="External"/><Relationship Id="rId1940" Type="http://schemas.openxmlformats.org/officeDocument/2006/relationships/hyperlink" Target="https://drive.google.com/open?id=14aI-U0MrSbc7WWvzEo4ddU_gtS752Bb8" TargetMode="External"/><Relationship Id="rId1941" Type="http://schemas.openxmlformats.org/officeDocument/2006/relationships/hyperlink" Target="https://drive.google.com/uc?export=view&amp;id=14aI-U0MrSbc7WWvzEo4ddU_gtS752Bb8" TargetMode="External"/><Relationship Id="rId1942" Type="http://schemas.openxmlformats.org/officeDocument/2006/relationships/hyperlink" Target="https://docs.google.com/document/d/1xeP7s6B4EcA7RfX4D5DrNTm8uMPevQWk1ZO8l0ypJzI/edit?usp=drivesdk" TargetMode="External"/><Relationship Id="rId1943" Type="http://schemas.openxmlformats.org/officeDocument/2006/relationships/hyperlink" Target="https://drive.google.com/open?id=16n8dikctdUFgoMEfnMJfJ1YupDUabHuv" TargetMode="External"/><Relationship Id="rId1944" Type="http://schemas.openxmlformats.org/officeDocument/2006/relationships/hyperlink" Target="https://drive.google.com/uc?export=view&amp;id=16n8dikctdUFgoMEfnMJfJ1YupDUabHuv" TargetMode="External"/><Relationship Id="rId1945" Type="http://schemas.openxmlformats.org/officeDocument/2006/relationships/hyperlink" Target="https://docs.google.com/document/d/1_mIf6oVQS4Ubb37r2kvD-RZa8hWcxTHO-7mhD6pvJ9M/edit?usp=drivesdk" TargetMode="External"/><Relationship Id="rId1946" Type="http://schemas.openxmlformats.org/officeDocument/2006/relationships/hyperlink" Target="https://drive.google.com/open?id=1xhHWNM9NTkFJWbYHcFDURDi1PiUwVBoK" TargetMode="External"/><Relationship Id="rId1947" Type="http://schemas.openxmlformats.org/officeDocument/2006/relationships/hyperlink" Target="https://drive.google.com/uc?export=view&amp;id=1xhHWNM9NTkFJWbYHcFDURDi1PiUwVBoK" TargetMode="External"/><Relationship Id="rId1948" Type="http://schemas.openxmlformats.org/officeDocument/2006/relationships/hyperlink" Target="https://docs.google.com/document/d/1L1cCDzbfOBUAsNaZ_JVBZIWpxkzFmTp2sOekqA6C13I/edit?usp=drivesdk" TargetMode="External"/><Relationship Id="rId1949" Type="http://schemas.openxmlformats.org/officeDocument/2006/relationships/hyperlink" Target="https://drive.google.com/open?id=1vzWrRwR5xOWcBJUnqz3IvfWLjCHClLY5" TargetMode="External"/><Relationship Id="rId2423" Type="http://schemas.openxmlformats.org/officeDocument/2006/relationships/hyperlink" Target="https://drive.google.com/open?id=1V5-3fDTL1r2YJRxSEIeF5PJotKLvN4mc" TargetMode="External"/><Relationship Id="rId3755" Type="http://schemas.openxmlformats.org/officeDocument/2006/relationships/hyperlink" Target="https://drive.google.com/open?id=1ASaqgkoMSZy45iN22RIoIGLyJlbikrDp" TargetMode="External"/><Relationship Id="rId2424" Type="http://schemas.openxmlformats.org/officeDocument/2006/relationships/hyperlink" Target="https://drive.google.com/uc?export=view&amp;id=1V5-3fDTL1r2YJRxSEIeF5PJotKLvN4mc" TargetMode="External"/><Relationship Id="rId3754" Type="http://schemas.openxmlformats.org/officeDocument/2006/relationships/hyperlink" Target="https://docs.google.com/document/d/1EBy6ym14cnlvL0QgZ9XVDi2gEXK6lySnUWWI9KywGTY/edit?usp=drivesdk" TargetMode="External"/><Relationship Id="rId2425" Type="http://schemas.openxmlformats.org/officeDocument/2006/relationships/hyperlink" Target="https://docs.google.com/document/d/1lI14BMWrwR3_BnwERnCWvIoALDwxgYf0uyzj49tJquI/edit?usp=drivesdk" TargetMode="External"/><Relationship Id="rId3757" Type="http://schemas.openxmlformats.org/officeDocument/2006/relationships/hyperlink" Target="https://docs.google.com/document/d/1oTKtJpRWUtzUkaBtXbjeF8YGmFcHflC5jUdEbjhGwLU/edit?usp=drivesdk" TargetMode="External"/><Relationship Id="rId2426" Type="http://schemas.openxmlformats.org/officeDocument/2006/relationships/hyperlink" Target="https://drive.google.com/open?id=1vLMmrppqP4hyoxPQrWngDHfbcnTBctPH" TargetMode="External"/><Relationship Id="rId3756" Type="http://schemas.openxmlformats.org/officeDocument/2006/relationships/hyperlink" Target="https://drive.google.com/uc?export=view&amp;id=1ASaqgkoMSZy45iN22RIoIGLyJlbikrDp" TargetMode="External"/><Relationship Id="rId2427" Type="http://schemas.openxmlformats.org/officeDocument/2006/relationships/hyperlink" Target="https://drive.google.com/uc?export=view&amp;id=1vLMmrppqP4hyoxPQrWngDHfbcnTBctPH" TargetMode="External"/><Relationship Id="rId3759" Type="http://schemas.openxmlformats.org/officeDocument/2006/relationships/hyperlink" Target="https://drive.google.com/uc?export=view&amp;id=1GJZZdaPE0gywN0C3PPZeHZDxEv656gsx" TargetMode="External"/><Relationship Id="rId2428" Type="http://schemas.openxmlformats.org/officeDocument/2006/relationships/hyperlink" Target="https://docs.google.com/document/d/1bo-vT0wrpVikUyovw38Z_z90abOfn-AduwQGnDhfHJc/edit?usp=drivesdk" TargetMode="External"/><Relationship Id="rId3758" Type="http://schemas.openxmlformats.org/officeDocument/2006/relationships/hyperlink" Target="https://drive.google.com/open?id=1GJZZdaPE0gywN0C3PPZeHZDxEv656gsx" TargetMode="External"/><Relationship Id="rId2429" Type="http://schemas.openxmlformats.org/officeDocument/2006/relationships/hyperlink" Target="https://drive.google.com/open?id=1aaukdwWQgk639dld6h0MZBzXhYv-WXH_" TargetMode="External"/><Relationship Id="rId509" Type="http://schemas.openxmlformats.org/officeDocument/2006/relationships/hyperlink" Target="https://drive.google.com/uc?export=view&amp;id=1MPqiRxit012q5jVKMaGRfy9Vpkoh5Sh7" TargetMode="External"/><Relationship Id="rId508" Type="http://schemas.openxmlformats.org/officeDocument/2006/relationships/hyperlink" Target="https://drive.google.com/open?id=1MPqiRxit012q5jVKMaGRfy9Vpkoh5Sh7" TargetMode="External"/><Relationship Id="rId503" Type="http://schemas.openxmlformats.org/officeDocument/2006/relationships/hyperlink" Target="https://drive.google.com/uc?export=view&amp;id=1TzO26-LxWYNxI9vRKDqBX_HGUUQ7mmzz" TargetMode="External"/><Relationship Id="rId502" Type="http://schemas.openxmlformats.org/officeDocument/2006/relationships/hyperlink" Target="https://drive.google.com/open?id=1TzO26-LxWYNxI9vRKDqBX_HGUUQ7mmzz" TargetMode="External"/><Relationship Id="rId501" Type="http://schemas.openxmlformats.org/officeDocument/2006/relationships/hyperlink" Target="https://docs.google.com/document/d/1194CdDGtRTf7ZJdVVX_V7qMlkQIWFF7S8ywSgg0DwQc/edit?usp=drivesdk" TargetMode="External"/><Relationship Id="rId500" Type="http://schemas.openxmlformats.org/officeDocument/2006/relationships/hyperlink" Target="https://drive.google.com/uc?export=view&amp;id=1BQrBCiPyJD0_eS9vsWEXfsx4nZ-FNJO9" TargetMode="External"/><Relationship Id="rId507" Type="http://schemas.openxmlformats.org/officeDocument/2006/relationships/hyperlink" Target="https://docs.google.com/document/d/1hV0d4ijJ-8LcriKPuoWgQyYwXLas9_mZGU1esIHQX8o/edit?usp=drivesdk" TargetMode="External"/><Relationship Id="rId506" Type="http://schemas.openxmlformats.org/officeDocument/2006/relationships/hyperlink" Target="https://drive.google.com/uc?export=view&amp;id=1jQmGhG1OfQtdkTI9YKzMv-XJiKIzDg6G" TargetMode="External"/><Relationship Id="rId505" Type="http://schemas.openxmlformats.org/officeDocument/2006/relationships/hyperlink" Target="https://drive.google.com/open?id=1jQmGhG1OfQtdkTI9YKzMv-XJiKIzDg6G" TargetMode="External"/><Relationship Id="rId504" Type="http://schemas.openxmlformats.org/officeDocument/2006/relationships/hyperlink" Target="https://docs.google.com/document/d/1G29zEol6BwXKiEGg64rJbzpVkd12v_gwdQyld9Cs9fw/edit?usp=drivesdk" TargetMode="External"/><Relationship Id="rId3751" Type="http://schemas.openxmlformats.org/officeDocument/2006/relationships/hyperlink" Target="https://docs.google.com/document/d/1-s8eEMgLVCJx_s0hk_sTwbp3p1SQXivXfgKmO_LDMUE/edit?usp=drivesdk" TargetMode="External"/><Relationship Id="rId2420" Type="http://schemas.openxmlformats.org/officeDocument/2006/relationships/hyperlink" Target="https://drive.google.com/open?id=1jqnMjws3L_I7j5jNwVi4iflpt6kfGBRy" TargetMode="External"/><Relationship Id="rId3750" Type="http://schemas.openxmlformats.org/officeDocument/2006/relationships/hyperlink" Target="https://drive.google.com/uc?export=view&amp;id=11rReaS-mL0V_uR4rC5vQ0d15dLu4RUtp" TargetMode="External"/><Relationship Id="rId2421" Type="http://schemas.openxmlformats.org/officeDocument/2006/relationships/hyperlink" Target="https://drive.google.com/uc?export=view&amp;id=1jqnMjws3L_I7j5jNwVi4iflpt6kfGBRy" TargetMode="External"/><Relationship Id="rId3753" Type="http://schemas.openxmlformats.org/officeDocument/2006/relationships/hyperlink" Target="https://drive.google.com/uc?export=view&amp;id=1SEYBggG88B_EvZ_Hc6lNuvZBkdHFBJLb" TargetMode="External"/><Relationship Id="rId2422" Type="http://schemas.openxmlformats.org/officeDocument/2006/relationships/hyperlink" Target="https://docs.google.com/document/d/13kZMUJA1EU1tFJNjU-LSiJfY2JgFleOBx75nfNm81BQ/edit?usp=drivesdk" TargetMode="External"/><Relationship Id="rId3752" Type="http://schemas.openxmlformats.org/officeDocument/2006/relationships/hyperlink" Target="https://drive.google.com/open?id=1SEYBggG88B_EvZ_Hc6lNuvZBkdHFBJLb" TargetMode="External"/><Relationship Id="rId2412" Type="http://schemas.openxmlformats.org/officeDocument/2006/relationships/hyperlink" Target="https://drive.google.com/uc?export=view&amp;id=1NIS85d-xkG9Qafm4u8YcUQWn9pADv1mW" TargetMode="External"/><Relationship Id="rId3744" Type="http://schemas.openxmlformats.org/officeDocument/2006/relationships/hyperlink" Target="https://drive.google.com/uc?export=view&amp;id=1Mad_vhT4IcgBNGankL3n3WRXwp3JJWM0" TargetMode="External"/><Relationship Id="rId2413" Type="http://schemas.openxmlformats.org/officeDocument/2006/relationships/hyperlink" Target="https://docs.google.com/document/d/1sUfIn-_SMG8btl0m5VYyYT-FH7RYtoU2R7En7GenSX0/edit?usp=drivesdk" TargetMode="External"/><Relationship Id="rId3743" Type="http://schemas.openxmlformats.org/officeDocument/2006/relationships/hyperlink" Target="https://drive.google.com/open?id=1Mad_vhT4IcgBNGankL3n3WRXwp3JJWM0" TargetMode="External"/><Relationship Id="rId2414" Type="http://schemas.openxmlformats.org/officeDocument/2006/relationships/hyperlink" Target="https://drive.google.com/open?id=1YqR_dTDOjiR3NZbBrsDJEL3omz8uu8AU" TargetMode="External"/><Relationship Id="rId3746" Type="http://schemas.openxmlformats.org/officeDocument/2006/relationships/hyperlink" Target="https://drive.google.com/open?id=1wrKpnqBBQJIv53kUdahfoJM5bxnvGfaM" TargetMode="External"/><Relationship Id="rId2415" Type="http://schemas.openxmlformats.org/officeDocument/2006/relationships/hyperlink" Target="https://drive.google.com/uc?export=view&amp;id=1YqR_dTDOjiR3NZbBrsDJEL3omz8uu8AU" TargetMode="External"/><Relationship Id="rId3745" Type="http://schemas.openxmlformats.org/officeDocument/2006/relationships/hyperlink" Target="https://docs.google.com/document/d/1S2yQxLP1eALHG-yfHim814IyKotlH0pB-Cu8viNEps8/edit?usp=drivesdk" TargetMode="External"/><Relationship Id="rId2416" Type="http://schemas.openxmlformats.org/officeDocument/2006/relationships/hyperlink" Target="https://docs.google.com/document/d/16qIHq8PxIuzPYmVJ78db2WbFnHJI_1-B7MS59lyB1r8/edit?usp=drivesdk" TargetMode="External"/><Relationship Id="rId3748" Type="http://schemas.openxmlformats.org/officeDocument/2006/relationships/hyperlink" Target="https://docs.google.com/document/d/1YZs1nOVSbNPfWsitCson51iu2PYuhUsp4jfei8JpUTg/edit?usp=drivesdk" TargetMode="External"/><Relationship Id="rId2417" Type="http://schemas.openxmlformats.org/officeDocument/2006/relationships/hyperlink" Target="https://drive.google.com/open?id=1AuxfxpwaHxMaqxpyB3Nvm91lMWVAwJDm" TargetMode="External"/><Relationship Id="rId3747" Type="http://schemas.openxmlformats.org/officeDocument/2006/relationships/hyperlink" Target="https://drive.google.com/uc?export=view&amp;id=1wrKpnqBBQJIv53kUdahfoJM5bxnvGfaM" TargetMode="External"/><Relationship Id="rId2418" Type="http://schemas.openxmlformats.org/officeDocument/2006/relationships/hyperlink" Target="https://drive.google.com/uc?export=view&amp;id=1AuxfxpwaHxMaqxpyB3Nvm91lMWVAwJDm" TargetMode="External"/><Relationship Id="rId2419" Type="http://schemas.openxmlformats.org/officeDocument/2006/relationships/hyperlink" Target="https://docs.google.com/document/d/1dGgAPhxaKuc0mn1J-h68k-oKsPQVVdJTgNz6KT3mQSE/edit?usp=drivesdk" TargetMode="External"/><Relationship Id="rId3749" Type="http://schemas.openxmlformats.org/officeDocument/2006/relationships/hyperlink" Target="https://drive.google.com/open?id=11rReaS-mL0V_uR4rC5vQ0d15dLu4RUtp" TargetMode="External"/><Relationship Id="rId3740" Type="http://schemas.openxmlformats.org/officeDocument/2006/relationships/hyperlink" Target="https://drive.google.com/open?id=1v6TpSBP7cPnnwk-0lv6_smA0eEpNQIoy" TargetMode="External"/><Relationship Id="rId2410" Type="http://schemas.openxmlformats.org/officeDocument/2006/relationships/hyperlink" Target="https://docs.google.com/document/d/13dQluGP7mGea3SB2Ln0DNRVXETfstZKbgnKbKDFSOS0/edit?usp=drivesdk" TargetMode="External"/><Relationship Id="rId3742" Type="http://schemas.openxmlformats.org/officeDocument/2006/relationships/hyperlink" Target="https://docs.google.com/document/d/1tzaNfks3GTeZrX1310bTywSsDSYjWsjQrc2qT3bGkBY/edit?usp=drivesdk" TargetMode="External"/><Relationship Id="rId2411" Type="http://schemas.openxmlformats.org/officeDocument/2006/relationships/hyperlink" Target="https://drive.google.com/open?id=1NIS85d-xkG9Qafm4u8YcUQWn9pADv1mW" TargetMode="External"/><Relationship Id="rId3741" Type="http://schemas.openxmlformats.org/officeDocument/2006/relationships/hyperlink" Target="https://drive.google.com/uc?export=view&amp;id=1v6TpSBP7cPnnwk-0lv6_smA0eEpNQIoy" TargetMode="External"/><Relationship Id="rId1114" Type="http://schemas.openxmlformats.org/officeDocument/2006/relationships/hyperlink" Target="https://drive.google.com/uc?export=view&amp;id=1MYefTFNdOYD2navuHMuDfSh0vuHgfg4y" TargetMode="External"/><Relationship Id="rId2445" Type="http://schemas.openxmlformats.org/officeDocument/2006/relationships/hyperlink" Target="https://drive.google.com/uc?export=view&amp;id=1wa45fJytj2skK0cdtoSenmAGHQESI6kA" TargetMode="External"/><Relationship Id="rId3777" Type="http://schemas.openxmlformats.org/officeDocument/2006/relationships/hyperlink" Target="https://drive.google.com/uc?export=view&amp;id=1JFVU1zznqt_E0ovArqyqmWuBo3ntF4NC" TargetMode="External"/><Relationship Id="rId1115" Type="http://schemas.openxmlformats.org/officeDocument/2006/relationships/hyperlink" Target="https://docs.google.com/document/d/1rVI3ozERIvdozBNoD9swOpB2s2QzrTj_KBsK4SFT2z4/edit?usp=drivesdk" TargetMode="External"/><Relationship Id="rId2446" Type="http://schemas.openxmlformats.org/officeDocument/2006/relationships/hyperlink" Target="https://docs.google.com/document/d/1kwDBDfO0slX60aH8WMVzxOC_le_bQPTFMfupxg_tVGk/edit?usp=drivesdk" TargetMode="External"/><Relationship Id="rId3776" Type="http://schemas.openxmlformats.org/officeDocument/2006/relationships/hyperlink" Target="https://drive.google.com/open?id=1JFVU1zznqt_E0ovArqyqmWuBo3ntF4NC" TargetMode="External"/><Relationship Id="rId1116" Type="http://schemas.openxmlformats.org/officeDocument/2006/relationships/hyperlink" Target="https://drive.google.com/open?id=1lRhmYDECcjuOhfbdqm1sGSvcpjOJ9enm" TargetMode="External"/><Relationship Id="rId2447" Type="http://schemas.openxmlformats.org/officeDocument/2006/relationships/hyperlink" Target="https://drive.google.com/open?id=1kynf8ZJlVO5SoIcOYxnEGUkLpKRiZh1i" TargetMode="External"/><Relationship Id="rId3779" Type="http://schemas.openxmlformats.org/officeDocument/2006/relationships/hyperlink" Target="https://drive.google.com/open?id=1nvWfKm0TpyTW2fBdjAI5oc8-LHQ6hbvq" TargetMode="External"/><Relationship Id="rId1117" Type="http://schemas.openxmlformats.org/officeDocument/2006/relationships/hyperlink" Target="https://drive.google.com/uc?export=view&amp;id=1lRhmYDECcjuOhfbdqm1sGSvcpjOJ9enm" TargetMode="External"/><Relationship Id="rId2448" Type="http://schemas.openxmlformats.org/officeDocument/2006/relationships/hyperlink" Target="https://drive.google.com/uc?export=view&amp;id=1kynf8ZJlVO5SoIcOYxnEGUkLpKRiZh1i" TargetMode="External"/><Relationship Id="rId3778" Type="http://schemas.openxmlformats.org/officeDocument/2006/relationships/hyperlink" Target="https://docs.google.com/document/d/1c96-giu-akcv-W9ZMUVzkRfCv7bHhrxMFOmVTqOOgRc/edit?usp=drivesdk" TargetMode="External"/><Relationship Id="rId1118" Type="http://schemas.openxmlformats.org/officeDocument/2006/relationships/hyperlink" Target="https://docs.google.com/document/d/1LxdrcsMOx8Ce9PcHDTGV40cnV9xlNnjIfRRmmwh6HVE/edit?usp=drivesdk" TargetMode="External"/><Relationship Id="rId2449" Type="http://schemas.openxmlformats.org/officeDocument/2006/relationships/hyperlink" Target="https://docs.google.com/document/d/1julBLoesrcPRNGSLrJ130ceg_86V52LceKTlq8MDrP0/edit?usp=drivesdk" TargetMode="External"/><Relationship Id="rId1119" Type="http://schemas.openxmlformats.org/officeDocument/2006/relationships/hyperlink" Target="https://drive.google.com/open?id=1vNrgRftwmVEYAAy4Ip353aWd3x-ldMLu" TargetMode="External"/><Relationship Id="rId525" Type="http://schemas.openxmlformats.org/officeDocument/2006/relationships/hyperlink" Target="https://docs.google.com/document/d/1HlrnVSzVMB8umqqGDF9rV1NiwTyHo6T75xQnyQdegSw/edit?usp=drivesdk" TargetMode="External"/><Relationship Id="rId524" Type="http://schemas.openxmlformats.org/officeDocument/2006/relationships/hyperlink" Target="https://drive.google.com/uc?export=view&amp;id=1QoyGkbY5fK7ZfytqGhFvCnHor0ykb0iy" TargetMode="External"/><Relationship Id="rId523" Type="http://schemas.openxmlformats.org/officeDocument/2006/relationships/hyperlink" Target="https://drive.google.com/open?id=1QoyGkbY5fK7ZfytqGhFvCnHor0ykb0iy" TargetMode="External"/><Relationship Id="rId522" Type="http://schemas.openxmlformats.org/officeDocument/2006/relationships/hyperlink" Target="https://docs.google.com/document/d/1vDKUrIRnNnM-jcJnmkmmdh7sb48f34p6A7JjlVQjmu4/edit?usp=drivesdk" TargetMode="External"/><Relationship Id="rId529" Type="http://schemas.openxmlformats.org/officeDocument/2006/relationships/hyperlink" Target="https://drive.google.com/open?id=1trgN6kh93jEHJDAXDn1BKKf2Dg6ifp3g" TargetMode="External"/><Relationship Id="rId528" Type="http://schemas.openxmlformats.org/officeDocument/2006/relationships/hyperlink" Target="https://docs.google.com/document/d/1TZf3DPPM0cCo_tlWXXlbR15D9kmmogPSgt84890gp4s/edit?usp=drivesdk" TargetMode="External"/><Relationship Id="rId527" Type="http://schemas.openxmlformats.org/officeDocument/2006/relationships/hyperlink" Target="https://drive.google.com/uc?export=view&amp;id=1fNB_zR4zDhjHFaDct3w18by-lPUx8tcg" TargetMode="External"/><Relationship Id="rId526" Type="http://schemas.openxmlformats.org/officeDocument/2006/relationships/hyperlink" Target="https://drive.google.com/open?id=1fNB_zR4zDhjHFaDct3w18by-lPUx8tcg" TargetMode="External"/><Relationship Id="rId3771" Type="http://schemas.openxmlformats.org/officeDocument/2006/relationships/hyperlink" Target="https://drive.google.com/uc?export=view&amp;id=1ctsoaWEgVqIqtSUZSoq_VqzF9hNo3Vwv" TargetMode="External"/><Relationship Id="rId2440" Type="http://schemas.openxmlformats.org/officeDocument/2006/relationships/hyperlink" Target="https://docs.google.com/document/d/10tyNmAP8ciCjV7wOL1arpUaoCnSFTXbQziCJatrJwXg/edit?usp=drivesdk" TargetMode="External"/><Relationship Id="rId3770" Type="http://schemas.openxmlformats.org/officeDocument/2006/relationships/hyperlink" Target="https://drive.google.com/open?id=1ctsoaWEgVqIqtSUZSoq_VqzF9hNo3Vwv" TargetMode="External"/><Relationship Id="rId521" Type="http://schemas.openxmlformats.org/officeDocument/2006/relationships/hyperlink" Target="https://drive.google.com/uc?export=view&amp;id=1qIQFL-Zdqo0_QZ_bH8bJ7SJsMNoiKVtG" TargetMode="External"/><Relationship Id="rId1110" Type="http://schemas.openxmlformats.org/officeDocument/2006/relationships/hyperlink" Target="https://drive.google.com/open?id=18Kcid8TkeLHMeOX-UmQArnW3ZtRn8c9G" TargetMode="External"/><Relationship Id="rId2441" Type="http://schemas.openxmlformats.org/officeDocument/2006/relationships/hyperlink" Target="https://drive.google.com/open?id=1AHBpgBxLLPOmuRjjvR_Y1nGhoUqYwMiq" TargetMode="External"/><Relationship Id="rId3773" Type="http://schemas.openxmlformats.org/officeDocument/2006/relationships/hyperlink" Target="https://drive.google.com/open?id=1rLQJT_J2blFlMCE1YJofME0FvWd-YDM9" TargetMode="External"/><Relationship Id="rId520" Type="http://schemas.openxmlformats.org/officeDocument/2006/relationships/hyperlink" Target="https://drive.google.com/open?id=1qIQFL-Zdqo0_QZ_bH8bJ7SJsMNoiKVtG" TargetMode="External"/><Relationship Id="rId1111" Type="http://schemas.openxmlformats.org/officeDocument/2006/relationships/hyperlink" Target="https://drive.google.com/uc?export=view&amp;id=18Kcid8TkeLHMeOX-UmQArnW3ZtRn8c9G" TargetMode="External"/><Relationship Id="rId2442" Type="http://schemas.openxmlformats.org/officeDocument/2006/relationships/hyperlink" Target="https://drive.google.com/uc?export=view&amp;id=1AHBpgBxLLPOmuRjjvR_Y1nGhoUqYwMiq" TargetMode="External"/><Relationship Id="rId3772" Type="http://schemas.openxmlformats.org/officeDocument/2006/relationships/hyperlink" Target="https://docs.google.com/document/d/1YcZ7P2OMXqDu9d6AsqdRF-3cqxIMVbf6VYdUAAOL3WE/edit?usp=drivesdk" TargetMode="External"/><Relationship Id="rId1112" Type="http://schemas.openxmlformats.org/officeDocument/2006/relationships/hyperlink" Target="https://docs.google.com/document/d/1ukhVFAWw3dXD2WQCejuuS6eLpucxJ_rVS5N3x9uuJEc/edit?usp=drivesdk" TargetMode="External"/><Relationship Id="rId2443" Type="http://schemas.openxmlformats.org/officeDocument/2006/relationships/hyperlink" Target="https://docs.google.com/document/d/1r_93yhPx33S7Su90IzuW8S4QI554EvoXw7WpxWwspuo/edit?usp=drivesdk" TargetMode="External"/><Relationship Id="rId3775" Type="http://schemas.openxmlformats.org/officeDocument/2006/relationships/hyperlink" Target="https://docs.google.com/document/d/14XmQiW1kRXOTKI0yk2Grp0jDNXiSeRuTBD6WWoLM9SY/edit?usp=drivesdk" TargetMode="External"/><Relationship Id="rId1113" Type="http://schemas.openxmlformats.org/officeDocument/2006/relationships/hyperlink" Target="https://drive.google.com/open?id=1MYefTFNdOYD2navuHMuDfSh0vuHgfg4y" TargetMode="External"/><Relationship Id="rId2444" Type="http://schemas.openxmlformats.org/officeDocument/2006/relationships/hyperlink" Target="https://drive.google.com/open?id=1wa45fJytj2skK0cdtoSenmAGHQESI6kA" TargetMode="External"/><Relationship Id="rId3774" Type="http://schemas.openxmlformats.org/officeDocument/2006/relationships/hyperlink" Target="https://drive.google.com/uc?export=view&amp;id=1rLQJT_J2blFlMCE1YJofME0FvWd-YDM9" TargetMode="External"/><Relationship Id="rId1103" Type="http://schemas.openxmlformats.org/officeDocument/2006/relationships/hyperlink" Target="https://docs.google.com/document/d/1mfhjLL3zm3kFGcCnaCH2qeB3fknKW5VaXL8kzp352jQ/edit?usp=drivesdk" TargetMode="External"/><Relationship Id="rId2434" Type="http://schemas.openxmlformats.org/officeDocument/2006/relationships/hyperlink" Target="https://docs.google.com/document/d/1FTwC_mHYowzgnV-j8ofef3xv7eleF2eKCJoEeAQBvVs/edit?usp=drivesdk" TargetMode="External"/><Relationship Id="rId3766" Type="http://schemas.openxmlformats.org/officeDocument/2006/relationships/hyperlink" Target="https://docs.google.com/document/d/1-UFfar4mxQxMSAVQQeD1IEE0kfvw1nzOQzEVYNG4hfY/edit?usp=drivesdk" TargetMode="External"/><Relationship Id="rId1104" Type="http://schemas.openxmlformats.org/officeDocument/2006/relationships/hyperlink" Target="https://drive.google.com/open?id=1V3N9nVMHvxc3Wlrmb9Ts3QY0M4AQ3JhX" TargetMode="External"/><Relationship Id="rId2435" Type="http://schemas.openxmlformats.org/officeDocument/2006/relationships/hyperlink" Target="https://drive.google.com/open?id=1sN1-Zb4k6i671QCdG9n0PHq8bzCawBA0" TargetMode="External"/><Relationship Id="rId3765" Type="http://schemas.openxmlformats.org/officeDocument/2006/relationships/hyperlink" Target="https://drive.google.com/uc?export=view&amp;id=1l5aV7A2xZoc5S7ucJYlObY5o2TFFW3Aq" TargetMode="External"/><Relationship Id="rId1105" Type="http://schemas.openxmlformats.org/officeDocument/2006/relationships/hyperlink" Target="https://drive.google.com/uc?export=view&amp;id=1V3N9nVMHvxc3Wlrmb9Ts3QY0M4AQ3JhX" TargetMode="External"/><Relationship Id="rId2436" Type="http://schemas.openxmlformats.org/officeDocument/2006/relationships/hyperlink" Target="https://drive.google.com/uc?export=view&amp;id=1sN1-Zb4k6i671QCdG9n0PHq8bzCawBA0" TargetMode="External"/><Relationship Id="rId3768" Type="http://schemas.openxmlformats.org/officeDocument/2006/relationships/hyperlink" Target="https://drive.google.com/uc?export=view&amp;id=1kfSWRhqnddutXVBzjGaAzssivgmAj8hO" TargetMode="External"/><Relationship Id="rId1106" Type="http://schemas.openxmlformats.org/officeDocument/2006/relationships/hyperlink" Target="https://docs.google.com/document/d/1I1CjddSg8FXjMA5m2mUjLCqK3fAraBWA6QxpaD1IdjI/edit?usp=drivesdk" TargetMode="External"/><Relationship Id="rId2437" Type="http://schemas.openxmlformats.org/officeDocument/2006/relationships/hyperlink" Target="https://docs.google.com/document/d/10g_7vYsGHZ8HeHPY-dHTSwsiBvUEcDOqLRPEqMFGljo/edit?usp=drivesdk" TargetMode="External"/><Relationship Id="rId3767" Type="http://schemas.openxmlformats.org/officeDocument/2006/relationships/hyperlink" Target="https://drive.google.com/open?id=1kfSWRhqnddutXVBzjGaAzssivgmAj8hO" TargetMode="External"/><Relationship Id="rId1107" Type="http://schemas.openxmlformats.org/officeDocument/2006/relationships/hyperlink" Target="https://drive.google.com/open?id=1dkluuLWD2HEy9PKeQUNMXx0ukCcafoiE" TargetMode="External"/><Relationship Id="rId2438" Type="http://schemas.openxmlformats.org/officeDocument/2006/relationships/hyperlink" Target="https://drive.google.com/open?id=1dpd6NJINd-dB4u6WJDvUtPJ4q7R4D5QK" TargetMode="External"/><Relationship Id="rId1108" Type="http://schemas.openxmlformats.org/officeDocument/2006/relationships/hyperlink" Target="https://drive.google.com/uc?export=view&amp;id=1dkluuLWD2HEy9PKeQUNMXx0ukCcafoiE" TargetMode="External"/><Relationship Id="rId2439" Type="http://schemas.openxmlformats.org/officeDocument/2006/relationships/hyperlink" Target="https://drive.google.com/uc?export=view&amp;id=1dpd6NJINd-dB4u6WJDvUtPJ4q7R4D5QK" TargetMode="External"/><Relationship Id="rId3769" Type="http://schemas.openxmlformats.org/officeDocument/2006/relationships/hyperlink" Target="https://docs.google.com/document/d/16f9XTOZIubkIcI_g7Pnc9Qcp7fM8-Si4BYZMmktjyuw/edit?usp=drivesdk" TargetMode="External"/><Relationship Id="rId1109" Type="http://schemas.openxmlformats.org/officeDocument/2006/relationships/hyperlink" Target="https://docs.google.com/document/d/1tY2ZitC-pmOSZLHlA5K0hugTKlelGxqHU3eF56Ap41Q/edit?usp=drivesdk" TargetMode="External"/><Relationship Id="rId519" Type="http://schemas.openxmlformats.org/officeDocument/2006/relationships/hyperlink" Target="https://docs.google.com/document/d/1oO10j177ISWnRJoOgrRqGZnafQuYLhT357KkLuK_j1w/edit?usp=drivesdk" TargetMode="External"/><Relationship Id="rId514" Type="http://schemas.openxmlformats.org/officeDocument/2006/relationships/hyperlink" Target="https://drive.google.com/open?id=1dbNLUEcW7rOXcqBaQXDNPJKytQXEJchq" TargetMode="External"/><Relationship Id="rId513" Type="http://schemas.openxmlformats.org/officeDocument/2006/relationships/hyperlink" Target="https://docs.google.com/document/d/1VCZAKtY-0UURkCxYjxR9K1M2jIKWXGCfek2Jygu8TRQ/edit?usp=drivesdk" TargetMode="External"/><Relationship Id="rId512" Type="http://schemas.openxmlformats.org/officeDocument/2006/relationships/hyperlink" Target="https://drive.google.com/uc?export=view&amp;id=1QWc3Q5df8zZmnjaVsxh1v8otAPTDIWfh" TargetMode="External"/><Relationship Id="rId511" Type="http://schemas.openxmlformats.org/officeDocument/2006/relationships/hyperlink" Target="https://drive.google.com/open?id=1QWc3Q5df8zZmnjaVsxh1v8otAPTDIWfh" TargetMode="External"/><Relationship Id="rId518" Type="http://schemas.openxmlformats.org/officeDocument/2006/relationships/hyperlink" Target="https://drive.google.com/uc?export=view&amp;id=1TRZw43ClIaujJLdaXfbhHDCT0WGXprHS" TargetMode="External"/><Relationship Id="rId517" Type="http://schemas.openxmlformats.org/officeDocument/2006/relationships/hyperlink" Target="https://drive.google.com/open?id=1TRZw43ClIaujJLdaXfbhHDCT0WGXprHS" TargetMode="External"/><Relationship Id="rId516" Type="http://schemas.openxmlformats.org/officeDocument/2006/relationships/hyperlink" Target="https://docs.google.com/document/d/1j7urFGH-cW6mbVdXpGE5ubcNxmTlTm2HtrGs6sKcnpI/edit?usp=drivesdk" TargetMode="External"/><Relationship Id="rId515" Type="http://schemas.openxmlformats.org/officeDocument/2006/relationships/hyperlink" Target="https://drive.google.com/uc?export=view&amp;id=1dbNLUEcW7rOXcqBaQXDNPJKytQXEJchq" TargetMode="External"/><Relationship Id="rId3760" Type="http://schemas.openxmlformats.org/officeDocument/2006/relationships/hyperlink" Target="https://docs.google.com/document/d/1VId61JxFqjChJzjZCm9RvRebvtK6UYGKPlYvYN07c8E/edit?usp=drivesdk" TargetMode="External"/><Relationship Id="rId510" Type="http://schemas.openxmlformats.org/officeDocument/2006/relationships/hyperlink" Target="https://docs.google.com/document/d/1A9_I525GK_gGKCqQJl0Mp8DO3xwxvN3MZSThm1sk1cI/edit?usp=drivesdk" TargetMode="External"/><Relationship Id="rId2430" Type="http://schemas.openxmlformats.org/officeDocument/2006/relationships/hyperlink" Target="https://drive.google.com/uc?export=view&amp;id=1aaukdwWQgk639dld6h0MZBzXhYv-WXH_" TargetMode="External"/><Relationship Id="rId3762" Type="http://schemas.openxmlformats.org/officeDocument/2006/relationships/hyperlink" Target="https://drive.google.com/uc?export=view&amp;id=1OGCNMo2ibYEqvX-YwDiuz_0fuarw2Vxs" TargetMode="External"/><Relationship Id="rId1100" Type="http://schemas.openxmlformats.org/officeDocument/2006/relationships/hyperlink" Target="https://docs.google.com/document/d/1dvQn1rbjgWxo4cRPiA_lOTgmuI0XS6xFsHyO5XDeC5s/edit?usp=drivesdk" TargetMode="External"/><Relationship Id="rId2431" Type="http://schemas.openxmlformats.org/officeDocument/2006/relationships/hyperlink" Target="https://docs.google.com/document/d/1ZzOhwTnJbLtFBTPmAHF9sCumbUmhvQYYnbzhB4ZYvzE/edit?usp=drivesdk" TargetMode="External"/><Relationship Id="rId3761" Type="http://schemas.openxmlformats.org/officeDocument/2006/relationships/hyperlink" Target="https://drive.google.com/open?id=1OGCNMo2ibYEqvX-YwDiuz_0fuarw2Vxs" TargetMode="External"/><Relationship Id="rId1101" Type="http://schemas.openxmlformats.org/officeDocument/2006/relationships/hyperlink" Target="https://drive.google.com/open?id=1ilEj1CXNhIMduNMWsGsQL8M_llTqBY88" TargetMode="External"/><Relationship Id="rId2432" Type="http://schemas.openxmlformats.org/officeDocument/2006/relationships/hyperlink" Target="https://drive.google.com/open?id=1Wbqc6a0RrcGzmA4ry2dPxW8SjbfdBUSn" TargetMode="External"/><Relationship Id="rId3764" Type="http://schemas.openxmlformats.org/officeDocument/2006/relationships/hyperlink" Target="https://drive.google.com/open?id=1l5aV7A2xZoc5S7ucJYlObY5o2TFFW3Aq" TargetMode="External"/><Relationship Id="rId1102" Type="http://schemas.openxmlformats.org/officeDocument/2006/relationships/hyperlink" Target="https://drive.google.com/uc?export=view&amp;id=1ilEj1CXNhIMduNMWsGsQL8M_llTqBY88" TargetMode="External"/><Relationship Id="rId2433" Type="http://schemas.openxmlformats.org/officeDocument/2006/relationships/hyperlink" Target="https://drive.google.com/uc?export=view&amp;id=1Wbqc6a0RrcGzmA4ry2dPxW8SjbfdBUSn" TargetMode="External"/><Relationship Id="rId3763" Type="http://schemas.openxmlformats.org/officeDocument/2006/relationships/hyperlink" Target="https://docs.google.com/document/d/1K95se4wU0RJWJKgN94HyZnEMfBEuOJWxVd5Azl4uN5k/edit?usp=drivesdk" TargetMode="External"/><Relationship Id="rId3711" Type="http://schemas.openxmlformats.org/officeDocument/2006/relationships/hyperlink" Target="https://drive.google.com/uc?export=view&amp;id=1OmYQt2uLeF_qqrzw30Fnhnqweepxa-g5" TargetMode="External"/><Relationship Id="rId3710" Type="http://schemas.openxmlformats.org/officeDocument/2006/relationships/hyperlink" Target="https://drive.google.com/open?id=1OmYQt2uLeF_qqrzw30Fnhnqweepxa-g5" TargetMode="External"/><Relationship Id="rId3713" Type="http://schemas.openxmlformats.org/officeDocument/2006/relationships/hyperlink" Target="https://drive.google.com/open?id=1ZP6OYFvz8iIscR4IZqyjX471KwlI2-OA" TargetMode="External"/><Relationship Id="rId3712" Type="http://schemas.openxmlformats.org/officeDocument/2006/relationships/hyperlink" Target="https://docs.google.com/document/d/1dOaqpxjnuDrOpJjCPnscxHTGGl9TxTYuFaHtdiLVipc/edit?usp=drivesdk" TargetMode="External"/><Relationship Id="rId3715" Type="http://schemas.openxmlformats.org/officeDocument/2006/relationships/hyperlink" Target="https://docs.google.com/document/d/1FjxSFi0df2Leboi2r82lvSqKPMI3S94lGVZ2oxZsX_U/edit?usp=drivesdk" TargetMode="External"/><Relationship Id="rId3714" Type="http://schemas.openxmlformats.org/officeDocument/2006/relationships/hyperlink" Target="https://drive.google.com/uc?export=view&amp;id=1ZP6OYFvz8iIscR4IZqyjX471KwlI2-OA" TargetMode="External"/><Relationship Id="rId3717" Type="http://schemas.openxmlformats.org/officeDocument/2006/relationships/hyperlink" Target="https://drive.google.com/uc?export=view&amp;id=17YcHLcsrWKSk5qsUfa7ii27nHcpq83Gu" TargetMode="External"/><Relationship Id="rId3716" Type="http://schemas.openxmlformats.org/officeDocument/2006/relationships/hyperlink" Target="https://drive.google.com/open?id=17YcHLcsrWKSk5qsUfa7ii27nHcpq83Gu" TargetMode="External"/><Relationship Id="rId3719" Type="http://schemas.openxmlformats.org/officeDocument/2006/relationships/hyperlink" Target="https://drive.google.com/open?id=1TrxPqzPbWJshV-f241OeNQ0kQSKAW4sP" TargetMode="External"/><Relationship Id="rId3718" Type="http://schemas.openxmlformats.org/officeDocument/2006/relationships/hyperlink" Target="https://docs.google.com/document/d/10U7GGwiFKKGM2csB6p6VW92oGwTg8rrXuTabfQ6oFn8/edit?usp=drivesdk" TargetMode="External"/><Relationship Id="rId3700" Type="http://schemas.openxmlformats.org/officeDocument/2006/relationships/hyperlink" Target="https://docs.google.com/document/d/1PeaHe_TxieIte75aGAdjizvciBs-YmwtRgO6r9KdwuA/edit?usp=drivesdk" TargetMode="External"/><Relationship Id="rId3702" Type="http://schemas.openxmlformats.org/officeDocument/2006/relationships/hyperlink" Target="https://drive.google.com/uc?export=view&amp;id=16i8Uy0TJi1kWQ4AnRP4q0krSG6YHcKQX" TargetMode="External"/><Relationship Id="rId3701" Type="http://schemas.openxmlformats.org/officeDocument/2006/relationships/hyperlink" Target="https://drive.google.com/open?id=16i8Uy0TJi1kWQ4AnRP4q0krSG6YHcKQX" TargetMode="External"/><Relationship Id="rId3704" Type="http://schemas.openxmlformats.org/officeDocument/2006/relationships/hyperlink" Target="https://drive.google.com/open?id=1lbjVQwc2oAQjoJ5zeu4V-5IgSNg8r4S1" TargetMode="External"/><Relationship Id="rId3703" Type="http://schemas.openxmlformats.org/officeDocument/2006/relationships/hyperlink" Target="https://docs.google.com/document/d/1h0wQ09O8hgtByYEfBWqGOrPFH4wSpuxN0KkoAQEVK80/edit?usp=drivesdk" TargetMode="External"/><Relationship Id="rId3706" Type="http://schemas.openxmlformats.org/officeDocument/2006/relationships/hyperlink" Target="https://docs.google.com/document/d/1-DjbQ2-VZgiA6xQMIkg3E_HgBkb5aXNSjuQ3bee97UQ/edit?usp=drivesdk" TargetMode="External"/><Relationship Id="rId3705" Type="http://schemas.openxmlformats.org/officeDocument/2006/relationships/hyperlink" Target="https://drive.google.com/uc?export=view&amp;id=1lbjVQwc2oAQjoJ5zeu4V-5IgSNg8r4S1" TargetMode="External"/><Relationship Id="rId3708" Type="http://schemas.openxmlformats.org/officeDocument/2006/relationships/hyperlink" Target="https://drive.google.com/uc?export=view&amp;id=1US6fuiZdQOMTik-bb7bPTNx9nEZMR2r_" TargetMode="External"/><Relationship Id="rId3707" Type="http://schemas.openxmlformats.org/officeDocument/2006/relationships/hyperlink" Target="https://drive.google.com/open?id=1US6fuiZdQOMTik-bb7bPTNx9nEZMR2r_" TargetMode="External"/><Relationship Id="rId3709" Type="http://schemas.openxmlformats.org/officeDocument/2006/relationships/hyperlink" Target="https://docs.google.com/document/d/1s-PQTupEXFTp-hx8pFRDiBqeSvQD4iQ4PC6d6sipmEA/edit?usp=drivesdk" TargetMode="External"/><Relationship Id="rId2401" Type="http://schemas.openxmlformats.org/officeDocument/2006/relationships/hyperlink" Target="https://docs.google.com/document/d/1VtyORgjXOygC4H_2Uw2nPURmAi2VOP2kJU_JaygGIsk/edit?usp=drivesdk" TargetMode="External"/><Relationship Id="rId3733" Type="http://schemas.openxmlformats.org/officeDocument/2006/relationships/hyperlink" Target="https://docs.google.com/document/d/1dmejkhhi3wXlQkbCq1MdXqLhauTaiH7mHTnS7T3J0hw/edit?usp=drivesdk" TargetMode="External"/><Relationship Id="rId2402" Type="http://schemas.openxmlformats.org/officeDocument/2006/relationships/hyperlink" Target="https://drive.google.com/open?id=1-IYH6_xb6acNIFpKUYQ2aQq18N1ljQUC" TargetMode="External"/><Relationship Id="rId3732" Type="http://schemas.openxmlformats.org/officeDocument/2006/relationships/hyperlink" Target="https://drive.google.com/uc?export=view&amp;id=1Tt9JQjq0_LevBXFoiZJ-3d4slIewNrzE" TargetMode="External"/><Relationship Id="rId2403" Type="http://schemas.openxmlformats.org/officeDocument/2006/relationships/hyperlink" Target="https://drive.google.com/uc?export=view&amp;id=1-IYH6_xb6acNIFpKUYQ2aQq18N1ljQUC" TargetMode="External"/><Relationship Id="rId3735" Type="http://schemas.openxmlformats.org/officeDocument/2006/relationships/hyperlink" Target="https://drive.google.com/uc?export=view&amp;id=1SbzC0K9Y-tZWI7MF0uO-9yOQk-Bb0-Z6" TargetMode="External"/><Relationship Id="rId2404" Type="http://schemas.openxmlformats.org/officeDocument/2006/relationships/hyperlink" Target="https://docs.google.com/document/d/1-NPKaZFwe3XP0JdBoQ4GLoGKih8csuLEYMR6mFkdpqI/edit?usp=drivesdk" TargetMode="External"/><Relationship Id="rId3734" Type="http://schemas.openxmlformats.org/officeDocument/2006/relationships/hyperlink" Target="https://drive.google.com/open?id=1SbzC0K9Y-tZWI7MF0uO-9yOQk-Bb0-Z6" TargetMode="External"/><Relationship Id="rId2405" Type="http://schemas.openxmlformats.org/officeDocument/2006/relationships/hyperlink" Target="https://drive.google.com/open?id=1pV6uFnPPa2yWI1JIu8-rt47Z_OxwF1OT" TargetMode="External"/><Relationship Id="rId3737" Type="http://schemas.openxmlformats.org/officeDocument/2006/relationships/hyperlink" Target="https://drive.google.com/open?id=10I5s7CW5lyONF-N3GZ1itoK_GP7_aH53" TargetMode="External"/><Relationship Id="rId2406" Type="http://schemas.openxmlformats.org/officeDocument/2006/relationships/hyperlink" Target="https://drive.google.com/uc?export=view&amp;id=1pV6uFnPPa2yWI1JIu8-rt47Z_OxwF1OT" TargetMode="External"/><Relationship Id="rId3736" Type="http://schemas.openxmlformats.org/officeDocument/2006/relationships/hyperlink" Target="https://docs.google.com/document/d/18mPI9d1k4XTCKbfAuvSfVa-YqHeIW89sDqu5hipPIAk/edit?usp=drivesdk" TargetMode="External"/><Relationship Id="rId2407" Type="http://schemas.openxmlformats.org/officeDocument/2006/relationships/hyperlink" Target="https://docs.google.com/document/d/1vbElLU9BXwdYkXwk3Jl5PUUgx7LQzYpe8Pc-HB0beNk/edit?usp=drivesdk" TargetMode="External"/><Relationship Id="rId3739" Type="http://schemas.openxmlformats.org/officeDocument/2006/relationships/hyperlink" Target="https://docs.google.com/document/d/1r9rGXG1m3y_L_pCq_-9klMBQVdf_INiETsvda6FjNpk/edit?usp=drivesdk" TargetMode="External"/><Relationship Id="rId2408" Type="http://schemas.openxmlformats.org/officeDocument/2006/relationships/hyperlink" Target="https://drive.google.com/open?id=1Vxk0KQr7OcfiSRzr6_8o77_HG-KSy09_" TargetMode="External"/><Relationship Id="rId3738" Type="http://schemas.openxmlformats.org/officeDocument/2006/relationships/hyperlink" Target="https://drive.google.com/uc?export=view&amp;id=10I5s7CW5lyONF-N3GZ1itoK_GP7_aH53" TargetMode="External"/><Relationship Id="rId2409" Type="http://schemas.openxmlformats.org/officeDocument/2006/relationships/hyperlink" Target="https://drive.google.com/uc?export=view&amp;id=1Vxk0KQr7OcfiSRzr6_8o77_HG-KSy09_" TargetMode="External"/><Relationship Id="rId3731" Type="http://schemas.openxmlformats.org/officeDocument/2006/relationships/hyperlink" Target="https://drive.google.com/open?id=1Tt9JQjq0_LevBXFoiZJ-3d4slIewNrzE" TargetMode="External"/><Relationship Id="rId2400" Type="http://schemas.openxmlformats.org/officeDocument/2006/relationships/hyperlink" Target="https://drive.google.com/uc?export=view&amp;id=14X86l143fHR3DP6yDThgfh4JCKfbJGyK" TargetMode="External"/><Relationship Id="rId3730" Type="http://schemas.openxmlformats.org/officeDocument/2006/relationships/hyperlink" Target="https://docs.google.com/document/d/13heWhEbATGPcmdRYY4z9SVpeCfuHo2fdhEqUXdyxg7o/edit?usp=drivesdk" TargetMode="External"/><Relationship Id="rId3722" Type="http://schemas.openxmlformats.org/officeDocument/2006/relationships/hyperlink" Target="https://drive.google.com/open?id=1i_XIsEviXEoy1O9kPhpyZHzjgM_ED5zu" TargetMode="External"/><Relationship Id="rId3721" Type="http://schemas.openxmlformats.org/officeDocument/2006/relationships/hyperlink" Target="https://docs.google.com/document/d/1pgD3dUjnS53q4g1RXU5lmZp5zfF6L8BBE_5I-5o-8UM/edit?usp=drivesdk" TargetMode="External"/><Relationship Id="rId3724" Type="http://schemas.openxmlformats.org/officeDocument/2006/relationships/hyperlink" Target="https://docs.google.com/document/d/1qtr_Oa7hixAjX3kff8cUEilv35BC0arP10SkgMoruU0/edit?usp=drivesdk" TargetMode="External"/><Relationship Id="rId3723" Type="http://schemas.openxmlformats.org/officeDocument/2006/relationships/hyperlink" Target="https://drive.google.com/uc?export=view&amp;id=1i_XIsEviXEoy1O9kPhpyZHzjgM_ED5zu" TargetMode="External"/><Relationship Id="rId3726" Type="http://schemas.openxmlformats.org/officeDocument/2006/relationships/hyperlink" Target="https://drive.google.com/uc?export=view&amp;id=1pCCwBEhJkGJUpLdAAITSgAd_o2Kl1oOH" TargetMode="External"/><Relationship Id="rId3725" Type="http://schemas.openxmlformats.org/officeDocument/2006/relationships/hyperlink" Target="https://drive.google.com/open?id=1pCCwBEhJkGJUpLdAAITSgAd_o2Kl1oOH" TargetMode="External"/><Relationship Id="rId3728" Type="http://schemas.openxmlformats.org/officeDocument/2006/relationships/hyperlink" Target="https://drive.google.com/open?id=11-d1slXQNdXRqgqH3Qqf5uafQGDlnuf3" TargetMode="External"/><Relationship Id="rId3727" Type="http://schemas.openxmlformats.org/officeDocument/2006/relationships/hyperlink" Target="https://docs.google.com/document/d/1-ExMIXWWcXS-YHFppNGoRgxZ-oU4xrPIo5kGqBQtag0/edit?usp=drivesdk" TargetMode="External"/><Relationship Id="rId3729" Type="http://schemas.openxmlformats.org/officeDocument/2006/relationships/hyperlink" Target="https://drive.google.com/uc?export=view&amp;id=11-d1slXQNdXRqgqH3Qqf5uafQGDlnuf3" TargetMode="External"/><Relationship Id="rId3720" Type="http://schemas.openxmlformats.org/officeDocument/2006/relationships/hyperlink" Target="https://drive.google.com/uc?export=view&amp;id=1TrxPqzPbWJshV-f241OeNQ0kQSKAW4sP" TargetMode="External"/><Relationship Id="rId4206" Type="http://schemas.openxmlformats.org/officeDocument/2006/relationships/hyperlink" Target="https://drive.google.com/uc?export=view&amp;id=17QUSCSQy5_wMeBiXG7PigYvDmxjyf_a8" TargetMode="External"/><Relationship Id="rId4205" Type="http://schemas.openxmlformats.org/officeDocument/2006/relationships/hyperlink" Target="https://drive.google.com/open?id=17QUSCSQy5_wMeBiXG7PigYvDmxjyf_a8" TargetMode="External"/><Relationship Id="rId4208" Type="http://schemas.openxmlformats.org/officeDocument/2006/relationships/hyperlink" Target="https://drive.google.com/open?id=1g2Ivq57IQKimlL-bjPqRp0KVD9NaJ_af" TargetMode="External"/><Relationship Id="rId4207" Type="http://schemas.openxmlformats.org/officeDocument/2006/relationships/hyperlink" Target="https://docs.google.com/document/d/1t1v0cykxyafg08jSZg-a1wplfD0YKoX8l6qzHjLziH8/edit?usp=drivesdk" TargetMode="External"/><Relationship Id="rId590" Type="http://schemas.openxmlformats.org/officeDocument/2006/relationships/hyperlink" Target="https://drive.google.com/uc?export=view&amp;id=10VwYUMCiNpt_LwIk8HFoH1U1Z5o5a80k" TargetMode="External"/><Relationship Id="rId4209" Type="http://schemas.openxmlformats.org/officeDocument/2006/relationships/hyperlink" Target="https://drive.google.com/uc?export=view&amp;id=1g2Ivq57IQKimlL-bjPqRp0KVD9NaJ_af" TargetMode="External"/><Relationship Id="rId589" Type="http://schemas.openxmlformats.org/officeDocument/2006/relationships/hyperlink" Target="https://drive.google.com/open?id=10VwYUMCiNpt_LwIk8HFoH1U1Z5o5a80k" TargetMode="External"/><Relationship Id="rId588" Type="http://schemas.openxmlformats.org/officeDocument/2006/relationships/hyperlink" Target="https://docs.google.com/document/d/1SY6HANTWAEaqfJRyHGQiuJNoix-7h2pQ4ppRsKyQdnw/edit?usp=drivesdk" TargetMode="External"/><Relationship Id="rId1170" Type="http://schemas.openxmlformats.org/officeDocument/2006/relationships/hyperlink" Target="https://drive.google.com/open?id=1fPYvdiQK0KupDHs2PbC73O03fQLLzMcf" TargetMode="External"/><Relationship Id="rId1171" Type="http://schemas.openxmlformats.org/officeDocument/2006/relationships/hyperlink" Target="https://drive.google.com/uc?export=view&amp;id=1fPYvdiQK0KupDHs2PbC73O03fQLLzMcf" TargetMode="External"/><Relationship Id="rId583" Type="http://schemas.openxmlformats.org/officeDocument/2006/relationships/hyperlink" Target="https://drive.google.com/open?id=1H0UE2cFtxR3K5G63SlawsP43Eg79MA7D" TargetMode="External"/><Relationship Id="rId1172" Type="http://schemas.openxmlformats.org/officeDocument/2006/relationships/hyperlink" Target="https://docs.google.com/document/d/1s3-PL_C5bo5Q2FxjNYF1Sh7TwqdnazIMx2DltfCsp0M/edit?usp=drivesdk" TargetMode="External"/><Relationship Id="rId582" Type="http://schemas.openxmlformats.org/officeDocument/2006/relationships/hyperlink" Target="https://docs.google.com/document/d/1TTRn5mkA5xJi82NqDi94QEvGwJdHQpfu8vhdnghM9pM/edit?usp=drivesdk" TargetMode="External"/><Relationship Id="rId1173" Type="http://schemas.openxmlformats.org/officeDocument/2006/relationships/hyperlink" Target="https://drive.google.com/open?id=1PFImHFE13s5yxSZVPWK46TzPZAuIgOhD" TargetMode="External"/><Relationship Id="rId581" Type="http://schemas.openxmlformats.org/officeDocument/2006/relationships/hyperlink" Target="https://drive.google.com/uc?export=view&amp;id=1rjaI2l12Jq_WZ4ZJSruWyP3YVYhutrUg" TargetMode="External"/><Relationship Id="rId1174" Type="http://schemas.openxmlformats.org/officeDocument/2006/relationships/hyperlink" Target="https://drive.google.com/uc?export=view&amp;id=1PFImHFE13s5yxSZVPWK46TzPZAuIgOhD" TargetMode="External"/><Relationship Id="rId4200" Type="http://schemas.openxmlformats.org/officeDocument/2006/relationships/hyperlink" Target="https://drive.google.com/uc?export=view&amp;id=1T9VAxKkQsutkM25RLP-W6hxZRZi0RYog" TargetMode="External"/><Relationship Id="rId580" Type="http://schemas.openxmlformats.org/officeDocument/2006/relationships/hyperlink" Target="https://drive.google.com/open?id=1rjaI2l12Jq_WZ4ZJSruWyP3YVYhutrUg" TargetMode="External"/><Relationship Id="rId1175" Type="http://schemas.openxmlformats.org/officeDocument/2006/relationships/hyperlink" Target="https://docs.google.com/document/d/1RVgyh5zQyygKcBlypZ7s3YA8GbrqWJ8Ef7NX4r6wrT4/edit?usp=drivesdk" TargetMode="External"/><Relationship Id="rId587" Type="http://schemas.openxmlformats.org/officeDocument/2006/relationships/hyperlink" Target="https://drive.google.com/uc?export=view&amp;id=13MrfMJOaY0qOS8NWS0P2uFhcaksg_102" TargetMode="External"/><Relationship Id="rId1176" Type="http://schemas.openxmlformats.org/officeDocument/2006/relationships/hyperlink" Target="https://drive.google.com/open?id=18_ak3zwHEkMIeN-hW0fcDuiJeJ7qmqKW" TargetMode="External"/><Relationship Id="rId4202" Type="http://schemas.openxmlformats.org/officeDocument/2006/relationships/hyperlink" Target="https://drive.google.com/open?id=1u2FYgwEzV98jJHW65f5htcQpb2WuZGKA" TargetMode="External"/><Relationship Id="rId586" Type="http://schemas.openxmlformats.org/officeDocument/2006/relationships/hyperlink" Target="https://drive.google.com/open?id=13MrfMJOaY0qOS8NWS0P2uFhcaksg_102" TargetMode="External"/><Relationship Id="rId1177" Type="http://schemas.openxmlformats.org/officeDocument/2006/relationships/hyperlink" Target="https://drive.google.com/uc?export=view&amp;id=18_ak3zwHEkMIeN-hW0fcDuiJeJ7qmqKW" TargetMode="External"/><Relationship Id="rId4201" Type="http://schemas.openxmlformats.org/officeDocument/2006/relationships/hyperlink" Target="https://docs.google.com/document/d/12Dybe7YbXz5QDFDGtykqDEuXQPeha-CgRzpMSFCZtWA/edit?usp=drivesdk" TargetMode="External"/><Relationship Id="rId585" Type="http://schemas.openxmlformats.org/officeDocument/2006/relationships/hyperlink" Target="https://docs.google.com/document/d/1A2GOZQjCFJ-JqN_EYdb37nQQunqgrQkDtkvSwCrKZKI/edit?usp=drivesdk" TargetMode="External"/><Relationship Id="rId1178" Type="http://schemas.openxmlformats.org/officeDocument/2006/relationships/hyperlink" Target="https://docs.google.com/document/d/1P9ymPxMWbhEp6yFqyqsL7BzUY5m4XNl9NZwHANg2ly4/edit?usp=drivesdk" TargetMode="External"/><Relationship Id="rId4204" Type="http://schemas.openxmlformats.org/officeDocument/2006/relationships/hyperlink" Target="https://docs.google.com/document/d/1sahzYw1mIzeHXphe7hu4pPfnzfgHVZMBGLfxBmzCPlY/edit?usp=drivesdk" TargetMode="External"/><Relationship Id="rId584" Type="http://schemas.openxmlformats.org/officeDocument/2006/relationships/hyperlink" Target="https://drive.google.com/uc?export=view&amp;id=1H0UE2cFtxR3K5G63SlawsP43Eg79MA7D" TargetMode="External"/><Relationship Id="rId1179" Type="http://schemas.openxmlformats.org/officeDocument/2006/relationships/hyperlink" Target="https://drive.google.com/open?id=1T0DDVinT7vQi5LZ1G62hyTcXUdaoRIJK" TargetMode="External"/><Relationship Id="rId4203" Type="http://schemas.openxmlformats.org/officeDocument/2006/relationships/hyperlink" Target="https://drive.google.com/uc?export=view&amp;id=1u2FYgwEzV98jJHW65f5htcQpb2WuZGKA" TargetMode="External"/><Relationship Id="rId1169" Type="http://schemas.openxmlformats.org/officeDocument/2006/relationships/hyperlink" Target="https://docs.google.com/document/d/1GMY9FmG2nCNYar-LfQS16ZXqHStUsT586TQO9DOyPSQ/edit?usp=drivesdk" TargetMode="External"/><Relationship Id="rId579" Type="http://schemas.openxmlformats.org/officeDocument/2006/relationships/hyperlink" Target="https://docs.google.com/document/d/1C_QFU54aW0Jc1xpNXpdCb4K5-h9-KlxUpzdQryl7WSw/edit?usp=drivesdk" TargetMode="External"/><Relationship Id="rId578" Type="http://schemas.openxmlformats.org/officeDocument/2006/relationships/hyperlink" Target="https://drive.google.com/uc?export=view&amp;id=1F87k4N91nJBs6lmEAtk9t0tStGa4Unrw" TargetMode="External"/><Relationship Id="rId577" Type="http://schemas.openxmlformats.org/officeDocument/2006/relationships/hyperlink" Target="https://drive.google.com/open?id=1F87k4N91nJBs6lmEAtk9t0tStGa4Unrw" TargetMode="External"/><Relationship Id="rId2490" Type="http://schemas.openxmlformats.org/officeDocument/2006/relationships/hyperlink" Target="https://drive.google.com/uc?export=view&amp;id=155LXeyCdJNbOIkLb-Najl6yA_NUw-exE" TargetMode="External"/><Relationship Id="rId1160" Type="http://schemas.openxmlformats.org/officeDocument/2006/relationships/hyperlink" Target="https://docs.google.com/document/d/1jR6Zl9FYRVPfvIxqzh7wn6_DxeAUARw9HFEX3kqKNVQ/edit?usp=drivesdk" TargetMode="External"/><Relationship Id="rId2491" Type="http://schemas.openxmlformats.org/officeDocument/2006/relationships/hyperlink" Target="https://docs.google.com/document/d/1OAha69eQEbQ5VRrV67H0C4EyUK-w0EicQ7wp6Q7Kb0Q/edit?usp=drivesdk" TargetMode="External"/><Relationship Id="rId572" Type="http://schemas.openxmlformats.org/officeDocument/2006/relationships/hyperlink" Target="https://drive.google.com/uc?export=view&amp;id=15KI3MSy5dRJVvAbkCsw0tM-8fp1rayMn" TargetMode="External"/><Relationship Id="rId1161" Type="http://schemas.openxmlformats.org/officeDocument/2006/relationships/hyperlink" Target="https://drive.google.com/open?id=1jidHwC-VTcFqJ-v8QKDp1UTyyFTG-hdp" TargetMode="External"/><Relationship Id="rId2492" Type="http://schemas.openxmlformats.org/officeDocument/2006/relationships/hyperlink" Target="https://drive.google.com/open?id=14t5lRicY1XQAfFRBbVLS30xKG63Veq9O" TargetMode="External"/><Relationship Id="rId571" Type="http://schemas.openxmlformats.org/officeDocument/2006/relationships/hyperlink" Target="https://drive.google.com/open?id=15KI3MSy5dRJVvAbkCsw0tM-8fp1rayMn" TargetMode="External"/><Relationship Id="rId1162" Type="http://schemas.openxmlformats.org/officeDocument/2006/relationships/hyperlink" Target="https://drive.google.com/uc?export=view&amp;id=1jidHwC-VTcFqJ-v8QKDp1UTyyFTG-hdp" TargetMode="External"/><Relationship Id="rId2493" Type="http://schemas.openxmlformats.org/officeDocument/2006/relationships/hyperlink" Target="https://drive.google.com/uc?export=view&amp;id=14t5lRicY1XQAfFRBbVLS30xKG63Veq9O" TargetMode="External"/><Relationship Id="rId570" Type="http://schemas.openxmlformats.org/officeDocument/2006/relationships/hyperlink" Target="https://docs.google.com/document/d/1bETIjFWD7TymBSLZzc7HkAVa7ilOcgZroJEbjkQefZQ/edit?usp=drivesdk" TargetMode="External"/><Relationship Id="rId1163" Type="http://schemas.openxmlformats.org/officeDocument/2006/relationships/hyperlink" Target="https://docs.google.com/document/d/1aAVqPdkHw7ndLbBe7CSqoxMfSnbPzmDH_hhsV9skNWA/edit?usp=drivesdk" TargetMode="External"/><Relationship Id="rId2494" Type="http://schemas.openxmlformats.org/officeDocument/2006/relationships/hyperlink" Target="https://docs.google.com/document/d/1je33Igcm-I5ptswmQ4CCze2wm9_guJ4s9VUpSF8jzXc/edit?usp=drivesdk" TargetMode="External"/><Relationship Id="rId1164" Type="http://schemas.openxmlformats.org/officeDocument/2006/relationships/hyperlink" Target="https://drive.google.com/open?id=1f0TLVrE1hMuJWbjfUJmEbTZwgyxWnGWe" TargetMode="External"/><Relationship Id="rId2495" Type="http://schemas.openxmlformats.org/officeDocument/2006/relationships/hyperlink" Target="https://drive.google.com/open?id=1mKMPZr4DIc4ghMf4VSZ00pi1b01JONee" TargetMode="External"/><Relationship Id="rId576" Type="http://schemas.openxmlformats.org/officeDocument/2006/relationships/hyperlink" Target="https://docs.google.com/document/d/1B9D9bZrcPRC7x-3PBLHXhOEdUXzy5qHwWAML5eO5fBk/edit?usp=drivesdk" TargetMode="External"/><Relationship Id="rId1165" Type="http://schemas.openxmlformats.org/officeDocument/2006/relationships/hyperlink" Target="https://drive.google.com/uc?export=view&amp;id=1f0TLVrE1hMuJWbjfUJmEbTZwgyxWnGWe" TargetMode="External"/><Relationship Id="rId2496" Type="http://schemas.openxmlformats.org/officeDocument/2006/relationships/hyperlink" Target="https://drive.google.com/uc?export=view&amp;id=1mKMPZr4DIc4ghMf4VSZ00pi1b01JONee" TargetMode="External"/><Relationship Id="rId575" Type="http://schemas.openxmlformats.org/officeDocument/2006/relationships/hyperlink" Target="https://drive.google.com/uc?export=view&amp;id=1lxLGJpuIwN8ErgdbCW9In-BI95vvSd8n" TargetMode="External"/><Relationship Id="rId1166" Type="http://schemas.openxmlformats.org/officeDocument/2006/relationships/hyperlink" Target="https://docs.google.com/document/d/17j148KtOWZ4qmjWWi5mazK8ziQc00S9Sdb2naYeW0g0/edit?usp=drivesdk" TargetMode="External"/><Relationship Id="rId2497" Type="http://schemas.openxmlformats.org/officeDocument/2006/relationships/hyperlink" Target="https://docs.google.com/document/d/1sz_yZf5JPc2tMQyIuWhbPH0wA1SlbPX1_HgorUKg_RA/edit?usp=drivesdk" TargetMode="External"/><Relationship Id="rId574" Type="http://schemas.openxmlformats.org/officeDocument/2006/relationships/hyperlink" Target="https://drive.google.com/open?id=1lxLGJpuIwN8ErgdbCW9In-BI95vvSd8n" TargetMode="External"/><Relationship Id="rId1167" Type="http://schemas.openxmlformats.org/officeDocument/2006/relationships/hyperlink" Target="https://drive.google.com/open?id=1uGRXBXNlakibN8IBjMAx5n3TgohbqdPA" TargetMode="External"/><Relationship Id="rId2498" Type="http://schemas.openxmlformats.org/officeDocument/2006/relationships/hyperlink" Target="https://drive.google.com/open?id=1XIfBSttSJxa9XW0rFkCCX8CYXWDxhNTt" TargetMode="External"/><Relationship Id="rId573" Type="http://schemas.openxmlformats.org/officeDocument/2006/relationships/hyperlink" Target="https://docs.google.com/document/d/10SDD__pENIVzv_eadP8God7Eo6Qxr8EcxruUBr0U_q0/edit?usp=drivesdk" TargetMode="External"/><Relationship Id="rId1168" Type="http://schemas.openxmlformats.org/officeDocument/2006/relationships/hyperlink" Target="https://drive.google.com/uc?export=view&amp;id=1uGRXBXNlakibN8IBjMAx5n3TgohbqdPA" TargetMode="External"/><Relationship Id="rId2499" Type="http://schemas.openxmlformats.org/officeDocument/2006/relationships/hyperlink" Target="https://drive.google.com/uc?export=view&amp;id=1XIfBSttSJxa9XW0rFkCCX8CYXWDxhNTt" TargetMode="External"/><Relationship Id="rId4228" Type="http://schemas.openxmlformats.org/officeDocument/2006/relationships/hyperlink" Target="https://docs.google.com/document/d/1blg1J6GaHDlR29htop3qrsJLyXg0W479qrlRJEpHTlU/edit?usp=drivesdk" TargetMode="External"/><Relationship Id="rId4227" Type="http://schemas.openxmlformats.org/officeDocument/2006/relationships/hyperlink" Target="https://drive.google.com/uc?export=view&amp;id=1ErnhF1RYj-6popcgFjpQtQthViN2bMcf" TargetMode="External"/><Relationship Id="rId4229" Type="http://schemas.openxmlformats.org/officeDocument/2006/relationships/hyperlink" Target="https://drive.google.com/open?id=1Xsw9SNM52msakMBLxXaxn0TsmImNIz2E" TargetMode="External"/><Relationship Id="rId1190" Type="http://schemas.openxmlformats.org/officeDocument/2006/relationships/hyperlink" Target="https://docs.google.com/document/d/1yyNWa_JtDAA3kmOj2B04kUItELqNftTz5TL4hmGANYg/edit?usp=drivesdk" TargetMode="External"/><Relationship Id="rId1191" Type="http://schemas.openxmlformats.org/officeDocument/2006/relationships/hyperlink" Target="https://drive.google.com/open?id=1nzZixdf0aaqUNkrv_Pjj_PWz5BJASf6Z" TargetMode="External"/><Relationship Id="rId1192" Type="http://schemas.openxmlformats.org/officeDocument/2006/relationships/hyperlink" Target="https://drive.google.com/uc?export=view&amp;id=1nzZixdf0aaqUNkrv_Pjj_PWz5BJASf6Z" TargetMode="External"/><Relationship Id="rId1193" Type="http://schemas.openxmlformats.org/officeDocument/2006/relationships/hyperlink" Target="https://docs.google.com/document/d/1mQwldbX0RZxMriA3pSI7WoTWaxEqG5kJqBdjnS0Qw3s/edit?usp=drivesdk" TargetMode="External"/><Relationship Id="rId1194" Type="http://schemas.openxmlformats.org/officeDocument/2006/relationships/hyperlink" Target="https://drive.google.com/open?id=1MN0_QGjDEz4f-xFCh35xycwMhgKNsfeh" TargetMode="External"/><Relationship Id="rId4220" Type="http://schemas.openxmlformats.org/officeDocument/2006/relationships/hyperlink" Target="https://drive.google.com/open?id=148g4kMSzVOZn5Dpk3nbH6_PTpT21TUM8" TargetMode="External"/><Relationship Id="rId1195" Type="http://schemas.openxmlformats.org/officeDocument/2006/relationships/hyperlink" Target="https://drive.google.com/uc?export=view&amp;id=1MN0_QGjDEz4f-xFCh35xycwMhgKNsfeh" TargetMode="External"/><Relationship Id="rId1196" Type="http://schemas.openxmlformats.org/officeDocument/2006/relationships/hyperlink" Target="https://docs.google.com/document/d/1mitNbxmVbLHpg10FGZ_WzmGqpjLauE2yBoxucgmBRzI/edit?usp=drivesdk" TargetMode="External"/><Relationship Id="rId4222" Type="http://schemas.openxmlformats.org/officeDocument/2006/relationships/hyperlink" Target="https://docs.google.com/document/d/1vCR_Cv-xypThWdFUmzKB1WhP84n8qRE2Tajs5SM359U/edit?usp=drivesdk" TargetMode="External"/><Relationship Id="rId1197" Type="http://schemas.openxmlformats.org/officeDocument/2006/relationships/hyperlink" Target="https://drive.google.com/open?id=1qPjOOQqBlpd7fHxMVfVpjZZXhMY6WKu9" TargetMode="External"/><Relationship Id="rId4221" Type="http://schemas.openxmlformats.org/officeDocument/2006/relationships/hyperlink" Target="https://drive.google.com/uc?export=view&amp;id=148g4kMSzVOZn5Dpk3nbH6_PTpT21TUM8" TargetMode="External"/><Relationship Id="rId1198" Type="http://schemas.openxmlformats.org/officeDocument/2006/relationships/hyperlink" Target="https://drive.google.com/uc?export=view&amp;id=1qPjOOQqBlpd7fHxMVfVpjZZXhMY6WKu9" TargetMode="External"/><Relationship Id="rId4224" Type="http://schemas.openxmlformats.org/officeDocument/2006/relationships/hyperlink" Target="https://drive.google.com/uc?export=view&amp;id=1mSzXk7caVwDHuaHQ84dO6rMbu322ArmW" TargetMode="External"/><Relationship Id="rId1199" Type="http://schemas.openxmlformats.org/officeDocument/2006/relationships/hyperlink" Target="https://docs.google.com/document/d/1Ps0tgcg5RNqd5iFjVG1wzWIOLXqgL7p2dK5JtAU76JI/edit?usp=drivesdk" TargetMode="External"/><Relationship Id="rId4223" Type="http://schemas.openxmlformats.org/officeDocument/2006/relationships/hyperlink" Target="https://drive.google.com/open?id=1mSzXk7caVwDHuaHQ84dO6rMbu322ArmW" TargetMode="External"/><Relationship Id="rId4226" Type="http://schemas.openxmlformats.org/officeDocument/2006/relationships/hyperlink" Target="https://drive.google.com/open?id=1ErnhF1RYj-6popcgFjpQtQthViN2bMcf" TargetMode="External"/><Relationship Id="rId4225" Type="http://schemas.openxmlformats.org/officeDocument/2006/relationships/hyperlink" Target="https://docs.google.com/document/d/1BxoleWeYxIkjh_OM5zrl6rfdxuDwKINjPgjMA_pw1Cc/edit?usp=drivesdk" TargetMode="External"/><Relationship Id="rId4217" Type="http://schemas.openxmlformats.org/officeDocument/2006/relationships/hyperlink" Target="https://drive.google.com/open?id=1LOB8raGhh2QVAVGf4RtpaxqU7LqC4lNs" TargetMode="External"/><Relationship Id="rId4216" Type="http://schemas.openxmlformats.org/officeDocument/2006/relationships/hyperlink" Target="https://docs.google.com/document/d/1mWhiXMevcaI_PGNOzKX2y-st8K-ZXXqt5jM63KUYueA/edit?usp=drivesdk" TargetMode="External"/><Relationship Id="rId4219" Type="http://schemas.openxmlformats.org/officeDocument/2006/relationships/hyperlink" Target="https://docs.google.com/document/d/1nppjWmm43v_kE0g8v5bR9N439YyrEbR6gwOeiT7eUVo/edit?usp=drivesdk" TargetMode="External"/><Relationship Id="rId4218" Type="http://schemas.openxmlformats.org/officeDocument/2006/relationships/hyperlink" Target="https://drive.google.com/uc?export=view&amp;id=1LOB8raGhh2QVAVGf4RtpaxqU7LqC4lNs" TargetMode="External"/><Relationship Id="rId599" Type="http://schemas.openxmlformats.org/officeDocument/2006/relationships/hyperlink" Target="https://drive.google.com/uc?export=view&amp;id=1vEDuuP6ba7vt2hq6y6g9zxNlGOgsBSfZ" TargetMode="External"/><Relationship Id="rId1180" Type="http://schemas.openxmlformats.org/officeDocument/2006/relationships/hyperlink" Target="https://drive.google.com/uc?export=view&amp;id=1T0DDVinT7vQi5LZ1G62hyTcXUdaoRIJK" TargetMode="External"/><Relationship Id="rId1181" Type="http://schemas.openxmlformats.org/officeDocument/2006/relationships/hyperlink" Target="https://docs.google.com/document/d/1yWUhVh50n1q3c_MCzN4GpNk4SL9t-y2rhEmNI79C3xk/edit?usp=drivesdk" TargetMode="External"/><Relationship Id="rId1182" Type="http://schemas.openxmlformats.org/officeDocument/2006/relationships/hyperlink" Target="https://drive.google.com/open?id=1nGoyvw_bZr53KvwICf5zuQbGNAU23yG8" TargetMode="External"/><Relationship Id="rId594" Type="http://schemas.openxmlformats.org/officeDocument/2006/relationships/hyperlink" Target="https://docs.google.com/document/d/1AaEZpT6RXCSt_fXaJ7VX-cuiFrY6ZklBc87d6ZXvZvE/edit?usp=drivesdk" TargetMode="External"/><Relationship Id="rId1183" Type="http://schemas.openxmlformats.org/officeDocument/2006/relationships/hyperlink" Target="https://drive.google.com/uc?export=view&amp;id=1nGoyvw_bZr53KvwICf5zuQbGNAU23yG8" TargetMode="External"/><Relationship Id="rId593" Type="http://schemas.openxmlformats.org/officeDocument/2006/relationships/hyperlink" Target="https://drive.google.com/uc?export=view&amp;id=1jYAgFFMK2FbOwBaqj8VGp5FchUbxR4Gq" TargetMode="External"/><Relationship Id="rId1184" Type="http://schemas.openxmlformats.org/officeDocument/2006/relationships/hyperlink" Target="https://docs.google.com/document/d/1-Kt-KGjhg9gIhTThrg7YWQeDOqDhKG1pIoi69rbzUi0/edit?usp=drivesdk" TargetMode="External"/><Relationship Id="rId592" Type="http://schemas.openxmlformats.org/officeDocument/2006/relationships/hyperlink" Target="https://drive.google.com/open?id=1jYAgFFMK2FbOwBaqj8VGp5FchUbxR4Gq" TargetMode="External"/><Relationship Id="rId1185" Type="http://schemas.openxmlformats.org/officeDocument/2006/relationships/hyperlink" Target="https://drive.google.com/open?id=11zCMrppISJ1bsW7lrcv9wRYl0ZM2h4KJ" TargetMode="External"/><Relationship Id="rId4211" Type="http://schemas.openxmlformats.org/officeDocument/2006/relationships/hyperlink" Target="https://drive.google.com/open?id=113nyTwSl2jkOwgfb0Jd_1Lj3_ESRHweD" TargetMode="External"/><Relationship Id="rId591" Type="http://schemas.openxmlformats.org/officeDocument/2006/relationships/hyperlink" Target="https://docs.google.com/document/d/1SXIjkdrwVOaGqh_DuYpdbIyZmQKH8VOJ4lFnlKGpLaM/edit?usp=drivesdk" TargetMode="External"/><Relationship Id="rId1186" Type="http://schemas.openxmlformats.org/officeDocument/2006/relationships/hyperlink" Target="https://drive.google.com/uc?export=view&amp;id=11zCMrppISJ1bsW7lrcv9wRYl0ZM2h4KJ" TargetMode="External"/><Relationship Id="rId4210" Type="http://schemas.openxmlformats.org/officeDocument/2006/relationships/hyperlink" Target="https://docs.google.com/document/d/1oQkDiGsn3Flh48-lawM9K6XvkpPDzD2DHRSDwOMZP30/edit?usp=drivesdk" TargetMode="External"/><Relationship Id="rId598" Type="http://schemas.openxmlformats.org/officeDocument/2006/relationships/hyperlink" Target="https://drive.google.com/open?id=1vEDuuP6ba7vt2hq6y6g9zxNlGOgsBSfZ" TargetMode="External"/><Relationship Id="rId1187" Type="http://schemas.openxmlformats.org/officeDocument/2006/relationships/hyperlink" Target="https://docs.google.com/document/d/1fFEc8mNp2sTIgcgAydJ3-SB_CAX3R89ygebh2YvSIOk/edit?usp=drivesdk" TargetMode="External"/><Relationship Id="rId4213" Type="http://schemas.openxmlformats.org/officeDocument/2006/relationships/hyperlink" Target="https://docs.google.com/document/d/1e-ZRO2dvI8OzuuBBXOTdBetokMz1jJysG5dnz7U7UAI/edit?usp=drivesdk" TargetMode="External"/><Relationship Id="rId597" Type="http://schemas.openxmlformats.org/officeDocument/2006/relationships/hyperlink" Target="https://docs.google.com/document/d/1TtxGHod0QXPHlaryPSMwq8HUDHeZEw3GcHx5IaSA4MA/edit?usp=drivesdk" TargetMode="External"/><Relationship Id="rId1188" Type="http://schemas.openxmlformats.org/officeDocument/2006/relationships/hyperlink" Target="https://drive.google.com/open?id=1EgV1LgfUhSRf0hTmtxkByUcbnzFXSDuK" TargetMode="External"/><Relationship Id="rId4212" Type="http://schemas.openxmlformats.org/officeDocument/2006/relationships/hyperlink" Target="https://drive.google.com/uc?export=view&amp;id=113nyTwSl2jkOwgfb0Jd_1Lj3_ESRHweD" TargetMode="External"/><Relationship Id="rId596" Type="http://schemas.openxmlformats.org/officeDocument/2006/relationships/hyperlink" Target="https://drive.google.com/uc?export=view&amp;id=1VLWnJmzZCLQM-_1ffk-m-DcaaZ6l5m9B" TargetMode="External"/><Relationship Id="rId1189" Type="http://schemas.openxmlformats.org/officeDocument/2006/relationships/hyperlink" Target="https://drive.google.com/uc?export=view&amp;id=1EgV1LgfUhSRf0hTmtxkByUcbnzFXSDuK" TargetMode="External"/><Relationship Id="rId4215" Type="http://schemas.openxmlformats.org/officeDocument/2006/relationships/hyperlink" Target="https://drive.google.com/uc?export=view&amp;id=1r6pbVU8UNfUMo0XyGqE7o86FG53Xzdq9" TargetMode="External"/><Relationship Id="rId595" Type="http://schemas.openxmlformats.org/officeDocument/2006/relationships/hyperlink" Target="https://drive.google.com/open?id=1VLWnJmzZCLQM-_1ffk-m-DcaaZ6l5m9B" TargetMode="External"/><Relationship Id="rId4214" Type="http://schemas.openxmlformats.org/officeDocument/2006/relationships/hyperlink" Target="https://drive.google.com/open?id=1r6pbVU8UNfUMo0XyGqE7o86FG53Xzdq9" TargetMode="External"/><Relationship Id="rId1136" Type="http://schemas.openxmlformats.org/officeDocument/2006/relationships/hyperlink" Target="https://docs.google.com/document/d/1pQCppBAk-ICcdjca0rOESTLLretyqOhuvKbJKyLG5as/edit?usp=drivesdk" TargetMode="External"/><Relationship Id="rId2467" Type="http://schemas.openxmlformats.org/officeDocument/2006/relationships/hyperlink" Target="https://docs.google.com/document/d/167fqkLwb9iKdQxMB3KwQ2WXsjlqUBRh49Gd8QPFYe3o/edit?usp=drivesdk" TargetMode="External"/><Relationship Id="rId3799" Type="http://schemas.openxmlformats.org/officeDocument/2006/relationships/hyperlink" Target="https://docs.google.com/document/d/1mCtGq1kN_IPAD976djjnyLAcXr8UkmGHWLjKVgHwGPw/edit?usp=drivesdk" TargetMode="External"/><Relationship Id="rId1137" Type="http://schemas.openxmlformats.org/officeDocument/2006/relationships/hyperlink" Target="https://drive.google.com/open?id=1NRV2o-4E9Rt95iPWMsL-7GSc1O75z3l0" TargetMode="External"/><Relationship Id="rId2468" Type="http://schemas.openxmlformats.org/officeDocument/2006/relationships/hyperlink" Target="https://drive.google.com/open?id=1YWhihxXoks7Tg05-i5c1GcqmikqjOHEL" TargetMode="External"/><Relationship Id="rId3798" Type="http://schemas.openxmlformats.org/officeDocument/2006/relationships/hyperlink" Target="https://drive.google.com/uc?export=view&amp;id=13EnmR-1cGPlyq9CG_NnXVo3eMFhgQ7rW" TargetMode="External"/><Relationship Id="rId1138" Type="http://schemas.openxmlformats.org/officeDocument/2006/relationships/hyperlink" Target="https://drive.google.com/uc?export=view&amp;id=1NRV2o-4E9Rt95iPWMsL-7GSc1O75z3l0" TargetMode="External"/><Relationship Id="rId2469" Type="http://schemas.openxmlformats.org/officeDocument/2006/relationships/hyperlink" Target="https://drive.google.com/uc?export=view&amp;id=1YWhihxXoks7Tg05-i5c1GcqmikqjOHEL" TargetMode="External"/><Relationship Id="rId1139" Type="http://schemas.openxmlformats.org/officeDocument/2006/relationships/hyperlink" Target="https://docs.google.com/document/d/1eupMBAl5Y6hQ5exspK35gqKRzLCKxEfrTQlWqRzsZJw/edit?usp=drivesdk" TargetMode="External"/><Relationship Id="rId547" Type="http://schemas.openxmlformats.org/officeDocument/2006/relationships/hyperlink" Target="https://drive.google.com/open?id=1E_wGVMfALAG6mIEyOSTxzsr4gLv9iXCY" TargetMode="External"/><Relationship Id="rId546" Type="http://schemas.openxmlformats.org/officeDocument/2006/relationships/hyperlink" Target="https://docs.google.com/document/d/1pnoQTtgQYHCVgQREffibC-6cunsIruZvtNjAMK318rQ/edit?usp=drivesdk" TargetMode="External"/><Relationship Id="rId545" Type="http://schemas.openxmlformats.org/officeDocument/2006/relationships/hyperlink" Target="https://drive.google.com/uc?export=view&amp;id=1YZJfMV4U8iz1dHrg6TJhzItRGbCD1URi" TargetMode="External"/><Relationship Id="rId544" Type="http://schemas.openxmlformats.org/officeDocument/2006/relationships/hyperlink" Target="https://drive.google.com/open?id=1YZJfMV4U8iz1dHrg6TJhzItRGbCD1URi" TargetMode="External"/><Relationship Id="rId549" Type="http://schemas.openxmlformats.org/officeDocument/2006/relationships/hyperlink" Target="https://docs.google.com/document/d/1WEofozfmU_0rk72ClF0YpyLL5Uz8yQ_7wwBWu2712iM/edit?usp=drivesdk" TargetMode="External"/><Relationship Id="rId548" Type="http://schemas.openxmlformats.org/officeDocument/2006/relationships/hyperlink" Target="https://drive.google.com/uc?export=view&amp;id=1E_wGVMfALAG6mIEyOSTxzsr4gLv9iXCY" TargetMode="External"/><Relationship Id="rId3791" Type="http://schemas.openxmlformats.org/officeDocument/2006/relationships/hyperlink" Target="https://drive.google.com/open?id=1Iv1ghvwcVuMCn4u9RP2CH1XTzDE6t3da" TargetMode="External"/><Relationship Id="rId2460" Type="http://schemas.openxmlformats.org/officeDocument/2006/relationships/hyperlink" Target="https://drive.google.com/uc?export=view&amp;id=1zALE_tWQOnc5kIPdK7YbL9qN37PwYFqk" TargetMode="External"/><Relationship Id="rId3790" Type="http://schemas.openxmlformats.org/officeDocument/2006/relationships/hyperlink" Target="https://docs.google.com/document/d/1tPJU3XL-XXPxEhLhmOxVtU7pobHo9x4xIGd96sq_bto/edit?usp=drivesdk" TargetMode="External"/><Relationship Id="rId1130" Type="http://schemas.openxmlformats.org/officeDocument/2006/relationships/hyperlink" Target="https://docs.google.com/document/d/1X4ZNssW7GeWzon6t83MipyGzAW4lR-eX27hPL1xJmqs/edit?usp=drivesdk" TargetMode="External"/><Relationship Id="rId2461" Type="http://schemas.openxmlformats.org/officeDocument/2006/relationships/hyperlink" Target="https://docs.google.com/document/d/18IEwTsinRN2M84HIXJUYVLc0zU2RjcPrBaG0hm8uPWo/edit?usp=drivesdk" TargetMode="External"/><Relationship Id="rId3793" Type="http://schemas.openxmlformats.org/officeDocument/2006/relationships/hyperlink" Target="https://docs.google.com/document/d/1sOzQXVQdy0nLroY6kRBLIKNaEXsxOXc3l7XW5bABNlk/edit?usp=drivesdk" TargetMode="External"/><Relationship Id="rId1131" Type="http://schemas.openxmlformats.org/officeDocument/2006/relationships/hyperlink" Target="https://drive.google.com/open?id=1IKbzdEA3-FUqkdNTk56DcQFNLuAzdp2w" TargetMode="External"/><Relationship Id="rId2462" Type="http://schemas.openxmlformats.org/officeDocument/2006/relationships/hyperlink" Target="https://drive.google.com/open?id=1EX-VH47zdhefTpnnwCg_D_6nTJP7dHLR" TargetMode="External"/><Relationship Id="rId3792" Type="http://schemas.openxmlformats.org/officeDocument/2006/relationships/hyperlink" Target="https://drive.google.com/uc?export=view&amp;id=1Iv1ghvwcVuMCn4u9RP2CH1XTzDE6t3da" TargetMode="External"/><Relationship Id="rId543" Type="http://schemas.openxmlformats.org/officeDocument/2006/relationships/hyperlink" Target="https://docs.google.com/document/d/1TbO494quaiPImGVJhI2SQYaEdMXH0MA61kYbcJsIvAA/edit?usp=drivesdk" TargetMode="External"/><Relationship Id="rId1132" Type="http://schemas.openxmlformats.org/officeDocument/2006/relationships/hyperlink" Target="https://drive.google.com/uc?export=view&amp;id=1IKbzdEA3-FUqkdNTk56DcQFNLuAzdp2w" TargetMode="External"/><Relationship Id="rId2463" Type="http://schemas.openxmlformats.org/officeDocument/2006/relationships/hyperlink" Target="https://drive.google.com/uc?export=view&amp;id=1EX-VH47zdhefTpnnwCg_D_6nTJP7dHLR" TargetMode="External"/><Relationship Id="rId3795" Type="http://schemas.openxmlformats.org/officeDocument/2006/relationships/hyperlink" Target="https://drive.google.com/uc?export=view&amp;id=1q1302vbW9cCVX4ZxU8j1Dv9LHyVjKoNv" TargetMode="External"/><Relationship Id="rId542" Type="http://schemas.openxmlformats.org/officeDocument/2006/relationships/hyperlink" Target="https://drive.google.com/uc?export=view&amp;id=16XDtObeq3-B5jW2gZen4vrTMvyS33xng" TargetMode="External"/><Relationship Id="rId1133" Type="http://schemas.openxmlformats.org/officeDocument/2006/relationships/hyperlink" Target="https://docs.google.com/document/d/1XcbTQLNpMtsDMLKvnuaozA2RLI59HI9tza8SuelN-II/edit?usp=drivesdk" TargetMode="External"/><Relationship Id="rId2464" Type="http://schemas.openxmlformats.org/officeDocument/2006/relationships/hyperlink" Target="https://docs.google.com/document/d/1xreK3Iq7jtp6qubFEmPxsdYK7dtQ4kzpQSFeM0k1Rjc/edit?usp=drivesdk" TargetMode="External"/><Relationship Id="rId3794" Type="http://schemas.openxmlformats.org/officeDocument/2006/relationships/hyperlink" Target="https://drive.google.com/open?id=1q1302vbW9cCVX4ZxU8j1Dv9LHyVjKoNv" TargetMode="External"/><Relationship Id="rId541" Type="http://schemas.openxmlformats.org/officeDocument/2006/relationships/hyperlink" Target="https://drive.google.com/open?id=16XDtObeq3-B5jW2gZen4vrTMvyS33xng" TargetMode="External"/><Relationship Id="rId1134" Type="http://schemas.openxmlformats.org/officeDocument/2006/relationships/hyperlink" Target="https://drive.google.com/open?id=1Z6uZFPTC1wJd9wMO4R1hz2ZhjBnAXEC9" TargetMode="External"/><Relationship Id="rId2465" Type="http://schemas.openxmlformats.org/officeDocument/2006/relationships/hyperlink" Target="https://drive.google.com/open?id=13VxBgn1xvnTBmbn37FtWlY_pnRrSu-nb" TargetMode="External"/><Relationship Id="rId3797" Type="http://schemas.openxmlformats.org/officeDocument/2006/relationships/hyperlink" Target="https://drive.google.com/open?id=13EnmR-1cGPlyq9CG_NnXVo3eMFhgQ7rW" TargetMode="External"/><Relationship Id="rId540" Type="http://schemas.openxmlformats.org/officeDocument/2006/relationships/hyperlink" Target="https://docs.google.com/document/d/16ON8bVthF95PPWoua_6exbBpbqIiqk_3AwiBWtXcWrU/edit?usp=drivesdk" TargetMode="External"/><Relationship Id="rId1135" Type="http://schemas.openxmlformats.org/officeDocument/2006/relationships/hyperlink" Target="https://drive.google.com/uc?export=view&amp;id=1Z6uZFPTC1wJd9wMO4R1hz2ZhjBnAXEC9" TargetMode="External"/><Relationship Id="rId2466" Type="http://schemas.openxmlformats.org/officeDocument/2006/relationships/hyperlink" Target="https://drive.google.com/uc?export=view&amp;id=13VxBgn1xvnTBmbn37FtWlY_pnRrSu-nb" TargetMode="External"/><Relationship Id="rId3796" Type="http://schemas.openxmlformats.org/officeDocument/2006/relationships/hyperlink" Target="https://docs.google.com/document/d/17InnGotfx4DnsIh2chqnp1KzxnbZ19y8bf81rHc8JaA/edit?usp=drivesdk" TargetMode="External"/><Relationship Id="rId1125" Type="http://schemas.openxmlformats.org/officeDocument/2006/relationships/hyperlink" Target="https://drive.google.com/open?id=1HRGgFA6EKWcPyacNv4LEkxZAu1oOQsqb" TargetMode="External"/><Relationship Id="rId2456" Type="http://schemas.openxmlformats.org/officeDocument/2006/relationships/hyperlink" Target="https://drive.google.com/open?id=1xAp9u3zE6lYZZjwQqAuPWyWMT3YZz25H" TargetMode="External"/><Relationship Id="rId3788" Type="http://schemas.openxmlformats.org/officeDocument/2006/relationships/hyperlink" Target="https://drive.google.com/open?id=1SzJjL1B7tpVb-cLQbx60W7Ih7hUz4kld" TargetMode="External"/><Relationship Id="rId1126" Type="http://schemas.openxmlformats.org/officeDocument/2006/relationships/hyperlink" Target="https://drive.google.com/uc?export=view&amp;id=1HRGgFA6EKWcPyacNv4LEkxZAu1oOQsqb" TargetMode="External"/><Relationship Id="rId2457" Type="http://schemas.openxmlformats.org/officeDocument/2006/relationships/hyperlink" Target="https://drive.google.com/uc?export=view&amp;id=1xAp9u3zE6lYZZjwQqAuPWyWMT3YZz25H" TargetMode="External"/><Relationship Id="rId3787" Type="http://schemas.openxmlformats.org/officeDocument/2006/relationships/hyperlink" Target="https://docs.google.com/document/d/1SAp5Ukv9ZEFLuOSXyREztitDqQhhMNqW79qvH1rrqdY/edit?usp=drivesdk" TargetMode="External"/><Relationship Id="rId1127" Type="http://schemas.openxmlformats.org/officeDocument/2006/relationships/hyperlink" Target="https://docs.google.com/document/d/1WY_28QwFY9cTmMKUGgwLcxBOAtgalCG4M0D2LEVSILo/edit?usp=drivesdk" TargetMode="External"/><Relationship Id="rId2458" Type="http://schemas.openxmlformats.org/officeDocument/2006/relationships/hyperlink" Target="https://docs.google.com/document/d/1WLkmUtEm43zMU4ws2bJQzRw1Q5G7ZuM-y6c0QiT_b1w/edit?usp=drivesdk" TargetMode="External"/><Relationship Id="rId1128" Type="http://schemas.openxmlformats.org/officeDocument/2006/relationships/hyperlink" Target="https://drive.google.com/open?id=1nNT76lxT8SbQceLGEnDtFA8UAKHCJvvJ" TargetMode="External"/><Relationship Id="rId2459" Type="http://schemas.openxmlformats.org/officeDocument/2006/relationships/hyperlink" Target="https://drive.google.com/open?id=1zALE_tWQOnc5kIPdK7YbL9qN37PwYFqk" TargetMode="External"/><Relationship Id="rId3789" Type="http://schemas.openxmlformats.org/officeDocument/2006/relationships/hyperlink" Target="https://drive.google.com/uc?export=view&amp;id=1SzJjL1B7tpVb-cLQbx60W7Ih7hUz4kld" TargetMode="External"/><Relationship Id="rId1129" Type="http://schemas.openxmlformats.org/officeDocument/2006/relationships/hyperlink" Target="https://drive.google.com/uc?export=view&amp;id=1nNT76lxT8SbQceLGEnDtFA8UAKHCJvvJ" TargetMode="External"/><Relationship Id="rId536" Type="http://schemas.openxmlformats.org/officeDocument/2006/relationships/hyperlink" Target="https://drive.google.com/uc?export=view&amp;id=1bcYS_lWjlANqVw2ZnONpzzbdAoHlNtMh" TargetMode="External"/><Relationship Id="rId535" Type="http://schemas.openxmlformats.org/officeDocument/2006/relationships/hyperlink" Target="https://drive.google.com/open?id=1bcYS_lWjlANqVw2ZnONpzzbdAoHlNtMh" TargetMode="External"/><Relationship Id="rId534" Type="http://schemas.openxmlformats.org/officeDocument/2006/relationships/hyperlink" Target="https://docs.google.com/document/d/1uKRJKD5T8f5aB64jJbd0qSgdfwrNeXPNaJJ5CUdqKuQ/edit?usp=drivesdk" TargetMode="External"/><Relationship Id="rId533" Type="http://schemas.openxmlformats.org/officeDocument/2006/relationships/hyperlink" Target="https://drive.google.com/uc?export=view&amp;id=1IifmGUInDr0sO2DqoRDEt54jhfHfJEJv" TargetMode="External"/><Relationship Id="rId539" Type="http://schemas.openxmlformats.org/officeDocument/2006/relationships/hyperlink" Target="https://drive.google.com/uc?export=view&amp;id=1RTawOCMppxVHE99sYbzz8cgliLOT7ai1" TargetMode="External"/><Relationship Id="rId538" Type="http://schemas.openxmlformats.org/officeDocument/2006/relationships/hyperlink" Target="https://drive.google.com/open?id=1RTawOCMppxVHE99sYbzz8cgliLOT7ai1" TargetMode="External"/><Relationship Id="rId537" Type="http://schemas.openxmlformats.org/officeDocument/2006/relationships/hyperlink" Target="https://docs.google.com/document/d/1lN5DmWgFx3tgxSRwP3qOlWpWWL-V4i968KlMmkFTw48/edit?usp=drivesdk" TargetMode="External"/><Relationship Id="rId3780" Type="http://schemas.openxmlformats.org/officeDocument/2006/relationships/hyperlink" Target="https://drive.google.com/uc?export=view&amp;id=1nvWfKm0TpyTW2fBdjAI5oc8-LHQ6hbvq" TargetMode="External"/><Relationship Id="rId2450" Type="http://schemas.openxmlformats.org/officeDocument/2006/relationships/hyperlink" Target="https://drive.google.com/open?id=1DIpspDTMqHSWjxti-WhLPAm-rJ9HvTXS" TargetMode="External"/><Relationship Id="rId3782" Type="http://schemas.openxmlformats.org/officeDocument/2006/relationships/hyperlink" Target="https://drive.google.com/open?id=1bX3AW7ywWU7ULzEI-jTDK6TR1P7C6K-o" TargetMode="External"/><Relationship Id="rId1120" Type="http://schemas.openxmlformats.org/officeDocument/2006/relationships/hyperlink" Target="https://drive.google.com/uc?export=view&amp;id=1vNrgRftwmVEYAAy4Ip353aWd3x-ldMLu" TargetMode="External"/><Relationship Id="rId2451" Type="http://schemas.openxmlformats.org/officeDocument/2006/relationships/hyperlink" Target="https://drive.google.com/uc?export=view&amp;id=1DIpspDTMqHSWjxti-WhLPAm-rJ9HvTXS" TargetMode="External"/><Relationship Id="rId3781" Type="http://schemas.openxmlformats.org/officeDocument/2006/relationships/hyperlink" Target="https://docs.google.com/document/d/1U-M1X2xKCULi4ofi8Cld07MUbDO5fypaaNQqc4dR5XY/edit?usp=drivesdk" TargetMode="External"/><Relationship Id="rId532" Type="http://schemas.openxmlformats.org/officeDocument/2006/relationships/hyperlink" Target="https://drive.google.com/open?id=1IifmGUInDr0sO2DqoRDEt54jhfHfJEJv" TargetMode="External"/><Relationship Id="rId1121" Type="http://schemas.openxmlformats.org/officeDocument/2006/relationships/hyperlink" Target="https://docs.google.com/document/d/1_gN14iAhBp9mlcLFNgeX1TSYH1X8orGnoSGE3A-kGPo/edit?usp=drivesdk" TargetMode="External"/><Relationship Id="rId2452" Type="http://schemas.openxmlformats.org/officeDocument/2006/relationships/hyperlink" Target="https://docs.google.com/document/d/1dCBtgFcTv738uYvb8xDiLi0CWjt0aQZKhAEhJboW-9o/edit?usp=drivesdk" TargetMode="External"/><Relationship Id="rId3784" Type="http://schemas.openxmlformats.org/officeDocument/2006/relationships/hyperlink" Target="https://docs.google.com/document/d/1pDF--5THmnUxcQaVcvtiPSoe-O2wNPnxV-4x-9hAt1E/edit?usp=drivesdk" TargetMode="External"/><Relationship Id="rId531" Type="http://schemas.openxmlformats.org/officeDocument/2006/relationships/hyperlink" Target="https://docs.google.com/document/d/1O4cmsFqYkQ0ZVe008uenWhAb35zZag2B9hNh7gM7YVA/edit?usp=drivesdk" TargetMode="External"/><Relationship Id="rId1122" Type="http://schemas.openxmlformats.org/officeDocument/2006/relationships/hyperlink" Target="https://drive.google.com/open?id=1DN2itSSFrXzVe8cNRAI6RkHwyKKcGaD7" TargetMode="External"/><Relationship Id="rId2453" Type="http://schemas.openxmlformats.org/officeDocument/2006/relationships/hyperlink" Target="https://drive.google.com/open?id=1rlF1zUU1B_-8TVn7nlTDZ7jczh8Lrdcn" TargetMode="External"/><Relationship Id="rId3783" Type="http://schemas.openxmlformats.org/officeDocument/2006/relationships/hyperlink" Target="https://drive.google.com/uc?export=view&amp;id=1bX3AW7ywWU7ULzEI-jTDK6TR1P7C6K-o" TargetMode="External"/><Relationship Id="rId530" Type="http://schemas.openxmlformats.org/officeDocument/2006/relationships/hyperlink" Target="https://drive.google.com/uc?export=view&amp;id=1trgN6kh93jEHJDAXDn1BKKf2Dg6ifp3g" TargetMode="External"/><Relationship Id="rId1123" Type="http://schemas.openxmlformats.org/officeDocument/2006/relationships/hyperlink" Target="https://drive.google.com/uc?export=view&amp;id=1DN2itSSFrXzVe8cNRAI6RkHwyKKcGaD7" TargetMode="External"/><Relationship Id="rId2454" Type="http://schemas.openxmlformats.org/officeDocument/2006/relationships/hyperlink" Target="https://drive.google.com/uc?export=view&amp;id=1rlF1zUU1B_-8TVn7nlTDZ7jczh8Lrdcn" TargetMode="External"/><Relationship Id="rId3786" Type="http://schemas.openxmlformats.org/officeDocument/2006/relationships/hyperlink" Target="https://drive.google.com/uc?export=view&amp;id=15TVUQN4uarObWD_vQznWH2emJdSISlKp" TargetMode="External"/><Relationship Id="rId1124" Type="http://schemas.openxmlformats.org/officeDocument/2006/relationships/hyperlink" Target="https://docs.google.com/document/d/1Mb1Apiht2SPNRjFY8Id0CwEklP3XDU472rnsuCeaMHQ/edit?usp=drivesdk" TargetMode="External"/><Relationship Id="rId2455" Type="http://schemas.openxmlformats.org/officeDocument/2006/relationships/hyperlink" Target="https://docs.google.com/document/d/1-mA2VMoxSTjQMZmF4mG44ZuFlFkZk3e47RqtJOdktjg/edit?usp=drivesdk" TargetMode="External"/><Relationship Id="rId3785" Type="http://schemas.openxmlformats.org/officeDocument/2006/relationships/hyperlink" Target="https://drive.google.com/open?id=15TVUQN4uarObWD_vQznWH2emJdSISlKp" TargetMode="External"/><Relationship Id="rId1158" Type="http://schemas.openxmlformats.org/officeDocument/2006/relationships/hyperlink" Target="https://drive.google.com/open?id=1W288Bk5GldUwYQjF8RkE0_X0JIEOcvPI" TargetMode="External"/><Relationship Id="rId2489" Type="http://schemas.openxmlformats.org/officeDocument/2006/relationships/hyperlink" Target="https://drive.google.com/open?id=155LXeyCdJNbOIkLb-Najl6yA_NUw-exE" TargetMode="External"/><Relationship Id="rId1159" Type="http://schemas.openxmlformats.org/officeDocument/2006/relationships/hyperlink" Target="https://drive.google.com/uc?export=view&amp;id=1W288Bk5GldUwYQjF8RkE0_X0JIEOcvPI" TargetMode="External"/><Relationship Id="rId569" Type="http://schemas.openxmlformats.org/officeDocument/2006/relationships/hyperlink" Target="https://drive.google.com/uc?export=view&amp;id=1vz8c8dOJo-jV3msvVPw9YMsYu0iooSWX" TargetMode="External"/><Relationship Id="rId568" Type="http://schemas.openxmlformats.org/officeDocument/2006/relationships/hyperlink" Target="https://drive.google.com/open?id=1vz8c8dOJo-jV3msvVPw9YMsYu0iooSWX" TargetMode="External"/><Relationship Id="rId567" Type="http://schemas.openxmlformats.org/officeDocument/2006/relationships/hyperlink" Target="https://docs.google.com/document/d/1g6F2meQp5At89q9Mw_v-CFxsHus5sgGjglHXOi5JZP8/edit?usp=drivesdk" TargetMode="External"/><Relationship Id="rId566" Type="http://schemas.openxmlformats.org/officeDocument/2006/relationships/hyperlink" Target="https://drive.google.com/uc?export=view&amp;id=1Ywxg96WZEZH_4hxqTqiDJ8ProAZ-BKSC" TargetMode="External"/><Relationship Id="rId2480" Type="http://schemas.openxmlformats.org/officeDocument/2006/relationships/hyperlink" Target="https://drive.google.com/open?id=1ZkhT_O62QN3Ikg06B2_Q9_NfPlNp_ptW" TargetMode="External"/><Relationship Id="rId561" Type="http://schemas.openxmlformats.org/officeDocument/2006/relationships/hyperlink" Target="https://docs.google.com/document/d/1CnsjIVKDgVsaJEyjXYmsyEyxNMgLY_oBLM2BRXVGcVo/edit?usp=drivesdk" TargetMode="External"/><Relationship Id="rId1150" Type="http://schemas.openxmlformats.org/officeDocument/2006/relationships/hyperlink" Target="https://drive.google.com/uc?export=view&amp;id=1QPhFA2xsBC3BYS4Fdt-r4r738dC0Z2LI" TargetMode="External"/><Relationship Id="rId2481" Type="http://schemas.openxmlformats.org/officeDocument/2006/relationships/hyperlink" Target="https://drive.google.com/uc?export=view&amp;id=1ZkhT_O62QN3Ikg06B2_Q9_NfPlNp_ptW" TargetMode="External"/><Relationship Id="rId560" Type="http://schemas.openxmlformats.org/officeDocument/2006/relationships/hyperlink" Target="https://drive.google.com/uc?export=view&amp;id=1yuJsTubiCdwfw30PiCxvt0nyKRuyl4JO" TargetMode="External"/><Relationship Id="rId1151" Type="http://schemas.openxmlformats.org/officeDocument/2006/relationships/hyperlink" Target="https://docs.google.com/document/d/1NGJrcAXf18QWxrk3WRtbvcfayarkkoKi4DI7SbmSiRo/edit?usp=drivesdk" TargetMode="External"/><Relationship Id="rId2482" Type="http://schemas.openxmlformats.org/officeDocument/2006/relationships/hyperlink" Target="https://docs.google.com/document/d/1hrE12iceKG5PsfzwYMn0AJOXPntM47fF7NATrdYhmCo/edit?usp=drivesdk" TargetMode="External"/><Relationship Id="rId1152" Type="http://schemas.openxmlformats.org/officeDocument/2006/relationships/hyperlink" Target="https://drive.google.com/open?id=1t2I8xtSzyJAc6Z8hyzYiwMmgUXB89J1r" TargetMode="External"/><Relationship Id="rId2483" Type="http://schemas.openxmlformats.org/officeDocument/2006/relationships/hyperlink" Target="https://drive.google.com/open?id=1dGgEEl9FyPAQTBwe-g8_-qZBigWabbJ4" TargetMode="External"/><Relationship Id="rId1153" Type="http://schemas.openxmlformats.org/officeDocument/2006/relationships/hyperlink" Target="https://drive.google.com/uc?export=view&amp;id=1t2I8xtSzyJAc6Z8hyzYiwMmgUXB89J1r" TargetMode="External"/><Relationship Id="rId2484" Type="http://schemas.openxmlformats.org/officeDocument/2006/relationships/hyperlink" Target="https://drive.google.com/uc?export=view&amp;id=1dGgEEl9FyPAQTBwe-g8_-qZBigWabbJ4" TargetMode="External"/><Relationship Id="rId565" Type="http://schemas.openxmlformats.org/officeDocument/2006/relationships/hyperlink" Target="https://drive.google.com/open?id=1Ywxg96WZEZH_4hxqTqiDJ8ProAZ-BKSC" TargetMode="External"/><Relationship Id="rId1154" Type="http://schemas.openxmlformats.org/officeDocument/2006/relationships/hyperlink" Target="https://docs.google.com/document/d/1sbE96tNT2aKu8giKpSoatmEhilfUUPjyLAw3fLax32U/edit?usp=drivesdk" TargetMode="External"/><Relationship Id="rId2485" Type="http://schemas.openxmlformats.org/officeDocument/2006/relationships/hyperlink" Target="https://docs.google.com/document/d/1CjhuvMaYETTnFIPi_XXUqYTW3QNkTiCQ4Zs7Uwdyu00/edit?usp=drivesdk" TargetMode="External"/><Relationship Id="rId564" Type="http://schemas.openxmlformats.org/officeDocument/2006/relationships/hyperlink" Target="https://docs.google.com/document/d/1WAHx6HMbzunRAJFvenOPzs0i1gi92Vj_m_kWmbQEz_w/edit?usp=drivesdk" TargetMode="External"/><Relationship Id="rId1155" Type="http://schemas.openxmlformats.org/officeDocument/2006/relationships/hyperlink" Target="https://drive.google.com/open?id=1Mbjj-1E7yxGY4Ck4h_Qv29q0IhrpPTqc" TargetMode="External"/><Relationship Id="rId2486" Type="http://schemas.openxmlformats.org/officeDocument/2006/relationships/hyperlink" Target="https://drive.google.com/open?id=1OX6gIbbntmwG60iX9Upem5Y5bTNk0GNJ" TargetMode="External"/><Relationship Id="rId563" Type="http://schemas.openxmlformats.org/officeDocument/2006/relationships/hyperlink" Target="https://drive.google.com/uc?export=view&amp;id=1C6l9gn-py2bKnJka9o54yyPQuD012bfk" TargetMode="External"/><Relationship Id="rId1156" Type="http://schemas.openxmlformats.org/officeDocument/2006/relationships/hyperlink" Target="https://drive.google.com/uc?export=view&amp;id=1Mbjj-1E7yxGY4Ck4h_Qv29q0IhrpPTqc" TargetMode="External"/><Relationship Id="rId2487" Type="http://schemas.openxmlformats.org/officeDocument/2006/relationships/hyperlink" Target="https://drive.google.com/uc?export=view&amp;id=1OX6gIbbntmwG60iX9Upem5Y5bTNk0GNJ" TargetMode="External"/><Relationship Id="rId562" Type="http://schemas.openxmlformats.org/officeDocument/2006/relationships/hyperlink" Target="https://drive.google.com/open?id=1C6l9gn-py2bKnJka9o54yyPQuD012bfk" TargetMode="External"/><Relationship Id="rId1157" Type="http://schemas.openxmlformats.org/officeDocument/2006/relationships/hyperlink" Target="https://docs.google.com/document/d/17OgYPXISx_HKP1eAsqWlowWSoKfwzou24Guaiqrpwgc/edit?usp=drivesdk" TargetMode="External"/><Relationship Id="rId2488" Type="http://schemas.openxmlformats.org/officeDocument/2006/relationships/hyperlink" Target="https://docs.google.com/document/d/1jgL_etAHkiW_9d4SEGC3EJiOO2TYE_kB_DW3bCc3TjM/edit?usp=drivesdk" TargetMode="External"/><Relationship Id="rId1147" Type="http://schemas.openxmlformats.org/officeDocument/2006/relationships/hyperlink" Target="https://drive.google.com/uc?export=view&amp;id=1BttLuyih18gT2ZnOIhLj2-CEcMD8AmZE" TargetMode="External"/><Relationship Id="rId2478" Type="http://schemas.openxmlformats.org/officeDocument/2006/relationships/hyperlink" Target="https://drive.google.com/uc?export=view&amp;id=1OxXEJvl64Pb_3D5i6Wrc7DGY6zpPhzgt" TargetMode="External"/><Relationship Id="rId1148" Type="http://schemas.openxmlformats.org/officeDocument/2006/relationships/hyperlink" Target="https://docs.google.com/document/d/1mYocTSiMUwVaCFPDelH3Sxw5V3H55wSx7GRUrYc9g00/edit?usp=drivesdk" TargetMode="External"/><Relationship Id="rId2479" Type="http://schemas.openxmlformats.org/officeDocument/2006/relationships/hyperlink" Target="https://docs.google.com/document/d/1JUNmryJDirmJ_Y16rEsV6uGZMM4m16JeG9G1ACyeMEM/edit?usp=drivesdk" TargetMode="External"/><Relationship Id="rId1149" Type="http://schemas.openxmlformats.org/officeDocument/2006/relationships/hyperlink" Target="https://drive.google.com/open?id=1QPhFA2xsBC3BYS4Fdt-r4r738dC0Z2LI" TargetMode="External"/><Relationship Id="rId558" Type="http://schemas.openxmlformats.org/officeDocument/2006/relationships/hyperlink" Target="https://docs.google.com/document/d/1IH4qpMdGP3pTvjmCpXZvktLNynXno4y3Ve3WVT1dj3o/edit?usp=drivesdk" TargetMode="External"/><Relationship Id="rId557" Type="http://schemas.openxmlformats.org/officeDocument/2006/relationships/hyperlink" Target="https://drive.google.com/uc?export=view&amp;id=1U5yDN4vjZCPNCqAyguooSrprch3M2Ynl" TargetMode="External"/><Relationship Id="rId556" Type="http://schemas.openxmlformats.org/officeDocument/2006/relationships/hyperlink" Target="https://drive.google.com/open?id=1U5yDN4vjZCPNCqAyguooSrprch3M2Ynl" TargetMode="External"/><Relationship Id="rId555" Type="http://schemas.openxmlformats.org/officeDocument/2006/relationships/hyperlink" Target="https://docs.google.com/document/d/1dYSN7LLoblaMa8sBRBodV9p_RET8spp-IfDcyx6zSQs/edit?usp=drivesdk" TargetMode="External"/><Relationship Id="rId559" Type="http://schemas.openxmlformats.org/officeDocument/2006/relationships/hyperlink" Target="https://drive.google.com/open?id=1yuJsTubiCdwfw30PiCxvt0nyKRuyl4JO" TargetMode="External"/><Relationship Id="rId550" Type="http://schemas.openxmlformats.org/officeDocument/2006/relationships/hyperlink" Target="https://drive.google.com/open?id=11HIsk_9VVBgypCYoqHog7CelPPuYtU3D" TargetMode="External"/><Relationship Id="rId2470" Type="http://schemas.openxmlformats.org/officeDocument/2006/relationships/hyperlink" Target="https://docs.google.com/document/d/112alOKmfeIFpd8OCuESxMda4507ZY5a_WSfuRRAexug/edit?usp=drivesdk" TargetMode="External"/><Relationship Id="rId1140" Type="http://schemas.openxmlformats.org/officeDocument/2006/relationships/hyperlink" Target="https://drive.google.com/open?id=1RH3PpFRki0V3DgOO8ml2CulpcPG7MdRT" TargetMode="External"/><Relationship Id="rId2471" Type="http://schemas.openxmlformats.org/officeDocument/2006/relationships/hyperlink" Target="https://drive.google.com/open?id=1ViMQofg-OJV8KUwJpYYXp7dtb-v01SmW" TargetMode="External"/><Relationship Id="rId1141" Type="http://schemas.openxmlformats.org/officeDocument/2006/relationships/hyperlink" Target="https://drive.google.com/uc?export=view&amp;id=1RH3PpFRki0V3DgOO8ml2CulpcPG7MdRT" TargetMode="External"/><Relationship Id="rId2472" Type="http://schemas.openxmlformats.org/officeDocument/2006/relationships/hyperlink" Target="https://drive.google.com/uc?export=view&amp;id=1ViMQofg-OJV8KUwJpYYXp7dtb-v01SmW" TargetMode="External"/><Relationship Id="rId1142" Type="http://schemas.openxmlformats.org/officeDocument/2006/relationships/hyperlink" Target="https://docs.google.com/document/d/1KMvrYmVkZvb9HAHIV2Q3DppYt1_LtvnR5gfxrSgtfEU/edit?usp=drivesdk" TargetMode="External"/><Relationship Id="rId2473" Type="http://schemas.openxmlformats.org/officeDocument/2006/relationships/hyperlink" Target="https://docs.google.com/document/d/1cxHqZ30MYheBHSLd2HgNZm-lUN52HBpIVTsQ3_daQLw/edit?usp=drivesdk" TargetMode="External"/><Relationship Id="rId554" Type="http://schemas.openxmlformats.org/officeDocument/2006/relationships/hyperlink" Target="https://drive.google.com/uc?export=view&amp;id=1TE6vHBiRahatjMRPilaQ_rox8ep3Zavx" TargetMode="External"/><Relationship Id="rId1143" Type="http://schemas.openxmlformats.org/officeDocument/2006/relationships/hyperlink" Target="https://drive.google.com/open?id=1RdcK4KcqMbpbU1YbE8lKRqkKu2mWN4Ya" TargetMode="External"/><Relationship Id="rId2474" Type="http://schemas.openxmlformats.org/officeDocument/2006/relationships/hyperlink" Target="https://drive.google.com/open?id=1eQu_f9lt3GecAbUEPn-oLHnkboV46ISn" TargetMode="External"/><Relationship Id="rId553" Type="http://schemas.openxmlformats.org/officeDocument/2006/relationships/hyperlink" Target="https://drive.google.com/open?id=1TE6vHBiRahatjMRPilaQ_rox8ep3Zavx" TargetMode="External"/><Relationship Id="rId1144" Type="http://schemas.openxmlformats.org/officeDocument/2006/relationships/hyperlink" Target="https://drive.google.com/uc?export=view&amp;id=1RdcK4KcqMbpbU1YbE8lKRqkKu2mWN4Ya" TargetMode="External"/><Relationship Id="rId2475" Type="http://schemas.openxmlformats.org/officeDocument/2006/relationships/hyperlink" Target="https://drive.google.com/uc?export=view&amp;id=1eQu_f9lt3GecAbUEPn-oLHnkboV46ISn" TargetMode="External"/><Relationship Id="rId552" Type="http://schemas.openxmlformats.org/officeDocument/2006/relationships/hyperlink" Target="https://docs.google.com/document/d/14mC9Z2j_b35iv7WpxhU6GzUsnNYvesZmAEuG8OAQ-MI/edit?usp=drivesdk" TargetMode="External"/><Relationship Id="rId1145" Type="http://schemas.openxmlformats.org/officeDocument/2006/relationships/hyperlink" Target="https://docs.google.com/document/d/1iTTDZ5OrZWdvw7s4Q6KuxgAzT8dHB3-o3yjKokwxHsw/edit?usp=drivesdk" TargetMode="External"/><Relationship Id="rId2476" Type="http://schemas.openxmlformats.org/officeDocument/2006/relationships/hyperlink" Target="https://docs.google.com/document/d/1tRRCxnV_13P3JOl8QZJ1oYkkzOqPGOQLCoOzCGhBiGQ/edit?usp=drivesdk" TargetMode="External"/><Relationship Id="rId551" Type="http://schemas.openxmlformats.org/officeDocument/2006/relationships/hyperlink" Target="https://drive.google.com/uc?export=view&amp;id=11HIsk_9VVBgypCYoqHog7CelPPuYtU3D" TargetMode="External"/><Relationship Id="rId1146" Type="http://schemas.openxmlformats.org/officeDocument/2006/relationships/hyperlink" Target="https://drive.google.com/open?id=1BttLuyih18gT2ZnOIhLj2-CEcMD8AmZE" TargetMode="External"/><Relationship Id="rId2477" Type="http://schemas.openxmlformats.org/officeDocument/2006/relationships/hyperlink" Target="https://drive.google.com/open?id=1OxXEJvl64Pb_3D5i6Wrc7DGY6zpPhzgt" TargetMode="External"/><Relationship Id="rId4280" Type="http://schemas.openxmlformats.org/officeDocument/2006/relationships/hyperlink" Target="https://drive.google.com/open?id=1TaH8qv2mfTiwjC7hdz-0LGBPbQhY7jvP" TargetMode="External"/><Relationship Id="rId4282" Type="http://schemas.openxmlformats.org/officeDocument/2006/relationships/hyperlink" Target="https://docs.google.com/document/d/1RG7ZEEZUZp39Rvye2Kq9zZOTeS6cfcLDnM7yAA2T9r8/edit?usp=drivesdk" TargetMode="External"/><Relationship Id="rId4281" Type="http://schemas.openxmlformats.org/officeDocument/2006/relationships/hyperlink" Target="https://drive.google.com/uc?export=view&amp;id=1TaH8qv2mfTiwjC7hdz-0LGBPbQhY7jvP" TargetMode="External"/><Relationship Id="rId4284" Type="http://schemas.openxmlformats.org/officeDocument/2006/relationships/hyperlink" Target="https://drive.google.com/uc?export=view&amp;id=1uoI1pviFuQOZNTijDf62VRDhoq43ecSF" TargetMode="External"/><Relationship Id="rId4283" Type="http://schemas.openxmlformats.org/officeDocument/2006/relationships/hyperlink" Target="https://drive.google.com/open?id=1uoI1pviFuQOZNTijDf62VRDhoq43ecSF" TargetMode="External"/><Relationship Id="rId4286" Type="http://schemas.openxmlformats.org/officeDocument/2006/relationships/hyperlink" Target="https://drive.google.com/open?id=1lKb9D9mhei3E-Q4ExvWiMdx96e4yCklf" TargetMode="External"/><Relationship Id="rId4285" Type="http://schemas.openxmlformats.org/officeDocument/2006/relationships/hyperlink" Target="https://docs.google.com/document/d/17XXF96WMZ8cSHu8Dger57-HDTXfjrdQ0LM-8TdsA4ZU/edit?usp=drivesdk" TargetMode="External"/><Relationship Id="rId4288" Type="http://schemas.openxmlformats.org/officeDocument/2006/relationships/hyperlink" Target="https://docs.google.com/document/d/1Nn_6Ecn7oo06udKB3s4AKxhqQYqENPc6MODCZonVsXs/edit?usp=drivesdk" TargetMode="External"/><Relationship Id="rId4287" Type="http://schemas.openxmlformats.org/officeDocument/2006/relationships/hyperlink" Target="https://drive.google.com/uc?export=view&amp;id=1lKb9D9mhei3E-Q4ExvWiMdx96e4yCklf" TargetMode="External"/><Relationship Id="rId4289" Type="http://schemas.openxmlformats.org/officeDocument/2006/relationships/hyperlink" Target="https://drive.google.com/open?id=1dzskJuq2NpqCYmMTkndBTMGFPqdr8ZDp" TargetMode="External"/><Relationship Id="rId4271" Type="http://schemas.openxmlformats.org/officeDocument/2006/relationships/hyperlink" Target="https://drive.google.com/open?id=1r79DI6rD7PWR0s0XRyQldrQbzLr8QqFW" TargetMode="External"/><Relationship Id="rId4270" Type="http://schemas.openxmlformats.org/officeDocument/2006/relationships/hyperlink" Target="https://docs.google.com/document/d/1PT_XdP8BOlf3FP_AHlLBtSy4zSVygJCGT7QIwKHu0m0/edit?usp=drivesdk" TargetMode="External"/><Relationship Id="rId4273" Type="http://schemas.openxmlformats.org/officeDocument/2006/relationships/hyperlink" Target="https://docs.google.com/document/d/1ihz7MV5qHBeSwE5T0h_OstR8p-b8AobWu2k-YeAdzX4/edit?usp=drivesdk" TargetMode="External"/><Relationship Id="rId4272" Type="http://schemas.openxmlformats.org/officeDocument/2006/relationships/hyperlink" Target="https://drive.google.com/uc?export=view&amp;id=1r79DI6rD7PWR0s0XRyQldrQbzLr8QqFW" TargetMode="External"/><Relationship Id="rId4275" Type="http://schemas.openxmlformats.org/officeDocument/2006/relationships/hyperlink" Target="https://drive.google.com/uc?export=view&amp;id=1eQRiKVyfl_aud0pIcLItBs5n0ePgaYBu" TargetMode="External"/><Relationship Id="rId4274" Type="http://schemas.openxmlformats.org/officeDocument/2006/relationships/hyperlink" Target="https://drive.google.com/open?id=1eQRiKVyfl_aud0pIcLItBs5n0ePgaYBu" TargetMode="External"/><Relationship Id="rId4277" Type="http://schemas.openxmlformats.org/officeDocument/2006/relationships/hyperlink" Target="https://drive.google.com/open?id=1D9f8MKT9H8uiy8GVk_OY0LCMrVb4cfl7" TargetMode="External"/><Relationship Id="rId4276" Type="http://schemas.openxmlformats.org/officeDocument/2006/relationships/hyperlink" Target="https://docs.google.com/document/d/1RU-dvObTCc1Veq63RNquOsAlGOoNbiA5gST4YG84wFw/edit?usp=drivesdk" TargetMode="External"/><Relationship Id="rId4279" Type="http://schemas.openxmlformats.org/officeDocument/2006/relationships/hyperlink" Target="https://docs.google.com/document/d/1cb69c_ZL4kHwW1DlBKOXwttsqRbB_hWj4_hs44-C-d4/edit?usp=drivesdk" TargetMode="External"/><Relationship Id="rId4278" Type="http://schemas.openxmlformats.org/officeDocument/2006/relationships/hyperlink" Target="https://drive.google.com/uc?export=view&amp;id=1D9f8MKT9H8uiy8GVk_OY0LCMrVb4cfl7" TargetMode="External"/><Relationship Id="rId4291" Type="http://schemas.openxmlformats.org/officeDocument/2006/relationships/hyperlink" Target="https://docs.google.com/document/d/1-qf7TuqBDeQYxTephUxhqFqJlkSoK6D2v_pP0sHh2Ls/edit?usp=drivesdk" TargetMode="External"/><Relationship Id="rId4290" Type="http://schemas.openxmlformats.org/officeDocument/2006/relationships/hyperlink" Target="https://drive.google.com/uc?export=view&amp;id=1dzskJuq2NpqCYmMTkndBTMGFPqdr8ZDp" TargetMode="External"/><Relationship Id="rId4293" Type="http://schemas.openxmlformats.org/officeDocument/2006/relationships/hyperlink" Target="https://drive.google.com/uc?export=view&amp;id=1kGcP5TKevLRnRMJuMcVqyHs5l__k6Uxz" TargetMode="External"/><Relationship Id="rId4292" Type="http://schemas.openxmlformats.org/officeDocument/2006/relationships/hyperlink" Target="https://drive.google.com/open?id=1kGcP5TKevLRnRMJuMcVqyHs5l__k6Uxz" TargetMode="External"/><Relationship Id="rId4295" Type="http://schemas.openxmlformats.org/officeDocument/2006/relationships/hyperlink" Target="https://drive.google.com/open?id=1fx-YH2fQNEQJQ12cp7jwPrnhb0LfJTnS" TargetMode="External"/><Relationship Id="rId4294" Type="http://schemas.openxmlformats.org/officeDocument/2006/relationships/hyperlink" Target="https://docs.google.com/document/d/1czQoZL_0yA8n1vDUtxzggTTtqI9OVqeU4NEfqW5QwVo/edit?usp=drivesdk" TargetMode="External"/><Relationship Id="rId4297" Type="http://schemas.openxmlformats.org/officeDocument/2006/relationships/hyperlink" Target="https://docs.google.com/document/d/1rEBP_HQXUjwYg51-zQ4ZxmThdSC9EVC0fdkJErdjslw/edit?usp=drivesdk" TargetMode="External"/><Relationship Id="rId4296" Type="http://schemas.openxmlformats.org/officeDocument/2006/relationships/hyperlink" Target="https://drive.google.com/uc?export=view&amp;id=1fx-YH2fQNEQJQ12cp7jwPrnhb0LfJTnS" TargetMode="External"/><Relationship Id="rId4299" Type="http://schemas.openxmlformats.org/officeDocument/2006/relationships/hyperlink" Target="https://drive.google.com/uc?export=view&amp;id=1edTBDSABgkuhwOHF1MZmnOCqu0mgE5m5" TargetMode="External"/><Relationship Id="rId4298" Type="http://schemas.openxmlformats.org/officeDocument/2006/relationships/hyperlink" Target="https://drive.google.com/open?id=1edTBDSABgkuhwOHF1MZmnOCqu0mgE5m5" TargetMode="External"/><Relationship Id="rId4249" Type="http://schemas.openxmlformats.org/officeDocument/2006/relationships/hyperlink" Target="https://docs.google.com/document/d/1Bd_6wtsTiM2dlcXNJJEUgWpU6Lp7fBosuhBm8oCs2g0/edit?usp=drivesdk" TargetMode="External"/><Relationship Id="rId4240" Type="http://schemas.openxmlformats.org/officeDocument/2006/relationships/hyperlink" Target="https://docs.google.com/document/d/1mV9WQodu_AyLCEEnq-ciI41EoTnaUT6r5EIVTEisCho/edit?usp=drivesdk" TargetMode="External"/><Relationship Id="rId4242" Type="http://schemas.openxmlformats.org/officeDocument/2006/relationships/hyperlink" Target="https://drive.google.com/uc?export=view&amp;id=1XUDBJ4BIaJzKGlNMHTaikFoFT3wqJ-lu" TargetMode="External"/><Relationship Id="rId4241" Type="http://schemas.openxmlformats.org/officeDocument/2006/relationships/hyperlink" Target="https://drive.google.com/open?id=1XUDBJ4BIaJzKGlNMHTaikFoFT3wqJ-lu" TargetMode="External"/><Relationship Id="rId4244" Type="http://schemas.openxmlformats.org/officeDocument/2006/relationships/hyperlink" Target="https://drive.google.com/open?id=1RP939V6iqkWpiW9c95ayPXU9Ydixg3Mi" TargetMode="External"/><Relationship Id="rId4243" Type="http://schemas.openxmlformats.org/officeDocument/2006/relationships/hyperlink" Target="https://docs.google.com/document/d/1X9xlJ5NAq_065pOXCsiFI2iRf5GGp9BhUEpPNOuD-_E/edit?usp=drivesdk" TargetMode="External"/><Relationship Id="rId4246" Type="http://schemas.openxmlformats.org/officeDocument/2006/relationships/hyperlink" Target="https://docs.google.com/document/d/1luXwnOdBkQi3dqz6zztFMqKrhVeknDiTtXliaNmQacI/edit?usp=drivesdk" TargetMode="External"/><Relationship Id="rId4245" Type="http://schemas.openxmlformats.org/officeDocument/2006/relationships/hyperlink" Target="https://drive.google.com/uc?export=view&amp;id=1RP939V6iqkWpiW9c95ayPXU9Ydixg3Mi" TargetMode="External"/><Relationship Id="rId4248" Type="http://schemas.openxmlformats.org/officeDocument/2006/relationships/hyperlink" Target="https://drive.google.com/uc?export=view&amp;id=1e_4tcWl51J2pg1O_dkRkCHY8RNpxiKdx" TargetMode="External"/><Relationship Id="rId4247" Type="http://schemas.openxmlformats.org/officeDocument/2006/relationships/hyperlink" Target="https://drive.google.com/open?id=1e_4tcWl51J2pg1O_dkRkCHY8RNpxiKdx" TargetMode="External"/><Relationship Id="rId4239" Type="http://schemas.openxmlformats.org/officeDocument/2006/relationships/hyperlink" Target="https://drive.google.com/uc?export=view&amp;id=1xaZB9K854ubSZHpI61Gtkn9lZn-zrASS" TargetMode="External"/><Relationship Id="rId4238" Type="http://schemas.openxmlformats.org/officeDocument/2006/relationships/hyperlink" Target="https://drive.google.com/open?id=1xaZB9K854ubSZHpI61Gtkn9lZn-zrASS" TargetMode="External"/><Relationship Id="rId495" Type="http://schemas.openxmlformats.org/officeDocument/2006/relationships/hyperlink" Target="https://docs.google.com/document/d/1mhCIx3zy6UBmDjE2jm4Ue_x73qGnXcqCQ2DUWMasCu4/edit?usp=drivesdk" TargetMode="External"/><Relationship Id="rId4231" Type="http://schemas.openxmlformats.org/officeDocument/2006/relationships/hyperlink" Target="https://docs.google.com/document/d/1pe-KupxP4BSwl3y-7_xZ2Ef4MCZMKx_IhsAW7HryjdA/edit?usp=drivesdk" TargetMode="External"/><Relationship Id="rId494" Type="http://schemas.openxmlformats.org/officeDocument/2006/relationships/hyperlink" Target="https://drive.google.com/uc?export=view&amp;id=1o7JMV43Zqt4GNc_xtY5S7HRs7BVN00RO" TargetMode="External"/><Relationship Id="rId4230" Type="http://schemas.openxmlformats.org/officeDocument/2006/relationships/hyperlink" Target="https://drive.google.com/uc?export=view&amp;id=1Xsw9SNM52msakMBLxXaxn0TsmImNIz2E" TargetMode="External"/><Relationship Id="rId493" Type="http://schemas.openxmlformats.org/officeDocument/2006/relationships/hyperlink" Target="https://drive.google.com/open?id=1o7JMV43Zqt4GNc_xtY5S7HRs7BVN00RO" TargetMode="External"/><Relationship Id="rId4233" Type="http://schemas.openxmlformats.org/officeDocument/2006/relationships/hyperlink" Target="https://drive.google.com/uc?export=view&amp;id=1LhmoMLEsHCv0AzAA75LC7MzxSRn7QzBq" TargetMode="External"/><Relationship Id="rId492" Type="http://schemas.openxmlformats.org/officeDocument/2006/relationships/hyperlink" Target="https://docs.google.com/document/d/1HeUjHbp8iDrLBayY_LtwWcpgYfgAfhF5MetQWtqYSM8/edit?usp=drivesdk" TargetMode="External"/><Relationship Id="rId4232" Type="http://schemas.openxmlformats.org/officeDocument/2006/relationships/hyperlink" Target="https://drive.google.com/open?id=1LhmoMLEsHCv0AzAA75LC7MzxSRn7QzBq" TargetMode="External"/><Relationship Id="rId499" Type="http://schemas.openxmlformats.org/officeDocument/2006/relationships/hyperlink" Target="https://drive.google.com/open?id=1BQrBCiPyJD0_eS9vsWEXfsx4nZ-FNJO9" TargetMode="External"/><Relationship Id="rId4235" Type="http://schemas.openxmlformats.org/officeDocument/2006/relationships/hyperlink" Target="https://drive.google.com/open?id=1Mwvq-z0G3MmS8gUFCLBS7frXtY4n6KuF" TargetMode="External"/><Relationship Id="rId498" Type="http://schemas.openxmlformats.org/officeDocument/2006/relationships/hyperlink" Target="https://docs.google.com/document/d/1_Ca2F181ZmsQUsWJaSmL7-lgDv-AT94WPzlQXG2swQg/edit?usp=drivesdk" TargetMode="External"/><Relationship Id="rId4234" Type="http://schemas.openxmlformats.org/officeDocument/2006/relationships/hyperlink" Target="https://docs.google.com/document/d/16fqv8ZnwKD1zaC5Is_VjX0aBGhLZEUWg0Fr4b5mNJ14/edit?usp=drivesdk" TargetMode="External"/><Relationship Id="rId497" Type="http://schemas.openxmlformats.org/officeDocument/2006/relationships/hyperlink" Target="https://drive.google.com/uc?export=view&amp;id=1XAEDwXDTg4XWRH7pi6LHN5xl9aandMib" TargetMode="External"/><Relationship Id="rId4237" Type="http://schemas.openxmlformats.org/officeDocument/2006/relationships/hyperlink" Target="https://docs.google.com/document/d/1qz-vaFCJ4kNGUr0jkex72H1SF0k9mg9Y2Qest5UD4H4/edit?usp=drivesdk" TargetMode="External"/><Relationship Id="rId496" Type="http://schemas.openxmlformats.org/officeDocument/2006/relationships/hyperlink" Target="https://drive.google.com/open?id=1XAEDwXDTg4XWRH7pi6LHN5xl9aandMib" TargetMode="External"/><Relationship Id="rId4236" Type="http://schemas.openxmlformats.org/officeDocument/2006/relationships/hyperlink" Target="https://drive.google.com/uc?export=view&amp;id=1Mwvq-z0G3MmS8gUFCLBS7frXtY4n6KuF" TargetMode="External"/><Relationship Id="rId4260" Type="http://schemas.openxmlformats.org/officeDocument/2006/relationships/hyperlink" Target="https://drive.google.com/uc?export=view&amp;id=15tIzMyP1vA2o47yYb9z72qSrN8Ce-iR5" TargetMode="External"/><Relationship Id="rId4262" Type="http://schemas.openxmlformats.org/officeDocument/2006/relationships/hyperlink" Target="https://drive.google.com/open?id=1AcJ1Jdup2XDGWXL1-KDI8zjhPBqC1R21" TargetMode="External"/><Relationship Id="rId4261" Type="http://schemas.openxmlformats.org/officeDocument/2006/relationships/hyperlink" Target="https://docs.google.com/document/d/1loA4n8CNQfmyZzO0eS6nSTJbvJUaRSZJC61zLv-Sv64/edit?usp=drivesdk" TargetMode="External"/><Relationship Id="rId4264" Type="http://schemas.openxmlformats.org/officeDocument/2006/relationships/hyperlink" Target="https://docs.google.com/document/d/1q8fKDZC9CN7IUgjeAw-LSbQsxqicJXCsDuIpfkolDUE/edit?usp=drivesdk" TargetMode="External"/><Relationship Id="rId4263" Type="http://schemas.openxmlformats.org/officeDocument/2006/relationships/hyperlink" Target="https://drive.google.com/uc?export=view&amp;id=1AcJ1Jdup2XDGWXL1-KDI8zjhPBqC1R21" TargetMode="External"/><Relationship Id="rId4266" Type="http://schemas.openxmlformats.org/officeDocument/2006/relationships/hyperlink" Target="https://drive.google.com/uc?export=view&amp;id=15ROWmBdrJK2--x_scXQAEekQ-Ji1qKqj" TargetMode="External"/><Relationship Id="rId4265" Type="http://schemas.openxmlformats.org/officeDocument/2006/relationships/hyperlink" Target="https://drive.google.com/open?id=15ROWmBdrJK2--x_scXQAEekQ-Ji1qKqj" TargetMode="External"/><Relationship Id="rId4268" Type="http://schemas.openxmlformats.org/officeDocument/2006/relationships/hyperlink" Target="https://drive.google.com/open?id=1NxDDQLQ_yoyk41DVcckNYIJxjmwnH-yQ" TargetMode="External"/><Relationship Id="rId4267" Type="http://schemas.openxmlformats.org/officeDocument/2006/relationships/hyperlink" Target="https://docs.google.com/document/d/1PDh9rI1PaKvvSaogrRoR4cNQF42D9ficDBX8q_9nJqU/edit?usp=drivesdk" TargetMode="External"/><Relationship Id="rId4269" Type="http://schemas.openxmlformats.org/officeDocument/2006/relationships/hyperlink" Target="https://drive.google.com/uc?export=view&amp;id=1NxDDQLQ_yoyk41DVcckNYIJxjmwnH-yQ" TargetMode="External"/><Relationship Id="rId4251" Type="http://schemas.openxmlformats.org/officeDocument/2006/relationships/hyperlink" Target="https://drive.google.com/uc?export=view&amp;id=1NcClePCmjvlgQZfF7__B21BeTi8U4EJI" TargetMode="External"/><Relationship Id="rId4250" Type="http://schemas.openxmlformats.org/officeDocument/2006/relationships/hyperlink" Target="https://drive.google.com/open?id=1NcClePCmjvlgQZfF7__B21BeTi8U4EJI" TargetMode="External"/><Relationship Id="rId4253" Type="http://schemas.openxmlformats.org/officeDocument/2006/relationships/hyperlink" Target="https://drive.google.com/open?id=1BdRGna-IoGOIH0bupl8agMWlNdOOaUAy" TargetMode="External"/><Relationship Id="rId4252" Type="http://schemas.openxmlformats.org/officeDocument/2006/relationships/hyperlink" Target="https://docs.google.com/document/d/1P8EFBgZh-xhztHsjTh4v4wtIIbUL7dS-smPS_aJX_ts/edit?usp=drivesdk" TargetMode="External"/><Relationship Id="rId4255" Type="http://schemas.openxmlformats.org/officeDocument/2006/relationships/hyperlink" Target="https://docs.google.com/document/d/1ctP_X3cN2YIZk4u5ofEqKy_MvcXiuvdMDK5JeJGO69U/edit?usp=drivesdk" TargetMode="External"/><Relationship Id="rId4254" Type="http://schemas.openxmlformats.org/officeDocument/2006/relationships/hyperlink" Target="https://drive.google.com/uc?export=view&amp;id=1BdRGna-IoGOIH0bupl8agMWlNdOOaUAy" TargetMode="External"/><Relationship Id="rId4257" Type="http://schemas.openxmlformats.org/officeDocument/2006/relationships/hyperlink" Target="https://drive.google.com/uc?export=view&amp;id=1mPFl2cXjYvyM_aoGd7E5S_Cut9k_L3Qk" TargetMode="External"/><Relationship Id="rId4256" Type="http://schemas.openxmlformats.org/officeDocument/2006/relationships/hyperlink" Target="https://drive.google.com/open?id=1mPFl2cXjYvyM_aoGd7E5S_Cut9k_L3Qk" TargetMode="External"/><Relationship Id="rId4259" Type="http://schemas.openxmlformats.org/officeDocument/2006/relationships/hyperlink" Target="https://drive.google.com/open?id=15tIzMyP1vA2o47yYb9z72qSrN8Ce-iR5" TargetMode="External"/><Relationship Id="rId4258" Type="http://schemas.openxmlformats.org/officeDocument/2006/relationships/hyperlink" Target="https://docs.google.com/document/d/1D08B99h_HfObHpFUTAaq6wjJJ1rcWgSk5HKSKeCHQ7w/edit?usp=drivesdk" TargetMode="External"/><Relationship Id="rId3810" Type="http://schemas.openxmlformats.org/officeDocument/2006/relationships/hyperlink" Target="https://drive.google.com/uc?export=view&amp;id=1kf9tXaUZQEBXqNRIzrrxkjb20GA9PP_F" TargetMode="External"/><Relationship Id="rId3812" Type="http://schemas.openxmlformats.org/officeDocument/2006/relationships/hyperlink" Target="https://drive.google.com/open?id=1OmeKGPDyyBNJd_xczS8kt5qNQf8mGEHf" TargetMode="External"/><Relationship Id="rId3811" Type="http://schemas.openxmlformats.org/officeDocument/2006/relationships/hyperlink" Target="https://docs.google.com/document/d/1TdD2bNmeRJC6Va-EL2vsdO8dRHC4875iiPtLySHaKiE/edit?usp=drivesdk" TargetMode="External"/><Relationship Id="rId3814" Type="http://schemas.openxmlformats.org/officeDocument/2006/relationships/hyperlink" Target="https://docs.google.com/document/d/1_nZknHujQLsk1PER8Gkg5oIlbsK9EB7c3cGC8S1j31c/edit?usp=drivesdk" TargetMode="External"/><Relationship Id="rId3813" Type="http://schemas.openxmlformats.org/officeDocument/2006/relationships/hyperlink" Target="https://drive.google.com/uc?export=view&amp;id=1OmeKGPDyyBNJd_xczS8kt5qNQf8mGEHf" TargetMode="External"/><Relationship Id="rId3816" Type="http://schemas.openxmlformats.org/officeDocument/2006/relationships/hyperlink" Target="https://drive.google.com/uc?export=view&amp;id=1aqPsAlWpYw3Z61rTrN_ql7mNRXNWltuT" TargetMode="External"/><Relationship Id="rId3815" Type="http://schemas.openxmlformats.org/officeDocument/2006/relationships/hyperlink" Target="https://drive.google.com/open?id=1aqPsAlWpYw3Z61rTrN_ql7mNRXNWltuT" TargetMode="External"/><Relationship Id="rId3818" Type="http://schemas.openxmlformats.org/officeDocument/2006/relationships/hyperlink" Target="https://drive.google.com/open?id=1Ahoeo6M3vTwJLeWKueRQgMn1JBtA8lyk" TargetMode="External"/><Relationship Id="rId3817" Type="http://schemas.openxmlformats.org/officeDocument/2006/relationships/hyperlink" Target="https://docs.google.com/document/d/1mAZM41BP15vFyE7c2DRea4F7ik3iVkRo-GEB_V5HJHU/edit?usp=drivesdk" TargetMode="External"/><Relationship Id="rId3819" Type="http://schemas.openxmlformats.org/officeDocument/2006/relationships/hyperlink" Target="https://drive.google.com/uc?export=view&amp;id=1Ahoeo6M3vTwJLeWKueRQgMn1JBtA8lyk" TargetMode="External"/><Relationship Id="rId3801" Type="http://schemas.openxmlformats.org/officeDocument/2006/relationships/hyperlink" Target="https://drive.google.com/uc?export=view&amp;id=171Op78u78-JIulnMmJdfZsjXw5SiodUa" TargetMode="External"/><Relationship Id="rId3800" Type="http://schemas.openxmlformats.org/officeDocument/2006/relationships/hyperlink" Target="https://drive.google.com/open?id=171Op78u78-JIulnMmJdfZsjXw5SiodUa" TargetMode="External"/><Relationship Id="rId3803" Type="http://schemas.openxmlformats.org/officeDocument/2006/relationships/hyperlink" Target="https://drive.google.com/open?id=1DuiSMhCPX30SuDtErWn0sStCwTr6g-3W" TargetMode="External"/><Relationship Id="rId3802" Type="http://schemas.openxmlformats.org/officeDocument/2006/relationships/hyperlink" Target="https://docs.google.com/document/d/1jDNZM0NXjxGW08OKLNac0I1QyhJQcpJBEQ31uRZvJq0/edit?usp=drivesdk" TargetMode="External"/><Relationship Id="rId3805" Type="http://schemas.openxmlformats.org/officeDocument/2006/relationships/hyperlink" Target="https://docs.google.com/document/d/1RlvCvrRo0S056oRtNKt6jCZprqGQRphkb5o5bMxgKPI/edit?usp=drivesdk" TargetMode="External"/><Relationship Id="rId3804" Type="http://schemas.openxmlformats.org/officeDocument/2006/relationships/hyperlink" Target="https://drive.google.com/uc?export=view&amp;id=1DuiSMhCPX30SuDtErWn0sStCwTr6g-3W" TargetMode="External"/><Relationship Id="rId3807" Type="http://schemas.openxmlformats.org/officeDocument/2006/relationships/hyperlink" Target="https://drive.google.com/uc?export=view&amp;id=1Y0FUu7vqwy-MoOukrMwO1mNy3CoR0dvq" TargetMode="External"/><Relationship Id="rId3806" Type="http://schemas.openxmlformats.org/officeDocument/2006/relationships/hyperlink" Target="https://drive.google.com/open?id=1Y0FUu7vqwy-MoOukrMwO1mNy3CoR0dvq" TargetMode="External"/><Relationship Id="rId3809" Type="http://schemas.openxmlformats.org/officeDocument/2006/relationships/hyperlink" Target="https://drive.google.com/open?id=1kf9tXaUZQEBXqNRIzrrxkjb20GA9PP_F" TargetMode="External"/><Relationship Id="rId3808" Type="http://schemas.openxmlformats.org/officeDocument/2006/relationships/hyperlink" Target="https://docs.google.com/document/d/1wFiXOo7B5MtMndUD2DXHTN-tIWPTLX8kJQpIecHJGIE/edit?usp=drivesdk" TargetMode="External"/><Relationship Id="rId1213" Type="http://schemas.openxmlformats.org/officeDocument/2006/relationships/hyperlink" Target="https://drive.google.com/uc?export=view&amp;id=1Y9LlXVDAFUVMs5KWvxMSs0LU3mQz54Pv" TargetMode="External"/><Relationship Id="rId2544" Type="http://schemas.openxmlformats.org/officeDocument/2006/relationships/hyperlink" Target="https://drive.google.com/uc?export=view&amp;id=1N1-oxnCHtfVomBm0rG_4_8ialyqwdA00" TargetMode="External"/><Relationship Id="rId3876" Type="http://schemas.openxmlformats.org/officeDocument/2006/relationships/hyperlink" Target="https://drive.google.com/uc?export=view&amp;id=13Ngo7jOUUNr4cQ_m1XE9wQoCT794-62Y" TargetMode="External"/><Relationship Id="rId1214" Type="http://schemas.openxmlformats.org/officeDocument/2006/relationships/hyperlink" Target="https://docs.google.com/document/d/1uvPICcPm0shN5h-zGv2TuCZBMM4xFDARJTLAusa_p6Y/edit?usp=drivesdk" TargetMode="External"/><Relationship Id="rId2545" Type="http://schemas.openxmlformats.org/officeDocument/2006/relationships/hyperlink" Target="https://docs.google.com/document/d/16YxH6feyEsNaKzTvAdJjYiKT_9JaZsiThZwfXzWSp4Y/edit?usp=drivesdk" TargetMode="External"/><Relationship Id="rId3875" Type="http://schemas.openxmlformats.org/officeDocument/2006/relationships/hyperlink" Target="https://drive.google.com/open?id=13Ngo7jOUUNr4cQ_m1XE9wQoCT794-62Y" TargetMode="External"/><Relationship Id="rId1215" Type="http://schemas.openxmlformats.org/officeDocument/2006/relationships/hyperlink" Target="https://drive.google.com/open?id=1zfW4dGR8tttHD7X2YuytWkbWTOd9sGNw" TargetMode="External"/><Relationship Id="rId2546" Type="http://schemas.openxmlformats.org/officeDocument/2006/relationships/hyperlink" Target="https://drive.google.com/open?id=1bZ7e47GWnygyQwafpuVJoaIcHPn47_Lf" TargetMode="External"/><Relationship Id="rId3878" Type="http://schemas.openxmlformats.org/officeDocument/2006/relationships/hyperlink" Target="https://drive.google.com/open?id=1ful_xbynrpjLWMQ4OrZmJwCryzKDRSoA" TargetMode="External"/><Relationship Id="rId1216" Type="http://schemas.openxmlformats.org/officeDocument/2006/relationships/hyperlink" Target="https://drive.google.com/uc?export=view&amp;id=1zfW4dGR8tttHD7X2YuytWkbWTOd9sGNw" TargetMode="External"/><Relationship Id="rId2547" Type="http://schemas.openxmlformats.org/officeDocument/2006/relationships/hyperlink" Target="https://drive.google.com/uc?export=view&amp;id=1bZ7e47GWnygyQwafpuVJoaIcHPn47_Lf" TargetMode="External"/><Relationship Id="rId3877" Type="http://schemas.openxmlformats.org/officeDocument/2006/relationships/hyperlink" Target="https://docs.google.com/document/d/11A19NYUGMTHusqvYeZ3HrdYNM06ARjNhx16uwaQzzL8/edit?usp=drivesdk" TargetMode="External"/><Relationship Id="rId1217" Type="http://schemas.openxmlformats.org/officeDocument/2006/relationships/hyperlink" Target="https://docs.google.com/document/d/1Sx60bNg4dYEPQCL2T9ddX0QvhVNDGtkNZ5N7SfWjc-k/edit?usp=drivesdk" TargetMode="External"/><Relationship Id="rId2548" Type="http://schemas.openxmlformats.org/officeDocument/2006/relationships/hyperlink" Target="https://docs.google.com/document/d/1ko6dhYqejnbnetY6gKSuHrquqBIMwryqDojC-5pVf0A/edit?usp=drivesdk" TargetMode="External"/><Relationship Id="rId1218" Type="http://schemas.openxmlformats.org/officeDocument/2006/relationships/hyperlink" Target="https://drive.google.com/open?id=1gmW1pedwQrfUDA2ITGJASqSt7YWDmIwy" TargetMode="External"/><Relationship Id="rId2549" Type="http://schemas.openxmlformats.org/officeDocument/2006/relationships/hyperlink" Target="https://drive.google.com/open?id=1zPj7oL-bjSsfzj1Zn7C1l00dMK_fD353" TargetMode="External"/><Relationship Id="rId3879" Type="http://schemas.openxmlformats.org/officeDocument/2006/relationships/hyperlink" Target="https://drive.google.com/uc?export=view&amp;id=1ful_xbynrpjLWMQ4OrZmJwCryzKDRSoA" TargetMode="External"/><Relationship Id="rId1219" Type="http://schemas.openxmlformats.org/officeDocument/2006/relationships/hyperlink" Target="https://drive.google.com/uc?export=view&amp;id=1gmW1pedwQrfUDA2ITGJASqSt7YWDmIwy" TargetMode="External"/><Relationship Id="rId3870" Type="http://schemas.openxmlformats.org/officeDocument/2006/relationships/hyperlink" Target="https://drive.google.com/uc?export=view&amp;id=1oE0wvsYQLcFPJldw2RryBPVK5NBSyeuD" TargetMode="External"/><Relationship Id="rId2540" Type="http://schemas.openxmlformats.org/officeDocument/2006/relationships/hyperlink" Target="https://drive.google.com/open?id=1qLGRYMpbFueHsUCEmWS7sangFVFJrkxf" TargetMode="External"/><Relationship Id="rId3872" Type="http://schemas.openxmlformats.org/officeDocument/2006/relationships/hyperlink" Target="https://drive.google.com/open?id=14_UIk1MtmPx9oKKRYVne9grGVwnrh5DD" TargetMode="External"/><Relationship Id="rId1210" Type="http://schemas.openxmlformats.org/officeDocument/2006/relationships/hyperlink" Target="https://drive.google.com/uc?export=view&amp;id=1Q-Q4Iyixz39fg1Lx6mriIYSlu1n0T_RO" TargetMode="External"/><Relationship Id="rId2541" Type="http://schemas.openxmlformats.org/officeDocument/2006/relationships/hyperlink" Target="https://drive.google.com/uc?export=view&amp;id=1qLGRYMpbFueHsUCEmWS7sangFVFJrkxf" TargetMode="External"/><Relationship Id="rId3871" Type="http://schemas.openxmlformats.org/officeDocument/2006/relationships/hyperlink" Target="https://docs.google.com/document/d/1nH95y4l8FxnbmeDFXDa8irAx4YtwVSnityZv4SE3Oj0/edit?usp=drivesdk" TargetMode="External"/><Relationship Id="rId1211" Type="http://schemas.openxmlformats.org/officeDocument/2006/relationships/hyperlink" Target="https://docs.google.com/document/d/10YhX0Nz0D55gaKnai7-Zg_zggX3IpkqbQCs9tjTZCyg/edit?usp=drivesdk" TargetMode="External"/><Relationship Id="rId2542" Type="http://schemas.openxmlformats.org/officeDocument/2006/relationships/hyperlink" Target="https://docs.google.com/document/d/17OfVDhDaCLkHQUHyULbbP4Bya5nwNw-9zDZ6GcmcKSE/edit?usp=drivesdk" TargetMode="External"/><Relationship Id="rId3874" Type="http://schemas.openxmlformats.org/officeDocument/2006/relationships/hyperlink" Target="https://docs.google.com/document/d/1d3VxGkWn9u71-wzZj1YyN8-ZCw88R6RxyF4kdmxNXHE/edit?usp=drivesdk" TargetMode="External"/><Relationship Id="rId1212" Type="http://schemas.openxmlformats.org/officeDocument/2006/relationships/hyperlink" Target="https://drive.google.com/open?id=1Y9LlXVDAFUVMs5KWvxMSs0LU3mQz54Pv" TargetMode="External"/><Relationship Id="rId2543" Type="http://schemas.openxmlformats.org/officeDocument/2006/relationships/hyperlink" Target="https://drive.google.com/open?id=1N1-oxnCHtfVomBm0rG_4_8ialyqwdA00" TargetMode="External"/><Relationship Id="rId3873" Type="http://schemas.openxmlformats.org/officeDocument/2006/relationships/hyperlink" Target="https://drive.google.com/uc?export=view&amp;id=14_UIk1MtmPx9oKKRYVne9grGVwnrh5DD" TargetMode="External"/><Relationship Id="rId1202" Type="http://schemas.openxmlformats.org/officeDocument/2006/relationships/hyperlink" Target="https://docs.google.com/document/d/12qMb3vxeNMC3xI7H5nEAjXGaWPvwvp3TnbVoQAj2pa0/edit?usp=drivesdk" TargetMode="External"/><Relationship Id="rId2533" Type="http://schemas.openxmlformats.org/officeDocument/2006/relationships/hyperlink" Target="https://docs.google.com/document/d/17ibcAIC8dhgKPtPzpL-Y7EhcpUHNlcK-Sg6UmVNWTs8/edit?usp=drivesdk" TargetMode="External"/><Relationship Id="rId3865" Type="http://schemas.openxmlformats.org/officeDocument/2006/relationships/hyperlink" Target="https://docs.google.com/document/d/1hKbsyYWGEnfNJET-6eNT4CXnitWkg_3GHEoutXoRYfg/edit?usp=drivesdk" TargetMode="External"/><Relationship Id="rId1203" Type="http://schemas.openxmlformats.org/officeDocument/2006/relationships/hyperlink" Target="https://drive.google.com/open?id=1_ls_LZ-FX9Et4juV732Ihxjm2YsDKrbD" TargetMode="External"/><Relationship Id="rId2534" Type="http://schemas.openxmlformats.org/officeDocument/2006/relationships/hyperlink" Target="https://drive.google.com/open?id=1LvX1XqmtElEHf2ifhUgtfq5-faP-IxCO" TargetMode="External"/><Relationship Id="rId3864" Type="http://schemas.openxmlformats.org/officeDocument/2006/relationships/hyperlink" Target="https://drive.google.com/uc?export=view&amp;id=1t4cp8bV6Sv9s4km6CO9BsdI9lxFo5jqm" TargetMode="External"/><Relationship Id="rId1204" Type="http://schemas.openxmlformats.org/officeDocument/2006/relationships/hyperlink" Target="https://drive.google.com/uc?export=view&amp;id=1_ls_LZ-FX9Et4juV732Ihxjm2YsDKrbD" TargetMode="External"/><Relationship Id="rId2535" Type="http://schemas.openxmlformats.org/officeDocument/2006/relationships/hyperlink" Target="https://drive.google.com/uc?export=view&amp;id=1LvX1XqmtElEHf2ifhUgtfq5-faP-IxCO" TargetMode="External"/><Relationship Id="rId3867" Type="http://schemas.openxmlformats.org/officeDocument/2006/relationships/hyperlink" Target="https://drive.google.com/uc?export=view&amp;id=1EW35wS2LnSxrHJFbl3VpWIR-0ShVDxO2" TargetMode="External"/><Relationship Id="rId1205" Type="http://schemas.openxmlformats.org/officeDocument/2006/relationships/hyperlink" Target="https://docs.google.com/document/d/1sqGRZwFGYOWYwjymxCrrE1-OESd4LIT-CDsNEXD3KWs/edit?usp=drivesdk" TargetMode="External"/><Relationship Id="rId2536" Type="http://schemas.openxmlformats.org/officeDocument/2006/relationships/hyperlink" Target="https://docs.google.com/document/d/1LJd10H95hLY2j-2Y94gjgxSaYOqYuU80rTYRNtQuyxE/edit?usp=drivesdk" TargetMode="External"/><Relationship Id="rId3866" Type="http://schemas.openxmlformats.org/officeDocument/2006/relationships/hyperlink" Target="https://drive.google.com/open?id=1EW35wS2LnSxrHJFbl3VpWIR-0ShVDxO2" TargetMode="External"/><Relationship Id="rId1206" Type="http://schemas.openxmlformats.org/officeDocument/2006/relationships/hyperlink" Target="https://drive.google.com/open?id=1YuFY-3oRFAnFbQts0Qih67wyohbv7PhI" TargetMode="External"/><Relationship Id="rId2537" Type="http://schemas.openxmlformats.org/officeDocument/2006/relationships/hyperlink" Target="https://drive.google.com/open?id=1wT5LQOTo9Wqix2HR2D_kNtIjLHuYYpFe" TargetMode="External"/><Relationship Id="rId3869" Type="http://schemas.openxmlformats.org/officeDocument/2006/relationships/hyperlink" Target="https://drive.google.com/open?id=1oE0wvsYQLcFPJldw2RryBPVK5NBSyeuD" TargetMode="External"/><Relationship Id="rId1207" Type="http://schemas.openxmlformats.org/officeDocument/2006/relationships/hyperlink" Target="https://drive.google.com/uc?export=view&amp;id=1YuFY-3oRFAnFbQts0Qih67wyohbv7PhI" TargetMode="External"/><Relationship Id="rId2538" Type="http://schemas.openxmlformats.org/officeDocument/2006/relationships/hyperlink" Target="https://drive.google.com/uc?export=view&amp;id=1wT5LQOTo9Wqix2HR2D_kNtIjLHuYYpFe" TargetMode="External"/><Relationship Id="rId3868" Type="http://schemas.openxmlformats.org/officeDocument/2006/relationships/hyperlink" Target="https://docs.google.com/document/d/1qOpHDGXM9C39y4YRKbex1u1K22vAqIHsagdPufr0MPs/edit?usp=drivesdk" TargetMode="External"/><Relationship Id="rId1208" Type="http://schemas.openxmlformats.org/officeDocument/2006/relationships/hyperlink" Target="https://docs.google.com/document/d/1YYdQ9QACxAAGMmy_DSykXC9ElbBdAwRiQUGBRTDWjKc/edit?usp=drivesdk" TargetMode="External"/><Relationship Id="rId2539" Type="http://schemas.openxmlformats.org/officeDocument/2006/relationships/hyperlink" Target="https://docs.google.com/document/d/1YDpE79vgkAynA1Xu5VUzwsBoh0x83gZZEJwtgqXWWcU/edit?usp=drivesdk" TargetMode="External"/><Relationship Id="rId1209" Type="http://schemas.openxmlformats.org/officeDocument/2006/relationships/hyperlink" Target="https://drive.google.com/open?id=1Q-Q4Iyixz39fg1Lx6mriIYSlu1n0T_RO" TargetMode="External"/><Relationship Id="rId3861" Type="http://schemas.openxmlformats.org/officeDocument/2006/relationships/hyperlink" Target="https://drive.google.com/uc?export=view&amp;id=1q2FcSgj4x6wK7WCkjxvlOKHYpRjpS-cH" TargetMode="External"/><Relationship Id="rId2530" Type="http://schemas.openxmlformats.org/officeDocument/2006/relationships/hyperlink" Target="https://docs.google.com/document/d/1MfVkDaZFj8hOJL5pWhM0G7waPZUc0Xlabzkzu9tNZRg/edit?usp=drivesdk" TargetMode="External"/><Relationship Id="rId3860" Type="http://schemas.openxmlformats.org/officeDocument/2006/relationships/hyperlink" Target="https://drive.google.com/open?id=1q2FcSgj4x6wK7WCkjxvlOKHYpRjpS-cH" TargetMode="External"/><Relationship Id="rId1200" Type="http://schemas.openxmlformats.org/officeDocument/2006/relationships/hyperlink" Target="https://drive.google.com/open?id=1oKqPNm9qzuXrF8YIFYl7hUmvu6ggLapQ" TargetMode="External"/><Relationship Id="rId2531" Type="http://schemas.openxmlformats.org/officeDocument/2006/relationships/hyperlink" Target="https://drive.google.com/open?id=1MvNTHQevZdrfjofkExxsTHBekHxXkyI_" TargetMode="External"/><Relationship Id="rId3863" Type="http://schemas.openxmlformats.org/officeDocument/2006/relationships/hyperlink" Target="https://drive.google.com/open?id=1t4cp8bV6Sv9s4km6CO9BsdI9lxFo5jqm" TargetMode="External"/><Relationship Id="rId1201" Type="http://schemas.openxmlformats.org/officeDocument/2006/relationships/hyperlink" Target="https://drive.google.com/uc?export=view&amp;id=1oKqPNm9qzuXrF8YIFYl7hUmvu6ggLapQ" TargetMode="External"/><Relationship Id="rId2532" Type="http://schemas.openxmlformats.org/officeDocument/2006/relationships/hyperlink" Target="https://drive.google.com/uc?export=view&amp;id=1MvNTHQevZdrfjofkExxsTHBekHxXkyI_" TargetMode="External"/><Relationship Id="rId3862" Type="http://schemas.openxmlformats.org/officeDocument/2006/relationships/hyperlink" Target="https://docs.google.com/document/d/1kqZnHUanQ0FoaspFjM0SrmYUhBpfUhZzwEuPaohfU9g/edit?usp=drivesdk" TargetMode="External"/><Relationship Id="rId1235" Type="http://schemas.openxmlformats.org/officeDocument/2006/relationships/hyperlink" Target="https://docs.google.com/document/d/1ta8e06Y3jXc9P2ckzeYbsL1uxDZHg2cuMKHdjC2FD4I/edit?usp=drivesdk" TargetMode="External"/><Relationship Id="rId2566" Type="http://schemas.openxmlformats.org/officeDocument/2006/relationships/hyperlink" Target="https://docs.google.com/document/d/15SO7LDUVypCcLxHgEY6lwgW5iTDaQoMPD85LrpZ3vzU/edit?usp=drivesdk" TargetMode="External"/><Relationship Id="rId3898" Type="http://schemas.openxmlformats.org/officeDocument/2006/relationships/hyperlink" Target="https://docs.google.com/document/d/1rdL9phgBw1KjctmPGwoSJzdMQ_lk-A_7j6Rb0RuPi-Q/edit?usp=drivesdk" TargetMode="External"/><Relationship Id="rId1236" Type="http://schemas.openxmlformats.org/officeDocument/2006/relationships/hyperlink" Target="https://drive.google.com/open?id=1kj3FUZbSV6Q8izfS_uMfJTkVNjZOizDd" TargetMode="External"/><Relationship Id="rId2567" Type="http://schemas.openxmlformats.org/officeDocument/2006/relationships/hyperlink" Target="https://drive.google.com/open?id=1wusEoDYP25w_F_FxiNzBlQx-NCnDLNOj" TargetMode="External"/><Relationship Id="rId3897" Type="http://schemas.openxmlformats.org/officeDocument/2006/relationships/hyperlink" Target="https://drive.google.com/uc?export=view&amp;id=18buWDVkq6DcLmiLS-6FJuk1UEC0_M6MW" TargetMode="External"/><Relationship Id="rId1237" Type="http://schemas.openxmlformats.org/officeDocument/2006/relationships/hyperlink" Target="https://drive.google.com/uc?export=view&amp;id=1kj3FUZbSV6Q8izfS_uMfJTkVNjZOizDd" TargetMode="External"/><Relationship Id="rId2568" Type="http://schemas.openxmlformats.org/officeDocument/2006/relationships/hyperlink" Target="https://drive.google.com/uc?export=view&amp;id=1wusEoDYP25w_F_FxiNzBlQx-NCnDLNOj" TargetMode="External"/><Relationship Id="rId1238" Type="http://schemas.openxmlformats.org/officeDocument/2006/relationships/hyperlink" Target="https://docs.google.com/document/d/18iCjJ5oRcowXjSmiwXpqlCpVKlwouvNWglNjKU7q8f4/edit?usp=drivesdk" TargetMode="External"/><Relationship Id="rId2569" Type="http://schemas.openxmlformats.org/officeDocument/2006/relationships/hyperlink" Target="https://docs.google.com/document/d/1GSxZwGbKtghuO-zdkGnKAlsXtXiBoOIIn4aNDjpyQ7s/edit?usp=drivesdk" TargetMode="External"/><Relationship Id="rId3899" Type="http://schemas.openxmlformats.org/officeDocument/2006/relationships/hyperlink" Target="https://drive.google.com/open?id=13foF4g-6zm_Aq0Yt2TUxNZ5CWPvFMPS1" TargetMode="External"/><Relationship Id="rId1239" Type="http://schemas.openxmlformats.org/officeDocument/2006/relationships/hyperlink" Target="https://drive.google.com/open?id=13y_7xUYReU9uVtm44P9nZmz2VMF5UB4e" TargetMode="External"/><Relationship Id="rId409" Type="http://schemas.openxmlformats.org/officeDocument/2006/relationships/hyperlink" Target="https://drive.google.com/open?id=1GIQd8Ojb5ujlcfIECCgVVfzpCL3Ew6_P" TargetMode="External"/><Relationship Id="rId404" Type="http://schemas.openxmlformats.org/officeDocument/2006/relationships/hyperlink" Target="https://drive.google.com/uc?export=view&amp;id=1qKmUFKxUUGFkX5fxouua8sAR5nlzqRWJ" TargetMode="External"/><Relationship Id="rId403" Type="http://schemas.openxmlformats.org/officeDocument/2006/relationships/hyperlink" Target="https://drive.google.com/open?id=1qKmUFKxUUGFkX5fxouua8sAR5nlzqRWJ" TargetMode="External"/><Relationship Id="rId402" Type="http://schemas.openxmlformats.org/officeDocument/2006/relationships/hyperlink" Target="https://docs.google.com/document/d/1arYnZt2lXioYROsFDbDyQ2zaOESQPMccOboMXenShxs/edit?usp=drivesdk" TargetMode="External"/><Relationship Id="rId401" Type="http://schemas.openxmlformats.org/officeDocument/2006/relationships/hyperlink" Target="https://drive.google.com/uc?export=view&amp;id=123PlSkJqXGffRxBdr4w2PlzKnhSHBa9r" TargetMode="External"/><Relationship Id="rId408" Type="http://schemas.openxmlformats.org/officeDocument/2006/relationships/hyperlink" Target="https://docs.google.com/document/d/1BAOexeh-XbOQFMqUtDqYhBf2kVo7-c8egjz0D1KB2Q8/edit?usp=drivesdk" TargetMode="External"/><Relationship Id="rId407" Type="http://schemas.openxmlformats.org/officeDocument/2006/relationships/hyperlink" Target="https://drive.google.com/uc?export=view&amp;id=1-BiLXm-WHzQw5a_-VOvfu9UHnu0aN0EA" TargetMode="External"/><Relationship Id="rId406" Type="http://schemas.openxmlformats.org/officeDocument/2006/relationships/hyperlink" Target="https://drive.google.com/open?id=1-BiLXm-WHzQw5a_-VOvfu9UHnu0aN0EA" TargetMode="External"/><Relationship Id="rId405" Type="http://schemas.openxmlformats.org/officeDocument/2006/relationships/hyperlink" Target="https://docs.google.com/document/d/11iGgOi2WMINhsWQrB-wVrBvVqqfOR2y3BhSLz5biN0k/edit?usp=drivesdk" TargetMode="External"/><Relationship Id="rId3890" Type="http://schemas.openxmlformats.org/officeDocument/2006/relationships/hyperlink" Target="https://drive.google.com/open?id=1vBYd5fMqxwfZZ4W1BUNh8bZ1ERPsgrln" TargetMode="External"/><Relationship Id="rId2560" Type="http://schemas.openxmlformats.org/officeDocument/2006/relationships/hyperlink" Target="https://docs.google.com/document/d/1sbR5CjjQrlwVwuQOjiAKP1f-s5Sz9Thu5N7vB2f5nOU/edit?usp=drivesdk" TargetMode="External"/><Relationship Id="rId3892" Type="http://schemas.openxmlformats.org/officeDocument/2006/relationships/hyperlink" Target="https://docs.google.com/document/d/1Y_21wug5qXb35ofYc0uEJwo7Dz134k7jHmN0WqjLQy0/edit?usp=drivesdk" TargetMode="External"/><Relationship Id="rId1230" Type="http://schemas.openxmlformats.org/officeDocument/2006/relationships/hyperlink" Target="https://drive.google.com/open?id=1QusWp3LvdC7kmfOSOqY3CEBVX1ycDHDb" TargetMode="External"/><Relationship Id="rId2561" Type="http://schemas.openxmlformats.org/officeDocument/2006/relationships/hyperlink" Target="https://drive.google.com/open?id=17dFWtS1ZVbL4yz2ta8-DRvnUlmJNGhKb" TargetMode="External"/><Relationship Id="rId3891" Type="http://schemas.openxmlformats.org/officeDocument/2006/relationships/hyperlink" Target="https://drive.google.com/uc?export=view&amp;id=1vBYd5fMqxwfZZ4W1BUNh8bZ1ERPsgrln" TargetMode="External"/><Relationship Id="rId400" Type="http://schemas.openxmlformats.org/officeDocument/2006/relationships/hyperlink" Target="https://drive.google.com/open?id=123PlSkJqXGffRxBdr4w2PlzKnhSHBa9r" TargetMode="External"/><Relationship Id="rId1231" Type="http://schemas.openxmlformats.org/officeDocument/2006/relationships/hyperlink" Target="https://drive.google.com/uc?export=view&amp;id=1QusWp3LvdC7kmfOSOqY3CEBVX1ycDHDb" TargetMode="External"/><Relationship Id="rId2562" Type="http://schemas.openxmlformats.org/officeDocument/2006/relationships/hyperlink" Target="https://drive.google.com/uc?export=view&amp;id=17dFWtS1ZVbL4yz2ta8-DRvnUlmJNGhKb" TargetMode="External"/><Relationship Id="rId3894" Type="http://schemas.openxmlformats.org/officeDocument/2006/relationships/hyperlink" Target="https://drive.google.com/uc?export=view&amp;id=17NQZV0KvTxp9-nWFjjdkUD8byw5xhd8j" TargetMode="External"/><Relationship Id="rId1232" Type="http://schemas.openxmlformats.org/officeDocument/2006/relationships/hyperlink" Target="https://docs.google.com/document/d/1BBiTZNCg8mMWD0AQkGb84DTijDzuDC7gKJksjpyNpJQ/edit?usp=drivesdk" TargetMode="External"/><Relationship Id="rId2563" Type="http://schemas.openxmlformats.org/officeDocument/2006/relationships/hyperlink" Target="https://docs.google.com/document/d/1l10adHv2dICewoNJt9KDhYLqnfLiaZedodre3dmdrgI/edit?usp=drivesdk" TargetMode="External"/><Relationship Id="rId3893" Type="http://schemas.openxmlformats.org/officeDocument/2006/relationships/hyperlink" Target="https://drive.google.com/open?id=17NQZV0KvTxp9-nWFjjdkUD8byw5xhd8j" TargetMode="External"/><Relationship Id="rId1233" Type="http://schemas.openxmlformats.org/officeDocument/2006/relationships/hyperlink" Target="https://drive.google.com/open?id=1-t5PpENIBM97tn5r-I22LgPJoAdrfXUe" TargetMode="External"/><Relationship Id="rId2564" Type="http://schemas.openxmlformats.org/officeDocument/2006/relationships/hyperlink" Target="https://drive.google.com/open?id=1zM0gkD_yej-3tukUNakTfSfH3KF4lJug" TargetMode="External"/><Relationship Id="rId3896" Type="http://schemas.openxmlformats.org/officeDocument/2006/relationships/hyperlink" Target="https://drive.google.com/open?id=18buWDVkq6DcLmiLS-6FJuk1UEC0_M6MW" TargetMode="External"/><Relationship Id="rId1234" Type="http://schemas.openxmlformats.org/officeDocument/2006/relationships/hyperlink" Target="https://drive.google.com/uc?export=view&amp;id=1-t5PpENIBM97tn5r-I22LgPJoAdrfXUe" TargetMode="External"/><Relationship Id="rId2565" Type="http://schemas.openxmlformats.org/officeDocument/2006/relationships/hyperlink" Target="https://drive.google.com/uc?export=view&amp;id=1zM0gkD_yej-3tukUNakTfSfH3KF4lJug" TargetMode="External"/><Relationship Id="rId3895" Type="http://schemas.openxmlformats.org/officeDocument/2006/relationships/hyperlink" Target="https://docs.google.com/document/d/13MpHs3wkc_ebTHv2oqWp3NrBxrC96vt23xKciSPujsk/edit?usp=drivesdk" TargetMode="External"/><Relationship Id="rId1224" Type="http://schemas.openxmlformats.org/officeDocument/2006/relationships/hyperlink" Target="https://drive.google.com/open?id=1hIBZ3k5sC03QiV71a2IJZ_QAbXTgDAXm" TargetMode="External"/><Relationship Id="rId2555" Type="http://schemas.openxmlformats.org/officeDocument/2006/relationships/hyperlink" Target="https://drive.google.com/open?id=1fOzYOmOJ_sN7gSKhEIYPzJygrnCbxZA2" TargetMode="External"/><Relationship Id="rId3887" Type="http://schemas.openxmlformats.org/officeDocument/2006/relationships/hyperlink" Target="https://drive.google.com/open?id=1VIqCNekDmz88kbybJrR-9-6nRbeC-Fab" TargetMode="External"/><Relationship Id="rId1225" Type="http://schemas.openxmlformats.org/officeDocument/2006/relationships/hyperlink" Target="https://drive.google.com/uc?export=view&amp;id=1hIBZ3k5sC03QiV71a2IJZ_QAbXTgDAXm" TargetMode="External"/><Relationship Id="rId2556" Type="http://schemas.openxmlformats.org/officeDocument/2006/relationships/hyperlink" Target="https://drive.google.com/uc?export=view&amp;id=1fOzYOmOJ_sN7gSKhEIYPzJygrnCbxZA2" TargetMode="External"/><Relationship Id="rId3886" Type="http://schemas.openxmlformats.org/officeDocument/2006/relationships/hyperlink" Target="https://docs.google.com/document/d/1TVq8wlD5PCIRI--DkF4wT3oxpKwDoMz05T1mTUpDzt0/edit?usp=drivesdk" TargetMode="External"/><Relationship Id="rId1226" Type="http://schemas.openxmlformats.org/officeDocument/2006/relationships/hyperlink" Target="https://docs.google.com/document/d/15wG-h8RSKzpPmnygELtmyCar1b24wBWcnf4hT1vuvv8/edit?usp=drivesdk" TargetMode="External"/><Relationship Id="rId2557" Type="http://schemas.openxmlformats.org/officeDocument/2006/relationships/hyperlink" Target="https://docs.google.com/document/d/18IOo6VjfOE7fPlG2E_b4-este-nEHpJMNbL3mj01DQw/edit?usp=drivesdk" TargetMode="External"/><Relationship Id="rId3889" Type="http://schemas.openxmlformats.org/officeDocument/2006/relationships/hyperlink" Target="https://docs.google.com/document/d/1jen2Gx5k7NDuAaxoK442q5awWAYY0Y3Fuosa5AXcBDE/edit?usp=drivesdk" TargetMode="External"/><Relationship Id="rId1227" Type="http://schemas.openxmlformats.org/officeDocument/2006/relationships/hyperlink" Target="https://drive.google.com/open?id=16S1cPPdcmjyTYi7_kPUjwNZuL10qBm4f" TargetMode="External"/><Relationship Id="rId2558" Type="http://schemas.openxmlformats.org/officeDocument/2006/relationships/hyperlink" Target="https://drive.google.com/open?id=1uTPRtoI5S5aRkbylhkzBU4wVBas7hBwq" TargetMode="External"/><Relationship Id="rId3888" Type="http://schemas.openxmlformats.org/officeDocument/2006/relationships/hyperlink" Target="https://drive.google.com/uc?export=view&amp;id=1VIqCNekDmz88kbybJrR-9-6nRbeC-Fab" TargetMode="External"/><Relationship Id="rId1228" Type="http://schemas.openxmlformats.org/officeDocument/2006/relationships/hyperlink" Target="https://drive.google.com/uc?export=view&amp;id=16S1cPPdcmjyTYi7_kPUjwNZuL10qBm4f" TargetMode="External"/><Relationship Id="rId2559" Type="http://schemas.openxmlformats.org/officeDocument/2006/relationships/hyperlink" Target="https://drive.google.com/uc?export=view&amp;id=1uTPRtoI5S5aRkbylhkzBU4wVBas7hBwq" TargetMode="External"/><Relationship Id="rId1229" Type="http://schemas.openxmlformats.org/officeDocument/2006/relationships/hyperlink" Target="https://docs.google.com/document/d/1w4OXjAXdygmOcxkztDKCCKmZI2hFa7fgDOAXjTtTQf0/edit?usp=drivesdk" TargetMode="External"/><Relationship Id="rId3881" Type="http://schemas.openxmlformats.org/officeDocument/2006/relationships/hyperlink" Target="https://drive.google.com/open?id=1Uo03l7tsjIwB1-TNNOFqq0OqwSUetH_D" TargetMode="External"/><Relationship Id="rId2550" Type="http://schemas.openxmlformats.org/officeDocument/2006/relationships/hyperlink" Target="https://drive.google.com/uc?export=view&amp;id=1zPj7oL-bjSsfzj1Zn7C1l00dMK_fD353" TargetMode="External"/><Relationship Id="rId3880" Type="http://schemas.openxmlformats.org/officeDocument/2006/relationships/hyperlink" Target="https://docs.google.com/document/d/1-QyVm93qLFrFrWNM3OhZnHWAMzGOeen-zr8QXMZyf-o/edit?usp=drivesdk" TargetMode="External"/><Relationship Id="rId1220" Type="http://schemas.openxmlformats.org/officeDocument/2006/relationships/hyperlink" Target="https://docs.google.com/document/d/17cYITlwVXbpxeHg96_KPe47muDlVXCx-cbhwPygnwlo/edit?usp=drivesdk" TargetMode="External"/><Relationship Id="rId2551" Type="http://schemas.openxmlformats.org/officeDocument/2006/relationships/hyperlink" Target="https://docs.google.com/document/d/1PlNagVhZQz31gIXiFs5BklKTBDNvXjHv7R8N_4wzy7k/edit?usp=drivesdk" TargetMode="External"/><Relationship Id="rId3883" Type="http://schemas.openxmlformats.org/officeDocument/2006/relationships/hyperlink" Target="https://docs.google.com/document/d/1RoszI9feZEuAvyvfSkYIsmxtZznCpbngq_8kM0Rc-xQ/edit?usp=drivesdk" TargetMode="External"/><Relationship Id="rId1221" Type="http://schemas.openxmlformats.org/officeDocument/2006/relationships/hyperlink" Target="https://drive.google.com/open?id=1BYmm2L3GUavoo-24ETnKVo0jE5rbUNDG" TargetMode="External"/><Relationship Id="rId2552" Type="http://schemas.openxmlformats.org/officeDocument/2006/relationships/hyperlink" Target="https://drive.google.com/open?id=1C-JW3UWVf0vi5FkSiU_JCMN-hZPHSkC3" TargetMode="External"/><Relationship Id="rId3882" Type="http://schemas.openxmlformats.org/officeDocument/2006/relationships/hyperlink" Target="https://drive.google.com/uc?export=view&amp;id=1Uo03l7tsjIwB1-TNNOFqq0OqwSUetH_D" TargetMode="External"/><Relationship Id="rId1222" Type="http://schemas.openxmlformats.org/officeDocument/2006/relationships/hyperlink" Target="https://drive.google.com/uc?export=view&amp;id=1BYmm2L3GUavoo-24ETnKVo0jE5rbUNDG" TargetMode="External"/><Relationship Id="rId2553" Type="http://schemas.openxmlformats.org/officeDocument/2006/relationships/hyperlink" Target="https://drive.google.com/uc?export=view&amp;id=1C-JW3UWVf0vi5FkSiU_JCMN-hZPHSkC3" TargetMode="External"/><Relationship Id="rId3885" Type="http://schemas.openxmlformats.org/officeDocument/2006/relationships/hyperlink" Target="https://drive.google.com/uc?export=view&amp;id=1xxEUwsZrpIotc2FFr4tbh8jQMFKPRq1Y" TargetMode="External"/><Relationship Id="rId1223" Type="http://schemas.openxmlformats.org/officeDocument/2006/relationships/hyperlink" Target="https://docs.google.com/document/d/1b3ORH_MFDzQb9MxC4rhLeFGpbfEphD3TyfipX6XRiZ0/edit?usp=drivesdk" TargetMode="External"/><Relationship Id="rId2554" Type="http://schemas.openxmlformats.org/officeDocument/2006/relationships/hyperlink" Target="https://docs.google.com/document/d/1pl9X3aSYQGHBw-K313EiKUNtX_L7oJjUyCKASC147h8/edit?usp=drivesdk" TargetMode="External"/><Relationship Id="rId3884" Type="http://schemas.openxmlformats.org/officeDocument/2006/relationships/hyperlink" Target="https://drive.google.com/open?id=1xxEUwsZrpIotc2FFr4tbh8jQMFKPRq1Y" TargetMode="External"/><Relationship Id="rId2500" Type="http://schemas.openxmlformats.org/officeDocument/2006/relationships/hyperlink" Target="https://docs.google.com/document/d/16NiqrgbfvoA0wTmm-fso8WqT1ARvxqLm6rXC4XKmzvM/edit?usp=drivesdk" TargetMode="External"/><Relationship Id="rId3832" Type="http://schemas.openxmlformats.org/officeDocument/2006/relationships/hyperlink" Target="https://docs.google.com/document/d/15NrV2UuO5M5OGAED633i-R8mokK0UEnqTLp-op1qReI/edit?usp=drivesdk" TargetMode="External"/><Relationship Id="rId2501" Type="http://schemas.openxmlformats.org/officeDocument/2006/relationships/hyperlink" Target="https://drive.google.com/open?id=1TQoIWG1emDU0Ee8uNMD2ioq432yd2_bt" TargetMode="External"/><Relationship Id="rId3831" Type="http://schemas.openxmlformats.org/officeDocument/2006/relationships/hyperlink" Target="https://drive.google.com/uc?export=view&amp;id=1IdFq77takeg7Pkk6XqAa4Xu4NErIYFhc" TargetMode="External"/><Relationship Id="rId2502" Type="http://schemas.openxmlformats.org/officeDocument/2006/relationships/hyperlink" Target="https://drive.google.com/uc?export=view&amp;id=1TQoIWG1emDU0Ee8uNMD2ioq432yd2_bt" TargetMode="External"/><Relationship Id="rId3834" Type="http://schemas.openxmlformats.org/officeDocument/2006/relationships/hyperlink" Target="https://drive.google.com/uc?export=view&amp;id=1AGmffF-UZ3JIchGQ1KDUzCB-g1dtKLSG" TargetMode="External"/><Relationship Id="rId2503" Type="http://schemas.openxmlformats.org/officeDocument/2006/relationships/hyperlink" Target="https://docs.google.com/document/d/1EnkgDG_ZsFH-70knanzGCgU2c0ryR7viqbVvxm9GRpU/edit?usp=drivesdk" TargetMode="External"/><Relationship Id="rId3833" Type="http://schemas.openxmlformats.org/officeDocument/2006/relationships/hyperlink" Target="https://drive.google.com/open?id=1AGmffF-UZ3JIchGQ1KDUzCB-g1dtKLSG" TargetMode="External"/><Relationship Id="rId2504" Type="http://schemas.openxmlformats.org/officeDocument/2006/relationships/hyperlink" Target="https://drive.google.com/open?id=1yKrPPhD4N-UtMhIMocPtLpTXQqqTKhBe" TargetMode="External"/><Relationship Id="rId3836" Type="http://schemas.openxmlformats.org/officeDocument/2006/relationships/hyperlink" Target="https://drive.google.com/open?id=1t9H1ZWdSuQPodNu5N5sEz0j6GhtuD2H7" TargetMode="External"/><Relationship Id="rId2505" Type="http://schemas.openxmlformats.org/officeDocument/2006/relationships/hyperlink" Target="https://drive.google.com/uc?export=view&amp;id=1yKrPPhD4N-UtMhIMocPtLpTXQqqTKhBe" TargetMode="External"/><Relationship Id="rId3835" Type="http://schemas.openxmlformats.org/officeDocument/2006/relationships/hyperlink" Target="https://docs.google.com/document/d/1FKMcI4eNImagvrfWEdlPMt3cG72uFkWX-cg4OMqgN8M/edit?usp=drivesdk" TargetMode="External"/><Relationship Id="rId2506" Type="http://schemas.openxmlformats.org/officeDocument/2006/relationships/hyperlink" Target="https://docs.google.com/document/d/1wkQpwBbDiUl9IIa9xk_N5QoLKO6ameUNB76WEpW3aZU/edit?usp=drivesdk" TargetMode="External"/><Relationship Id="rId3838" Type="http://schemas.openxmlformats.org/officeDocument/2006/relationships/hyperlink" Target="https://docs.google.com/document/d/1eM7wPNZZXcHfc-Snnw9z4n_9VnkNEx4ICZtJjCryb04/edit?usp=drivesdk" TargetMode="External"/><Relationship Id="rId2507" Type="http://schemas.openxmlformats.org/officeDocument/2006/relationships/hyperlink" Target="https://drive.google.com/open?id=1P7lpIBQkF2_GknkSNQAd8zPjLKJVpYPK" TargetMode="External"/><Relationship Id="rId3837" Type="http://schemas.openxmlformats.org/officeDocument/2006/relationships/hyperlink" Target="https://drive.google.com/uc?export=view&amp;id=1t9H1ZWdSuQPodNu5N5sEz0j6GhtuD2H7" TargetMode="External"/><Relationship Id="rId2508" Type="http://schemas.openxmlformats.org/officeDocument/2006/relationships/hyperlink" Target="https://drive.google.com/uc?export=view&amp;id=1P7lpIBQkF2_GknkSNQAd8zPjLKJVpYPK" TargetMode="External"/><Relationship Id="rId2509" Type="http://schemas.openxmlformats.org/officeDocument/2006/relationships/hyperlink" Target="https://docs.google.com/document/d/176pQZ13L1i9v7oOFwPjNuaDV7tbE3qD-EcQfINTidBM/edit?usp=drivesdk" TargetMode="External"/><Relationship Id="rId3839" Type="http://schemas.openxmlformats.org/officeDocument/2006/relationships/hyperlink" Target="https://drive.google.com/open?id=1pwMCrqyUfWYT5a1IJY8IZV8qx-y0ndGP" TargetMode="External"/><Relationship Id="rId3830" Type="http://schemas.openxmlformats.org/officeDocument/2006/relationships/hyperlink" Target="https://drive.google.com/open?id=1IdFq77takeg7Pkk6XqAa4Xu4NErIYFhc" TargetMode="External"/><Relationship Id="rId3821" Type="http://schemas.openxmlformats.org/officeDocument/2006/relationships/hyperlink" Target="https://drive.google.com/open?id=1ka1i5Zn-9JzmNDoSCgRrZOtnq1qWu2up" TargetMode="External"/><Relationship Id="rId3820" Type="http://schemas.openxmlformats.org/officeDocument/2006/relationships/hyperlink" Target="https://docs.google.com/document/d/1mse6EzCLI7ByBjcLoLnKJZ9xKLq45ho5EVohuoNC_aY/edit?usp=drivesdk" TargetMode="External"/><Relationship Id="rId3823" Type="http://schemas.openxmlformats.org/officeDocument/2006/relationships/hyperlink" Target="https://docs.google.com/document/d/1w3Zh3xx833XTXk9z5yQjMUU0bQV7CAAi1MW6pdDHvhU/edit?usp=drivesdk" TargetMode="External"/><Relationship Id="rId3822" Type="http://schemas.openxmlformats.org/officeDocument/2006/relationships/hyperlink" Target="https://drive.google.com/uc?export=view&amp;id=1ka1i5Zn-9JzmNDoSCgRrZOtnq1qWu2up" TargetMode="External"/><Relationship Id="rId3825" Type="http://schemas.openxmlformats.org/officeDocument/2006/relationships/hyperlink" Target="https://drive.google.com/uc?export=view&amp;id=1SGq5Tc2ltevBfJZizl4hkdu2VdAAgUBf" TargetMode="External"/><Relationship Id="rId3824" Type="http://schemas.openxmlformats.org/officeDocument/2006/relationships/hyperlink" Target="https://drive.google.com/open?id=1SGq5Tc2ltevBfJZizl4hkdu2VdAAgUBf" TargetMode="External"/><Relationship Id="rId3827" Type="http://schemas.openxmlformats.org/officeDocument/2006/relationships/hyperlink" Target="https://drive.google.com/open?id=1C0-pZHf-E4IKM1dt0XC-wOd2YC_4Ljr9" TargetMode="External"/><Relationship Id="rId3826" Type="http://schemas.openxmlformats.org/officeDocument/2006/relationships/hyperlink" Target="https://docs.google.com/document/d/1kZc5MjBsLalv5VXb3H8czv9mvV363WOIII47SeeS12s/edit?usp=drivesdk" TargetMode="External"/><Relationship Id="rId3829" Type="http://schemas.openxmlformats.org/officeDocument/2006/relationships/hyperlink" Target="https://docs.google.com/document/d/1iA7-EnAHRkB60i2K7SGt0wCwVihppE37A4vHPQGOgb0/edit?usp=drivesdk" TargetMode="External"/><Relationship Id="rId3828" Type="http://schemas.openxmlformats.org/officeDocument/2006/relationships/hyperlink" Target="https://drive.google.com/uc?export=view&amp;id=1C0-pZHf-E4IKM1dt0XC-wOd2YC_4Ljr9" TargetMode="External"/><Relationship Id="rId2522" Type="http://schemas.openxmlformats.org/officeDocument/2006/relationships/hyperlink" Target="https://drive.google.com/open?id=13c5RCCChXytSDrG4QQpfx0kHPutoAGL9" TargetMode="External"/><Relationship Id="rId3854" Type="http://schemas.openxmlformats.org/officeDocument/2006/relationships/hyperlink" Target="https://drive.google.com/open?id=1V4haugQT7zn_K7NZy-cFqddWYZW-wCNP" TargetMode="External"/><Relationship Id="rId2523" Type="http://schemas.openxmlformats.org/officeDocument/2006/relationships/hyperlink" Target="https://drive.google.com/uc?export=view&amp;id=13c5RCCChXytSDrG4QQpfx0kHPutoAGL9" TargetMode="External"/><Relationship Id="rId3853" Type="http://schemas.openxmlformats.org/officeDocument/2006/relationships/hyperlink" Target="https://docs.google.com/document/d/1neZi3Nz29OgjBUE6uROmY6y7UlN5XHFjD1xp2CHvqxU/edit?usp=drivesdk" TargetMode="External"/><Relationship Id="rId2524" Type="http://schemas.openxmlformats.org/officeDocument/2006/relationships/hyperlink" Target="https://docs.google.com/document/d/11YPzT6zjfZBCIX6PhGqfdtGluD-0UaGTCy8h1QYak4w/edit?usp=drivesdk" TargetMode="External"/><Relationship Id="rId3856" Type="http://schemas.openxmlformats.org/officeDocument/2006/relationships/hyperlink" Target="https://docs.google.com/document/d/1CRBWdSvwNqF95P-TNtUDjDLa-fs55GpKJx9KgF3eyIU/edit?usp=drivesdk" TargetMode="External"/><Relationship Id="rId2525" Type="http://schemas.openxmlformats.org/officeDocument/2006/relationships/hyperlink" Target="https://drive.google.com/open?id=1_S1vhgse8-wBEw-Q3J7pXW8_3udc-YHv" TargetMode="External"/><Relationship Id="rId3855" Type="http://schemas.openxmlformats.org/officeDocument/2006/relationships/hyperlink" Target="https://drive.google.com/uc?export=view&amp;id=1V4haugQT7zn_K7NZy-cFqddWYZW-wCNP" TargetMode="External"/><Relationship Id="rId2526" Type="http://schemas.openxmlformats.org/officeDocument/2006/relationships/hyperlink" Target="https://drive.google.com/uc?export=view&amp;id=1_S1vhgse8-wBEw-Q3J7pXW8_3udc-YHv" TargetMode="External"/><Relationship Id="rId3858" Type="http://schemas.openxmlformats.org/officeDocument/2006/relationships/hyperlink" Target="https://drive.google.com/uc?export=view&amp;id=1vLGSwYbMrvyodwiVR3TCC618vVIhuPAM" TargetMode="External"/><Relationship Id="rId2527" Type="http://schemas.openxmlformats.org/officeDocument/2006/relationships/hyperlink" Target="https://docs.google.com/document/d/1qSy-TL3gEsunqXJ0ej_sJx34dBpTWNy215pPlWZ61uM/edit?usp=drivesdk" TargetMode="External"/><Relationship Id="rId3857" Type="http://schemas.openxmlformats.org/officeDocument/2006/relationships/hyperlink" Target="https://drive.google.com/open?id=1vLGSwYbMrvyodwiVR3TCC618vVIhuPAM" TargetMode="External"/><Relationship Id="rId2528" Type="http://schemas.openxmlformats.org/officeDocument/2006/relationships/hyperlink" Target="https://drive.google.com/open?id=1F1rQ9A4Oz9YsyA04a34pvKe8uxlXSn9c" TargetMode="External"/><Relationship Id="rId2529" Type="http://schemas.openxmlformats.org/officeDocument/2006/relationships/hyperlink" Target="https://drive.google.com/uc?export=view&amp;id=1F1rQ9A4Oz9YsyA04a34pvKe8uxlXSn9c" TargetMode="External"/><Relationship Id="rId3859" Type="http://schemas.openxmlformats.org/officeDocument/2006/relationships/hyperlink" Target="https://docs.google.com/document/d/1l2ZFHQurc7DXQONej_LBt_7uz1_lCiZyS9roFlUKb80/edit?usp=drivesdk" TargetMode="External"/><Relationship Id="rId3850" Type="http://schemas.openxmlformats.org/officeDocument/2006/relationships/hyperlink" Target="https://docs.google.com/document/d/1N2eLOsn-MU2Mr_rf_I8xKPjGPdgEwcf6OpiouFHb6Gg/edit?usp=drivesdk" TargetMode="External"/><Relationship Id="rId2520" Type="http://schemas.openxmlformats.org/officeDocument/2006/relationships/hyperlink" Target="https://drive.google.com/uc?export=view&amp;id=18Pp-0KbEcVa-IwLvVJSSxNE-4FxOSn4j" TargetMode="External"/><Relationship Id="rId3852" Type="http://schemas.openxmlformats.org/officeDocument/2006/relationships/hyperlink" Target="https://drive.google.com/uc?export=view&amp;id=11hUd3vZDbVLbpGl04mM6GDjOwfRP6MA9" TargetMode="External"/><Relationship Id="rId2521" Type="http://schemas.openxmlformats.org/officeDocument/2006/relationships/hyperlink" Target="https://docs.google.com/document/d/1UXIUUbro526UhP8ijyNZ26IXBwA3j3WppSCoSP6e0wQ/edit?usp=drivesdk" TargetMode="External"/><Relationship Id="rId3851" Type="http://schemas.openxmlformats.org/officeDocument/2006/relationships/hyperlink" Target="https://drive.google.com/open?id=11hUd3vZDbVLbpGl04mM6GDjOwfRP6MA9" TargetMode="External"/><Relationship Id="rId2511" Type="http://schemas.openxmlformats.org/officeDocument/2006/relationships/hyperlink" Target="https://drive.google.com/uc?export=view&amp;id=1kAnNOyuyDsHQ0MQwa0cVpP4JBZP5X1Qr" TargetMode="External"/><Relationship Id="rId3843" Type="http://schemas.openxmlformats.org/officeDocument/2006/relationships/hyperlink" Target="https://drive.google.com/uc?export=view&amp;id=19UikpsLGzjwJh20FOvd6-Yuzbol9Nt0B" TargetMode="External"/><Relationship Id="rId2512" Type="http://schemas.openxmlformats.org/officeDocument/2006/relationships/hyperlink" Target="https://docs.google.com/document/d/11iilfTwyNj0iAlLKH2PvlLt0YHAPnkgYsrEZCLLr2WY/edit?usp=drivesdk" TargetMode="External"/><Relationship Id="rId3842" Type="http://schemas.openxmlformats.org/officeDocument/2006/relationships/hyperlink" Target="https://drive.google.com/open?id=19UikpsLGzjwJh20FOvd6-Yuzbol9Nt0B" TargetMode="External"/><Relationship Id="rId2513" Type="http://schemas.openxmlformats.org/officeDocument/2006/relationships/hyperlink" Target="https://drive.google.com/open?id=1Opkx3VNRPnuVOu115uEZuzpAoygCQsBQ" TargetMode="External"/><Relationship Id="rId3845" Type="http://schemas.openxmlformats.org/officeDocument/2006/relationships/hyperlink" Target="https://drive.google.com/open?id=17vJ6ZFYokIPCSAJz-9bcb4yJHWm1lq40" TargetMode="External"/><Relationship Id="rId2514" Type="http://schemas.openxmlformats.org/officeDocument/2006/relationships/hyperlink" Target="https://drive.google.com/uc?export=view&amp;id=1Opkx3VNRPnuVOu115uEZuzpAoygCQsBQ" TargetMode="External"/><Relationship Id="rId3844" Type="http://schemas.openxmlformats.org/officeDocument/2006/relationships/hyperlink" Target="https://docs.google.com/document/d/1oZpHXHw2e1Xj7B2lJZx4w1vSOas3cQI5ZmZkcjB-xro/edit?usp=drivesdk" TargetMode="External"/><Relationship Id="rId2515" Type="http://schemas.openxmlformats.org/officeDocument/2006/relationships/hyperlink" Target="https://docs.google.com/document/d/1EQacX7RIZmDjDblYemIs-y7vbcqNdXr22aUOKvSPrbs/edit?usp=drivesdk" TargetMode="External"/><Relationship Id="rId3847" Type="http://schemas.openxmlformats.org/officeDocument/2006/relationships/hyperlink" Target="https://docs.google.com/document/d/1xzHwtd90vFB2kpIwJyCRwxAs7EK7_Jqr8wOoj8wYQoA/edit?usp=drivesdk" TargetMode="External"/><Relationship Id="rId2516" Type="http://schemas.openxmlformats.org/officeDocument/2006/relationships/hyperlink" Target="https://drive.google.com/open?id=1c0I6Uk5NlJwzyJWI0hdLMI_yFjadPCyu" TargetMode="External"/><Relationship Id="rId3846" Type="http://schemas.openxmlformats.org/officeDocument/2006/relationships/hyperlink" Target="https://drive.google.com/uc?export=view&amp;id=17vJ6ZFYokIPCSAJz-9bcb4yJHWm1lq40" TargetMode="External"/><Relationship Id="rId2517" Type="http://schemas.openxmlformats.org/officeDocument/2006/relationships/hyperlink" Target="https://drive.google.com/uc?export=view&amp;id=1c0I6Uk5NlJwzyJWI0hdLMI_yFjadPCyu" TargetMode="External"/><Relationship Id="rId3849" Type="http://schemas.openxmlformats.org/officeDocument/2006/relationships/hyperlink" Target="https://drive.google.com/uc?export=view&amp;id=1vNyeUZkdAVumNExviCVUswQqLzSPF9yR" TargetMode="External"/><Relationship Id="rId2518" Type="http://schemas.openxmlformats.org/officeDocument/2006/relationships/hyperlink" Target="https://docs.google.com/document/d/1gZuzPAkEGhT-rfDUv9Jy7TAszdWR-3ZDpK-RZak7gzE/edit?usp=drivesdk" TargetMode="External"/><Relationship Id="rId3848" Type="http://schemas.openxmlformats.org/officeDocument/2006/relationships/hyperlink" Target="https://drive.google.com/open?id=1vNyeUZkdAVumNExviCVUswQqLzSPF9yR" TargetMode="External"/><Relationship Id="rId2519" Type="http://schemas.openxmlformats.org/officeDocument/2006/relationships/hyperlink" Target="https://drive.google.com/open?id=18Pp-0KbEcVa-IwLvVJSSxNE-4FxOSn4j" TargetMode="External"/><Relationship Id="rId3841" Type="http://schemas.openxmlformats.org/officeDocument/2006/relationships/hyperlink" Target="https://docs.google.com/document/d/1JiCvCKvTiTM3HTE-ufKkPy7GCbcpqNmRU1bknIHu8ak/edit?usp=drivesdk" TargetMode="External"/><Relationship Id="rId2510" Type="http://schemas.openxmlformats.org/officeDocument/2006/relationships/hyperlink" Target="https://drive.google.com/open?id=1kAnNOyuyDsHQ0MQwa0cVpP4JBZP5X1Qr" TargetMode="External"/><Relationship Id="rId3840" Type="http://schemas.openxmlformats.org/officeDocument/2006/relationships/hyperlink" Target="https://drive.google.com/uc?export=view&amp;id=1pwMCrqyUfWYT5a1IJY8IZV8qx-y0ndGP" TargetMode="External"/><Relationship Id="rId4327" Type="http://schemas.openxmlformats.org/officeDocument/2006/relationships/hyperlink" Target="https://docs.google.com/document/d/1z1Rs6lbnCEBbJ3NWTjC_alwpepF-DoYfWTMKKT8MI48/edit?usp=drivesdk" TargetMode="External"/><Relationship Id="rId4326" Type="http://schemas.openxmlformats.org/officeDocument/2006/relationships/hyperlink" Target="https://drive.google.com/uc?export=view&amp;id=1SKOA2j9nHCz2LUtOeAjDE7dSSsGMDia_" TargetMode="External"/><Relationship Id="rId4329" Type="http://schemas.openxmlformats.org/officeDocument/2006/relationships/hyperlink" Target="https://drive.google.com/uc?export=view&amp;id=1nECSXoY7NcbRsgD6-5eboyfXKCHxVxMA" TargetMode="External"/><Relationship Id="rId4328" Type="http://schemas.openxmlformats.org/officeDocument/2006/relationships/hyperlink" Target="https://drive.google.com/open?id=1nECSXoY7NcbRsgD6-5eboyfXKCHxVxMA" TargetMode="External"/><Relationship Id="rId469" Type="http://schemas.openxmlformats.org/officeDocument/2006/relationships/hyperlink" Target="https://drive.google.com/open?id=1e8BNFqf7CU2rQ8fjZ4fQi7iiyDJGDS2d" TargetMode="External"/><Relationship Id="rId468" Type="http://schemas.openxmlformats.org/officeDocument/2006/relationships/hyperlink" Target="https://docs.google.com/document/d/1fjonWvUHENQlgh_0N1f_GOBrwgZcw-LIpf7zfFQjAMA/edit?usp=drivesdk" TargetMode="External"/><Relationship Id="rId467" Type="http://schemas.openxmlformats.org/officeDocument/2006/relationships/hyperlink" Target="https://drive.google.com/uc?export=view&amp;id=1MERrLL5P92IHT_OToX_hQa60GogcqD9O" TargetMode="External"/><Relationship Id="rId1290" Type="http://schemas.openxmlformats.org/officeDocument/2006/relationships/hyperlink" Target="https://drive.google.com/open?id=1e5zBUyGoSm0RQcXPznfMl4usd32UTgbq" TargetMode="External"/><Relationship Id="rId1291" Type="http://schemas.openxmlformats.org/officeDocument/2006/relationships/hyperlink" Target="https://drive.google.com/uc?export=view&amp;id=1e5zBUyGoSm0RQcXPznfMl4usd32UTgbq" TargetMode="External"/><Relationship Id="rId1292" Type="http://schemas.openxmlformats.org/officeDocument/2006/relationships/hyperlink" Target="https://docs.google.com/document/d/1ojsaZWOkeZF9xyVOXiO3yCfVlnarxQK-pmNVIgCmt7Y/edit?usp=drivesdk" TargetMode="External"/><Relationship Id="rId462" Type="http://schemas.openxmlformats.org/officeDocument/2006/relationships/hyperlink" Target="https://docs.google.com/document/d/14nOxcbK1Ej0xKoMONGZshFWnPEyq2JSyfCf3Z2lSkJ0/edit?usp=drivesdk" TargetMode="External"/><Relationship Id="rId1293" Type="http://schemas.openxmlformats.org/officeDocument/2006/relationships/hyperlink" Target="https://drive.google.com/open?id=1tc2SPbxYKsMIwZagM4onKqSi2s5C4AsZ" TargetMode="External"/><Relationship Id="rId461" Type="http://schemas.openxmlformats.org/officeDocument/2006/relationships/hyperlink" Target="https://drive.google.com/uc?export=view&amp;id=1jbhwoROQ9qg4j0VK_EIEfkkWXzaPt1SI" TargetMode="External"/><Relationship Id="rId1294" Type="http://schemas.openxmlformats.org/officeDocument/2006/relationships/hyperlink" Target="https://drive.google.com/uc?export=view&amp;id=1tc2SPbxYKsMIwZagM4onKqSi2s5C4AsZ" TargetMode="External"/><Relationship Id="rId460" Type="http://schemas.openxmlformats.org/officeDocument/2006/relationships/hyperlink" Target="https://drive.google.com/open?id=1jbhwoROQ9qg4j0VK_EIEfkkWXzaPt1SI" TargetMode="External"/><Relationship Id="rId1295" Type="http://schemas.openxmlformats.org/officeDocument/2006/relationships/hyperlink" Target="https://docs.google.com/document/d/1LKF16pGgYk-vnq6YIvMGBFAbfo10azQtalx9lvp3fB0/edit?usp=drivesdk" TargetMode="External"/><Relationship Id="rId4321" Type="http://schemas.openxmlformats.org/officeDocument/2006/relationships/hyperlink" Target="https://docs.google.com/document/d/1QfJhfeCvMPIRn7cG-ZbM5m78Pr9IwSst9uzQRS776Ck/edit?usp=drivesdk" TargetMode="External"/><Relationship Id="rId1296" Type="http://schemas.openxmlformats.org/officeDocument/2006/relationships/hyperlink" Target="https://drive.google.com/open?id=1SlBJ1lCzcPf7eA01y0XrH0zjBo-RP8zV" TargetMode="External"/><Relationship Id="rId4320" Type="http://schemas.openxmlformats.org/officeDocument/2006/relationships/hyperlink" Target="https://drive.google.com/uc?export=view&amp;id=1wqQZPfcgAzCGZEJhPwlaFCgfSLP9NlEl" TargetMode="External"/><Relationship Id="rId466" Type="http://schemas.openxmlformats.org/officeDocument/2006/relationships/hyperlink" Target="https://drive.google.com/open?id=1MERrLL5P92IHT_OToX_hQa60GogcqD9O" TargetMode="External"/><Relationship Id="rId1297" Type="http://schemas.openxmlformats.org/officeDocument/2006/relationships/hyperlink" Target="https://drive.google.com/uc?export=view&amp;id=1SlBJ1lCzcPf7eA01y0XrH0zjBo-RP8zV" TargetMode="External"/><Relationship Id="rId4323" Type="http://schemas.openxmlformats.org/officeDocument/2006/relationships/hyperlink" Target="https://drive.google.com/uc?export=view&amp;id=1iwCy7uny6tcyZ-SigZ9UB-PeF_boF5Mz" TargetMode="External"/><Relationship Id="rId465" Type="http://schemas.openxmlformats.org/officeDocument/2006/relationships/hyperlink" Target="https://docs.google.com/document/d/1pVba6axHsTdvSfTVd5VIzHOSyUTfEZ2yrce7kj2u4po/edit?usp=drivesdk" TargetMode="External"/><Relationship Id="rId1298" Type="http://schemas.openxmlformats.org/officeDocument/2006/relationships/hyperlink" Target="https://docs.google.com/document/d/1rLzjssVWRBswoDejy7Z5MbhYHMf2Xl2oBpV6qTKc5CM/edit?usp=drivesdk" TargetMode="External"/><Relationship Id="rId4322" Type="http://schemas.openxmlformats.org/officeDocument/2006/relationships/hyperlink" Target="https://drive.google.com/open?id=1iwCy7uny6tcyZ-SigZ9UB-PeF_boF5Mz" TargetMode="External"/><Relationship Id="rId464" Type="http://schemas.openxmlformats.org/officeDocument/2006/relationships/hyperlink" Target="https://drive.google.com/uc?export=view&amp;id=1evRDHa9EbrDzz-hWY9LIPm3gp0X8__US" TargetMode="External"/><Relationship Id="rId1299" Type="http://schemas.openxmlformats.org/officeDocument/2006/relationships/hyperlink" Target="https://drive.google.com/open?id=1GUEkkiuexcH9jd7pz4x503zIOis6kK76" TargetMode="External"/><Relationship Id="rId4325" Type="http://schemas.openxmlformats.org/officeDocument/2006/relationships/hyperlink" Target="https://drive.google.com/open?id=1SKOA2j9nHCz2LUtOeAjDE7dSSsGMDia_" TargetMode="External"/><Relationship Id="rId463" Type="http://schemas.openxmlformats.org/officeDocument/2006/relationships/hyperlink" Target="https://drive.google.com/open?id=1evRDHa9EbrDzz-hWY9LIPm3gp0X8__US" TargetMode="External"/><Relationship Id="rId4324" Type="http://schemas.openxmlformats.org/officeDocument/2006/relationships/hyperlink" Target="https://docs.google.com/document/d/1dd4Q_zX_2pUckLRn4e5UCNA6nAUVSOHD8UWhf34mvik/edit?usp=drivesdk" TargetMode="External"/><Relationship Id="rId4316" Type="http://schemas.openxmlformats.org/officeDocument/2006/relationships/hyperlink" Target="https://drive.google.com/open?id=1gIuYK-pxMbwFRlQs3J2ZfsfRsEUCRHZo" TargetMode="External"/><Relationship Id="rId4315" Type="http://schemas.openxmlformats.org/officeDocument/2006/relationships/hyperlink" Target="https://docs.google.com/document/d/1WQ2UAxOIDPideQAlczSQ8Cs3s1yUfTC4IT8ACnYQfzM/edit?usp=drivesdk" TargetMode="External"/><Relationship Id="rId4318" Type="http://schemas.openxmlformats.org/officeDocument/2006/relationships/hyperlink" Target="https://docs.google.com/document/d/1bI4k8p7kf0SZCY6UO2qKiDEfPZnUNhTBqI-UkG0lPX4/edit?usp=drivesdk" TargetMode="External"/><Relationship Id="rId4317" Type="http://schemas.openxmlformats.org/officeDocument/2006/relationships/hyperlink" Target="https://drive.google.com/uc?export=view&amp;id=1gIuYK-pxMbwFRlQs3J2ZfsfRsEUCRHZo" TargetMode="External"/><Relationship Id="rId4319" Type="http://schemas.openxmlformats.org/officeDocument/2006/relationships/hyperlink" Target="https://drive.google.com/open?id=1wqQZPfcgAzCGZEJhPwlaFCgfSLP9NlEl" TargetMode="External"/><Relationship Id="rId459" Type="http://schemas.openxmlformats.org/officeDocument/2006/relationships/hyperlink" Target="https://docs.google.com/document/d/1aEk9u_fAtlp7fBM1hLfcwburkPjsoi0HJbfDTwxFaA4/edit?usp=drivesdk" TargetMode="External"/><Relationship Id="rId458" Type="http://schemas.openxmlformats.org/officeDocument/2006/relationships/hyperlink" Target="https://drive.google.com/uc?export=view&amp;id=1tMo3nfcLoAX2s6W7IUA4MyOHIxZnZ5JV" TargetMode="External"/><Relationship Id="rId457" Type="http://schemas.openxmlformats.org/officeDocument/2006/relationships/hyperlink" Target="https://drive.google.com/open?id=1tMo3nfcLoAX2s6W7IUA4MyOHIxZnZ5JV" TargetMode="External"/><Relationship Id="rId456" Type="http://schemas.openxmlformats.org/officeDocument/2006/relationships/hyperlink" Target="https://docs.google.com/document/d/10fm-MIfG35_QzXISd0FntlcnxPM9FsgopZBEOSfdbAU/edit?usp=drivesdk" TargetMode="External"/><Relationship Id="rId1280" Type="http://schemas.openxmlformats.org/officeDocument/2006/relationships/hyperlink" Target="https://docs.google.com/document/d/1dhg-5cwtx2tVA5vRA_esOwUeNPzlX7Y0GmMjpH6gx0U/edit?usp=drivesdk" TargetMode="External"/><Relationship Id="rId1281" Type="http://schemas.openxmlformats.org/officeDocument/2006/relationships/hyperlink" Target="https://drive.google.com/open?id=1O_Fyl8pdLROeMyQJ-t_vrkZRBBnMOXBh" TargetMode="External"/><Relationship Id="rId451" Type="http://schemas.openxmlformats.org/officeDocument/2006/relationships/hyperlink" Target="https://drive.google.com/open?id=1_2P96ho9prdmh5c9qTIbkYbZM0cAlHBN" TargetMode="External"/><Relationship Id="rId1282" Type="http://schemas.openxmlformats.org/officeDocument/2006/relationships/hyperlink" Target="https://drive.google.com/uc?export=view&amp;id=1O_Fyl8pdLROeMyQJ-t_vrkZRBBnMOXBh" TargetMode="External"/><Relationship Id="rId450" Type="http://schemas.openxmlformats.org/officeDocument/2006/relationships/hyperlink" Target="https://docs.google.com/document/d/1AI1qMR_V574rKAfPLQ2YKi3JhZ5GBEqMonyc1A8gQSY/edit?usp=drivesdk" TargetMode="External"/><Relationship Id="rId1283" Type="http://schemas.openxmlformats.org/officeDocument/2006/relationships/hyperlink" Target="https://docs.google.com/document/d/19mnEFrHU_d91T29U2iFNU-L9fyzNLfmQsgANW0VXV0k/edit?usp=drivesdk" TargetMode="External"/><Relationship Id="rId1284" Type="http://schemas.openxmlformats.org/officeDocument/2006/relationships/hyperlink" Target="https://drive.google.com/open?id=1ciy4ebbOzAQXkNR09FbgNnR4pFeRMWwX" TargetMode="External"/><Relationship Id="rId4310" Type="http://schemas.openxmlformats.org/officeDocument/2006/relationships/hyperlink" Target="https://drive.google.com/open?id=1ZoubLmbU5uO_MBBrpRseyq612puhm_C2" TargetMode="External"/><Relationship Id="rId1285" Type="http://schemas.openxmlformats.org/officeDocument/2006/relationships/hyperlink" Target="https://drive.google.com/uc?export=view&amp;id=1ciy4ebbOzAQXkNR09FbgNnR4pFeRMWwX" TargetMode="External"/><Relationship Id="rId455" Type="http://schemas.openxmlformats.org/officeDocument/2006/relationships/hyperlink" Target="https://drive.google.com/uc?export=view&amp;id=1wgjU6uH9Hb1RAJFoM4wZjE2B6v1ZNaI8" TargetMode="External"/><Relationship Id="rId1286" Type="http://schemas.openxmlformats.org/officeDocument/2006/relationships/hyperlink" Target="https://docs.google.com/document/d/1ppdg8DByi_Qp0Y6gkXWtEiIHQkpktcPvrjggcdJ11tc/edit?usp=drivesdk" TargetMode="External"/><Relationship Id="rId4312" Type="http://schemas.openxmlformats.org/officeDocument/2006/relationships/hyperlink" Target="https://docs.google.com/document/d/14JcRTMv1AKeyAw71CiyvWf7DnyNFTA9HyBTaUvp8Fug/edit?usp=drivesdk" TargetMode="External"/><Relationship Id="rId454" Type="http://schemas.openxmlformats.org/officeDocument/2006/relationships/hyperlink" Target="https://drive.google.com/open?id=1wgjU6uH9Hb1RAJFoM4wZjE2B6v1ZNaI8" TargetMode="External"/><Relationship Id="rId1287" Type="http://schemas.openxmlformats.org/officeDocument/2006/relationships/hyperlink" Target="https://drive.google.com/open?id=1w3p785q9F7mR_YCHK220u3cPRE2EaOS3" TargetMode="External"/><Relationship Id="rId4311" Type="http://schemas.openxmlformats.org/officeDocument/2006/relationships/hyperlink" Target="https://drive.google.com/uc?export=view&amp;id=1ZoubLmbU5uO_MBBrpRseyq612puhm_C2" TargetMode="External"/><Relationship Id="rId453" Type="http://schemas.openxmlformats.org/officeDocument/2006/relationships/hyperlink" Target="https://docs.google.com/document/d/1GHW--14zKWLQBxoyzaMzxvRm-UfQ1XEvOHRm5JON9JQ/edit?usp=drivesdk" TargetMode="External"/><Relationship Id="rId1288" Type="http://schemas.openxmlformats.org/officeDocument/2006/relationships/hyperlink" Target="https://drive.google.com/uc?export=view&amp;id=1w3p785q9F7mR_YCHK220u3cPRE2EaOS3" TargetMode="External"/><Relationship Id="rId4314" Type="http://schemas.openxmlformats.org/officeDocument/2006/relationships/hyperlink" Target="https://drive.google.com/uc?export=view&amp;id=1qjziLGH6HL-q6-uaRmEpyP9JuSojE5Qv" TargetMode="External"/><Relationship Id="rId452" Type="http://schemas.openxmlformats.org/officeDocument/2006/relationships/hyperlink" Target="https://drive.google.com/uc?export=view&amp;id=1_2P96ho9prdmh5c9qTIbkYbZM0cAlHBN" TargetMode="External"/><Relationship Id="rId1289" Type="http://schemas.openxmlformats.org/officeDocument/2006/relationships/hyperlink" Target="https://docs.google.com/document/d/1RsEhgd1y9LePZLSbSY7r_2CPypUeZ-p5xAZ8SBaZzMU/edit?usp=drivesdk" TargetMode="External"/><Relationship Id="rId4313" Type="http://schemas.openxmlformats.org/officeDocument/2006/relationships/hyperlink" Target="https://drive.google.com/open?id=1qjziLGH6HL-q6-uaRmEpyP9JuSojE5Qv" TargetMode="External"/><Relationship Id="rId3018" Type="http://schemas.openxmlformats.org/officeDocument/2006/relationships/hyperlink" Target="https://drive.google.com/uc?export=view&amp;id=1lBdgTlzcxJZUsn2V8YndIJk_8xPQOEBP" TargetMode="External"/><Relationship Id="rId4349" Type="http://schemas.openxmlformats.org/officeDocument/2006/relationships/hyperlink" Target="https://drive.google.com/open?id=1udynrew-mUdp-3D7k-Qz0ESf7om3QpFH" TargetMode="External"/><Relationship Id="rId3017" Type="http://schemas.openxmlformats.org/officeDocument/2006/relationships/hyperlink" Target="https://drive.google.com/open?id=1lBdgTlzcxJZUsn2V8YndIJk_8xPQOEBP" TargetMode="External"/><Relationship Id="rId4348" Type="http://schemas.openxmlformats.org/officeDocument/2006/relationships/hyperlink" Target="https://docs.google.com/document/d/1vmpIXtAj22tAWpRvBuhd-FK3FIWgWtZuvifqMcl2wsY/edit?usp=drivesdk" TargetMode="External"/><Relationship Id="rId3019" Type="http://schemas.openxmlformats.org/officeDocument/2006/relationships/hyperlink" Target="https://docs.google.com/document/d/1BT_P3IO8Drk-Xqy2uZL50deTYQe1EmxMEfqRHkKohT4/edit?usp=drivesdk" TargetMode="External"/><Relationship Id="rId491" Type="http://schemas.openxmlformats.org/officeDocument/2006/relationships/hyperlink" Target="https://drive.google.com/uc?export=view&amp;id=1gLXmAzyBJcDqBWMrt2NmzDlkCeBUMGbx" TargetMode="External"/><Relationship Id="rId490" Type="http://schemas.openxmlformats.org/officeDocument/2006/relationships/hyperlink" Target="https://drive.google.com/open?id=1gLXmAzyBJcDqBWMrt2NmzDlkCeBUMGbx" TargetMode="External"/><Relationship Id="rId489" Type="http://schemas.openxmlformats.org/officeDocument/2006/relationships/hyperlink" Target="https://docs.google.com/document/d/1SKVoeTBosg1gpuDzYAnfYWwaSrfcTZx9Synvg5L9fyc/edit?usp=drivesdk" TargetMode="External"/><Relationship Id="rId484" Type="http://schemas.openxmlformats.org/officeDocument/2006/relationships/hyperlink" Target="https://drive.google.com/open?id=1PNpEkyGX43p9f9H-K9NwLw8tv8shfsCH" TargetMode="External"/><Relationship Id="rId3010" Type="http://schemas.openxmlformats.org/officeDocument/2006/relationships/hyperlink" Target="https://docs.google.com/document/d/1YsfSQSyohDBjnlfaiOgFECYa4UCu5YfoaSd2A1N0hyo/edit?usp=drivesdk" TargetMode="External"/><Relationship Id="rId4341" Type="http://schemas.openxmlformats.org/officeDocument/2006/relationships/hyperlink" Target="https://drive.google.com/uc?export=view&amp;id=1CcGvYi_rRXL__JD53ZNidXWnjnBmmJ4g" TargetMode="External"/><Relationship Id="rId483" Type="http://schemas.openxmlformats.org/officeDocument/2006/relationships/hyperlink" Target="https://docs.google.com/document/d/1x4BB1fKqwL9SOinhDVKr0EVjk5iUd6N9sNR22YPX7lY/edit?usp=drivesdk" TargetMode="External"/><Relationship Id="rId4340" Type="http://schemas.openxmlformats.org/officeDocument/2006/relationships/hyperlink" Target="https://drive.google.com/open?id=1CcGvYi_rRXL__JD53ZNidXWnjnBmmJ4g" TargetMode="External"/><Relationship Id="rId482" Type="http://schemas.openxmlformats.org/officeDocument/2006/relationships/hyperlink" Target="https://drive.google.com/uc?export=view&amp;id=10s1xIDTti2m1Fn4OIDra7LYNBedee1t4" TargetMode="External"/><Relationship Id="rId3012" Type="http://schemas.openxmlformats.org/officeDocument/2006/relationships/hyperlink" Target="https://drive.google.com/uc?export=view&amp;id=1g4qf9V6sOi0yg0mfpgljWtlMJH-hChHj" TargetMode="External"/><Relationship Id="rId4343" Type="http://schemas.openxmlformats.org/officeDocument/2006/relationships/hyperlink" Target="https://drive.google.com/open?id=1bmJec0CqpYjH61bRn4po8VnyDHJ_f5I-" TargetMode="External"/><Relationship Id="rId481" Type="http://schemas.openxmlformats.org/officeDocument/2006/relationships/hyperlink" Target="https://drive.google.com/open?id=10s1xIDTti2m1Fn4OIDra7LYNBedee1t4" TargetMode="External"/><Relationship Id="rId3011" Type="http://schemas.openxmlformats.org/officeDocument/2006/relationships/hyperlink" Target="https://drive.google.com/open?id=1g4qf9V6sOi0yg0mfpgljWtlMJH-hChHj" TargetMode="External"/><Relationship Id="rId4342" Type="http://schemas.openxmlformats.org/officeDocument/2006/relationships/hyperlink" Target="https://docs.google.com/document/d/1iT-OdL58nc5Zw72Ffyu7hbQvBw8RFxsQhknydd86dpw/edit?usp=drivesdk" TargetMode="External"/><Relationship Id="rId488" Type="http://schemas.openxmlformats.org/officeDocument/2006/relationships/hyperlink" Target="https://drive.google.com/uc?export=view&amp;id=1006zYTkVmMw9Jpj2s4jmXhBI1Ebxkx77" TargetMode="External"/><Relationship Id="rId3014" Type="http://schemas.openxmlformats.org/officeDocument/2006/relationships/hyperlink" Target="https://drive.google.com/open?id=1cq57FNTAvarLC8U_sxNT6C16UVU9S8pY" TargetMode="External"/><Relationship Id="rId4345" Type="http://schemas.openxmlformats.org/officeDocument/2006/relationships/hyperlink" Target="https://docs.google.com/document/d/1HD3DwKv1Tg3mzPj1Q3s96MXDrcyVpPgQJanNV0nB6Yc/edit?usp=drivesdk" TargetMode="External"/><Relationship Id="rId487" Type="http://schemas.openxmlformats.org/officeDocument/2006/relationships/hyperlink" Target="https://drive.google.com/open?id=1006zYTkVmMw9Jpj2s4jmXhBI1Ebxkx77" TargetMode="External"/><Relationship Id="rId3013" Type="http://schemas.openxmlformats.org/officeDocument/2006/relationships/hyperlink" Target="https://docs.google.com/document/d/1kMGLF2iVY39PtZ147XipNEamx3RRoe-s6PH1c-qMdkg/edit?usp=drivesdk" TargetMode="External"/><Relationship Id="rId4344" Type="http://schemas.openxmlformats.org/officeDocument/2006/relationships/hyperlink" Target="https://drive.google.com/uc?export=view&amp;id=1bmJec0CqpYjH61bRn4po8VnyDHJ_f5I-" TargetMode="External"/><Relationship Id="rId486" Type="http://schemas.openxmlformats.org/officeDocument/2006/relationships/hyperlink" Target="https://docs.google.com/document/d/1WMDr0DD-VnRUsUuubvq9JJd2GVY1zNuwA18qLPcED_Y/edit?usp=drivesdk" TargetMode="External"/><Relationship Id="rId3016" Type="http://schemas.openxmlformats.org/officeDocument/2006/relationships/hyperlink" Target="https://docs.google.com/document/d/1d5MHqn6jtK3ayZ0qAOIZ4AGEuYlpBoNDEXXl2MmPYpU/edit?usp=drivesdk" TargetMode="External"/><Relationship Id="rId4347" Type="http://schemas.openxmlformats.org/officeDocument/2006/relationships/hyperlink" Target="https://drive.google.com/uc?export=view&amp;id=1H_19Fnn5TcNUngketiNJJUQC8vEVholy" TargetMode="External"/><Relationship Id="rId485" Type="http://schemas.openxmlformats.org/officeDocument/2006/relationships/hyperlink" Target="https://drive.google.com/uc?export=view&amp;id=1PNpEkyGX43p9f9H-K9NwLw8tv8shfsCH" TargetMode="External"/><Relationship Id="rId3015" Type="http://schemas.openxmlformats.org/officeDocument/2006/relationships/hyperlink" Target="https://drive.google.com/uc?export=view&amp;id=1cq57FNTAvarLC8U_sxNT6C16UVU9S8pY" TargetMode="External"/><Relationship Id="rId4346" Type="http://schemas.openxmlformats.org/officeDocument/2006/relationships/hyperlink" Target="https://drive.google.com/open?id=1H_19Fnn5TcNUngketiNJJUQC8vEVholy" TargetMode="External"/><Relationship Id="rId3007" Type="http://schemas.openxmlformats.org/officeDocument/2006/relationships/hyperlink" Target="https://docs.google.com/document/d/1IkejEWDe0CnvlfDgFqxiGBkX3lFetmaOJDncR4bjZuA/edit?usp=drivesdk" TargetMode="External"/><Relationship Id="rId4338" Type="http://schemas.openxmlformats.org/officeDocument/2006/relationships/hyperlink" Target="https://drive.google.com/uc?export=view&amp;id=19H9alzsEXmMe7eqFvL0wmgyB8QwcAv75" TargetMode="External"/><Relationship Id="rId3006" Type="http://schemas.openxmlformats.org/officeDocument/2006/relationships/hyperlink" Target="https://drive.google.com/uc?export=view&amp;id=1JWkVMhcZ84htGZ7dpuOoo89NBQaTo4-A" TargetMode="External"/><Relationship Id="rId4337" Type="http://schemas.openxmlformats.org/officeDocument/2006/relationships/hyperlink" Target="https://drive.google.com/open?id=19H9alzsEXmMe7eqFvL0wmgyB8QwcAv75" TargetMode="External"/><Relationship Id="rId3009" Type="http://schemas.openxmlformats.org/officeDocument/2006/relationships/hyperlink" Target="https://drive.google.com/uc?export=view&amp;id=1iUVzz5VpF_U5IwFFNE6xYP0XB_FkGzuj" TargetMode="External"/><Relationship Id="rId3008" Type="http://schemas.openxmlformats.org/officeDocument/2006/relationships/hyperlink" Target="https://drive.google.com/open?id=1iUVzz5VpF_U5IwFFNE6xYP0XB_FkGzuj" TargetMode="External"/><Relationship Id="rId4339" Type="http://schemas.openxmlformats.org/officeDocument/2006/relationships/hyperlink" Target="https://docs.google.com/document/d/1RoQFFQCMHwmkHS6DhmQfbZezdOHwjnu2847X2Q9qLxI/edit?usp=drivesdk" TargetMode="External"/><Relationship Id="rId480" Type="http://schemas.openxmlformats.org/officeDocument/2006/relationships/hyperlink" Target="https://docs.google.com/document/d/1s_KaQvhkmXyQOp4pRaRvIcn7JlXnkKJL02_HS5_fg9Q/edit?usp=drivesdk" TargetMode="External"/><Relationship Id="rId479" Type="http://schemas.openxmlformats.org/officeDocument/2006/relationships/hyperlink" Target="https://drive.google.com/uc?export=view&amp;id=1WlKC7PvJiMtoUnqUdDrf1T7fn6g7k3Ej" TargetMode="External"/><Relationship Id="rId478" Type="http://schemas.openxmlformats.org/officeDocument/2006/relationships/hyperlink" Target="https://drive.google.com/open?id=1WlKC7PvJiMtoUnqUdDrf1T7fn6g7k3Ej" TargetMode="External"/><Relationship Id="rId473" Type="http://schemas.openxmlformats.org/officeDocument/2006/relationships/hyperlink" Target="https://drive.google.com/uc?export=view&amp;id=1Vnmh-45F-_RoHIYOnr2pDNOr1WDAD0Ve" TargetMode="External"/><Relationship Id="rId4330" Type="http://schemas.openxmlformats.org/officeDocument/2006/relationships/hyperlink" Target="https://docs.google.com/document/d/1fZWm5UcIGMre6J6NEWYbLCe6MjCgKaf2jMi_hUFqszw/edit?usp=drivesdk" TargetMode="External"/><Relationship Id="rId472" Type="http://schemas.openxmlformats.org/officeDocument/2006/relationships/hyperlink" Target="https://drive.google.com/open?id=1Vnmh-45F-_RoHIYOnr2pDNOr1WDAD0Ve" TargetMode="External"/><Relationship Id="rId471" Type="http://schemas.openxmlformats.org/officeDocument/2006/relationships/hyperlink" Target="https://docs.google.com/document/d/1ehkP8orukJ05ldqi2I9gZ4qntns4x7K0LtrYA28Ye8g/edit?usp=drivesdk" TargetMode="External"/><Relationship Id="rId3001" Type="http://schemas.openxmlformats.org/officeDocument/2006/relationships/hyperlink" Target="https://docs.google.com/document/d/1UI0aUhbG8bKrU_M81vOHzPamHJ-CA_8AlOK3Kf5N_oQ/edit?usp=drivesdk" TargetMode="External"/><Relationship Id="rId4332" Type="http://schemas.openxmlformats.org/officeDocument/2006/relationships/hyperlink" Target="https://drive.google.com/uc?export=view&amp;id=1szY7YJ_7GFxN7SUCKP9lzBusPw_uRfWk" TargetMode="External"/><Relationship Id="rId470" Type="http://schemas.openxmlformats.org/officeDocument/2006/relationships/hyperlink" Target="https://drive.google.com/uc?export=view&amp;id=1e8BNFqf7CU2rQ8fjZ4fQi7iiyDJGDS2d" TargetMode="External"/><Relationship Id="rId3000" Type="http://schemas.openxmlformats.org/officeDocument/2006/relationships/hyperlink" Target="https://drive.google.com/uc?export=view&amp;id=17MOV2bZ5O6y80IWOfC59aoXmi32Hvu9V" TargetMode="External"/><Relationship Id="rId4331" Type="http://schemas.openxmlformats.org/officeDocument/2006/relationships/hyperlink" Target="https://drive.google.com/open?id=1szY7YJ_7GFxN7SUCKP9lzBusPw_uRfWk" TargetMode="External"/><Relationship Id="rId477" Type="http://schemas.openxmlformats.org/officeDocument/2006/relationships/hyperlink" Target="https://docs.google.com/document/d/15DH4wmkU-hIfzwEv3_xqFGxVSKo5SA2edzwNBe0NNjY/edit?usp=drivesdk" TargetMode="External"/><Relationship Id="rId3003" Type="http://schemas.openxmlformats.org/officeDocument/2006/relationships/hyperlink" Target="https://drive.google.com/uc?export=view&amp;id=1TDleRB7kRWfSqxYxpwMsN8e-ay-Vs4J5" TargetMode="External"/><Relationship Id="rId4334" Type="http://schemas.openxmlformats.org/officeDocument/2006/relationships/hyperlink" Target="https://drive.google.com/open?id=1EcLfaVM9jjVj7nRa05TYLueIVNCXjZJ9" TargetMode="External"/><Relationship Id="rId476" Type="http://schemas.openxmlformats.org/officeDocument/2006/relationships/hyperlink" Target="https://drive.google.com/uc?export=view&amp;id=1R2yeB9kjNOo7-WuEHNxcqG2hB99iF6Q-" TargetMode="External"/><Relationship Id="rId3002" Type="http://schemas.openxmlformats.org/officeDocument/2006/relationships/hyperlink" Target="https://drive.google.com/open?id=1TDleRB7kRWfSqxYxpwMsN8e-ay-Vs4J5" TargetMode="External"/><Relationship Id="rId4333" Type="http://schemas.openxmlformats.org/officeDocument/2006/relationships/hyperlink" Target="https://docs.google.com/document/d/1T7BHnE-Kc89GQuE7nU2ere1SXIgm-5qEUp3a38S50U8/edit?usp=drivesdk" TargetMode="External"/><Relationship Id="rId475" Type="http://schemas.openxmlformats.org/officeDocument/2006/relationships/hyperlink" Target="https://drive.google.com/open?id=1R2yeB9kjNOo7-WuEHNxcqG2hB99iF6Q-" TargetMode="External"/><Relationship Id="rId3005" Type="http://schemas.openxmlformats.org/officeDocument/2006/relationships/hyperlink" Target="https://drive.google.com/open?id=1JWkVMhcZ84htGZ7dpuOoo89NBQaTo4-A" TargetMode="External"/><Relationship Id="rId4336" Type="http://schemas.openxmlformats.org/officeDocument/2006/relationships/hyperlink" Target="https://docs.google.com/document/d/1YPVxOExxQI7J7FZVZplRMmlQy2B9R3NVSx4RIdHgt-A/edit?usp=drivesdk" TargetMode="External"/><Relationship Id="rId474" Type="http://schemas.openxmlformats.org/officeDocument/2006/relationships/hyperlink" Target="https://docs.google.com/document/d/1E-IY7GqcJImOkO75rTj4JXMed8hPMb4ICiDnHHaOb0A/edit?usp=drivesdk" TargetMode="External"/><Relationship Id="rId3004" Type="http://schemas.openxmlformats.org/officeDocument/2006/relationships/hyperlink" Target="https://docs.google.com/document/d/1HVHU56xw7dGQ1APuwfxATUjHajUd1uWTxyzztPpCUIQ/edit?usp=drivesdk" TargetMode="External"/><Relationship Id="rId4335" Type="http://schemas.openxmlformats.org/officeDocument/2006/relationships/hyperlink" Target="https://drive.google.com/uc?export=view&amp;id=1EcLfaVM9jjVj7nRa05TYLueIVNCXjZJ9" TargetMode="External"/><Relationship Id="rId1257" Type="http://schemas.openxmlformats.org/officeDocument/2006/relationships/hyperlink" Target="https://drive.google.com/open?id=1Od5n7vBsr5iPMbBF0KsjFPLNOOUHGEHT" TargetMode="External"/><Relationship Id="rId2588" Type="http://schemas.openxmlformats.org/officeDocument/2006/relationships/hyperlink" Target="https://drive.google.com/open?id=1saVHVujibzWMiNKCi8mfM1oVCX3Bnl4Y" TargetMode="External"/><Relationship Id="rId1258" Type="http://schemas.openxmlformats.org/officeDocument/2006/relationships/hyperlink" Target="https://drive.google.com/uc?export=view&amp;id=1Od5n7vBsr5iPMbBF0KsjFPLNOOUHGEHT" TargetMode="External"/><Relationship Id="rId2589" Type="http://schemas.openxmlformats.org/officeDocument/2006/relationships/hyperlink" Target="https://drive.google.com/uc?export=view&amp;id=1saVHVujibzWMiNKCi8mfM1oVCX3Bnl4Y" TargetMode="External"/><Relationship Id="rId1259" Type="http://schemas.openxmlformats.org/officeDocument/2006/relationships/hyperlink" Target="https://docs.google.com/document/d/1vlbX5yZ3nz9Y7s77OY1BXFwDI0eCu9xHJhQHJ1j6pmI/edit?usp=drivesdk" TargetMode="External"/><Relationship Id="rId426" Type="http://schemas.openxmlformats.org/officeDocument/2006/relationships/hyperlink" Target="https://docs.google.com/document/d/1FtgPHFkCgZ8w2VhXp9WmgLvp9rmFDOdVX1FMtkyAurs/edit?usp=drivesdk" TargetMode="External"/><Relationship Id="rId425" Type="http://schemas.openxmlformats.org/officeDocument/2006/relationships/hyperlink" Target="https://drive.google.com/uc?export=view&amp;id=1297BgeW8lQpiIV5D5RPnrh34kZ5mg4yi" TargetMode="External"/><Relationship Id="rId424" Type="http://schemas.openxmlformats.org/officeDocument/2006/relationships/hyperlink" Target="https://drive.google.com/open?id=1297BgeW8lQpiIV5D5RPnrh34kZ5mg4yi" TargetMode="External"/><Relationship Id="rId423" Type="http://schemas.openxmlformats.org/officeDocument/2006/relationships/hyperlink" Target="https://docs.google.com/document/d/1j1j-YySqVmkTAUhnl2j0esGaBYas0y9u6HAxD-S8BFY/edit?usp=drivesdk" TargetMode="External"/><Relationship Id="rId429" Type="http://schemas.openxmlformats.org/officeDocument/2006/relationships/hyperlink" Target="https://docs.google.com/document/d/1Jb8WfcZ9k2auXDLHZHzHUz9bhk0TiUWtrxg1iA2PwdE/edit?usp=drivesdk" TargetMode="External"/><Relationship Id="rId428" Type="http://schemas.openxmlformats.org/officeDocument/2006/relationships/hyperlink" Target="https://drive.google.com/uc?export=view&amp;id=18kgbbliLqQZpDcDOiK6K3TNq-HFSL1QD" TargetMode="External"/><Relationship Id="rId427" Type="http://schemas.openxmlformats.org/officeDocument/2006/relationships/hyperlink" Target="https://drive.google.com/open?id=18kgbbliLqQZpDcDOiK6K3TNq-HFSL1QD" TargetMode="External"/><Relationship Id="rId2580" Type="http://schemas.openxmlformats.org/officeDocument/2006/relationships/hyperlink" Target="https://drive.google.com/uc?export=view&amp;id=1V0jrJ_6_SGeWkeIgh3NynprKmYGzONg4" TargetMode="External"/><Relationship Id="rId1250" Type="http://schemas.openxmlformats.org/officeDocument/2006/relationships/hyperlink" Target="https://docs.google.com/document/d/11Dz8CpB1roGWSvKvwndFTFWRfXhhOLvxmkOgmpABXCI/edit?usp=drivesdk" TargetMode="External"/><Relationship Id="rId2581" Type="http://schemas.openxmlformats.org/officeDocument/2006/relationships/hyperlink" Target="https://docs.google.com/document/d/1QXvFcmn7Hxnys_SSc1rDDQpcpknicqxgEQL7SVSIeAc/edit?usp=drivesdk" TargetMode="External"/><Relationship Id="rId1251" Type="http://schemas.openxmlformats.org/officeDocument/2006/relationships/hyperlink" Target="https://drive.google.com/open?id=1W3zszwAiAL1_Vpe8CJ2yIFwlU5Eh7jYu" TargetMode="External"/><Relationship Id="rId2582" Type="http://schemas.openxmlformats.org/officeDocument/2006/relationships/hyperlink" Target="https://drive.google.com/open?id=1r3l0MWLzmbhKvCOpTW8wqArHvubOVVyr" TargetMode="External"/><Relationship Id="rId1252" Type="http://schemas.openxmlformats.org/officeDocument/2006/relationships/hyperlink" Target="https://drive.google.com/uc?export=view&amp;id=1W3zszwAiAL1_Vpe8CJ2yIFwlU5Eh7jYu" TargetMode="External"/><Relationship Id="rId2583" Type="http://schemas.openxmlformats.org/officeDocument/2006/relationships/hyperlink" Target="https://drive.google.com/uc?export=view&amp;id=1r3l0MWLzmbhKvCOpTW8wqArHvubOVVyr" TargetMode="External"/><Relationship Id="rId422" Type="http://schemas.openxmlformats.org/officeDocument/2006/relationships/hyperlink" Target="https://drive.google.com/uc?export=view&amp;id=1o6baLqjbpPJ0Wv9F3FeUqm24ZafhQzgF" TargetMode="External"/><Relationship Id="rId1253" Type="http://schemas.openxmlformats.org/officeDocument/2006/relationships/hyperlink" Target="https://docs.google.com/document/d/1ljc10rU67cYIrafkM7kM2Empkrv2E3aIz9lavcbRjFc/edit?usp=drivesdk" TargetMode="External"/><Relationship Id="rId2584" Type="http://schemas.openxmlformats.org/officeDocument/2006/relationships/hyperlink" Target="https://docs.google.com/document/d/1YDaFha4J9Tblcw8Vdm3JaJgZ3S5x6YKvODXfTnyuAF0/edit?usp=drivesdk" TargetMode="External"/><Relationship Id="rId421" Type="http://schemas.openxmlformats.org/officeDocument/2006/relationships/hyperlink" Target="https://drive.google.com/open?id=1o6baLqjbpPJ0Wv9F3FeUqm24ZafhQzgF" TargetMode="External"/><Relationship Id="rId1254" Type="http://schemas.openxmlformats.org/officeDocument/2006/relationships/hyperlink" Target="https://drive.google.com/open?id=1uhGA4wm1N_QOvmlvbUh_1PpCuUguq7lt" TargetMode="External"/><Relationship Id="rId2585" Type="http://schemas.openxmlformats.org/officeDocument/2006/relationships/hyperlink" Target="https://drive.google.com/open?id=19Tmk1n4h5GCraj4nFeCLsYa5LKoRUEHO" TargetMode="External"/><Relationship Id="rId420" Type="http://schemas.openxmlformats.org/officeDocument/2006/relationships/hyperlink" Target="https://docs.google.com/document/d/1dTYBvb_7z6fpK6cVxuCHbh9SJQIe83y5-syAKP6qhqg/edit?usp=drivesdk" TargetMode="External"/><Relationship Id="rId1255" Type="http://schemas.openxmlformats.org/officeDocument/2006/relationships/hyperlink" Target="https://drive.google.com/uc?export=view&amp;id=1uhGA4wm1N_QOvmlvbUh_1PpCuUguq7lt" TargetMode="External"/><Relationship Id="rId2586" Type="http://schemas.openxmlformats.org/officeDocument/2006/relationships/hyperlink" Target="https://drive.google.com/uc?export=view&amp;id=19Tmk1n4h5GCraj4nFeCLsYa5LKoRUEHO" TargetMode="External"/><Relationship Id="rId1256" Type="http://schemas.openxmlformats.org/officeDocument/2006/relationships/hyperlink" Target="https://docs.google.com/document/d/1V_AHvyc30ZTWKADlbE0EUWf3OU4_zvlwoLXzjB4BXmM/edit?usp=drivesdk" TargetMode="External"/><Relationship Id="rId2587" Type="http://schemas.openxmlformats.org/officeDocument/2006/relationships/hyperlink" Target="https://docs.google.com/document/d/1WVxUo8SIQ693tgGb5G3H3Np22Trm3MNRQn9D5AjRka4/edit?usp=drivesdk" TargetMode="External"/><Relationship Id="rId1246" Type="http://schemas.openxmlformats.org/officeDocument/2006/relationships/hyperlink" Target="https://drive.google.com/uc?export=view&amp;id=1v1pv4QkpfDuAtPcp9Fb2m-r7yX-efcHh" TargetMode="External"/><Relationship Id="rId2577" Type="http://schemas.openxmlformats.org/officeDocument/2006/relationships/hyperlink" Target="https://drive.google.com/uc?export=view&amp;id=1JyDHda923OQjy6nqkA_7xa2Dy91sM4pb" TargetMode="External"/><Relationship Id="rId1247" Type="http://schemas.openxmlformats.org/officeDocument/2006/relationships/hyperlink" Target="https://docs.google.com/document/d/1xQEYtduTyfCbIUMacp-BnjfCwOkKKsjVjCN18K9JSkQ/edit?usp=drivesdk" TargetMode="External"/><Relationship Id="rId2578" Type="http://schemas.openxmlformats.org/officeDocument/2006/relationships/hyperlink" Target="https://docs.google.com/document/d/1N7Z37nMyf5dej2eqhCqyjQkJLjabh8fhNznoHR447H0/edit?usp=drivesdk" TargetMode="External"/><Relationship Id="rId1248" Type="http://schemas.openxmlformats.org/officeDocument/2006/relationships/hyperlink" Target="https://drive.google.com/open?id=117B9zNAqKhvwbXytv7P7Puzxx3VqroRS" TargetMode="External"/><Relationship Id="rId2579" Type="http://schemas.openxmlformats.org/officeDocument/2006/relationships/hyperlink" Target="https://drive.google.com/open?id=1V0jrJ_6_SGeWkeIgh3NynprKmYGzONg4" TargetMode="External"/><Relationship Id="rId1249" Type="http://schemas.openxmlformats.org/officeDocument/2006/relationships/hyperlink" Target="https://drive.google.com/uc?export=view&amp;id=117B9zNAqKhvwbXytv7P7Puzxx3VqroRS" TargetMode="External"/><Relationship Id="rId415" Type="http://schemas.openxmlformats.org/officeDocument/2006/relationships/hyperlink" Target="https://drive.google.com/open?id=1nML4DqNUSnzry20dm1pIHAm3xSi0Xkab" TargetMode="External"/><Relationship Id="rId414" Type="http://schemas.openxmlformats.org/officeDocument/2006/relationships/hyperlink" Target="https://docs.google.com/document/d/116ZkjMcpnZgNNdxzzwkLAtnd_prrmh1XHrNmGxatgZk/edit?usp=drivesdk" TargetMode="External"/><Relationship Id="rId413" Type="http://schemas.openxmlformats.org/officeDocument/2006/relationships/hyperlink" Target="https://drive.google.com/uc?export=view&amp;id=1k07xD8jV7uq5qomwWn1Ih9nKGwXm5gGs" TargetMode="External"/><Relationship Id="rId412" Type="http://schemas.openxmlformats.org/officeDocument/2006/relationships/hyperlink" Target="https://drive.google.com/open?id=1k07xD8jV7uq5qomwWn1Ih9nKGwXm5gGs" TargetMode="External"/><Relationship Id="rId419" Type="http://schemas.openxmlformats.org/officeDocument/2006/relationships/hyperlink" Target="https://drive.google.com/uc?export=view&amp;id=1pF_Aw3V1_yAH0JYyEcy1SztnbUW83o8-" TargetMode="External"/><Relationship Id="rId418" Type="http://schemas.openxmlformats.org/officeDocument/2006/relationships/hyperlink" Target="https://drive.google.com/open?id=1pF_Aw3V1_yAH0JYyEcy1SztnbUW83o8-" TargetMode="External"/><Relationship Id="rId417" Type="http://schemas.openxmlformats.org/officeDocument/2006/relationships/hyperlink" Target="https://docs.google.com/document/d/1j2w9sqislyEwbyKp5-7faNZJCHKu5GyHOlih4TlXY7k/edit?usp=drivesdk" TargetMode="External"/><Relationship Id="rId416" Type="http://schemas.openxmlformats.org/officeDocument/2006/relationships/hyperlink" Target="https://drive.google.com/uc?export=view&amp;id=1nML4DqNUSnzry20dm1pIHAm3xSi0Xkab" TargetMode="External"/><Relationship Id="rId2570" Type="http://schemas.openxmlformats.org/officeDocument/2006/relationships/hyperlink" Target="https://drive.google.com/open?id=1Fnr53WSTuTW-YSgppRs1LEu7cRiqtX4s" TargetMode="External"/><Relationship Id="rId1240" Type="http://schemas.openxmlformats.org/officeDocument/2006/relationships/hyperlink" Target="https://drive.google.com/uc?export=view&amp;id=13y_7xUYReU9uVtm44P9nZmz2VMF5UB4e" TargetMode="External"/><Relationship Id="rId2571" Type="http://schemas.openxmlformats.org/officeDocument/2006/relationships/hyperlink" Target="https://drive.google.com/uc?export=view&amp;id=1Fnr53WSTuTW-YSgppRs1LEu7cRiqtX4s" TargetMode="External"/><Relationship Id="rId1241" Type="http://schemas.openxmlformats.org/officeDocument/2006/relationships/hyperlink" Target="https://docs.google.com/document/d/1xCNx2MUAmQ-T2AMaRIsv2JO9nWhoi7ajbsaorCrr4sU/edit?usp=drivesdk" TargetMode="External"/><Relationship Id="rId2572" Type="http://schemas.openxmlformats.org/officeDocument/2006/relationships/hyperlink" Target="https://docs.google.com/document/d/13PsmEHILWmm02MGmZn9GxQuEeLvgzW6as3_3n0dmQvw/edit?usp=drivesdk" TargetMode="External"/><Relationship Id="rId411" Type="http://schemas.openxmlformats.org/officeDocument/2006/relationships/hyperlink" Target="https://docs.google.com/document/d/1dFOPVrbXKEsDElz_MDHYrUjxQ2f2aRFMwO20-D5hSK4/edit?usp=drivesdk" TargetMode="External"/><Relationship Id="rId1242" Type="http://schemas.openxmlformats.org/officeDocument/2006/relationships/hyperlink" Target="https://drive.google.com/open?id=1jduMnEUzbh0dc42Ry2o2_yEB1e7wsDJE" TargetMode="External"/><Relationship Id="rId2573" Type="http://schemas.openxmlformats.org/officeDocument/2006/relationships/hyperlink" Target="https://drive.google.com/open?id=1OfoRi9xxXskZ7jV8zYQHFtrRHnGYMd2j" TargetMode="External"/><Relationship Id="rId410" Type="http://schemas.openxmlformats.org/officeDocument/2006/relationships/hyperlink" Target="https://drive.google.com/uc?export=view&amp;id=1GIQd8Ojb5ujlcfIECCgVVfzpCL3Ew6_P" TargetMode="External"/><Relationship Id="rId1243" Type="http://schemas.openxmlformats.org/officeDocument/2006/relationships/hyperlink" Target="https://drive.google.com/uc?export=view&amp;id=1jduMnEUzbh0dc42Ry2o2_yEB1e7wsDJE" TargetMode="External"/><Relationship Id="rId2574" Type="http://schemas.openxmlformats.org/officeDocument/2006/relationships/hyperlink" Target="https://drive.google.com/uc?export=view&amp;id=1OfoRi9xxXskZ7jV8zYQHFtrRHnGYMd2j" TargetMode="External"/><Relationship Id="rId1244" Type="http://schemas.openxmlformats.org/officeDocument/2006/relationships/hyperlink" Target="https://docs.google.com/document/d/19yUS26_bcfgoFmh3n8IAb4LlsXQYaycNIQWwkiweF9k/edit?usp=drivesdk" TargetMode="External"/><Relationship Id="rId2575" Type="http://schemas.openxmlformats.org/officeDocument/2006/relationships/hyperlink" Target="https://docs.google.com/document/d/1Aj6QufLk2LT0fV_efsfmV6p9BXCoSm-ebtmUT3SUEjE/edit?usp=drivesdk" TargetMode="External"/><Relationship Id="rId1245" Type="http://schemas.openxmlformats.org/officeDocument/2006/relationships/hyperlink" Target="https://drive.google.com/open?id=1v1pv4QkpfDuAtPcp9Fb2m-r7yX-efcHh" TargetMode="External"/><Relationship Id="rId2576" Type="http://schemas.openxmlformats.org/officeDocument/2006/relationships/hyperlink" Target="https://drive.google.com/open?id=1JyDHda923OQjy6nqkA_7xa2Dy91sM4pb" TargetMode="External"/><Relationship Id="rId1279" Type="http://schemas.openxmlformats.org/officeDocument/2006/relationships/hyperlink" Target="https://drive.google.com/uc?export=view&amp;id=1qUj8WEnNDjaI911DXm1Bnp_NFgnqpNOi" TargetMode="External"/><Relationship Id="rId4305" Type="http://schemas.openxmlformats.org/officeDocument/2006/relationships/hyperlink" Target="https://drive.google.com/uc?export=view&amp;id=19l8xDpCP9e65oPXZnrNAdBurYGBTLYxb" TargetMode="External"/><Relationship Id="rId4304" Type="http://schemas.openxmlformats.org/officeDocument/2006/relationships/hyperlink" Target="https://drive.google.com/open?id=19l8xDpCP9e65oPXZnrNAdBurYGBTLYxb" TargetMode="External"/><Relationship Id="rId4307" Type="http://schemas.openxmlformats.org/officeDocument/2006/relationships/hyperlink" Target="https://drive.google.com/open?id=1OqRr9BDOp56homv4q-a8mETCj_zeLEno" TargetMode="External"/><Relationship Id="rId4306" Type="http://schemas.openxmlformats.org/officeDocument/2006/relationships/hyperlink" Target="https://docs.google.com/document/d/1HR2aeIKS9Vc0-5Rpp70IrnTyOCYUwTEWjGNyq3zXVYM/edit?usp=drivesdk" TargetMode="External"/><Relationship Id="rId4309" Type="http://schemas.openxmlformats.org/officeDocument/2006/relationships/hyperlink" Target="https://docs.google.com/document/d/1yn_ZyOCrPvvKjtS8r6yDXSK7sOrm1L_CT7sTGMdE5wA/edit?usp=drivesdk" TargetMode="External"/><Relationship Id="rId4308" Type="http://schemas.openxmlformats.org/officeDocument/2006/relationships/hyperlink" Target="https://drive.google.com/uc?export=view&amp;id=1OqRr9BDOp56homv4q-a8mETCj_zeLEno" TargetMode="External"/><Relationship Id="rId448" Type="http://schemas.openxmlformats.org/officeDocument/2006/relationships/hyperlink" Target="https://drive.google.com/open?id=1xBf6Za8Pa5x9qXyOuMg5JmMHgKplYMp0" TargetMode="External"/><Relationship Id="rId447" Type="http://schemas.openxmlformats.org/officeDocument/2006/relationships/hyperlink" Target="https://docs.google.com/document/d/1AwneH8WuGd6R-34hgx-Ls0GgyrolUQdOuh_qBifM0tI/edit?usp=drivesdk" TargetMode="External"/><Relationship Id="rId446" Type="http://schemas.openxmlformats.org/officeDocument/2006/relationships/hyperlink" Target="https://drive.google.com/uc?export=view&amp;id=1wckcJyiCJGEFuqC2N1e-mG9UbsN-dAPU" TargetMode="External"/><Relationship Id="rId445" Type="http://schemas.openxmlformats.org/officeDocument/2006/relationships/hyperlink" Target="https://drive.google.com/open?id=1wckcJyiCJGEFuqC2N1e-mG9UbsN-dAPU" TargetMode="External"/><Relationship Id="rId449" Type="http://schemas.openxmlformats.org/officeDocument/2006/relationships/hyperlink" Target="https://drive.google.com/uc?export=view&amp;id=1xBf6Za8Pa5x9qXyOuMg5JmMHgKplYMp0" TargetMode="External"/><Relationship Id="rId1270" Type="http://schemas.openxmlformats.org/officeDocument/2006/relationships/hyperlink" Target="https://drive.google.com/uc?export=view&amp;id=1kTLmWyjtoQqytAVh68LofKd_tjF4BwnB" TargetMode="External"/><Relationship Id="rId440" Type="http://schemas.openxmlformats.org/officeDocument/2006/relationships/hyperlink" Target="https://drive.google.com/uc?export=view&amp;id=1_baPqqScUKvV7rg4VWlffowjNNkjhLln" TargetMode="External"/><Relationship Id="rId1271" Type="http://schemas.openxmlformats.org/officeDocument/2006/relationships/hyperlink" Target="https://docs.google.com/document/d/1dGNZsa6MRFAYuIfT_MFJIkH3S6gNQ8rujdbRuKAF_rA/edit?usp=drivesdk" TargetMode="External"/><Relationship Id="rId1272" Type="http://schemas.openxmlformats.org/officeDocument/2006/relationships/hyperlink" Target="https://drive.google.com/open?id=1q4CZwvMZCSi7XgNIgP6jI703Pkmn4x69" TargetMode="External"/><Relationship Id="rId1273" Type="http://schemas.openxmlformats.org/officeDocument/2006/relationships/hyperlink" Target="https://drive.google.com/uc?export=view&amp;id=1q4CZwvMZCSi7XgNIgP6jI703Pkmn4x69" TargetMode="External"/><Relationship Id="rId1274" Type="http://schemas.openxmlformats.org/officeDocument/2006/relationships/hyperlink" Target="https://docs.google.com/document/d/1_Kdn8YH4FpYLYPAAwkLE6uiv9LvCxOMmuf3jcqOtU4Q/edit?usp=drivesdk" TargetMode="External"/><Relationship Id="rId444" Type="http://schemas.openxmlformats.org/officeDocument/2006/relationships/hyperlink" Target="https://docs.google.com/document/d/12mw4S7wOrQG0Uq3miLu6FQD3Ju8hFPn9i2kWNydcxV4/edit?usp=drivesdk" TargetMode="External"/><Relationship Id="rId1275" Type="http://schemas.openxmlformats.org/officeDocument/2006/relationships/hyperlink" Target="https://drive.google.com/open?id=1XoXT2n6WtaOzM9xcJ0OS4mG5MEnooXtq" TargetMode="External"/><Relationship Id="rId4301" Type="http://schemas.openxmlformats.org/officeDocument/2006/relationships/hyperlink" Target="https://drive.google.com/open?id=1ncBZG1KDFtYZO13MH8FcApvHbNBXqBs0" TargetMode="External"/><Relationship Id="rId443" Type="http://schemas.openxmlformats.org/officeDocument/2006/relationships/hyperlink" Target="https://drive.google.com/uc?export=view&amp;id=11dA5493f28DXctg2NEwUhRi0X9wWsG2e" TargetMode="External"/><Relationship Id="rId1276" Type="http://schemas.openxmlformats.org/officeDocument/2006/relationships/hyperlink" Target="https://drive.google.com/uc?export=view&amp;id=1XoXT2n6WtaOzM9xcJ0OS4mG5MEnooXtq" TargetMode="External"/><Relationship Id="rId4300" Type="http://schemas.openxmlformats.org/officeDocument/2006/relationships/hyperlink" Target="https://docs.google.com/document/d/1Njn_ZsYDUYIOSdGn6euKpjsMy9j5g8Ablhkrwur79no/edit?usp=drivesdk" TargetMode="External"/><Relationship Id="rId442" Type="http://schemas.openxmlformats.org/officeDocument/2006/relationships/hyperlink" Target="https://drive.google.com/open?id=11dA5493f28DXctg2NEwUhRi0X9wWsG2e" TargetMode="External"/><Relationship Id="rId1277" Type="http://schemas.openxmlformats.org/officeDocument/2006/relationships/hyperlink" Target="https://docs.google.com/document/d/1MrPFUSKarlBWs3WaflkecyVfFUWzSa4qayIE6GvgyJQ/edit?usp=drivesdk" TargetMode="External"/><Relationship Id="rId4303" Type="http://schemas.openxmlformats.org/officeDocument/2006/relationships/hyperlink" Target="https://docs.google.com/document/d/1xZ8_HfZNTGNrA2HlR0Dj_YoJf4BQiuaieE1whv9pUo0/edit?usp=drivesdk" TargetMode="External"/><Relationship Id="rId441" Type="http://schemas.openxmlformats.org/officeDocument/2006/relationships/hyperlink" Target="https://docs.google.com/document/d/1mOsHtArkq-PN9noMZb4oaDNVzKVVK60xFIopJMHg8KU/edit?usp=drivesdk" TargetMode="External"/><Relationship Id="rId1278" Type="http://schemas.openxmlformats.org/officeDocument/2006/relationships/hyperlink" Target="https://drive.google.com/open?id=1qUj8WEnNDjaI911DXm1Bnp_NFgnqpNOi" TargetMode="External"/><Relationship Id="rId4302" Type="http://schemas.openxmlformats.org/officeDocument/2006/relationships/hyperlink" Target="https://drive.google.com/uc?export=view&amp;id=1ncBZG1KDFtYZO13MH8FcApvHbNBXqBs0" TargetMode="External"/><Relationship Id="rId1268" Type="http://schemas.openxmlformats.org/officeDocument/2006/relationships/hyperlink" Target="https://docs.google.com/document/d/187iAmG9dw15yBeOe_oAmkLAn_mEOvAubURiNvy2hac0/edit?usp=drivesdk" TargetMode="External"/><Relationship Id="rId2599" Type="http://schemas.openxmlformats.org/officeDocument/2006/relationships/hyperlink" Target="https://docs.google.com/document/d/1eBdVkVMmlbY2rFw3zqrU9sprllVl2sjlxPFqA8_tsg8/edit?usp=drivesdk" TargetMode="External"/><Relationship Id="rId1269" Type="http://schemas.openxmlformats.org/officeDocument/2006/relationships/hyperlink" Target="https://drive.google.com/open?id=1kTLmWyjtoQqytAVh68LofKd_tjF4BwnB" TargetMode="External"/><Relationship Id="rId437" Type="http://schemas.openxmlformats.org/officeDocument/2006/relationships/hyperlink" Target="https://drive.google.com/uc?export=view&amp;id=1HhNcD1fbK4lJEcNPeetZhVZE9qA0Jk8y" TargetMode="External"/><Relationship Id="rId436" Type="http://schemas.openxmlformats.org/officeDocument/2006/relationships/hyperlink" Target="https://drive.google.com/open?id=1HhNcD1fbK4lJEcNPeetZhVZE9qA0Jk8y" TargetMode="External"/><Relationship Id="rId435" Type="http://schemas.openxmlformats.org/officeDocument/2006/relationships/hyperlink" Target="https://docs.google.com/document/d/1rA6Sw78qqEGcGV82GYSHD0YCqpS1719Tpug0lVJxTOc/edit?usp=drivesdk" TargetMode="External"/><Relationship Id="rId434" Type="http://schemas.openxmlformats.org/officeDocument/2006/relationships/hyperlink" Target="https://drive.google.com/uc?export=view&amp;id=1hmPpCNbVq7utd-QMOKhHynb3tHsC4xlv" TargetMode="External"/><Relationship Id="rId439" Type="http://schemas.openxmlformats.org/officeDocument/2006/relationships/hyperlink" Target="https://drive.google.com/open?id=1_baPqqScUKvV7rg4VWlffowjNNkjhLln" TargetMode="External"/><Relationship Id="rId438" Type="http://schemas.openxmlformats.org/officeDocument/2006/relationships/hyperlink" Target="https://docs.google.com/document/d/1zc0Plbqti8t0HFldrsJtHJ34NAJ67SNr8KR9krouar0/edit?usp=drivesdk" TargetMode="External"/><Relationship Id="rId2590" Type="http://schemas.openxmlformats.org/officeDocument/2006/relationships/hyperlink" Target="https://docs.google.com/document/d/15SQqPB3wiBw8nk2ly7l0TBRV3KAE5utDEmWVeGqayRw/edit?usp=drivesdk" TargetMode="External"/><Relationship Id="rId1260" Type="http://schemas.openxmlformats.org/officeDocument/2006/relationships/hyperlink" Target="https://drive.google.com/open?id=11w1Fzc1Pci_44AzJI5LxTHDCid_EFtc5" TargetMode="External"/><Relationship Id="rId2591" Type="http://schemas.openxmlformats.org/officeDocument/2006/relationships/hyperlink" Target="https://drive.google.com/open?id=1ENIQAAr87Lb5wAQfjxSl9s2GwbpB8nwA" TargetMode="External"/><Relationship Id="rId1261" Type="http://schemas.openxmlformats.org/officeDocument/2006/relationships/hyperlink" Target="https://drive.google.com/uc?export=view&amp;id=11w1Fzc1Pci_44AzJI5LxTHDCid_EFtc5" TargetMode="External"/><Relationship Id="rId2592" Type="http://schemas.openxmlformats.org/officeDocument/2006/relationships/hyperlink" Target="https://drive.google.com/uc?export=view&amp;id=1ENIQAAr87Lb5wAQfjxSl9s2GwbpB8nwA" TargetMode="External"/><Relationship Id="rId1262" Type="http://schemas.openxmlformats.org/officeDocument/2006/relationships/hyperlink" Target="https://docs.google.com/document/d/1nU7sP08JqxiyX7fthpIc31GWF9vnZug4_15v_e1Yfxo/edit?usp=drivesdk" TargetMode="External"/><Relationship Id="rId2593" Type="http://schemas.openxmlformats.org/officeDocument/2006/relationships/hyperlink" Target="https://docs.google.com/document/d/1FSoZNbpEuESPd8NFVjGMuWeR_BYFhWe04OyfTUwlWqM/edit?usp=drivesdk" TargetMode="External"/><Relationship Id="rId1263" Type="http://schemas.openxmlformats.org/officeDocument/2006/relationships/hyperlink" Target="https://drive.google.com/open?id=1e2parNo6pmh3u_IapzreO7-kn56kMADw" TargetMode="External"/><Relationship Id="rId2594" Type="http://schemas.openxmlformats.org/officeDocument/2006/relationships/hyperlink" Target="https://drive.google.com/open?id=1UcI3h9XbmpfUK010xzT2gpVEw94oz8aG" TargetMode="External"/><Relationship Id="rId433" Type="http://schemas.openxmlformats.org/officeDocument/2006/relationships/hyperlink" Target="https://drive.google.com/open?id=1hmPpCNbVq7utd-QMOKhHynb3tHsC4xlv" TargetMode="External"/><Relationship Id="rId1264" Type="http://schemas.openxmlformats.org/officeDocument/2006/relationships/hyperlink" Target="https://drive.google.com/uc?export=view&amp;id=1e2parNo6pmh3u_IapzreO7-kn56kMADw" TargetMode="External"/><Relationship Id="rId2595" Type="http://schemas.openxmlformats.org/officeDocument/2006/relationships/hyperlink" Target="https://drive.google.com/uc?export=view&amp;id=1UcI3h9XbmpfUK010xzT2gpVEw94oz8aG" TargetMode="External"/><Relationship Id="rId432" Type="http://schemas.openxmlformats.org/officeDocument/2006/relationships/hyperlink" Target="https://docs.google.com/document/d/17cIfdJWMTGruXBHrnwI3VtRFE_EQODzxSyAs2tAdRR8/edit?usp=drivesdk" TargetMode="External"/><Relationship Id="rId1265" Type="http://schemas.openxmlformats.org/officeDocument/2006/relationships/hyperlink" Target="https://docs.google.com/document/d/1mfWAIzdjbQhMAo9_eHyhaumgAsNtEDNVS1Ske5h3wBY/edit?usp=drivesdk" TargetMode="External"/><Relationship Id="rId2596" Type="http://schemas.openxmlformats.org/officeDocument/2006/relationships/hyperlink" Target="https://docs.google.com/document/d/1yuhlHWdWfb7BmGn63fbs2kxfL2aedj9ckMAjwb9z9BM/edit?usp=drivesdk" TargetMode="External"/><Relationship Id="rId431" Type="http://schemas.openxmlformats.org/officeDocument/2006/relationships/hyperlink" Target="https://drive.google.com/uc?export=view&amp;id=1OMA1jd0RFsgGHe5MXhMVLC6MzTtDTQef" TargetMode="External"/><Relationship Id="rId1266" Type="http://schemas.openxmlformats.org/officeDocument/2006/relationships/hyperlink" Target="https://drive.google.com/open?id=1kSBx3E4ZFurQZkwJyPZXhqBGC1GERnhh" TargetMode="External"/><Relationship Id="rId2597" Type="http://schemas.openxmlformats.org/officeDocument/2006/relationships/hyperlink" Target="https://drive.google.com/open?id=1c_YHfW2JTwQS2RJXM5g0dJbNcNUD4EOB" TargetMode="External"/><Relationship Id="rId430" Type="http://schemas.openxmlformats.org/officeDocument/2006/relationships/hyperlink" Target="https://drive.google.com/open?id=1OMA1jd0RFsgGHe5MXhMVLC6MzTtDTQef" TargetMode="External"/><Relationship Id="rId1267" Type="http://schemas.openxmlformats.org/officeDocument/2006/relationships/hyperlink" Target="https://drive.google.com/uc?export=view&amp;id=1kSBx3E4ZFurQZkwJyPZXhqBGC1GERnhh" TargetMode="External"/><Relationship Id="rId2598" Type="http://schemas.openxmlformats.org/officeDocument/2006/relationships/hyperlink" Target="https://drive.google.com/uc?export=view&amp;id=1c_YHfW2JTwQS2RJXM5g0dJbNcNUD4EOB" TargetMode="External"/><Relationship Id="rId3070" Type="http://schemas.openxmlformats.org/officeDocument/2006/relationships/hyperlink" Target="https://docs.google.com/document/d/1wshou7lhtec51AZnx3rLTLcPpUwGA6bMivFPzgS9svc/edit?usp=drivesdk" TargetMode="External"/><Relationship Id="rId3072" Type="http://schemas.openxmlformats.org/officeDocument/2006/relationships/hyperlink" Target="https://drive.google.com/uc?export=view&amp;id=1dHdQe94MhqEjDAxdx90EQ-SAa9Jk0cGr" TargetMode="External"/><Relationship Id="rId3071" Type="http://schemas.openxmlformats.org/officeDocument/2006/relationships/hyperlink" Target="https://drive.google.com/open?id=1dHdQe94MhqEjDAxdx90EQ-SAa9Jk0cGr" TargetMode="External"/><Relationship Id="rId3074" Type="http://schemas.openxmlformats.org/officeDocument/2006/relationships/hyperlink" Target="https://drive.google.com/open?id=1vV7srqEa2THWqd-Bs1qHXya5PGnJOkvS" TargetMode="External"/><Relationship Id="rId3073" Type="http://schemas.openxmlformats.org/officeDocument/2006/relationships/hyperlink" Target="https://docs.google.com/document/d/1De25IZyuBCs9jTomcnKCzbEitDYZ2x9Kl4ZVzS7Lnpg/edit?usp=drivesdk" TargetMode="External"/><Relationship Id="rId3076" Type="http://schemas.openxmlformats.org/officeDocument/2006/relationships/hyperlink" Target="https://docs.google.com/document/d/1W_kQoFNS7GNaTsxkTOPxYLdabAuoJJp6qprHVKaV4Ck/edit?usp=drivesdk" TargetMode="External"/><Relationship Id="rId3075" Type="http://schemas.openxmlformats.org/officeDocument/2006/relationships/hyperlink" Target="https://drive.google.com/uc?export=view&amp;id=1vV7srqEa2THWqd-Bs1qHXya5PGnJOkvS" TargetMode="External"/><Relationship Id="rId3078" Type="http://schemas.openxmlformats.org/officeDocument/2006/relationships/hyperlink" Target="https://drive.google.com/uc?export=view&amp;id=11kFw9WqRSsqzdqKqkKJGyKMsTwymRQm-" TargetMode="External"/><Relationship Id="rId3077" Type="http://schemas.openxmlformats.org/officeDocument/2006/relationships/hyperlink" Target="https://drive.google.com/open?id=11kFw9WqRSsqzdqKqkKJGyKMsTwymRQm-" TargetMode="External"/><Relationship Id="rId3079" Type="http://schemas.openxmlformats.org/officeDocument/2006/relationships/hyperlink" Target="https://docs.google.com/document/d/1EVol0MV7ANG84h8l-G44nrF9N1BCgQXGy0VfJssQ0gU/edit?usp=drivesdk" TargetMode="External"/><Relationship Id="rId4390" Type="http://schemas.openxmlformats.org/officeDocument/2006/relationships/hyperlink" Target="https://docs.google.com/document/d/1d9ct6_8vVidmbHXbmJh805G2kCXWGuVg3XpGjZA1ANw/edit?usp=drivesdk" TargetMode="External"/><Relationship Id="rId3061" Type="http://schemas.openxmlformats.org/officeDocument/2006/relationships/hyperlink" Target="https://docs.google.com/document/d/1dxwI50axERlRVH1g-ztjL1gT2L_aZtUwhm3W5xkF-Uw/edit?usp=drivesdk" TargetMode="External"/><Relationship Id="rId4392" Type="http://schemas.openxmlformats.org/officeDocument/2006/relationships/hyperlink" Target="https://drive.google.com/uc?export=view&amp;id=1XCBh2v9jHFDdWn--9uNktIGD48ufTJne" TargetMode="External"/><Relationship Id="rId3060" Type="http://schemas.openxmlformats.org/officeDocument/2006/relationships/hyperlink" Target="https://drive.google.com/uc?export=view&amp;id=11a3s2SHOC6K-DG70c_D4IrkSlAc8MoOs" TargetMode="External"/><Relationship Id="rId4391" Type="http://schemas.openxmlformats.org/officeDocument/2006/relationships/hyperlink" Target="https://drive.google.com/open?id=1XCBh2v9jHFDdWn--9uNktIGD48ufTJne" TargetMode="External"/><Relationship Id="rId3063" Type="http://schemas.openxmlformats.org/officeDocument/2006/relationships/hyperlink" Target="https://drive.google.com/uc?export=view&amp;id=1NGs3mKGv00C2n5JfoCZtYirCf-3FNwae" TargetMode="External"/><Relationship Id="rId4394" Type="http://schemas.openxmlformats.org/officeDocument/2006/relationships/hyperlink" Target="https://drive.google.com/open?id=1IfK5ziXwJAFoGtb_zEuZtqWlQ4xU2Lp6" TargetMode="External"/><Relationship Id="rId3062" Type="http://schemas.openxmlformats.org/officeDocument/2006/relationships/hyperlink" Target="https://drive.google.com/open?id=1NGs3mKGv00C2n5JfoCZtYirCf-3FNwae" TargetMode="External"/><Relationship Id="rId4393" Type="http://schemas.openxmlformats.org/officeDocument/2006/relationships/hyperlink" Target="https://docs.google.com/document/d/100xlQp2ZxXc2NVTssw9TyOC7bN_UxVhA9__Pxi5quzg/edit?usp=drivesdk" TargetMode="External"/><Relationship Id="rId3065" Type="http://schemas.openxmlformats.org/officeDocument/2006/relationships/hyperlink" Target="https://drive.google.com/open?id=1EWMDnzGgbyL3eG0xXkHhLeiNc8OgFIZe" TargetMode="External"/><Relationship Id="rId4396" Type="http://schemas.openxmlformats.org/officeDocument/2006/relationships/hyperlink" Target="https://docs.google.com/document/d/1lboTWMcNy_cf4n3ItL98cuPxiIVO37muZaqI97JZftQ/edit?usp=drivesdk" TargetMode="External"/><Relationship Id="rId3064" Type="http://schemas.openxmlformats.org/officeDocument/2006/relationships/hyperlink" Target="https://docs.google.com/document/d/1zv4Y83b0iAV9T6m6Vxh6vKpulV7GxDyc5fcfpoO4CPY/edit?usp=drivesdk" TargetMode="External"/><Relationship Id="rId4395" Type="http://schemas.openxmlformats.org/officeDocument/2006/relationships/hyperlink" Target="https://drive.google.com/uc?export=view&amp;id=1IfK5ziXwJAFoGtb_zEuZtqWlQ4xU2Lp6" TargetMode="External"/><Relationship Id="rId3067" Type="http://schemas.openxmlformats.org/officeDocument/2006/relationships/hyperlink" Target="https://docs.google.com/document/d/1pgNrS-4QeCy_yQ94WRxnGJWgc-QFmR_QYNw4GAaax7I/edit?usp=drivesdk" TargetMode="External"/><Relationship Id="rId4398" Type="http://schemas.openxmlformats.org/officeDocument/2006/relationships/hyperlink" Target="https://drive.google.com/uc?export=view&amp;id=1s5kWdNUxK8KWhBEsMadXX8CGfv02kobA" TargetMode="External"/><Relationship Id="rId3066" Type="http://schemas.openxmlformats.org/officeDocument/2006/relationships/hyperlink" Target="https://drive.google.com/uc?export=view&amp;id=1EWMDnzGgbyL3eG0xXkHhLeiNc8OgFIZe" TargetMode="External"/><Relationship Id="rId4397" Type="http://schemas.openxmlformats.org/officeDocument/2006/relationships/hyperlink" Target="https://drive.google.com/open?id=1s5kWdNUxK8KWhBEsMadXX8CGfv02kobA" TargetMode="External"/><Relationship Id="rId3069" Type="http://schemas.openxmlformats.org/officeDocument/2006/relationships/hyperlink" Target="https://drive.google.com/uc?export=view&amp;id=1KmKyW8Vlp_GFvbh1cJI7VRYbi-6XtoTe" TargetMode="External"/><Relationship Id="rId3068" Type="http://schemas.openxmlformats.org/officeDocument/2006/relationships/hyperlink" Target="https://drive.google.com/open?id=1KmKyW8Vlp_GFvbh1cJI7VRYbi-6XtoTe" TargetMode="External"/><Relationship Id="rId4399" Type="http://schemas.openxmlformats.org/officeDocument/2006/relationships/hyperlink" Target="https://docs.google.com/document/d/1OS7lMSjjtl9v5oYnLcbIRQnN1Usbz3oRVYRnXwAdsEc/edit?usp=drivesdk" TargetMode="External"/><Relationship Id="rId3090" Type="http://schemas.openxmlformats.org/officeDocument/2006/relationships/hyperlink" Target="https://drive.google.com/uc?export=view&amp;id=1eB4pmwCq-sZT-3USoUFNowJgVf2ovRos" TargetMode="External"/><Relationship Id="rId3092" Type="http://schemas.openxmlformats.org/officeDocument/2006/relationships/hyperlink" Target="https://drive.google.com/open?id=1Qkwf3TS7HwnQF2fN4EUnWWfK7dmEy-Gy" TargetMode="External"/><Relationship Id="rId3091" Type="http://schemas.openxmlformats.org/officeDocument/2006/relationships/hyperlink" Target="https://docs.google.com/document/d/1RYHPbv2vD_5x7l0krleF1RE4viZ38jpR-SlGn4zPxxo/edit?usp=drivesdk" TargetMode="External"/><Relationship Id="rId3094" Type="http://schemas.openxmlformats.org/officeDocument/2006/relationships/hyperlink" Target="https://docs.google.com/document/d/1VmyUobqJlRkXXfl77z0YF0PywvMfu_dwF6PqxJ6dS7U/edit?usp=drivesdk" TargetMode="External"/><Relationship Id="rId3093" Type="http://schemas.openxmlformats.org/officeDocument/2006/relationships/hyperlink" Target="https://drive.google.com/uc?export=view&amp;id=1Qkwf3TS7HwnQF2fN4EUnWWfK7dmEy-Gy" TargetMode="External"/><Relationship Id="rId3096" Type="http://schemas.openxmlformats.org/officeDocument/2006/relationships/hyperlink" Target="https://drive.google.com/uc?export=view&amp;id=14V4br9TnQ6g2NUCLZZNWtctelnYKHjI9" TargetMode="External"/><Relationship Id="rId3095" Type="http://schemas.openxmlformats.org/officeDocument/2006/relationships/hyperlink" Target="https://drive.google.com/open?id=14V4br9TnQ6g2NUCLZZNWtctelnYKHjI9" TargetMode="External"/><Relationship Id="rId3098" Type="http://schemas.openxmlformats.org/officeDocument/2006/relationships/hyperlink" Target="https://drive.google.com/open?id=1mtvAlLakPShBOsFkw5LUbDLNEm7E04Qa" TargetMode="External"/><Relationship Id="rId3097" Type="http://schemas.openxmlformats.org/officeDocument/2006/relationships/hyperlink" Target="https://docs.google.com/document/d/16Vrv9x2iiSYzevHtvct9F1QwBKFMx-OoowGgyM01i_g/edit?usp=drivesdk" TargetMode="External"/><Relationship Id="rId3099" Type="http://schemas.openxmlformats.org/officeDocument/2006/relationships/hyperlink" Target="https://drive.google.com/uc?export=view&amp;id=1mtvAlLakPShBOsFkw5LUbDLNEm7E04Qa" TargetMode="External"/><Relationship Id="rId3081" Type="http://schemas.openxmlformats.org/officeDocument/2006/relationships/hyperlink" Target="https://drive.google.com/uc?export=view&amp;id=1qZgKXE0qqmx672PZjQJhdYMLJoGOAAVe" TargetMode="External"/><Relationship Id="rId3080" Type="http://schemas.openxmlformats.org/officeDocument/2006/relationships/hyperlink" Target="https://drive.google.com/open?id=1qZgKXE0qqmx672PZjQJhdYMLJoGOAAVe" TargetMode="External"/><Relationship Id="rId3083" Type="http://schemas.openxmlformats.org/officeDocument/2006/relationships/hyperlink" Target="https://drive.google.com/open?id=1WwFW084H_5NHebkN4YlUvQfkDjyosCk_" TargetMode="External"/><Relationship Id="rId3082" Type="http://schemas.openxmlformats.org/officeDocument/2006/relationships/hyperlink" Target="https://docs.google.com/document/d/1lZJPT2m3BrmOqe0JF1ZScM3Xk4yh4-sVpFKAY8hrIlM/edit?usp=drivesdk" TargetMode="External"/><Relationship Id="rId3085" Type="http://schemas.openxmlformats.org/officeDocument/2006/relationships/hyperlink" Target="https://docs.google.com/document/d/1vkwY6n_lzSleGyIaa3s-p45ynrLb2wvKPKn_CGNLGjU/edit?usp=drivesdk" TargetMode="External"/><Relationship Id="rId3084" Type="http://schemas.openxmlformats.org/officeDocument/2006/relationships/hyperlink" Target="https://drive.google.com/uc?export=view&amp;id=1WwFW084H_5NHebkN4YlUvQfkDjyosCk_" TargetMode="External"/><Relationship Id="rId3087" Type="http://schemas.openxmlformats.org/officeDocument/2006/relationships/hyperlink" Target="https://drive.google.com/uc?export=view&amp;id=1jXCeEtUDUv3sEjDwFR95OlEJUBjT27Qw" TargetMode="External"/><Relationship Id="rId3086" Type="http://schemas.openxmlformats.org/officeDocument/2006/relationships/hyperlink" Target="https://drive.google.com/open?id=1jXCeEtUDUv3sEjDwFR95OlEJUBjT27Qw" TargetMode="External"/><Relationship Id="rId3089" Type="http://schemas.openxmlformats.org/officeDocument/2006/relationships/hyperlink" Target="https://drive.google.com/open?id=1eB4pmwCq-sZT-3USoUFNowJgVf2ovRos" TargetMode="External"/><Relationship Id="rId3088" Type="http://schemas.openxmlformats.org/officeDocument/2006/relationships/hyperlink" Target="https://docs.google.com/document/d/1UbzBHdp_9bEUEOUym3FFHIFisoQtCZ7sfoNNQWwlsVo/edit?usp=drivesdk" TargetMode="External"/><Relationship Id="rId3039" Type="http://schemas.openxmlformats.org/officeDocument/2006/relationships/hyperlink" Target="https://drive.google.com/uc?export=view&amp;id=1hupJhhBOJaIIw2XTdzAlREmgPkoWUgEe" TargetMode="External"/><Relationship Id="rId1" Type="http://schemas.openxmlformats.org/officeDocument/2006/relationships/hyperlink" Target="https://drive.google.com/open?id=1DOVVKeH7fIfVEvuxKHQG-Jz2Ag1543be" TargetMode="External"/><Relationship Id="rId2" Type="http://schemas.openxmlformats.org/officeDocument/2006/relationships/hyperlink" Target="https://drive.google.com/uc?export=view&amp;id=1DOVVKeH7fIfVEvuxKHQG-Jz2Ag1543be" TargetMode="External"/><Relationship Id="rId3" Type="http://schemas.openxmlformats.org/officeDocument/2006/relationships/hyperlink" Target="https://drive.google.com/file/d/1VLCR9RE8UQfa-7DdLQA0fhBaMuJu3CP4/view?usp=drivesdk" TargetMode="External"/><Relationship Id="rId4" Type="http://schemas.openxmlformats.org/officeDocument/2006/relationships/hyperlink" Target="https://drive.google.com/open?id=1VkaNvMvb_JAQDZluH6dTVS0ClZx4DAsi" TargetMode="External"/><Relationship Id="rId3030" Type="http://schemas.openxmlformats.org/officeDocument/2006/relationships/hyperlink" Target="https://drive.google.com/uc?export=view&amp;id=1fzlvMvNzM4IqhDBr4e51xL0jItqE9P06" TargetMode="External"/><Relationship Id="rId4361" Type="http://schemas.openxmlformats.org/officeDocument/2006/relationships/hyperlink" Target="https://drive.google.com/open?id=1Mn0FdRkAvs_5tvN7SaqtQ9kqvsgiI_iN" TargetMode="External"/><Relationship Id="rId4360" Type="http://schemas.openxmlformats.org/officeDocument/2006/relationships/hyperlink" Target="https://docs.google.com/document/d/1VgF4fCbHjvuCRYdw9N1KoJGxhIIXOqmROUJZb1ABGLI/edit?usp=drivesdk" TargetMode="External"/><Relationship Id="rId9" Type="http://schemas.openxmlformats.org/officeDocument/2006/relationships/hyperlink" Target="https://docs.google.com/document/d/1L9a9-WeYwiNdCrpG5CWzGV_R4jpOMHLU1D_ZPOj2Xjs/edit?usp=drivesdk" TargetMode="External"/><Relationship Id="rId3032" Type="http://schemas.openxmlformats.org/officeDocument/2006/relationships/hyperlink" Target="https://drive.google.com/open?id=10ZOqZOF7tlHtkbAIQJ995M6G5zCEb-uU" TargetMode="External"/><Relationship Id="rId4363" Type="http://schemas.openxmlformats.org/officeDocument/2006/relationships/hyperlink" Target="https://docs.google.com/document/d/1UxOfnhY_0Q8wXz8C8N6FZD9AWzFplMlHwFDlwccV6Sc/edit?usp=drivesdk" TargetMode="External"/><Relationship Id="rId3031" Type="http://schemas.openxmlformats.org/officeDocument/2006/relationships/hyperlink" Target="https://docs.google.com/document/d/1ZzVE9oeKvuKIIe5V7mTyWGSr05eYJ5k7HE67XD7nyAw/edit?usp=drivesdk" TargetMode="External"/><Relationship Id="rId4362" Type="http://schemas.openxmlformats.org/officeDocument/2006/relationships/hyperlink" Target="https://drive.google.com/uc?export=view&amp;id=1Mn0FdRkAvs_5tvN7SaqtQ9kqvsgiI_iN" TargetMode="External"/><Relationship Id="rId3034" Type="http://schemas.openxmlformats.org/officeDocument/2006/relationships/hyperlink" Target="https://docs.google.com/document/d/12zte7sypDQd2VhHg-shIrEWKF-AWO-qC6MfuBL3uibM/edit?usp=drivesdk" TargetMode="External"/><Relationship Id="rId4365" Type="http://schemas.openxmlformats.org/officeDocument/2006/relationships/hyperlink" Target="https://drive.google.com/uc?export=view&amp;id=1ikVrC1U-H2nNiRMkW10uumq1L7V8bNBn" TargetMode="External"/><Relationship Id="rId3033" Type="http://schemas.openxmlformats.org/officeDocument/2006/relationships/hyperlink" Target="https://drive.google.com/uc?export=view&amp;id=10ZOqZOF7tlHtkbAIQJ995M6G5zCEb-uU" TargetMode="External"/><Relationship Id="rId4364" Type="http://schemas.openxmlformats.org/officeDocument/2006/relationships/hyperlink" Target="https://drive.google.com/open?id=1ikVrC1U-H2nNiRMkW10uumq1L7V8bNBn" TargetMode="External"/><Relationship Id="rId5" Type="http://schemas.openxmlformats.org/officeDocument/2006/relationships/hyperlink" Target="https://drive.google.com/uc?export=view&amp;id=1VkaNvMvb_JAQDZluH6dTVS0ClZx4DAsi" TargetMode="External"/><Relationship Id="rId3036" Type="http://schemas.openxmlformats.org/officeDocument/2006/relationships/hyperlink" Target="https://drive.google.com/uc?export=view&amp;id=18ktdIAgbzKP_6apecNBAGeoo1NQee5w5" TargetMode="External"/><Relationship Id="rId4367" Type="http://schemas.openxmlformats.org/officeDocument/2006/relationships/hyperlink" Target="https://drive.google.com/open?id=1R8ZYHpwYVetrVkuedT6wK12NJowVnv4R" TargetMode="External"/><Relationship Id="rId6" Type="http://schemas.openxmlformats.org/officeDocument/2006/relationships/hyperlink" Target="https://drive.google.com/file/d/14HDTZiKFFpf-s6RG3RfVrW8bmRJFPzXk/view?usp=drivesdk" TargetMode="External"/><Relationship Id="rId3035" Type="http://schemas.openxmlformats.org/officeDocument/2006/relationships/hyperlink" Target="https://drive.google.com/open?id=18ktdIAgbzKP_6apecNBAGeoo1NQee5w5" TargetMode="External"/><Relationship Id="rId4366" Type="http://schemas.openxmlformats.org/officeDocument/2006/relationships/hyperlink" Target="https://docs.google.com/document/d/119SdC9js08nQzYduYp1T0f7jdOt4Pb0ehWiuVBAN1Bw/edit?usp=drivesdk" TargetMode="External"/><Relationship Id="rId7" Type="http://schemas.openxmlformats.org/officeDocument/2006/relationships/hyperlink" Target="https://drive.google.com/open?id=15RX_iNcwPcW9cE3MDSxdfs9he67Aa02s" TargetMode="External"/><Relationship Id="rId3038" Type="http://schemas.openxmlformats.org/officeDocument/2006/relationships/hyperlink" Target="https://drive.google.com/open?id=1hupJhhBOJaIIw2XTdzAlREmgPkoWUgEe" TargetMode="External"/><Relationship Id="rId4369" Type="http://schemas.openxmlformats.org/officeDocument/2006/relationships/hyperlink" Target="https://docs.google.com/document/d/1wm-V9qazKg_D7hTv8yaxfplEY3ekibaRpulKPLJ5Dmk/edit?usp=drivesdk" TargetMode="External"/><Relationship Id="rId8" Type="http://schemas.openxmlformats.org/officeDocument/2006/relationships/hyperlink" Target="https://drive.google.com/uc?export=view&amp;id=15RX_iNcwPcW9cE3MDSxdfs9he67Aa02s" TargetMode="External"/><Relationship Id="rId3037" Type="http://schemas.openxmlformats.org/officeDocument/2006/relationships/hyperlink" Target="https://docs.google.com/document/d/1pch4XK_98uDWI-a2eUPwli_W6Z5YPa6J7TgxXrM4VzA/edit?usp=drivesdk" TargetMode="External"/><Relationship Id="rId4368" Type="http://schemas.openxmlformats.org/officeDocument/2006/relationships/hyperlink" Target="https://drive.google.com/uc?export=view&amp;id=1R8ZYHpwYVetrVkuedT6wK12NJowVnv4R" TargetMode="External"/><Relationship Id="rId3029" Type="http://schemas.openxmlformats.org/officeDocument/2006/relationships/hyperlink" Target="https://drive.google.com/open?id=1fzlvMvNzM4IqhDBr4e51xL0jItqE9P06" TargetMode="External"/><Relationship Id="rId3028" Type="http://schemas.openxmlformats.org/officeDocument/2006/relationships/hyperlink" Target="https://docs.google.com/document/d/1iVPU1rNWW5e4o_JjYDapKh1WfLXmKQf3wTG3vH-NE5o/edit?usp=drivesdk" TargetMode="External"/><Relationship Id="rId4359" Type="http://schemas.openxmlformats.org/officeDocument/2006/relationships/hyperlink" Target="https://drive.google.com/uc?export=view&amp;id=1GvB7WhGqhj1t28i9H_yoeOjiNk-d8FpX" TargetMode="External"/><Relationship Id="rId4350" Type="http://schemas.openxmlformats.org/officeDocument/2006/relationships/hyperlink" Target="https://drive.google.com/uc?export=view&amp;id=1udynrew-mUdp-3D7k-Qz0ESf7om3QpFH" TargetMode="External"/><Relationship Id="rId3021" Type="http://schemas.openxmlformats.org/officeDocument/2006/relationships/hyperlink" Target="https://drive.google.com/uc?export=view&amp;id=1njP-1XetxkHNNu9Re_I4r7yY4MLsayXv" TargetMode="External"/><Relationship Id="rId4352" Type="http://schemas.openxmlformats.org/officeDocument/2006/relationships/hyperlink" Target="https://drive.google.com/open?id=12DhqHl_Ym9pyU3GoQBpCSmBe5rAXRw9h" TargetMode="External"/><Relationship Id="rId3020" Type="http://schemas.openxmlformats.org/officeDocument/2006/relationships/hyperlink" Target="https://drive.google.com/open?id=1njP-1XetxkHNNu9Re_I4r7yY4MLsayXv" TargetMode="External"/><Relationship Id="rId4351" Type="http://schemas.openxmlformats.org/officeDocument/2006/relationships/hyperlink" Target="https://docs.google.com/document/d/1yc8g3ugHadv4WcLNZOThMRQZm5e-yVPVUdmrclDc2sY/edit?usp=drivesdk" TargetMode="External"/><Relationship Id="rId3023" Type="http://schemas.openxmlformats.org/officeDocument/2006/relationships/hyperlink" Target="https://drive.google.com/open?id=1lehcHYE_D9VUxI_xF7lyDqx5m-KJk_cj" TargetMode="External"/><Relationship Id="rId4354" Type="http://schemas.openxmlformats.org/officeDocument/2006/relationships/hyperlink" Target="https://docs.google.com/document/d/1e5uC3Gnw_oMee855RG7xk4mWIVmyZ01h5jRQh_LoDGk/edit?usp=drivesdk" TargetMode="External"/><Relationship Id="rId3022" Type="http://schemas.openxmlformats.org/officeDocument/2006/relationships/hyperlink" Target="https://docs.google.com/document/d/1OJDWJuQnOQgOKlqEZOefgvGGwn0PNcCddY7kDJUm340/edit?usp=drivesdk" TargetMode="External"/><Relationship Id="rId4353" Type="http://schemas.openxmlformats.org/officeDocument/2006/relationships/hyperlink" Target="https://drive.google.com/uc?export=view&amp;id=12DhqHl_Ym9pyU3GoQBpCSmBe5rAXRw9h" TargetMode="External"/><Relationship Id="rId3025" Type="http://schemas.openxmlformats.org/officeDocument/2006/relationships/hyperlink" Target="https://docs.google.com/document/d/14vdOCodPu6inh94T9pZMp9XI52J9K9w0d29UrK2fhiM/edit?usp=drivesdk" TargetMode="External"/><Relationship Id="rId4356" Type="http://schemas.openxmlformats.org/officeDocument/2006/relationships/hyperlink" Target="https://drive.google.com/uc?export=view&amp;id=1OY_OZR130Z2wn9xALeD49MIVkO9tfLZi" TargetMode="External"/><Relationship Id="rId3024" Type="http://schemas.openxmlformats.org/officeDocument/2006/relationships/hyperlink" Target="https://drive.google.com/uc?export=view&amp;id=1lehcHYE_D9VUxI_xF7lyDqx5m-KJk_cj" TargetMode="External"/><Relationship Id="rId4355" Type="http://schemas.openxmlformats.org/officeDocument/2006/relationships/hyperlink" Target="https://drive.google.com/open?id=1OY_OZR130Z2wn9xALeD49MIVkO9tfLZi" TargetMode="External"/><Relationship Id="rId3027" Type="http://schemas.openxmlformats.org/officeDocument/2006/relationships/hyperlink" Target="https://drive.google.com/uc?export=view&amp;id=1sgVA3bCZuzOB5cDO5kaEE3c3BHQifP6x" TargetMode="External"/><Relationship Id="rId4358" Type="http://schemas.openxmlformats.org/officeDocument/2006/relationships/hyperlink" Target="https://drive.google.com/open?id=1GvB7WhGqhj1t28i9H_yoeOjiNk-d8FpX" TargetMode="External"/><Relationship Id="rId3026" Type="http://schemas.openxmlformats.org/officeDocument/2006/relationships/hyperlink" Target="https://drive.google.com/open?id=1sgVA3bCZuzOB5cDO5kaEE3c3BHQifP6x" TargetMode="External"/><Relationship Id="rId4357" Type="http://schemas.openxmlformats.org/officeDocument/2006/relationships/hyperlink" Target="https://docs.google.com/document/d/1OAxFbUkDt41NZ8lB0DU9J7vbASvlz06R7sDSQekJA_4/edit?usp=drivesdk" TargetMode="External"/><Relationship Id="rId3050" Type="http://schemas.openxmlformats.org/officeDocument/2006/relationships/hyperlink" Target="https://drive.google.com/open?id=1eN9g8qGBjcVjR53a9o6DiVOted0ugkYk" TargetMode="External"/><Relationship Id="rId4381" Type="http://schemas.openxmlformats.org/officeDocument/2006/relationships/hyperlink" Target="https://docs.google.com/document/d/1x2dDibXZksOh9fbjbF5FIf0NsDPIpP9lwra9SQqjju8/edit?usp=drivesdk" TargetMode="External"/><Relationship Id="rId4380" Type="http://schemas.openxmlformats.org/officeDocument/2006/relationships/hyperlink" Target="https://drive.google.com/uc?export=view&amp;id=11muzvPeKSj3dNg_sOfsEpEk9_DoCB4oy" TargetMode="External"/><Relationship Id="rId3052" Type="http://schemas.openxmlformats.org/officeDocument/2006/relationships/hyperlink" Target="https://docs.google.com/document/d/1A1t1uhGtgG_SYH_u3d-eTjGK2wX9AibPrCvDXY142m4/edit?usp=drivesdk" TargetMode="External"/><Relationship Id="rId4383" Type="http://schemas.openxmlformats.org/officeDocument/2006/relationships/hyperlink" Target="https://drive.google.com/uc?export=view&amp;id=1h1cws6snVcFcd8p3dPNzHOhBbrEAy8YN" TargetMode="External"/><Relationship Id="rId3051" Type="http://schemas.openxmlformats.org/officeDocument/2006/relationships/hyperlink" Target="https://drive.google.com/uc?export=view&amp;id=1eN9g8qGBjcVjR53a9o6DiVOted0ugkYk" TargetMode="External"/><Relationship Id="rId4382" Type="http://schemas.openxmlformats.org/officeDocument/2006/relationships/hyperlink" Target="https://drive.google.com/open?id=1h1cws6snVcFcd8p3dPNzHOhBbrEAy8YN" TargetMode="External"/><Relationship Id="rId3054" Type="http://schemas.openxmlformats.org/officeDocument/2006/relationships/hyperlink" Target="https://drive.google.com/uc?export=view&amp;id=1Neu5P5GC_TH59KwhLei7_JHhYrLc6-Ll" TargetMode="External"/><Relationship Id="rId4385" Type="http://schemas.openxmlformats.org/officeDocument/2006/relationships/hyperlink" Target="https://drive.google.com/open?id=1s5wj6LpIOTiiUsJxMMt36ywf-oApMeNI" TargetMode="External"/><Relationship Id="rId3053" Type="http://schemas.openxmlformats.org/officeDocument/2006/relationships/hyperlink" Target="https://drive.google.com/open?id=1Neu5P5GC_TH59KwhLei7_JHhYrLc6-Ll" TargetMode="External"/><Relationship Id="rId4384" Type="http://schemas.openxmlformats.org/officeDocument/2006/relationships/hyperlink" Target="https://docs.google.com/document/d/1LovKhg07mJC1jsYelQn9RmApLzhurOSSui3TahS_kvA/edit?usp=drivesdk" TargetMode="External"/><Relationship Id="rId3056" Type="http://schemas.openxmlformats.org/officeDocument/2006/relationships/hyperlink" Target="https://drive.google.com/open?id=1Ob8DIWCR_BXkJ-LHReX74WpHi2-128-2" TargetMode="External"/><Relationship Id="rId4387" Type="http://schemas.openxmlformats.org/officeDocument/2006/relationships/hyperlink" Target="https://docs.google.com/document/d/16SGXwXXzTHm5aVMPIp-4Gom_XXJIg1FcvM1_Bed_ads/edit?usp=drivesdk" TargetMode="External"/><Relationship Id="rId3055" Type="http://schemas.openxmlformats.org/officeDocument/2006/relationships/hyperlink" Target="https://docs.google.com/document/d/1qBtAflYqWqR1o38_qCa-R9dI6ji99jRsO28Ohk97IKE/edit?usp=drivesdk" TargetMode="External"/><Relationship Id="rId4386" Type="http://schemas.openxmlformats.org/officeDocument/2006/relationships/hyperlink" Target="https://drive.google.com/uc?export=view&amp;id=1s5wj6LpIOTiiUsJxMMt36ywf-oApMeNI" TargetMode="External"/><Relationship Id="rId3058" Type="http://schemas.openxmlformats.org/officeDocument/2006/relationships/hyperlink" Target="https://docs.google.com/document/d/13G8uTciUm9iqEGgQlOSM8RaVqT7ctjg-NA2nl99li0M/edit?usp=drivesdk" TargetMode="External"/><Relationship Id="rId4389" Type="http://schemas.openxmlformats.org/officeDocument/2006/relationships/hyperlink" Target="https://drive.google.com/uc?export=view&amp;id=1DXyMN16iqT2Kzu4IYG-0ChQlZ8sKajId" TargetMode="External"/><Relationship Id="rId3057" Type="http://schemas.openxmlformats.org/officeDocument/2006/relationships/hyperlink" Target="https://drive.google.com/uc?export=view&amp;id=1Ob8DIWCR_BXkJ-LHReX74WpHi2-128-2" TargetMode="External"/><Relationship Id="rId4388" Type="http://schemas.openxmlformats.org/officeDocument/2006/relationships/hyperlink" Target="https://drive.google.com/open?id=1DXyMN16iqT2Kzu4IYG-0ChQlZ8sKajId" TargetMode="External"/><Relationship Id="rId3059" Type="http://schemas.openxmlformats.org/officeDocument/2006/relationships/hyperlink" Target="https://drive.google.com/open?id=11a3s2SHOC6K-DG70c_D4IrkSlAc8MoOs" TargetMode="External"/><Relationship Id="rId4370" Type="http://schemas.openxmlformats.org/officeDocument/2006/relationships/hyperlink" Target="https://drive.google.com/open?id=1CHp8kX1UR6wIsuWA4qYE7JqWOS-p2Fqb" TargetMode="External"/><Relationship Id="rId3041" Type="http://schemas.openxmlformats.org/officeDocument/2006/relationships/hyperlink" Target="https://drive.google.com/open?id=1Qh2JqdYiPA5lFV2MYecxhoVYL1vAl6ok" TargetMode="External"/><Relationship Id="rId4372" Type="http://schemas.openxmlformats.org/officeDocument/2006/relationships/hyperlink" Target="https://docs.google.com/document/d/1jLCY05EbPv3LcG5dtbcO3-eTQQnGwG0-ygnUDDjcg1g/edit?usp=drivesdk" TargetMode="External"/><Relationship Id="rId3040" Type="http://schemas.openxmlformats.org/officeDocument/2006/relationships/hyperlink" Target="https://docs.google.com/document/d/1dGA_CsXvzOe_IHg5dsY9dm3c8x3Ev7pZdGPxUAItA8Q/edit?usp=drivesdk" TargetMode="External"/><Relationship Id="rId4371" Type="http://schemas.openxmlformats.org/officeDocument/2006/relationships/hyperlink" Target="https://drive.google.com/uc?export=view&amp;id=1CHp8kX1UR6wIsuWA4qYE7JqWOS-p2Fqb" TargetMode="External"/><Relationship Id="rId3043" Type="http://schemas.openxmlformats.org/officeDocument/2006/relationships/hyperlink" Target="https://docs.google.com/document/d/1LAoystZWaT54_UTGFaFB7pQa1YgLsxW2fmMgTNmcDLA/edit?usp=drivesdk" TargetMode="External"/><Relationship Id="rId4374" Type="http://schemas.openxmlformats.org/officeDocument/2006/relationships/hyperlink" Target="https://drive.google.com/uc?export=view&amp;id=1KBRzghGrHyLGVo9jcoMGd0ogpiEt3bbl" TargetMode="External"/><Relationship Id="rId3042" Type="http://schemas.openxmlformats.org/officeDocument/2006/relationships/hyperlink" Target="https://drive.google.com/uc?export=view&amp;id=1Qh2JqdYiPA5lFV2MYecxhoVYL1vAl6ok" TargetMode="External"/><Relationship Id="rId4373" Type="http://schemas.openxmlformats.org/officeDocument/2006/relationships/hyperlink" Target="https://drive.google.com/open?id=1KBRzghGrHyLGVo9jcoMGd0ogpiEt3bbl" TargetMode="External"/><Relationship Id="rId3045" Type="http://schemas.openxmlformats.org/officeDocument/2006/relationships/hyperlink" Target="https://drive.google.com/uc?export=view&amp;id=1SPkUQRQK5G2kMjbs6xuMBFYzliWIQO4e" TargetMode="External"/><Relationship Id="rId4376" Type="http://schemas.openxmlformats.org/officeDocument/2006/relationships/hyperlink" Target="https://drive.google.com/open?id=1kFqwl150RJzzXMr_IUUGJsh2gEWaGcbE" TargetMode="External"/><Relationship Id="rId3044" Type="http://schemas.openxmlformats.org/officeDocument/2006/relationships/hyperlink" Target="https://drive.google.com/open?id=1SPkUQRQK5G2kMjbs6xuMBFYzliWIQO4e" TargetMode="External"/><Relationship Id="rId4375" Type="http://schemas.openxmlformats.org/officeDocument/2006/relationships/hyperlink" Target="https://docs.google.com/document/d/19vmneUJDShtSHt25RtR3sHkHwBfj6Kfu0BmPfZTYdE8/edit?usp=drivesdk" TargetMode="External"/><Relationship Id="rId3047" Type="http://schemas.openxmlformats.org/officeDocument/2006/relationships/hyperlink" Target="https://drive.google.com/open?id=1ydV02Z9nuXTgq39kKnx3Hl9jqvbwiFyf" TargetMode="External"/><Relationship Id="rId4378" Type="http://schemas.openxmlformats.org/officeDocument/2006/relationships/hyperlink" Target="https://docs.google.com/document/d/14OY2edX7oen9nKRdK4vzaOfZBsFVFKQZ7cK901Vv3zs/edit?usp=drivesdk" TargetMode="External"/><Relationship Id="rId3046" Type="http://schemas.openxmlformats.org/officeDocument/2006/relationships/hyperlink" Target="https://docs.google.com/document/d/19tMg5B6CMwlLR3JjZUcGXal3nT5DJ7yHovmZRPuE_Xg/edit?usp=drivesdk" TargetMode="External"/><Relationship Id="rId4377" Type="http://schemas.openxmlformats.org/officeDocument/2006/relationships/hyperlink" Target="https://drive.google.com/uc?export=view&amp;id=1kFqwl150RJzzXMr_IUUGJsh2gEWaGcbE" TargetMode="External"/><Relationship Id="rId3049" Type="http://schemas.openxmlformats.org/officeDocument/2006/relationships/hyperlink" Target="https://docs.google.com/document/d/18ZeQVHktuyZFJr4mzpT2oe690JpA5DT29yrFEAwGW6E/edit?usp=drivesdk" TargetMode="External"/><Relationship Id="rId3048" Type="http://schemas.openxmlformats.org/officeDocument/2006/relationships/hyperlink" Target="https://drive.google.com/uc?export=view&amp;id=1ydV02Z9nuXTgq39kKnx3Hl9jqvbwiFyf" TargetMode="External"/><Relationship Id="rId4379" Type="http://schemas.openxmlformats.org/officeDocument/2006/relationships/hyperlink" Target="https://drive.google.com/open?id=11muzvPeKSj3dNg_sOfsEpEk9_DoCB4oy" TargetMode="External"/><Relationship Id="rId3911" Type="http://schemas.openxmlformats.org/officeDocument/2006/relationships/hyperlink" Target="https://drive.google.com/open?id=1ZqlrV8xtyfxYFsi7PwngHPOBx2E3kFql" TargetMode="External"/><Relationship Id="rId3910" Type="http://schemas.openxmlformats.org/officeDocument/2006/relationships/hyperlink" Target="https://docs.google.com/document/d/1QNJ6WrlFV3LE7Ix_DB7UYEkr4zN6-CIeOi81TgYusU0/edit?usp=drivesdk" TargetMode="External"/><Relationship Id="rId3913" Type="http://schemas.openxmlformats.org/officeDocument/2006/relationships/hyperlink" Target="https://docs.google.com/document/d/1CVXSSEb1ToPiQQVZFzhw9rbZ3xfwWaCLpr7dWqrOIGE/edit?usp=drivesdk" TargetMode="External"/><Relationship Id="rId3912" Type="http://schemas.openxmlformats.org/officeDocument/2006/relationships/hyperlink" Target="https://drive.google.com/uc?export=view&amp;id=1ZqlrV8xtyfxYFsi7PwngHPOBx2E3kFql" TargetMode="External"/><Relationship Id="rId3915" Type="http://schemas.openxmlformats.org/officeDocument/2006/relationships/hyperlink" Target="https://drive.google.com/uc?export=view&amp;id=1EJ76aOOQeoca-m1i49LTr3uaBP6Al6A2" TargetMode="External"/><Relationship Id="rId3914" Type="http://schemas.openxmlformats.org/officeDocument/2006/relationships/hyperlink" Target="https://drive.google.com/open?id=1EJ76aOOQeoca-m1i49LTr3uaBP6Al6A2" TargetMode="External"/><Relationship Id="rId3917" Type="http://schemas.openxmlformats.org/officeDocument/2006/relationships/hyperlink" Target="https://drive.google.com/open?id=10cb0ZMwKBeVukV9c5E-inKcJzFsWz_x2" TargetMode="External"/><Relationship Id="rId3916" Type="http://schemas.openxmlformats.org/officeDocument/2006/relationships/hyperlink" Target="https://docs.google.com/document/d/15sqqgxx4hye5XO6sAMcDI67BtRBnAaXxBst1p0wFCOc/edit?usp=drivesdk" TargetMode="External"/><Relationship Id="rId3919" Type="http://schemas.openxmlformats.org/officeDocument/2006/relationships/hyperlink" Target="https://docs.google.com/document/d/1iPhF4NaJGHBBrfjbhS0JodrrItK_fBTCZkbOzk4j8kc/edit?usp=drivesdk" TargetMode="External"/><Relationship Id="rId3918" Type="http://schemas.openxmlformats.org/officeDocument/2006/relationships/hyperlink" Target="https://drive.google.com/uc?export=view&amp;id=10cb0ZMwKBeVukV9c5E-inKcJzFsWz_x2" TargetMode="External"/><Relationship Id="rId3900" Type="http://schemas.openxmlformats.org/officeDocument/2006/relationships/hyperlink" Target="https://drive.google.com/uc?export=view&amp;id=13foF4g-6zm_Aq0Yt2TUxNZ5CWPvFMPS1" TargetMode="External"/><Relationship Id="rId3902" Type="http://schemas.openxmlformats.org/officeDocument/2006/relationships/hyperlink" Target="https://drive.google.com/open?id=1VRbV5ELpQ10jEcwvG8StbAtCblHDfUe5" TargetMode="External"/><Relationship Id="rId3901" Type="http://schemas.openxmlformats.org/officeDocument/2006/relationships/hyperlink" Target="https://docs.google.com/document/d/1dQvJ6dhsfwvNz_XfiMXSzu8WIfyh-iQ2d-LRtOxdkP0/edit?usp=drivesdk" TargetMode="External"/><Relationship Id="rId3904" Type="http://schemas.openxmlformats.org/officeDocument/2006/relationships/hyperlink" Target="https://docs.google.com/document/d/1Pwyzlgr4SMFDMUFf_jwXgbUe-bfnU7vdpW-ANjK_vZ0/edit?usp=drivesdk" TargetMode="External"/><Relationship Id="rId3903" Type="http://schemas.openxmlformats.org/officeDocument/2006/relationships/hyperlink" Target="https://drive.google.com/uc?export=view&amp;id=1VRbV5ELpQ10jEcwvG8StbAtCblHDfUe5" TargetMode="External"/><Relationship Id="rId3906" Type="http://schemas.openxmlformats.org/officeDocument/2006/relationships/hyperlink" Target="https://drive.google.com/uc?export=view&amp;id=1BbNb0sM8pW4OuYBrNQZNsenoJ66MnBqk" TargetMode="External"/><Relationship Id="rId3905" Type="http://schemas.openxmlformats.org/officeDocument/2006/relationships/hyperlink" Target="https://drive.google.com/open?id=1BbNb0sM8pW4OuYBrNQZNsenoJ66MnBqk" TargetMode="External"/><Relationship Id="rId3908" Type="http://schemas.openxmlformats.org/officeDocument/2006/relationships/hyperlink" Target="https://drive.google.com/open?id=11ZX0DVf_C4imRcIgFb4Y3kg9lIt-DYyf" TargetMode="External"/><Relationship Id="rId3907" Type="http://schemas.openxmlformats.org/officeDocument/2006/relationships/hyperlink" Target="https://docs.google.com/document/d/1qTAFiENVqcdzRnvobaYvc49aACv0pSc2jsfEugRWoAg/edit?usp=drivesdk" TargetMode="External"/><Relationship Id="rId3909" Type="http://schemas.openxmlformats.org/officeDocument/2006/relationships/hyperlink" Target="https://drive.google.com/uc?export=view&amp;id=11ZX0DVf_C4imRcIgFb4Y3kg9lIt-DYyf" TargetMode="External"/><Relationship Id="rId3931" Type="http://schemas.openxmlformats.org/officeDocument/2006/relationships/hyperlink" Target="https://docs.google.com/document/d/1aZpl8rh9novqj7yMIgqK5FMol9ATzKwlM4C1I7sOacQ/edit?usp=drivesdk" TargetMode="External"/><Relationship Id="rId2600" Type="http://schemas.openxmlformats.org/officeDocument/2006/relationships/hyperlink" Target="https://drive.google.com/open?id=1MRl8Yj_1dFz4uGXNFq0p4v9COzEkeSfc" TargetMode="External"/><Relationship Id="rId3930" Type="http://schemas.openxmlformats.org/officeDocument/2006/relationships/hyperlink" Target="https://drive.google.com/uc?export=view&amp;id=1RRIGTNR_hFg7gKeUCn4Koqh2gbWUD0mx" TargetMode="External"/><Relationship Id="rId2601" Type="http://schemas.openxmlformats.org/officeDocument/2006/relationships/hyperlink" Target="https://drive.google.com/uc?export=view&amp;id=1MRl8Yj_1dFz4uGXNFq0p4v9COzEkeSfc" TargetMode="External"/><Relationship Id="rId3933" Type="http://schemas.openxmlformats.org/officeDocument/2006/relationships/hyperlink" Target="https://drive.google.com/uc?export=view&amp;id=1j8zb-go35G0b2y3G9TScgzEDo9ohs8a2" TargetMode="External"/><Relationship Id="rId2602" Type="http://schemas.openxmlformats.org/officeDocument/2006/relationships/hyperlink" Target="https://docs.google.com/document/d/1CvCYmzP2C-EDQ3xhdR6rLPDH8kYa1-i18W2i1n7nxoU/edit?usp=drivesdk" TargetMode="External"/><Relationship Id="rId3932" Type="http://schemas.openxmlformats.org/officeDocument/2006/relationships/hyperlink" Target="https://drive.google.com/open?id=1j8zb-go35G0b2y3G9TScgzEDo9ohs8a2" TargetMode="External"/><Relationship Id="rId2603" Type="http://schemas.openxmlformats.org/officeDocument/2006/relationships/hyperlink" Target="https://drive.google.com/open?id=1HE5N_CLXj_Wfsa61NZ8lsfCgx0fnpEgB" TargetMode="External"/><Relationship Id="rId3935" Type="http://schemas.openxmlformats.org/officeDocument/2006/relationships/hyperlink" Target="https://drive.google.com/open?id=1ZaHaJ0r74gykaOGAirDyOy0jENinerTa" TargetMode="External"/><Relationship Id="rId2604" Type="http://schemas.openxmlformats.org/officeDocument/2006/relationships/hyperlink" Target="https://drive.google.com/uc?export=view&amp;id=1HE5N_CLXj_Wfsa61NZ8lsfCgx0fnpEgB" TargetMode="External"/><Relationship Id="rId3934" Type="http://schemas.openxmlformats.org/officeDocument/2006/relationships/hyperlink" Target="https://docs.google.com/document/d/1Iuph5Dj9nenWsshfljURkTbYQx8gXVno-mmJF_vZ8B4/edit?usp=drivesdk" TargetMode="External"/><Relationship Id="rId2605" Type="http://schemas.openxmlformats.org/officeDocument/2006/relationships/hyperlink" Target="https://docs.google.com/document/d/1v-BhJrrPV4Lyz2oXU-fr2b_MjYjykplIA5niPf8oMDc/edit?usp=drivesdk" TargetMode="External"/><Relationship Id="rId3937" Type="http://schemas.openxmlformats.org/officeDocument/2006/relationships/hyperlink" Target="https://docs.google.com/document/d/1tSyZ8pRBkIuC7coJVQt-1DFVS49UmTU78mv5xGtwBhM/edit?usp=drivesdk" TargetMode="External"/><Relationship Id="rId2606" Type="http://schemas.openxmlformats.org/officeDocument/2006/relationships/hyperlink" Target="https://drive.google.com/open?id=1r-tTCtullxUgHJUmlDChzMVGSTVMz1Tk" TargetMode="External"/><Relationship Id="rId3936" Type="http://schemas.openxmlformats.org/officeDocument/2006/relationships/hyperlink" Target="https://drive.google.com/uc?export=view&amp;id=1ZaHaJ0r74gykaOGAirDyOy0jENinerTa" TargetMode="External"/><Relationship Id="rId808" Type="http://schemas.openxmlformats.org/officeDocument/2006/relationships/hyperlink" Target="https://drive.google.com/open?id=1tg7vxhlvNsuVzUp_LLFMIbtjGuXKvTaM" TargetMode="External"/><Relationship Id="rId2607" Type="http://schemas.openxmlformats.org/officeDocument/2006/relationships/hyperlink" Target="https://drive.google.com/uc?export=view&amp;id=1r-tTCtullxUgHJUmlDChzMVGSTVMz1Tk" TargetMode="External"/><Relationship Id="rId3939" Type="http://schemas.openxmlformats.org/officeDocument/2006/relationships/hyperlink" Target="https://drive.google.com/uc?export=view&amp;id=1veuklItTgQGgBCz-5pwhTiLnaP5bvt41" TargetMode="External"/><Relationship Id="rId807" Type="http://schemas.openxmlformats.org/officeDocument/2006/relationships/hyperlink" Target="https://docs.google.com/document/d/1NyYc0OvM0dteHkZ5ikhTTB1P2ortxVjSS5aB7F16PGY/edit?usp=drivesdk" TargetMode="External"/><Relationship Id="rId2608" Type="http://schemas.openxmlformats.org/officeDocument/2006/relationships/hyperlink" Target="https://docs.google.com/document/d/1rBc_6ioKMYmwya33Tj2fRUU4F9ekCx7LlxGoKzNLQjY/edit?usp=drivesdk" TargetMode="External"/><Relationship Id="rId3938" Type="http://schemas.openxmlformats.org/officeDocument/2006/relationships/hyperlink" Target="https://drive.google.com/open?id=1veuklItTgQGgBCz-5pwhTiLnaP5bvt41" TargetMode="External"/><Relationship Id="rId806" Type="http://schemas.openxmlformats.org/officeDocument/2006/relationships/hyperlink" Target="https://drive.google.com/uc?export=view&amp;id=1JUi6zTyY6iBh_PtZ3jD8vl0Btz4veL4I" TargetMode="External"/><Relationship Id="rId2609" Type="http://schemas.openxmlformats.org/officeDocument/2006/relationships/hyperlink" Target="https://drive.google.com/open?id=13iheRhA0WpyvQHnNwEDQK9J3xycAsFyU" TargetMode="External"/><Relationship Id="rId805" Type="http://schemas.openxmlformats.org/officeDocument/2006/relationships/hyperlink" Target="https://drive.google.com/open?id=1JUi6zTyY6iBh_PtZ3jD8vl0Btz4veL4I" TargetMode="External"/><Relationship Id="rId809" Type="http://schemas.openxmlformats.org/officeDocument/2006/relationships/hyperlink" Target="https://drive.google.com/uc?export=view&amp;id=1tg7vxhlvNsuVzUp_LLFMIbtjGuXKvTaM" TargetMode="External"/><Relationship Id="rId800" Type="http://schemas.openxmlformats.org/officeDocument/2006/relationships/hyperlink" Target="https://drive.google.com/uc?export=view&amp;id=1ml6szt5KaMVdhL7wupmVdkElpX61mTZ1" TargetMode="External"/><Relationship Id="rId804" Type="http://schemas.openxmlformats.org/officeDocument/2006/relationships/hyperlink" Target="https://docs.google.com/document/d/1aByeZzGGLYDt9qTmhauoFgyrLrHaKkPkTZD8yzHw59Y/edit?usp=drivesdk" TargetMode="External"/><Relationship Id="rId803" Type="http://schemas.openxmlformats.org/officeDocument/2006/relationships/hyperlink" Target="https://drive.google.com/uc?export=view&amp;id=1k3ENeSbO0nnW7L1rM5ZFilr5WlRkjbe9" TargetMode="External"/><Relationship Id="rId802" Type="http://schemas.openxmlformats.org/officeDocument/2006/relationships/hyperlink" Target="https://drive.google.com/open?id=1k3ENeSbO0nnW7L1rM5ZFilr5WlRkjbe9" TargetMode="External"/><Relationship Id="rId801" Type="http://schemas.openxmlformats.org/officeDocument/2006/relationships/hyperlink" Target="https://docs.google.com/document/d/1jKqBMnZmMLHBr6QFSN2FBS7WvqOvhKmaqlUBXN8Phjo/edit?usp=drivesdk" TargetMode="External"/><Relationship Id="rId3920" Type="http://schemas.openxmlformats.org/officeDocument/2006/relationships/hyperlink" Target="https://drive.google.com/open?id=1H95D_d0CDZgw1x6W9YdGjJU0K5tDixzT" TargetMode="External"/><Relationship Id="rId3922" Type="http://schemas.openxmlformats.org/officeDocument/2006/relationships/hyperlink" Target="https://docs.google.com/document/d/1iCHxoWvPex_Yln2WiHZ4tm3YE__H0cdpIoBy9WY0b7s/edit?usp=drivesdk" TargetMode="External"/><Relationship Id="rId3921" Type="http://schemas.openxmlformats.org/officeDocument/2006/relationships/hyperlink" Target="https://drive.google.com/uc?export=view&amp;id=1H95D_d0CDZgw1x6W9YdGjJU0K5tDixzT" TargetMode="External"/><Relationship Id="rId3924" Type="http://schemas.openxmlformats.org/officeDocument/2006/relationships/hyperlink" Target="https://drive.google.com/uc?export=view&amp;id=1-hExaODm4NmhgnIdkETXp1M2mjDLzNl8" TargetMode="External"/><Relationship Id="rId3923" Type="http://schemas.openxmlformats.org/officeDocument/2006/relationships/hyperlink" Target="https://drive.google.com/open?id=1-hExaODm4NmhgnIdkETXp1M2mjDLzNl8" TargetMode="External"/><Relationship Id="rId3926" Type="http://schemas.openxmlformats.org/officeDocument/2006/relationships/hyperlink" Target="https://drive.google.com/open?id=1m8Uwp39_wL34hkEbtSLUB6Jkj8cza7TZ" TargetMode="External"/><Relationship Id="rId3925" Type="http://schemas.openxmlformats.org/officeDocument/2006/relationships/hyperlink" Target="https://docs.google.com/document/d/1SQBg_1Ox8Ll22BttXL1b_qQ7ZeGDT3kH1sraEoKh_yA/edit?usp=drivesdk" TargetMode="External"/><Relationship Id="rId3928" Type="http://schemas.openxmlformats.org/officeDocument/2006/relationships/hyperlink" Target="https://docs.google.com/document/d/1DgpNe0_AlBG1BKTs2VHjweWsdbIIAS2xsMoQ3W6Bj2k/edit?usp=drivesdk" TargetMode="External"/><Relationship Id="rId3927" Type="http://schemas.openxmlformats.org/officeDocument/2006/relationships/hyperlink" Target="https://drive.google.com/uc?export=view&amp;id=1m8Uwp39_wL34hkEbtSLUB6Jkj8cza7TZ" TargetMode="External"/><Relationship Id="rId3929" Type="http://schemas.openxmlformats.org/officeDocument/2006/relationships/hyperlink" Target="https://drive.google.com/open?id=1RRIGTNR_hFg7gKeUCn4Koqh2gbWUD0mx" TargetMode="External"/><Relationship Id="rId1334" Type="http://schemas.openxmlformats.org/officeDocument/2006/relationships/hyperlink" Target="https://docs.google.com/document/d/1F_--lRqP8-MfIselx-hV_upM60aWe6ORgZb-urjOXKw/edit?usp=drivesdk" TargetMode="External"/><Relationship Id="rId2665" Type="http://schemas.openxmlformats.org/officeDocument/2006/relationships/hyperlink" Target="https://docs.google.com/document/d/1dEd46T1ujXOsfYs6bQJHXFXFHQ8GWRTVIFEDfuv9s4A/edit?usp=drivesdk" TargetMode="External"/><Relationship Id="rId3997" Type="http://schemas.openxmlformats.org/officeDocument/2006/relationships/hyperlink" Target="https://docs.google.com/document/d/1OwDrH5CxveonVeroWmxY0K4bJGuVJ7yBrqR4KladD0Y/edit?usp=drivesdk" TargetMode="External"/><Relationship Id="rId1335" Type="http://schemas.openxmlformats.org/officeDocument/2006/relationships/hyperlink" Target="https://drive.google.com/open?id=1UMnhSa6d0JngONxP-bmIT8gSTMXl3Twc" TargetMode="External"/><Relationship Id="rId2666" Type="http://schemas.openxmlformats.org/officeDocument/2006/relationships/hyperlink" Target="https://drive.google.com/open?id=1uTKlZaBLZM7_kwW1jn38DUvSl13O8f0X" TargetMode="External"/><Relationship Id="rId3996" Type="http://schemas.openxmlformats.org/officeDocument/2006/relationships/hyperlink" Target="https://drive.google.com/uc?export=view&amp;id=1Tugaxa8rfbfzuANBIX8x8Iy2EVkho82l" TargetMode="External"/><Relationship Id="rId1336" Type="http://schemas.openxmlformats.org/officeDocument/2006/relationships/hyperlink" Target="https://drive.google.com/uc?export=view&amp;id=1UMnhSa6d0JngONxP-bmIT8gSTMXl3Twc" TargetMode="External"/><Relationship Id="rId2667" Type="http://schemas.openxmlformats.org/officeDocument/2006/relationships/hyperlink" Target="https://drive.google.com/uc?export=view&amp;id=1uTKlZaBLZM7_kwW1jn38DUvSl13O8f0X" TargetMode="External"/><Relationship Id="rId3999" Type="http://schemas.openxmlformats.org/officeDocument/2006/relationships/hyperlink" Target="https://drive.google.com/uc?export=view&amp;id=1bKqAJuVfnHpYoUXUaKtWRFi3EYDdapyC" TargetMode="External"/><Relationship Id="rId1337" Type="http://schemas.openxmlformats.org/officeDocument/2006/relationships/hyperlink" Target="https://docs.google.com/document/d/13HV1ttQYev9Opt-wTo-T00OCFs-xbuBAm50lA2G9OM8/edit?usp=drivesdk" TargetMode="External"/><Relationship Id="rId2668" Type="http://schemas.openxmlformats.org/officeDocument/2006/relationships/hyperlink" Target="https://docs.google.com/document/d/1hjRMd_50hupT8XrD9AS3ZDaxG4naVl-V38vQMNREsLM/edit?usp=drivesdk" TargetMode="External"/><Relationship Id="rId3998" Type="http://schemas.openxmlformats.org/officeDocument/2006/relationships/hyperlink" Target="https://drive.google.com/open?id=1bKqAJuVfnHpYoUXUaKtWRFi3EYDdapyC" TargetMode="External"/><Relationship Id="rId1338" Type="http://schemas.openxmlformats.org/officeDocument/2006/relationships/hyperlink" Target="https://drive.google.com/open?id=100l8kNSldi6XGa9ls1LmtOQQisTYPzTS" TargetMode="External"/><Relationship Id="rId2669" Type="http://schemas.openxmlformats.org/officeDocument/2006/relationships/hyperlink" Target="https://drive.google.com/open?id=1rUI0I_18Iu_RcgdQiOLrEQRgfgijIiFJ" TargetMode="External"/><Relationship Id="rId1339" Type="http://schemas.openxmlformats.org/officeDocument/2006/relationships/hyperlink" Target="https://drive.google.com/uc?export=view&amp;id=100l8kNSldi6XGa9ls1LmtOQQisTYPzTS" TargetMode="External"/><Relationship Id="rId745" Type="http://schemas.openxmlformats.org/officeDocument/2006/relationships/hyperlink" Target="https://drive.google.com/open?id=1LItv8z47CRsARlz-WzFTkeYvxlAo21MW" TargetMode="External"/><Relationship Id="rId744" Type="http://schemas.openxmlformats.org/officeDocument/2006/relationships/hyperlink" Target="https://docs.google.com/document/d/1y5K0WCjPym9FQB6qBlUiumvAXyikuoyeSnns0n2-1G8/edit?usp=drivesdk" TargetMode="External"/><Relationship Id="rId743" Type="http://schemas.openxmlformats.org/officeDocument/2006/relationships/hyperlink" Target="https://drive.google.com/uc?export=view&amp;id=1l5llYKoo_3mUc8IizBBASJwHdg8-jTlI" TargetMode="External"/><Relationship Id="rId742" Type="http://schemas.openxmlformats.org/officeDocument/2006/relationships/hyperlink" Target="https://drive.google.com/open?id=1l5llYKoo_3mUc8IizBBASJwHdg8-jTlI" TargetMode="External"/><Relationship Id="rId749" Type="http://schemas.openxmlformats.org/officeDocument/2006/relationships/hyperlink" Target="https://drive.google.com/uc?export=view&amp;id=1KeVkwN2G0dG0qOWdK385un7PrX_5xI5Z" TargetMode="External"/><Relationship Id="rId748" Type="http://schemas.openxmlformats.org/officeDocument/2006/relationships/hyperlink" Target="https://drive.google.com/open?id=1KeVkwN2G0dG0qOWdK385un7PrX_5xI5Z" TargetMode="External"/><Relationship Id="rId747" Type="http://schemas.openxmlformats.org/officeDocument/2006/relationships/hyperlink" Target="https://docs.google.com/document/d/1L0ZhwbBVdsDm4wZ_ZpHqReynT9tj38HXZ-NaOzuNUYI/edit?usp=drivesdk" TargetMode="External"/><Relationship Id="rId746" Type="http://schemas.openxmlformats.org/officeDocument/2006/relationships/hyperlink" Target="https://drive.google.com/uc?export=view&amp;id=1LItv8z47CRsARlz-WzFTkeYvxlAo21MW" TargetMode="External"/><Relationship Id="rId3991" Type="http://schemas.openxmlformats.org/officeDocument/2006/relationships/hyperlink" Target="https://docs.google.com/document/d/1wgx9WRZ21B7nETXgU-yUj7dEhHFwsfCP5PbNzuUCWJM/edit?usp=drivesdk" TargetMode="External"/><Relationship Id="rId2660" Type="http://schemas.openxmlformats.org/officeDocument/2006/relationships/hyperlink" Target="https://drive.google.com/open?id=1okl-RpHXpB5Dy3TLFKX_yvg_RwiZakYt" TargetMode="External"/><Relationship Id="rId3990" Type="http://schemas.openxmlformats.org/officeDocument/2006/relationships/hyperlink" Target="https://drive.google.com/uc?export=view&amp;id=1vh0AUUYptF-fJtcrZ8Ldwt8y9SZ6te9U" TargetMode="External"/><Relationship Id="rId741" Type="http://schemas.openxmlformats.org/officeDocument/2006/relationships/hyperlink" Target="https://docs.google.com/document/d/19QRHkj0KpuUGaTTkddHnuSSZ6PKeE7w3otES0j08rGs/edit?usp=drivesdk" TargetMode="External"/><Relationship Id="rId1330" Type="http://schemas.openxmlformats.org/officeDocument/2006/relationships/hyperlink" Target="https://drive.google.com/uc?export=view&amp;id=1klfZXtk1z-GGbuVAaYjhCrvyAAqm5Dnz" TargetMode="External"/><Relationship Id="rId2661" Type="http://schemas.openxmlformats.org/officeDocument/2006/relationships/hyperlink" Target="https://drive.google.com/uc?export=view&amp;id=1okl-RpHXpB5Dy3TLFKX_yvg_RwiZakYt" TargetMode="External"/><Relationship Id="rId3993" Type="http://schemas.openxmlformats.org/officeDocument/2006/relationships/hyperlink" Target="https://drive.google.com/uc?export=view&amp;id=1NKAz_m3pfZx6wNcUBNGHltxNYzWSXbxd" TargetMode="External"/><Relationship Id="rId740" Type="http://schemas.openxmlformats.org/officeDocument/2006/relationships/hyperlink" Target="https://drive.google.com/uc?export=view&amp;id=1r-v_pPFQtOjPSpG-ndfIrxbAljh0WoMv" TargetMode="External"/><Relationship Id="rId1331" Type="http://schemas.openxmlformats.org/officeDocument/2006/relationships/hyperlink" Target="https://docs.google.com/document/d/1e8RVfRClpdTsw-qJNWMQ_hK0AvReNqrEJ90bGIisRoU/edit?usp=drivesdk" TargetMode="External"/><Relationship Id="rId2662" Type="http://schemas.openxmlformats.org/officeDocument/2006/relationships/hyperlink" Target="https://docs.google.com/document/d/1Enin8hiVXoUvp_jEVF8EQU0YSeXRG4eoz8_XrC5PSzA/edit?usp=drivesdk" TargetMode="External"/><Relationship Id="rId3992" Type="http://schemas.openxmlformats.org/officeDocument/2006/relationships/hyperlink" Target="https://drive.google.com/open?id=1NKAz_m3pfZx6wNcUBNGHltxNYzWSXbxd" TargetMode="External"/><Relationship Id="rId1332" Type="http://schemas.openxmlformats.org/officeDocument/2006/relationships/hyperlink" Target="https://drive.google.com/open?id=1A1eslfdbTkMAmpKU3JGlReiedvqTBJNX" TargetMode="External"/><Relationship Id="rId2663" Type="http://schemas.openxmlformats.org/officeDocument/2006/relationships/hyperlink" Target="https://drive.google.com/open?id=1TyOn760_xlmbcvWJzI2kgneW_T04QiwG" TargetMode="External"/><Relationship Id="rId3995" Type="http://schemas.openxmlformats.org/officeDocument/2006/relationships/hyperlink" Target="https://drive.google.com/open?id=1Tugaxa8rfbfzuANBIX8x8Iy2EVkho82l" TargetMode="External"/><Relationship Id="rId1333" Type="http://schemas.openxmlformats.org/officeDocument/2006/relationships/hyperlink" Target="https://drive.google.com/uc?export=view&amp;id=1A1eslfdbTkMAmpKU3JGlReiedvqTBJNX" TargetMode="External"/><Relationship Id="rId2664" Type="http://schemas.openxmlformats.org/officeDocument/2006/relationships/hyperlink" Target="https://drive.google.com/uc?export=view&amp;id=1TyOn760_xlmbcvWJzI2kgneW_T04QiwG" TargetMode="External"/><Relationship Id="rId3994" Type="http://schemas.openxmlformats.org/officeDocument/2006/relationships/hyperlink" Target="https://docs.google.com/document/d/1QN3dRNv0EOTIRc-Ibir4dsJufcu91DKZ3zeQB0jcVmI/edit?usp=drivesdk" TargetMode="External"/><Relationship Id="rId1323" Type="http://schemas.openxmlformats.org/officeDocument/2006/relationships/hyperlink" Target="https://drive.google.com/open?id=1AuWqIfCMbphds8w9PHUofMy2PMF3lLD8" TargetMode="External"/><Relationship Id="rId2654" Type="http://schemas.openxmlformats.org/officeDocument/2006/relationships/hyperlink" Target="https://drive.google.com/open?id=1upYjn1KobRzd8WQId6uZvGgXOVL0Egpe" TargetMode="External"/><Relationship Id="rId3986" Type="http://schemas.openxmlformats.org/officeDocument/2006/relationships/hyperlink" Target="https://drive.google.com/open?id=1f6LhwhUjMJu7FQgb5J0UTQK1m0_FBJh8" TargetMode="External"/><Relationship Id="rId1324" Type="http://schemas.openxmlformats.org/officeDocument/2006/relationships/hyperlink" Target="https://drive.google.com/uc?export=view&amp;id=1AuWqIfCMbphds8w9PHUofMy2PMF3lLD8" TargetMode="External"/><Relationship Id="rId2655" Type="http://schemas.openxmlformats.org/officeDocument/2006/relationships/hyperlink" Target="https://drive.google.com/uc?export=view&amp;id=1upYjn1KobRzd8WQId6uZvGgXOVL0Egpe" TargetMode="External"/><Relationship Id="rId3985" Type="http://schemas.openxmlformats.org/officeDocument/2006/relationships/hyperlink" Target="https://docs.google.com/document/d/18D5dk1EjBmy-WwPQUoBfjaP3OxQn_wNKvyw5cFNpcPc/edit?usp=drivesdk" TargetMode="External"/><Relationship Id="rId1325" Type="http://schemas.openxmlformats.org/officeDocument/2006/relationships/hyperlink" Target="https://docs.google.com/document/d/1NDAtFb0SycClLU8eiPz5QpQznj1bbVYE6uIFmY7EukE/edit?usp=drivesdk" TargetMode="External"/><Relationship Id="rId2656" Type="http://schemas.openxmlformats.org/officeDocument/2006/relationships/hyperlink" Target="https://docs.google.com/document/d/1nsiEP6WTNr1sJ3eIj2_uX4kC9_IuXQ_Ks-Mr1KzqJ9U/edit?usp=drivesdk" TargetMode="External"/><Relationship Id="rId3988" Type="http://schemas.openxmlformats.org/officeDocument/2006/relationships/hyperlink" Target="https://docs.google.com/document/d/1xuHTaXgJBrGa8QLPnKWINCsCiUDvnT77tELL3W2IUDc/edit?usp=drivesdk" TargetMode="External"/><Relationship Id="rId1326" Type="http://schemas.openxmlformats.org/officeDocument/2006/relationships/hyperlink" Target="https://drive.google.com/open?id=1i6JfiuKLFLv8Nej7X4ZGIzK76FZx9j0M" TargetMode="External"/><Relationship Id="rId2657" Type="http://schemas.openxmlformats.org/officeDocument/2006/relationships/hyperlink" Target="https://drive.google.com/open?id=1ht1SXdnM-dcIhSD0e6uWFKI2rSqKCSyy" TargetMode="External"/><Relationship Id="rId3987" Type="http://schemas.openxmlformats.org/officeDocument/2006/relationships/hyperlink" Target="https://drive.google.com/uc?export=view&amp;id=1f6LhwhUjMJu7FQgb5J0UTQK1m0_FBJh8" TargetMode="External"/><Relationship Id="rId1327" Type="http://schemas.openxmlformats.org/officeDocument/2006/relationships/hyperlink" Target="https://drive.google.com/uc?export=view&amp;id=1i6JfiuKLFLv8Nej7X4ZGIzK76FZx9j0M" TargetMode="External"/><Relationship Id="rId2658" Type="http://schemas.openxmlformats.org/officeDocument/2006/relationships/hyperlink" Target="https://drive.google.com/uc?export=view&amp;id=1ht1SXdnM-dcIhSD0e6uWFKI2rSqKCSyy" TargetMode="External"/><Relationship Id="rId1328" Type="http://schemas.openxmlformats.org/officeDocument/2006/relationships/hyperlink" Target="https://docs.google.com/document/d/16YBbTm4TUrVy_wC7JJDU9SwcvlzRXrNMTufFlE3pMlk/edit?usp=drivesdk" TargetMode="External"/><Relationship Id="rId2659" Type="http://schemas.openxmlformats.org/officeDocument/2006/relationships/hyperlink" Target="https://docs.google.com/document/d/14aUx62pY6rI5SoWcbHUpmGbpO_wuk-VyU4m7hWMmt4I/edit?usp=drivesdk" TargetMode="External"/><Relationship Id="rId3989" Type="http://schemas.openxmlformats.org/officeDocument/2006/relationships/hyperlink" Target="https://drive.google.com/open?id=1vh0AUUYptF-fJtcrZ8Ldwt8y9SZ6te9U" TargetMode="External"/><Relationship Id="rId1329" Type="http://schemas.openxmlformats.org/officeDocument/2006/relationships/hyperlink" Target="https://drive.google.com/open?id=1klfZXtk1z-GGbuVAaYjhCrvyAAqm5Dnz" TargetMode="External"/><Relationship Id="rId739" Type="http://schemas.openxmlformats.org/officeDocument/2006/relationships/hyperlink" Target="https://drive.google.com/open?id=1r-v_pPFQtOjPSpG-ndfIrxbAljh0WoMv" TargetMode="External"/><Relationship Id="rId734" Type="http://schemas.openxmlformats.org/officeDocument/2006/relationships/hyperlink" Target="https://drive.google.com/uc?export=view&amp;id=1jmBqkkGxv_FgsK7Pj_o_usijWVc_ND7H" TargetMode="External"/><Relationship Id="rId733" Type="http://schemas.openxmlformats.org/officeDocument/2006/relationships/hyperlink" Target="https://drive.google.com/open?id=1jmBqkkGxv_FgsK7Pj_o_usijWVc_ND7H" TargetMode="External"/><Relationship Id="rId732" Type="http://schemas.openxmlformats.org/officeDocument/2006/relationships/hyperlink" Target="https://docs.google.com/document/d/1ES1D8Z0Wv3qiTag2oWWNyRIwAId5ct5qZeRi-IQuzZg/edit?usp=drivesdk" TargetMode="External"/><Relationship Id="rId731" Type="http://schemas.openxmlformats.org/officeDocument/2006/relationships/hyperlink" Target="https://drive.google.com/uc?export=view&amp;id=1D2PfSo8e3kOhg_tcOPbg7KdUpujDlXRm" TargetMode="External"/><Relationship Id="rId738" Type="http://schemas.openxmlformats.org/officeDocument/2006/relationships/hyperlink" Target="https://docs.google.com/document/d/1Au20NFj8iwhMGMaBcg-wDg1655h4V6g5ufp66mitUDg/edit?usp=drivesdk" TargetMode="External"/><Relationship Id="rId737" Type="http://schemas.openxmlformats.org/officeDocument/2006/relationships/hyperlink" Target="https://drive.google.com/uc?export=view&amp;id=1q881veQyY0eQTtkW9XOVYgRPmCvqU7fp" TargetMode="External"/><Relationship Id="rId736" Type="http://schemas.openxmlformats.org/officeDocument/2006/relationships/hyperlink" Target="https://drive.google.com/open?id=1q881veQyY0eQTtkW9XOVYgRPmCvqU7fp" TargetMode="External"/><Relationship Id="rId735" Type="http://schemas.openxmlformats.org/officeDocument/2006/relationships/hyperlink" Target="https://docs.google.com/document/d/1U2pDWO0WkcSlJfh9C2qEN1hhHApcKvW5H9vqCAhTlXc/edit?usp=drivesdk" TargetMode="External"/><Relationship Id="rId3980" Type="http://schemas.openxmlformats.org/officeDocument/2006/relationships/hyperlink" Target="https://drive.google.com/open?id=1KJncVM2RDH74ZfZCvQhYvshF7ISIs9ci" TargetMode="External"/><Relationship Id="rId730" Type="http://schemas.openxmlformats.org/officeDocument/2006/relationships/hyperlink" Target="https://drive.google.com/open?id=1D2PfSo8e3kOhg_tcOPbg7KdUpujDlXRm" TargetMode="External"/><Relationship Id="rId2650" Type="http://schemas.openxmlformats.org/officeDocument/2006/relationships/hyperlink" Target="https://docs.google.com/document/d/1qZgw8GpZUya7FFZ8hPoPwh0D5wP2JgQjc3aTQy1WyA4/edit?usp=drivesdk" TargetMode="External"/><Relationship Id="rId3982" Type="http://schemas.openxmlformats.org/officeDocument/2006/relationships/hyperlink" Target="https://docs.google.com/document/d/1t37vklcuOkIH7JcUaRGBf0xQnVpxbesSu0yUD9tuPbU/edit?usp=drivesdk" TargetMode="External"/><Relationship Id="rId1320" Type="http://schemas.openxmlformats.org/officeDocument/2006/relationships/hyperlink" Target="https://drive.google.com/open?id=1L0gvHft_L4wjdSnp3m95qYsa5bZCMWF3" TargetMode="External"/><Relationship Id="rId2651" Type="http://schemas.openxmlformats.org/officeDocument/2006/relationships/hyperlink" Target="https://drive.google.com/open?id=1vyS2MVNqxRFC7CvxhWClmWJAGAOGkVJ5" TargetMode="External"/><Relationship Id="rId3981" Type="http://schemas.openxmlformats.org/officeDocument/2006/relationships/hyperlink" Target="https://drive.google.com/uc?export=view&amp;id=1KJncVM2RDH74ZfZCvQhYvshF7ISIs9ci" TargetMode="External"/><Relationship Id="rId1321" Type="http://schemas.openxmlformats.org/officeDocument/2006/relationships/hyperlink" Target="https://drive.google.com/uc?export=view&amp;id=1L0gvHft_L4wjdSnp3m95qYsa5bZCMWF3" TargetMode="External"/><Relationship Id="rId2652" Type="http://schemas.openxmlformats.org/officeDocument/2006/relationships/hyperlink" Target="https://drive.google.com/uc?export=view&amp;id=1vyS2MVNqxRFC7CvxhWClmWJAGAOGkVJ5" TargetMode="External"/><Relationship Id="rId3984" Type="http://schemas.openxmlformats.org/officeDocument/2006/relationships/hyperlink" Target="https://drive.google.com/uc?export=view&amp;id=1r9ey3bfGP8CP77pxdt-jsmF5ERyjfwaf" TargetMode="External"/><Relationship Id="rId1322" Type="http://schemas.openxmlformats.org/officeDocument/2006/relationships/hyperlink" Target="https://docs.google.com/document/d/1vfKC03UXiBpy9oCu5dx7cmDFgNrWCsFmCp8hqcUL_6k/edit?usp=drivesdk" TargetMode="External"/><Relationship Id="rId2653" Type="http://schemas.openxmlformats.org/officeDocument/2006/relationships/hyperlink" Target="https://docs.google.com/document/d/1DZOuoWtTwDU_1XxQ9Z72_yQ-b-UjG1tjKtaYA8Gd_Gs/edit?usp=drivesdk" TargetMode="External"/><Relationship Id="rId3983" Type="http://schemas.openxmlformats.org/officeDocument/2006/relationships/hyperlink" Target="https://drive.google.com/open?id=1r9ey3bfGP8CP77pxdt-jsmF5ERyjfwaf" TargetMode="External"/><Relationship Id="rId1356" Type="http://schemas.openxmlformats.org/officeDocument/2006/relationships/hyperlink" Target="https://drive.google.com/open?id=1UGN4q8r6brIW0O_R5r0y5PVx0Za7oP4R" TargetMode="External"/><Relationship Id="rId2687" Type="http://schemas.openxmlformats.org/officeDocument/2006/relationships/hyperlink" Target="https://drive.google.com/open?id=1a5-A6KthT9lzAZ_fCtZizgp9NU_XBj0g" TargetMode="External"/><Relationship Id="rId1357" Type="http://schemas.openxmlformats.org/officeDocument/2006/relationships/hyperlink" Target="https://drive.google.com/uc?export=view&amp;id=1UGN4q8r6brIW0O_R5r0y5PVx0Za7oP4R" TargetMode="External"/><Relationship Id="rId2688" Type="http://schemas.openxmlformats.org/officeDocument/2006/relationships/hyperlink" Target="https://drive.google.com/uc?export=view&amp;id=1a5-A6KthT9lzAZ_fCtZizgp9NU_XBj0g" TargetMode="External"/><Relationship Id="rId1358" Type="http://schemas.openxmlformats.org/officeDocument/2006/relationships/hyperlink" Target="https://docs.google.com/document/d/1hK2fQeLh-4mXi9OmM2vBKq_tP9D1l1EuGjm56-AafGk/edit?usp=drivesdk" TargetMode="External"/><Relationship Id="rId2689" Type="http://schemas.openxmlformats.org/officeDocument/2006/relationships/hyperlink" Target="https://docs.google.com/document/d/1_FY1KWzbPJ60JnoVwHmhvCQnxkldLSs1_Uljt_oUEmA/edit?usp=drivesdk" TargetMode="External"/><Relationship Id="rId1359" Type="http://schemas.openxmlformats.org/officeDocument/2006/relationships/hyperlink" Target="https://drive.google.com/open?id=1-L8odO-fHxWxruEigf59pCjsZBs6nJZH" TargetMode="External"/><Relationship Id="rId767" Type="http://schemas.openxmlformats.org/officeDocument/2006/relationships/hyperlink" Target="https://drive.google.com/uc?export=view&amp;id=1tLdlBDEHf3lPOvaE0p3irS9lvGfGk3sQ" TargetMode="External"/><Relationship Id="rId766" Type="http://schemas.openxmlformats.org/officeDocument/2006/relationships/hyperlink" Target="https://drive.google.com/open?id=1tLdlBDEHf3lPOvaE0p3irS9lvGfGk3sQ" TargetMode="External"/><Relationship Id="rId765" Type="http://schemas.openxmlformats.org/officeDocument/2006/relationships/hyperlink" Target="https://docs.google.com/document/d/1gxGvqPj9EAVDJTvtUlYQHDGAeCR-GrC4snKNrWVaxJQ/edit?usp=drivesdk" TargetMode="External"/><Relationship Id="rId764" Type="http://schemas.openxmlformats.org/officeDocument/2006/relationships/hyperlink" Target="https://drive.google.com/uc?export=view&amp;id=1MHoo77va-lueV4CfsI6RMlvahFk7GpNt" TargetMode="External"/><Relationship Id="rId769" Type="http://schemas.openxmlformats.org/officeDocument/2006/relationships/hyperlink" Target="https://drive.google.com/open?id=1rWOWDzIWk3KplimW7zqYTKHT2UeQXbjP" TargetMode="External"/><Relationship Id="rId768" Type="http://schemas.openxmlformats.org/officeDocument/2006/relationships/hyperlink" Target="https://docs.google.com/document/d/1ZyFGbmCAG2jqNgHzHm3WKDD4Rw7DAsFme99s196bxPY/edit?usp=drivesdk" TargetMode="External"/><Relationship Id="rId2680" Type="http://schemas.openxmlformats.org/officeDocument/2006/relationships/hyperlink" Target="https://docs.google.com/document/d/1d_AgujSlhi7lI1mAAaPst-uhHToBLBVpvsA1n2wf5iU/edit?usp=drivesdk" TargetMode="External"/><Relationship Id="rId1350" Type="http://schemas.openxmlformats.org/officeDocument/2006/relationships/hyperlink" Target="https://drive.google.com/open?id=1IcVE_FLydtNzJTyCE8yAHU1nXJicAOim" TargetMode="External"/><Relationship Id="rId2681" Type="http://schemas.openxmlformats.org/officeDocument/2006/relationships/hyperlink" Target="https://drive.google.com/open?id=1UpdIcR0QSlfwUoMqYriBBGzUjECn-VgZ" TargetMode="External"/><Relationship Id="rId1351" Type="http://schemas.openxmlformats.org/officeDocument/2006/relationships/hyperlink" Target="https://drive.google.com/uc?export=view&amp;id=1IcVE_FLydtNzJTyCE8yAHU1nXJicAOim" TargetMode="External"/><Relationship Id="rId2682" Type="http://schemas.openxmlformats.org/officeDocument/2006/relationships/hyperlink" Target="https://drive.google.com/uc?export=view&amp;id=1UpdIcR0QSlfwUoMqYriBBGzUjECn-VgZ" TargetMode="External"/><Relationship Id="rId763" Type="http://schemas.openxmlformats.org/officeDocument/2006/relationships/hyperlink" Target="https://drive.google.com/open?id=1MHoo77va-lueV4CfsI6RMlvahFk7GpNt" TargetMode="External"/><Relationship Id="rId1352" Type="http://schemas.openxmlformats.org/officeDocument/2006/relationships/hyperlink" Target="https://docs.google.com/document/d/1F-9WMII05KPyULqQ8nTSc57iH173Wg0B5YH0uMJoLuo/edit?usp=drivesdk" TargetMode="External"/><Relationship Id="rId2683" Type="http://schemas.openxmlformats.org/officeDocument/2006/relationships/hyperlink" Target="https://docs.google.com/document/d/1Nk5Iqb3CeNkiE6ECKBre4nIv2J_OLI8xgVoCSbOkpt8/edit?usp=drivesdk" TargetMode="External"/><Relationship Id="rId762" Type="http://schemas.openxmlformats.org/officeDocument/2006/relationships/hyperlink" Target="https://docs.google.com/document/d/1dE3Hz66DeZxT7iVxV5-ap_SbQF-RBzfpEKlspnkg0CU/edit?usp=drivesdk" TargetMode="External"/><Relationship Id="rId1353" Type="http://schemas.openxmlformats.org/officeDocument/2006/relationships/hyperlink" Target="https://drive.google.com/open?id=1cOR1gxjRt-B59K66B7Jy27U9v4l6k6s5" TargetMode="External"/><Relationship Id="rId2684" Type="http://schemas.openxmlformats.org/officeDocument/2006/relationships/hyperlink" Target="https://drive.google.com/open?id=1658fgSUdZ7cDBGh4QJZTZgvAuLuWLGAj" TargetMode="External"/><Relationship Id="rId761" Type="http://schemas.openxmlformats.org/officeDocument/2006/relationships/hyperlink" Target="https://drive.google.com/uc?export=view&amp;id=1IrQ3uVnDala1BuVBvxlslDHEj-CUBZJy" TargetMode="External"/><Relationship Id="rId1354" Type="http://schemas.openxmlformats.org/officeDocument/2006/relationships/hyperlink" Target="https://drive.google.com/uc?export=view&amp;id=1cOR1gxjRt-B59K66B7Jy27U9v4l6k6s5" TargetMode="External"/><Relationship Id="rId2685" Type="http://schemas.openxmlformats.org/officeDocument/2006/relationships/hyperlink" Target="https://drive.google.com/uc?export=view&amp;id=1658fgSUdZ7cDBGh4QJZTZgvAuLuWLGAj" TargetMode="External"/><Relationship Id="rId760" Type="http://schemas.openxmlformats.org/officeDocument/2006/relationships/hyperlink" Target="https://drive.google.com/open?id=1IrQ3uVnDala1BuVBvxlslDHEj-CUBZJy" TargetMode="External"/><Relationship Id="rId1355" Type="http://schemas.openxmlformats.org/officeDocument/2006/relationships/hyperlink" Target="https://docs.google.com/document/d/1IVW1Ceq4iK0386fblBcKTMi_oNunqzE5Ez18X6-gDQA/edit?usp=drivesdk" TargetMode="External"/><Relationship Id="rId2686" Type="http://schemas.openxmlformats.org/officeDocument/2006/relationships/hyperlink" Target="https://docs.google.com/document/d/1zp-XwWMa5H8JFPqX4C7yZz4quJfbEBe7GvfxyVA0RSE/edit?usp=drivesdk" TargetMode="External"/><Relationship Id="rId1345" Type="http://schemas.openxmlformats.org/officeDocument/2006/relationships/hyperlink" Target="https://drive.google.com/uc?export=view&amp;id=19uebgpFTaNwr-jsAhCNdNL3XyXsHgma9" TargetMode="External"/><Relationship Id="rId2676" Type="http://schemas.openxmlformats.org/officeDocument/2006/relationships/hyperlink" Target="https://drive.google.com/uc?export=view&amp;id=16-7vdFom2BNeHo4W5SyfaSsmdYhZUOYh" TargetMode="External"/><Relationship Id="rId1346" Type="http://schemas.openxmlformats.org/officeDocument/2006/relationships/hyperlink" Target="https://docs.google.com/document/d/19ogD29-39s5Pl3aUTvVUJPUD9KarOXXvImrrZbj1CLs/edit?usp=drivesdk" TargetMode="External"/><Relationship Id="rId2677" Type="http://schemas.openxmlformats.org/officeDocument/2006/relationships/hyperlink" Target="https://docs.google.com/document/d/1Ny4OwJcixwFf23k-o3v6WeC51D6exr8MSCjOCDN0dAo/edit?usp=drivesdk" TargetMode="External"/><Relationship Id="rId1347" Type="http://schemas.openxmlformats.org/officeDocument/2006/relationships/hyperlink" Target="https://drive.google.com/open?id=1ZwsFaIjqjgezGR1CcYochpO2i0X8jAM7" TargetMode="External"/><Relationship Id="rId2678" Type="http://schemas.openxmlformats.org/officeDocument/2006/relationships/hyperlink" Target="https://drive.google.com/open?id=1oh2lUGHzMSNrEzvz8DukToebWtSXoHD-" TargetMode="External"/><Relationship Id="rId1348" Type="http://schemas.openxmlformats.org/officeDocument/2006/relationships/hyperlink" Target="https://drive.google.com/uc?export=view&amp;id=1ZwsFaIjqjgezGR1CcYochpO2i0X8jAM7" TargetMode="External"/><Relationship Id="rId2679" Type="http://schemas.openxmlformats.org/officeDocument/2006/relationships/hyperlink" Target="https://drive.google.com/uc?export=view&amp;id=1oh2lUGHzMSNrEzvz8DukToebWtSXoHD-" TargetMode="External"/><Relationship Id="rId1349" Type="http://schemas.openxmlformats.org/officeDocument/2006/relationships/hyperlink" Target="https://docs.google.com/document/d/1SQQpyWTyybi_621n-C2qak5_xFy55Y784NZ7TD4-PPw/edit?usp=drivesdk" TargetMode="External"/><Relationship Id="rId756" Type="http://schemas.openxmlformats.org/officeDocument/2006/relationships/hyperlink" Target="https://docs.google.com/document/d/1JuM5QAwO0HzeoK-ReLWWJMgn9S9hKndqDsUIpcctCcA/edit?usp=drivesdk" TargetMode="External"/><Relationship Id="rId755" Type="http://schemas.openxmlformats.org/officeDocument/2006/relationships/hyperlink" Target="https://drive.google.com/uc?export=view&amp;id=1WC-cK5C8M_SLq1VUyqupXdPswloXJPhK" TargetMode="External"/><Relationship Id="rId754" Type="http://schemas.openxmlformats.org/officeDocument/2006/relationships/hyperlink" Target="https://drive.google.com/open?id=1WC-cK5C8M_SLq1VUyqupXdPswloXJPhK" TargetMode="External"/><Relationship Id="rId753" Type="http://schemas.openxmlformats.org/officeDocument/2006/relationships/hyperlink" Target="https://docs.google.com/document/d/1xb0mYtx_iJ1FBt4wi_ZEf5Y14nc9CFOPzxTbreD9ACQ/edit?usp=drivesdk" TargetMode="External"/><Relationship Id="rId759" Type="http://schemas.openxmlformats.org/officeDocument/2006/relationships/hyperlink" Target="https://docs.google.com/document/d/1dhi0MWoqes1NFTOoVkZiqPvU8I6-Ocld7tU3lHLrb9s/edit?usp=drivesdk" TargetMode="External"/><Relationship Id="rId758" Type="http://schemas.openxmlformats.org/officeDocument/2006/relationships/hyperlink" Target="https://drive.google.com/uc?export=view&amp;id=1u3JSum_D2MiSlXMmbPlhiq9hNx_xAIBG" TargetMode="External"/><Relationship Id="rId757" Type="http://schemas.openxmlformats.org/officeDocument/2006/relationships/hyperlink" Target="https://drive.google.com/open?id=1u3JSum_D2MiSlXMmbPlhiq9hNx_xAIBG" TargetMode="External"/><Relationship Id="rId2670" Type="http://schemas.openxmlformats.org/officeDocument/2006/relationships/hyperlink" Target="https://drive.google.com/uc?export=view&amp;id=1rUI0I_18Iu_RcgdQiOLrEQRgfgijIiFJ" TargetMode="External"/><Relationship Id="rId1340" Type="http://schemas.openxmlformats.org/officeDocument/2006/relationships/hyperlink" Target="https://docs.google.com/document/d/1WiYjUX1pdb8TcGYruaqeb4DQ5bgDIrdM8a5o7O4yTTI/edit?usp=drivesdk" TargetMode="External"/><Relationship Id="rId2671" Type="http://schemas.openxmlformats.org/officeDocument/2006/relationships/hyperlink" Target="https://docs.google.com/document/d/1Ii1E06ov8OrAv0MvEnNFuBgCosvTOAWm7lUFbMPeCBs/edit?usp=drivesdk" TargetMode="External"/><Relationship Id="rId752" Type="http://schemas.openxmlformats.org/officeDocument/2006/relationships/hyperlink" Target="https://drive.google.com/uc?export=view&amp;id=1x9SWP6So6vVOiQvNd7niumjRVHX0oO4U" TargetMode="External"/><Relationship Id="rId1341" Type="http://schemas.openxmlformats.org/officeDocument/2006/relationships/hyperlink" Target="https://drive.google.com/open?id=1LDl6csuVUSiK9ZmdHnFfeNlD5vYXnVdC" TargetMode="External"/><Relationship Id="rId2672" Type="http://schemas.openxmlformats.org/officeDocument/2006/relationships/hyperlink" Target="https://drive.google.com/open?id=170TnW3mBGkvbXgdM0R_61ykcOzQu27FX" TargetMode="External"/><Relationship Id="rId751" Type="http://schemas.openxmlformats.org/officeDocument/2006/relationships/hyperlink" Target="https://drive.google.com/open?id=1x9SWP6So6vVOiQvNd7niumjRVHX0oO4U" TargetMode="External"/><Relationship Id="rId1342" Type="http://schemas.openxmlformats.org/officeDocument/2006/relationships/hyperlink" Target="https://drive.google.com/uc?export=view&amp;id=1LDl6csuVUSiK9ZmdHnFfeNlD5vYXnVdC" TargetMode="External"/><Relationship Id="rId2673" Type="http://schemas.openxmlformats.org/officeDocument/2006/relationships/hyperlink" Target="https://drive.google.com/uc?export=view&amp;id=170TnW3mBGkvbXgdM0R_61ykcOzQu27FX" TargetMode="External"/><Relationship Id="rId750" Type="http://schemas.openxmlformats.org/officeDocument/2006/relationships/hyperlink" Target="https://docs.google.com/document/d/1PgydvdUUzddExzVQ8pE49FiAtviFCsd_S4rnL6HnltA/edit?usp=drivesdk" TargetMode="External"/><Relationship Id="rId1343" Type="http://schemas.openxmlformats.org/officeDocument/2006/relationships/hyperlink" Target="https://docs.google.com/document/d/1Hp-rRsXKALTiNQTGKUKrDkWILIt6msvub_Xl3xNbbDE/edit?usp=drivesdk" TargetMode="External"/><Relationship Id="rId2674" Type="http://schemas.openxmlformats.org/officeDocument/2006/relationships/hyperlink" Target="https://docs.google.com/document/d/1dDJZRVgmVR_A0YK64t6acPXyU36DQjYyzrPAVVq7ogg/edit?usp=drivesdk" TargetMode="External"/><Relationship Id="rId1344" Type="http://schemas.openxmlformats.org/officeDocument/2006/relationships/hyperlink" Target="https://drive.google.com/open?id=19uebgpFTaNwr-jsAhCNdNL3XyXsHgma9" TargetMode="External"/><Relationship Id="rId2675" Type="http://schemas.openxmlformats.org/officeDocument/2006/relationships/hyperlink" Target="https://drive.google.com/open?id=16-7vdFom2BNeHo4W5SyfaSsmdYhZUOYh" TargetMode="External"/><Relationship Id="rId2621" Type="http://schemas.openxmlformats.org/officeDocument/2006/relationships/hyperlink" Target="https://drive.google.com/open?id=131UGN5IBLc3nWD1jyuZzGxaHAzOqjhdR" TargetMode="External"/><Relationship Id="rId3953" Type="http://schemas.openxmlformats.org/officeDocument/2006/relationships/hyperlink" Target="https://drive.google.com/open?id=1edRvvzDzV3t1yECm87huSAbYLEgz1Jyx" TargetMode="External"/><Relationship Id="rId2622" Type="http://schemas.openxmlformats.org/officeDocument/2006/relationships/hyperlink" Target="https://drive.google.com/uc?export=view&amp;id=131UGN5IBLc3nWD1jyuZzGxaHAzOqjhdR" TargetMode="External"/><Relationship Id="rId3952" Type="http://schemas.openxmlformats.org/officeDocument/2006/relationships/hyperlink" Target="https://docs.google.com/document/d/1W5I3o3i6_CUu0CL5OkhczB_a9cf2loMvjO9uD41DZB4/edit?usp=drivesdk" TargetMode="External"/><Relationship Id="rId2623" Type="http://schemas.openxmlformats.org/officeDocument/2006/relationships/hyperlink" Target="https://docs.google.com/document/d/1fDLg89WojtSXxSScFg4wZhHgmh-BNas5feAXsbKQ7Ts/edit?usp=drivesdk" TargetMode="External"/><Relationship Id="rId3955" Type="http://schemas.openxmlformats.org/officeDocument/2006/relationships/hyperlink" Target="https://docs.google.com/document/d/1TTPDmMkKTpR1WWUo2Hoedsk-DABX0FcSqYxuN4WfY3I/edit?usp=drivesdk" TargetMode="External"/><Relationship Id="rId2624" Type="http://schemas.openxmlformats.org/officeDocument/2006/relationships/hyperlink" Target="https://drive.google.com/open?id=11EjhJqeUVVSXy50Vcq4q0d-0kE_yPCuU" TargetMode="External"/><Relationship Id="rId3954" Type="http://schemas.openxmlformats.org/officeDocument/2006/relationships/hyperlink" Target="https://drive.google.com/uc?export=view&amp;id=1edRvvzDzV3t1yECm87huSAbYLEgz1Jyx" TargetMode="External"/><Relationship Id="rId2625" Type="http://schemas.openxmlformats.org/officeDocument/2006/relationships/hyperlink" Target="https://drive.google.com/uc?export=view&amp;id=11EjhJqeUVVSXy50Vcq4q0d-0kE_yPCuU" TargetMode="External"/><Relationship Id="rId3957" Type="http://schemas.openxmlformats.org/officeDocument/2006/relationships/hyperlink" Target="https://drive.google.com/uc?export=view&amp;id=1FN2KygJExiBfDCGDr6s04vmCkori1Bkf" TargetMode="External"/><Relationship Id="rId2626" Type="http://schemas.openxmlformats.org/officeDocument/2006/relationships/hyperlink" Target="https://docs.google.com/document/d/1yINnwLV8_zeUPfCTcFD7FY8T_cxdK-y85zd0p0ofeQQ/edit?usp=drivesdk" TargetMode="External"/><Relationship Id="rId3956" Type="http://schemas.openxmlformats.org/officeDocument/2006/relationships/hyperlink" Target="https://drive.google.com/open?id=1FN2KygJExiBfDCGDr6s04vmCkori1Bkf" TargetMode="External"/><Relationship Id="rId2627" Type="http://schemas.openxmlformats.org/officeDocument/2006/relationships/hyperlink" Target="https://drive.google.com/open?id=1QaUnPJBF6jbUSBPPWRuv4CdWH16tQPN5" TargetMode="External"/><Relationship Id="rId3959" Type="http://schemas.openxmlformats.org/officeDocument/2006/relationships/hyperlink" Target="https://drive.google.com/open?id=1G11_bqAu0lb3ySpeFtLPcLszOfXggD3Z" TargetMode="External"/><Relationship Id="rId2628" Type="http://schemas.openxmlformats.org/officeDocument/2006/relationships/hyperlink" Target="https://drive.google.com/uc?export=view&amp;id=1QaUnPJBF6jbUSBPPWRuv4CdWH16tQPN5" TargetMode="External"/><Relationship Id="rId3958" Type="http://schemas.openxmlformats.org/officeDocument/2006/relationships/hyperlink" Target="https://docs.google.com/document/d/1rBZzewTajiydQTD1qrlmqW6JCorWqrLJNk_IFKLG9RU/edit?usp=drivesdk" TargetMode="External"/><Relationship Id="rId709" Type="http://schemas.openxmlformats.org/officeDocument/2006/relationships/hyperlink" Target="https://drive.google.com/open?id=1sJ5WAA3ZIPX-78_von5NY76EK2mm0zZb" TargetMode="External"/><Relationship Id="rId2629" Type="http://schemas.openxmlformats.org/officeDocument/2006/relationships/hyperlink" Target="https://docs.google.com/document/d/1gR6_wY78ljlXKQyaWwsusw3qEQV8MRVQ7-nEML9ydiI/edit?usp=drivesdk" TargetMode="External"/><Relationship Id="rId708" Type="http://schemas.openxmlformats.org/officeDocument/2006/relationships/hyperlink" Target="https://docs.google.com/document/d/1QbsG7ZmA41-v7x6bCY6zRFNyJF1gaVz3puA19_-9Ynk/edit?usp=drivesdk" TargetMode="External"/><Relationship Id="rId707" Type="http://schemas.openxmlformats.org/officeDocument/2006/relationships/hyperlink" Target="https://drive.google.com/uc?export=view&amp;id=1X8hBPK1Ydybr0o7cxrob5SW6O91aVbSO" TargetMode="External"/><Relationship Id="rId706" Type="http://schemas.openxmlformats.org/officeDocument/2006/relationships/hyperlink" Target="https://drive.google.com/open?id=1X8hBPK1Ydybr0o7cxrob5SW6O91aVbSO" TargetMode="External"/><Relationship Id="rId701" Type="http://schemas.openxmlformats.org/officeDocument/2006/relationships/hyperlink" Target="https://drive.google.com/uc?export=view&amp;id=18098qudPvDnFbBJJShnBXvDdhmFcNuJO" TargetMode="External"/><Relationship Id="rId700" Type="http://schemas.openxmlformats.org/officeDocument/2006/relationships/hyperlink" Target="https://drive.google.com/open?id=18098qudPvDnFbBJJShnBXvDdhmFcNuJO" TargetMode="External"/><Relationship Id="rId705" Type="http://schemas.openxmlformats.org/officeDocument/2006/relationships/hyperlink" Target="https://docs.google.com/document/d/1wZ9vTrv84oADcQK5diQue8oBIDxyivXIJEK7Baj2_Qk/edit?usp=drivesdk" TargetMode="External"/><Relationship Id="rId704" Type="http://schemas.openxmlformats.org/officeDocument/2006/relationships/hyperlink" Target="https://drive.google.com/uc?export=view&amp;id=1FtuxLj-jBdQMUVnwm-Hm5bVIh6Uajg1D" TargetMode="External"/><Relationship Id="rId703" Type="http://schemas.openxmlformats.org/officeDocument/2006/relationships/hyperlink" Target="https://drive.google.com/open?id=1FtuxLj-jBdQMUVnwm-Hm5bVIh6Uajg1D" TargetMode="External"/><Relationship Id="rId702" Type="http://schemas.openxmlformats.org/officeDocument/2006/relationships/hyperlink" Target="https://docs.google.com/document/d/1Q983xRMoYW6c89GrpC7KFXdWHThbMmKg-MhZXOvrBPk/edit?usp=drivesdk" TargetMode="External"/><Relationship Id="rId3951" Type="http://schemas.openxmlformats.org/officeDocument/2006/relationships/hyperlink" Target="https://drive.google.com/uc?export=view&amp;id=1KxccQ2eQsgzhgIdhkHJAa1rB8JaW0OuL" TargetMode="External"/><Relationship Id="rId2620" Type="http://schemas.openxmlformats.org/officeDocument/2006/relationships/hyperlink" Target="https://docs.google.com/document/d/1IHGTlKHyFGadh7Ys1Vg1KRoB0jUAqjCuh7aWVEtwEFc/edit?usp=drivesdk" TargetMode="External"/><Relationship Id="rId3950" Type="http://schemas.openxmlformats.org/officeDocument/2006/relationships/hyperlink" Target="https://drive.google.com/open?id=1KxccQ2eQsgzhgIdhkHJAa1rB8JaW0OuL" TargetMode="External"/><Relationship Id="rId2610" Type="http://schemas.openxmlformats.org/officeDocument/2006/relationships/hyperlink" Target="https://drive.google.com/uc?export=view&amp;id=13iheRhA0WpyvQHnNwEDQK9J3xycAsFyU" TargetMode="External"/><Relationship Id="rId3942" Type="http://schemas.openxmlformats.org/officeDocument/2006/relationships/hyperlink" Target="https://drive.google.com/uc?export=view&amp;id=12rZSV94FN9ttSfkcKEoBUTcdqBwxVj4s" TargetMode="External"/><Relationship Id="rId2611" Type="http://schemas.openxmlformats.org/officeDocument/2006/relationships/hyperlink" Target="https://docs.google.com/document/d/1sOL0SuCFgJSH28GK8Ap2-1KwhSdxtHZYbqa8DcL8r9k/edit?usp=drivesdk" TargetMode="External"/><Relationship Id="rId3941" Type="http://schemas.openxmlformats.org/officeDocument/2006/relationships/hyperlink" Target="https://drive.google.com/open?id=12rZSV94FN9ttSfkcKEoBUTcdqBwxVj4s" TargetMode="External"/><Relationship Id="rId2612" Type="http://schemas.openxmlformats.org/officeDocument/2006/relationships/hyperlink" Target="https://drive.google.com/open?id=1GdnAI96bI-HLgfMybJmCKYVyDETSS1Ij" TargetMode="External"/><Relationship Id="rId3944" Type="http://schemas.openxmlformats.org/officeDocument/2006/relationships/hyperlink" Target="https://drive.google.com/open?id=1QsqPJjnc41ouzRl2EUBx6z5akx91_Lis" TargetMode="External"/><Relationship Id="rId2613" Type="http://schemas.openxmlformats.org/officeDocument/2006/relationships/hyperlink" Target="https://drive.google.com/uc?export=view&amp;id=1GdnAI96bI-HLgfMybJmCKYVyDETSS1Ij" TargetMode="External"/><Relationship Id="rId3943" Type="http://schemas.openxmlformats.org/officeDocument/2006/relationships/hyperlink" Target="https://docs.google.com/document/d/17PSCGVlWl7CqeOXsYQC2wwQVaQlLTBaXXdsIvmbUvCo/edit?usp=drivesdk" TargetMode="External"/><Relationship Id="rId2614" Type="http://schemas.openxmlformats.org/officeDocument/2006/relationships/hyperlink" Target="https://docs.google.com/document/d/1bIbXDHoeWDd7-uhwb7sC14YiJ9FSOAKMwKs5gvtyCFE/edit?usp=drivesdk" TargetMode="External"/><Relationship Id="rId3946" Type="http://schemas.openxmlformats.org/officeDocument/2006/relationships/hyperlink" Target="https://docs.google.com/document/d/1-BBjqsn7r5Q40HyZ8uX5U8TgvqxuaGMXCKYKJHjnucM/edit?usp=drivesdk" TargetMode="External"/><Relationship Id="rId2615" Type="http://schemas.openxmlformats.org/officeDocument/2006/relationships/hyperlink" Target="https://drive.google.com/open?id=1eWEr_hRJ8gkYUN93k3D2nUdb8f40Ally" TargetMode="External"/><Relationship Id="rId3945" Type="http://schemas.openxmlformats.org/officeDocument/2006/relationships/hyperlink" Target="https://drive.google.com/uc?export=view&amp;id=1QsqPJjnc41ouzRl2EUBx6z5akx91_Lis" TargetMode="External"/><Relationship Id="rId2616" Type="http://schemas.openxmlformats.org/officeDocument/2006/relationships/hyperlink" Target="https://drive.google.com/uc?export=view&amp;id=1eWEr_hRJ8gkYUN93k3D2nUdb8f40Ally" TargetMode="External"/><Relationship Id="rId3948" Type="http://schemas.openxmlformats.org/officeDocument/2006/relationships/hyperlink" Target="https://drive.google.com/uc?export=view&amp;id=1GCwmlfJlDLJml6LNBw6gOMUbEe5El7ga" TargetMode="External"/><Relationship Id="rId2617" Type="http://schemas.openxmlformats.org/officeDocument/2006/relationships/hyperlink" Target="https://docs.google.com/document/d/1s2G1DS1JbPIfzNWVlGYzJYn6_n1Mbk2QcWF-m56gylo/edit?usp=drivesdk" TargetMode="External"/><Relationship Id="rId3947" Type="http://schemas.openxmlformats.org/officeDocument/2006/relationships/hyperlink" Target="https://drive.google.com/open?id=1GCwmlfJlDLJml6LNBw6gOMUbEe5El7ga" TargetMode="External"/><Relationship Id="rId2618" Type="http://schemas.openxmlformats.org/officeDocument/2006/relationships/hyperlink" Target="https://drive.google.com/open?id=1cbipPTKnT0xAXyvjMaAAgTIK_SfdbspU" TargetMode="External"/><Relationship Id="rId2619" Type="http://schemas.openxmlformats.org/officeDocument/2006/relationships/hyperlink" Target="https://drive.google.com/uc?export=view&amp;id=1cbipPTKnT0xAXyvjMaAAgTIK_SfdbspU" TargetMode="External"/><Relationship Id="rId3949" Type="http://schemas.openxmlformats.org/officeDocument/2006/relationships/hyperlink" Target="https://docs.google.com/document/d/1SplwTqD0aTP-g14qUS-IdIs_0hMcZfRbrB5zkqMx3CE/edit?usp=drivesdk" TargetMode="External"/><Relationship Id="rId3940" Type="http://schemas.openxmlformats.org/officeDocument/2006/relationships/hyperlink" Target="https://docs.google.com/document/d/1bXueo5cevBHbVWuv66Gzi1-3XR8p2UA9sqF4w8gqk-g/edit?usp=drivesdk" TargetMode="External"/><Relationship Id="rId1312" Type="http://schemas.openxmlformats.org/officeDocument/2006/relationships/hyperlink" Target="https://drive.google.com/uc?export=view&amp;id=160Bt4CNqlN0ZvwaElA0k6wfJ2CSfmFs4" TargetMode="External"/><Relationship Id="rId2643" Type="http://schemas.openxmlformats.org/officeDocument/2006/relationships/hyperlink" Target="https://drive.google.com/uc?export=view&amp;id=1ygMQHwOCamUYVNSjKb8hLknLdx1n5mlp" TargetMode="External"/><Relationship Id="rId3975" Type="http://schemas.openxmlformats.org/officeDocument/2006/relationships/hyperlink" Target="https://drive.google.com/uc?export=view&amp;id=1WOemBofrUCMYDXwtoF-8guwnOUhDltf-" TargetMode="External"/><Relationship Id="rId1313" Type="http://schemas.openxmlformats.org/officeDocument/2006/relationships/hyperlink" Target="https://docs.google.com/document/d/1mcsEYA1GR2_p6cU4VVLMOQ7wsib27mHVJEyK6iCkkOo/edit?usp=drivesdk" TargetMode="External"/><Relationship Id="rId2644" Type="http://schemas.openxmlformats.org/officeDocument/2006/relationships/hyperlink" Target="https://docs.google.com/document/d/1tlMYT-BmCLVz6ct71V25rJ6EvNYflYj7dzgwiw_y3oc/edit?usp=drivesdk" TargetMode="External"/><Relationship Id="rId3974" Type="http://schemas.openxmlformats.org/officeDocument/2006/relationships/hyperlink" Target="https://drive.google.com/open?id=1WOemBofrUCMYDXwtoF-8guwnOUhDltf-" TargetMode="External"/><Relationship Id="rId1314" Type="http://schemas.openxmlformats.org/officeDocument/2006/relationships/hyperlink" Target="https://drive.google.com/open?id=1P_K7swj1247hq8EDO1t5GhaHi1RloHgj" TargetMode="External"/><Relationship Id="rId2645" Type="http://schemas.openxmlformats.org/officeDocument/2006/relationships/hyperlink" Target="https://drive.google.com/open?id=19P81iCkUHMShB-lMpuZETvIwS_4F8XHC" TargetMode="External"/><Relationship Id="rId3977" Type="http://schemas.openxmlformats.org/officeDocument/2006/relationships/hyperlink" Target="https://drive.google.com/open?id=19YQzCUKhLqiDLHDBDZju4UG4HG4HR-Y8" TargetMode="External"/><Relationship Id="rId1315" Type="http://schemas.openxmlformats.org/officeDocument/2006/relationships/hyperlink" Target="https://drive.google.com/uc?export=view&amp;id=1P_K7swj1247hq8EDO1t5GhaHi1RloHgj" TargetMode="External"/><Relationship Id="rId2646" Type="http://schemas.openxmlformats.org/officeDocument/2006/relationships/hyperlink" Target="https://drive.google.com/uc?export=view&amp;id=19P81iCkUHMShB-lMpuZETvIwS_4F8XHC" TargetMode="External"/><Relationship Id="rId3976" Type="http://schemas.openxmlformats.org/officeDocument/2006/relationships/hyperlink" Target="https://docs.google.com/document/d/1kTkVRTWnwhVcorcqbhpuPAP6DOyh4YULMdj_tigc-to/edit?usp=drivesdk" TargetMode="External"/><Relationship Id="rId1316" Type="http://schemas.openxmlformats.org/officeDocument/2006/relationships/hyperlink" Target="https://docs.google.com/document/d/16it5s5701hIklk5WqitGJN1TRZ_VmYNGJ4Qw7j7ZZ3E/edit?usp=drivesdk" TargetMode="External"/><Relationship Id="rId2647" Type="http://schemas.openxmlformats.org/officeDocument/2006/relationships/hyperlink" Target="https://docs.google.com/document/d/1xpZPihJ0wQIVmuMcsc1jCQSto1moJc3t2j8u7LqsmbE/edit?usp=drivesdk" TargetMode="External"/><Relationship Id="rId3979" Type="http://schemas.openxmlformats.org/officeDocument/2006/relationships/hyperlink" Target="https://docs.google.com/document/d/1Q_TZ5jLCTVIGI-ioQ2pxy2menmasCg5IC9yQIm-5OTA/edit?usp=drivesdk" TargetMode="External"/><Relationship Id="rId1317" Type="http://schemas.openxmlformats.org/officeDocument/2006/relationships/hyperlink" Target="https://drive.google.com/open?id=1JHOUL8tMJT2q-HLzl845yl3PMNJu60sY" TargetMode="External"/><Relationship Id="rId2648" Type="http://schemas.openxmlformats.org/officeDocument/2006/relationships/hyperlink" Target="https://drive.google.com/open?id=1VOm5j4IBNvFhKxZOw7B5zr4yONICaDSe" TargetMode="External"/><Relationship Id="rId3978" Type="http://schemas.openxmlformats.org/officeDocument/2006/relationships/hyperlink" Target="https://drive.google.com/uc?export=view&amp;id=19YQzCUKhLqiDLHDBDZju4UG4HG4HR-Y8" TargetMode="External"/><Relationship Id="rId1318" Type="http://schemas.openxmlformats.org/officeDocument/2006/relationships/hyperlink" Target="https://drive.google.com/uc?export=view&amp;id=1JHOUL8tMJT2q-HLzl845yl3PMNJu60sY" TargetMode="External"/><Relationship Id="rId2649" Type="http://schemas.openxmlformats.org/officeDocument/2006/relationships/hyperlink" Target="https://drive.google.com/uc?export=view&amp;id=1VOm5j4IBNvFhKxZOw7B5zr4yONICaDSe" TargetMode="External"/><Relationship Id="rId1319" Type="http://schemas.openxmlformats.org/officeDocument/2006/relationships/hyperlink" Target="https://docs.google.com/document/d/1DyI8ZaAk_-iVd8Wv8awRGS-jcCwCiwVOBWAPtTANR1Q/edit?usp=drivesdk" TargetMode="External"/><Relationship Id="rId729" Type="http://schemas.openxmlformats.org/officeDocument/2006/relationships/hyperlink" Target="https://docs.google.com/document/d/1TNU4YDtZV6AOXtwna-4jCoCXNW0UKdgEKZ1YLceoERU/edit?usp=drivesdk" TargetMode="External"/><Relationship Id="rId728" Type="http://schemas.openxmlformats.org/officeDocument/2006/relationships/hyperlink" Target="https://drive.google.com/uc?export=view&amp;id=1683HQLpE7PsLW_6FsE1AmgOSgpWUOtbn" TargetMode="External"/><Relationship Id="rId723" Type="http://schemas.openxmlformats.org/officeDocument/2006/relationships/hyperlink" Target="https://docs.google.com/document/d/1_Vq9t2i7oZCFGrcMF8tp6Ln-SDFSwTnpUGbHfYGPsAQ/edit?usp=drivesdk" TargetMode="External"/><Relationship Id="rId722" Type="http://schemas.openxmlformats.org/officeDocument/2006/relationships/hyperlink" Target="https://drive.google.com/uc?export=view&amp;id=1Ti7TE4i8JdYglw6jM1DjGCytLlFTbw-1" TargetMode="External"/><Relationship Id="rId721" Type="http://schemas.openxmlformats.org/officeDocument/2006/relationships/hyperlink" Target="https://drive.google.com/open?id=1Ti7TE4i8JdYglw6jM1DjGCytLlFTbw-1" TargetMode="External"/><Relationship Id="rId720" Type="http://schemas.openxmlformats.org/officeDocument/2006/relationships/hyperlink" Target="https://docs.google.com/document/d/1Gk-kBBnFyLE8hBG8PAyAcqHVRKJqFhDNLg_Y5vadZMo/edit?usp=drivesdk" TargetMode="External"/><Relationship Id="rId727" Type="http://schemas.openxmlformats.org/officeDocument/2006/relationships/hyperlink" Target="https://drive.google.com/open?id=1683HQLpE7PsLW_6FsE1AmgOSgpWUOtbn" TargetMode="External"/><Relationship Id="rId726" Type="http://schemas.openxmlformats.org/officeDocument/2006/relationships/hyperlink" Target="https://docs.google.com/document/d/1F1-Phf4pQcmmr3UgyEtwhS7rxUYRqq2DlHUyUuSv67o/edit?usp=drivesdk" TargetMode="External"/><Relationship Id="rId725" Type="http://schemas.openxmlformats.org/officeDocument/2006/relationships/hyperlink" Target="https://drive.google.com/uc?export=view&amp;id=1UxDwKa0rsT3gnQbwOONvg7y3b8DLR5eG" TargetMode="External"/><Relationship Id="rId724" Type="http://schemas.openxmlformats.org/officeDocument/2006/relationships/hyperlink" Target="https://drive.google.com/open?id=1UxDwKa0rsT3gnQbwOONvg7y3b8DLR5eG" TargetMode="External"/><Relationship Id="rId3971" Type="http://schemas.openxmlformats.org/officeDocument/2006/relationships/hyperlink" Target="https://drive.google.com/open?id=1UAgWDwVSrZhTy0zPa4mKraGEddW0eCE9" TargetMode="External"/><Relationship Id="rId2640" Type="http://schemas.openxmlformats.org/officeDocument/2006/relationships/hyperlink" Target="https://drive.google.com/uc?export=view&amp;id=1HJQN7X5-VsKWhgX5VZq-31z0nLkaarie" TargetMode="External"/><Relationship Id="rId3970" Type="http://schemas.openxmlformats.org/officeDocument/2006/relationships/hyperlink" Target="https://docs.google.com/document/d/1wNd6ikj2jV_BXMVy1Bpii6tmZEV64feM1CDTxJb-NKA/edit?usp=drivesdk" TargetMode="External"/><Relationship Id="rId1310" Type="http://schemas.openxmlformats.org/officeDocument/2006/relationships/hyperlink" Target="https://docs.google.com/document/d/18eBYVFAOdQ6QkB00AJeRRwMxp7h3pnEphKEr_99XuAs/edit?usp=drivesdk" TargetMode="External"/><Relationship Id="rId2641" Type="http://schemas.openxmlformats.org/officeDocument/2006/relationships/hyperlink" Target="https://docs.google.com/document/d/1-E1MHxXqK48rqaQvDZ1sQIkV5K6R28f4JSdfTGcw13k/edit?usp=drivesdk" TargetMode="External"/><Relationship Id="rId3973" Type="http://schemas.openxmlformats.org/officeDocument/2006/relationships/hyperlink" Target="https://docs.google.com/document/d/14CKnAXv0HwiYV0HWyZaQEBH1OIeSPmq5ZgC66ScoLv4/edit?usp=drivesdk" TargetMode="External"/><Relationship Id="rId1311" Type="http://schemas.openxmlformats.org/officeDocument/2006/relationships/hyperlink" Target="https://drive.google.com/open?id=160Bt4CNqlN0ZvwaElA0k6wfJ2CSfmFs4" TargetMode="External"/><Relationship Id="rId2642" Type="http://schemas.openxmlformats.org/officeDocument/2006/relationships/hyperlink" Target="https://drive.google.com/open?id=1ygMQHwOCamUYVNSjKb8hLknLdx1n5mlp" TargetMode="External"/><Relationship Id="rId3972" Type="http://schemas.openxmlformats.org/officeDocument/2006/relationships/hyperlink" Target="https://drive.google.com/uc?export=view&amp;id=1UAgWDwVSrZhTy0zPa4mKraGEddW0eCE9" TargetMode="External"/><Relationship Id="rId1301" Type="http://schemas.openxmlformats.org/officeDocument/2006/relationships/hyperlink" Target="https://docs.google.com/document/d/1a9tOcg62XKmx4e2xMmTUX74nLPVe5V85tVfwgrnqFBo/edit?usp=drivesdk" TargetMode="External"/><Relationship Id="rId2632" Type="http://schemas.openxmlformats.org/officeDocument/2006/relationships/hyperlink" Target="https://docs.google.com/document/d/1MQZWpTTHPsvhybqrIYHmfgUXjT0VSiyUqesMZnH_R0w/edit?usp=drivesdk" TargetMode="External"/><Relationship Id="rId3964" Type="http://schemas.openxmlformats.org/officeDocument/2006/relationships/hyperlink" Target="https://docs.google.com/document/d/1c5xGmpKI9TMULYnlAZbMiPs0A9-2YzPZThEGlRNyEdk/edit?usp=drivesdk" TargetMode="External"/><Relationship Id="rId1302" Type="http://schemas.openxmlformats.org/officeDocument/2006/relationships/hyperlink" Target="https://drive.google.com/open?id=1Im6ZIbJU7XzsjdzkKoJ3q1vN-ZbQh8SM" TargetMode="External"/><Relationship Id="rId2633" Type="http://schemas.openxmlformats.org/officeDocument/2006/relationships/hyperlink" Target="https://drive.google.com/open?id=1ptNsbEhDe-dlLBO58IKJm4czidFyKYkr" TargetMode="External"/><Relationship Id="rId3963" Type="http://schemas.openxmlformats.org/officeDocument/2006/relationships/hyperlink" Target="https://drive.google.com/uc?export=view&amp;id=1ejMQZalH5BsDeVJKMWwCKO9ah6U-lp19" TargetMode="External"/><Relationship Id="rId1303" Type="http://schemas.openxmlformats.org/officeDocument/2006/relationships/hyperlink" Target="https://drive.google.com/uc?export=view&amp;id=1Im6ZIbJU7XzsjdzkKoJ3q1vN-ZbQh8SM" TargetMode="External"/><Relationship Id="rId2634" Type="http://schemas.openxmlformats.org/officeDocument/2006/relationships/hyperlink" Target="https://drive.google.com/uc?export=view&amp;id=1ptNsbEhDe-dlLBO58IKJm4czidFyKYkr" TargetMode="External"/><Relationship Id="rId3966" Type="http://schemas.openxmlformats.org/officeDocument/2006/relationships/hyperlink" Target="https://drive.google.com/uc?export=view&amp;id=1F4K2zsqDNQ7Oti8EBXl3G9Aj0KWaV-zm" TargetMode="External"/><Relationship Id="rId1304" Type="http://schemas.openxmlformats.org/officeDocument/2006/relationships/hyperlink" Target="https://docs.google.com/document/d/1uYvCeKlO1Mqi_fbmaKge5_KSDXaVqbaxeZuCvsbo3z0/edit?usp=drivesdk" TargetMode="External"/><Relationship Id="rId2635" Type="http://schemas.openxmlformats.org/officeDocument/2006/relationships/hyperlink" Target="https://docs.google.com/document/d/1s9x33ruAZswE9045Y293nd0_QkrsLbbUK-Xl2_qoCec/edit?usp=drivesdk" TargetMode="External"/><Relationship Id="rId3965" Type="http://schemas.openxmlformats.org/officeDocument/2006/relationships/hyperlink" Target="https://drive.google.com/open?id=1F4K2zsqDNQ7Oti8EBXl3G9Aj0KWaV-zm" TargetMode="External"/><Relationship Id="rId1305" Type="http://schemas.openxmlformats.org/officeDocument/2006/relationships/hyperlink" Target="https://drive.google.com/open?id=12zNc5tt1D3-qKVEjzRXyAo6rxZmC7kMu" TargetMode="External"/><Relationship Id="rId2636" Type="http://schemas.openxmlformats.org/officeDocument/2006/relationships/hyperlink" Target="https://drive.google.com/open?id=1mNrjoZgkkBOk9PA3rssgKyM_MPaj0gu8" TargetMode="External"/><Relationship Id="rId3968" Type="http://schemas.openxmlformats.org/officeDocument/2006/relationships/hyperlink" Target="https://drive.google.com/open?id=1mK4PodnE5HMae2k2xrBDRZg2n3rMiJpA" TargetMode="External"/><Relationship Id="rId1306" Type="http://schemas.openxmlformats.org/officeDocument/2006/relationships/hyperlink" Target="https://drive.google.com/uc?export=view&amp;id=12zNc5tt1D3-qKVEjzRXyAo6rxZmC7kMu" TargetMode="External"/><Relationship Id="rId2637" Type="http://schemas.openxmlformats.org/officeDocument/2006/relationships/hyperlink" Target="https://drive.google.com/uc?export=view&amp;id=1mNrjoZgkkBOk9PA3rssgKyM_MPaj0gu8" TargetMode="External"/><Relationship Id="rId3967" Type="http://schemas.openxmlformats.org/officeDocument/2006/relationships/hyperlink" Target="https://docs.google.com/document/d/1nQa-iGuB1RsdnVLpPdRWqKJ2HYT6vDI5sgNTcgh8QnI/edit?usp=drivesdk" TargetMode="External"/><Relationship Id="rId1307" Type="http://schemas.openxmlformats.org/officeDocument/2006/relationships/hyperlink" Target="https://docs.google.com/document/d/1GDzb1wgrNnhTz7bhJoTozmKNk24cyeJ6bVZU1nSJhLo/edit?usp=drivesdk" TargetMode="External"/><Relationship Id="rId2638" Type="http://schemas.openxmlformats.org/officeDocument/2006/relationships/hyperlink" Target="https://docs.google.com/document/d/15w-YVtFqnUkUw-DA1qh45dq_1Q6U1yacNjYC7v58dRo/edit?usp=drivesdk" TargetMode="External"/><Relationship Id="rId1308" Type="http://schemas.openxmlformats.org/officeDocument/2006/relationships/hyperlink" Target="https://drive.google.com/open?id=1mOnqVvTQ41s9MbAil5Pxrg1uiboJI3mC" TargetMode="External"/><Relationship Id="rId2639" Type="http://schemas.openxmlformats.org/officeDocument/2006/relationships/hyperlink" Target="https://drive.google.com/open?id=1HJQN7X5-VsKWhgX5VZq-31z0nLkaarie" TargetMode="External"/><Relationship Id="rId3969" Type="http://schemas.openxmlformats.org/officeDocument/2006/relationships/hyperlink" Target="https://drive.google.com/uc?export=view&amp;id=1mK4PodnE5HMae2k2xrBDRZg2n3rMiJpA" TargetMode="External"/><Relationship Id="rId1309" Type="http://schemas.openxmlformats.org/officeDocument/2006/relationships/hyperlink" Target="https://drive.google.com/uc?export=view&amp;id=1mOnqVvTQ41s9MbAil5Pxrg1uiboJI3mC" TargetMode="External"/><Relationship Id="rId719" Type="http://schemas.openxmlformats.org/officeDocument/2006/relationships/hyperlink" Target="https://drive.google.com/uc?export=view&amp;id=1e_aXiH_etoS0353RQc8taYAeoWfqaaOQ" TargetMode="External"/><Relationship Id="rId718" Type="http://schemas.openxmlformats.org/officeDocument/2006/relationships/hyperlink" Target="https://drive.google.com/open?id=1e_aXiH_etoS0353RQc8taYAeoWfqaaOQ" TargetMode="External"/><Relationship Id="rId717" Type="http://schemas.openxmlformats.org/officeDocument/2006/relationships/hyperlink" Target="https://docs.google.com/document/d/1rAotGYIBekmwi-UAjwF1lO8lBAmiyTnUrI-Sy3aoBq8/edit?usp=drivesdk" TargetMode="External"/><Relationship Id="rId712" Type="http://schemas.openxmlformats.org/officeDocument/2006/relationships/hyperlink" Target="https://drive.google.com/open?id=1lzBgAz-gd8aJDArN--_gKW1N2JDR0lLP" TargetMode="External"/><Relationship Id="rId711" Type="http://schemas.openxmlformats.org/officeDocument/2006/relationships/hyperlink" Target="https://docs.google.com/document/d/1t4cTi0ZJuP9O4hQZBeQcnjClG4U0dJcqZfMjDt1WYCY/edit?usp=drivesdk" TargetMode="External"/><Relationship Id="rId710" Type="http://schemas.openxmlformats.org/officeDocument/2006/relationships/hyperlink" Target="https://drive.google.com/uc?export=view&amp;id=1sJ5WAA3ZIPX-78_von5NY76EK2mm0zZb" TargetMode="External"/><Relationship Id="rId716" Type="http://schemas.openxmlformats.org/officeDocument/2006/relationships/hyperlink" Target="https://drive.google.com/uc?export=view&amp;id=1sv8o3MwdBSvUcrxc7EqmpwuW0BuHWUUP" TargetMode="External"/><Relationship Id="rId715" Type="http://schemas.openxmlformats.org/officeDocument/2006/relationships/hyperlink" Target="https://drive.google.com/open?id=1sv8o3MwdBSvUcrxc7EqmpwuW0BuHWUUP" TargetMode="External"/><Relationship Id="rId714" Type="http://schemas.openxmlformats.org/officeDocument/2006/relationships/hyperlink" Target="https://docs.google.com/document/d/1RN39bkNiSvnDq5Uh7l73hVA2wAnv2F4NyVF1BG_6Oyg/edit?usp=drivesdk" TargetMode="External"/><Relationship Id="rId713" Type="http://schemas.openxmlformats.org/officeDocument/2006/relationships/hyperlink" Target="https://drive.google.com/uc?export=view&amp;id=1lzBgAz-gd8aJDArN--_gKW1N2JDR0lLP" TargetMode="External"/><Relationship Id="rId3960" Type="http://schemas.openxmlformats.org/officeDocument/2006/relationships/hyperlink" Target="https://drive.google.com/uc?export=view&amp;id=1G11_bqAu0lb3ySpeFtLPcLszOfXggD3Z" TargetMode="External"/><Relationship Id="rId2630" Type="http://schemas.openxmlformats.org/officeDocument/2006/relationships/hyperlink" Target="https://drive.google.com/open?id=1LMLWnokuKetV1lZwuMsYpCSoCGnEH1b9" TargetMode="External"/><Relationship Id="rId3962" Type="http://schemas.openxmlformats.org/officeDocument/2006/relationships/hyperlink" Target="https://drive.google.com/open?id=1ejMQZalH5BsDeVJKMWwCKO9ah6U-lp19" TargetMode="External"/><Relationship Id="rId1300" Type="http://schemas.openxmlformats.org/officeDocument/2006/relationships/hyperlink" Target="https://drive.google.com/uc?export=view&amp;id=1GUEkkiuexcH9jd7pz4x503zIOis6kK76" TargetMode="External"/><Relationship Id="rId2631" Type="http://schemas.openxmlformats.org/officeDocument/2006/relationships/hyperlink" Target="https://drive.google.com/uc?export=view&amp;id=1LMLWnokuKetV1lZwuMsYpCSoCGnEH1b9" TargetMode="External"/><Relationship Id="rId3961" Type="http://schemas.openxmlformats.org/officeDocument/2006/relationships/hyperlink" Target="https://docs.google.com/document/d/1CRLhH0KaXjuGoSFSyHoAIgAOYSVTsz_KmoNOzH3zYeU/edit?usp=drivesdk" TargetMode="External"/><Relationship Id="rId3117" Type="http://schemas.openxmlformats.org/officeDocument/2006/relationships/hyperlink" Target="https://drive.google.com/uc?export=view&amp;id=1UGx9r0VrXyYWm6Cui8idHpfATNkJidMc" TargetMode="External"/><Relationship Id="rId4448" Type="http://schemas.openxmlformats.org/officeDocument/2006/relationships/hyperlink" Target="https://drive.google.com/open?id=1jOGi41JidQJvRWD-h8IRRoA_tDRwJLIm" TargetMode="External"/><Relationship Id="rId3116" Type="http://schemas.openxmlformats.org/officeDocument/2006/relationships/hyperlink" Target="https://drive.google.com/open?id=1UGx9r0VrXyYWm6Cui8idHpfATNkJidMc" TargetMode="External"/><Relationship Id="rId4447" Type="http://schemas.openxmlformats.org/officeDocument/2006/relationships/hyperlink" Target="https://docs.google.com/document/d/1YT7XQqFp89C3DRI3BMJ8qh6fzMKsY-swr95JyO0p1UU/edit?usp=drivesdk" TargetMode="External"/><Relationship Id="rId3119" Type="http://schemas.openxmlformats.org/officeDocument/2006/relationships/hyperlink" Target="https://drive.google.com/open?id=1JHAMohstvd4zEZRJ409R7RnMShXpDXa2" TargetMode="External"/><Relationship Id="rId3118" Type="http://schemas.openxmlformats.org/officeDocument/2006/relationships/hyperlink" Target="https://docs.google.com/document/d/1VmgG7qEWzrnfywpvARRWQmdptw22Wippy-2eiK3Jp9Y/edit?usp=drivesdk" TargetMode="External"/><Relationship Id="rId4449" Type="http://schemas.openxmlformats.org/officeDocument/2006/relationships/hyperlink" Target="https://drive.google.com/uc?export=view&amp;id=1jOGi41JidQJvRWD-h8IRRoA_tDRwJLIm" TargetMode="External"/><Relationship Id="rId4440" Type="http://schemas.openxmlformats.org/officeDocument/2006/relationships/hyperlink" Target="https://drive.google.com/uc?export=view&amp;id=1_LeRTm6hYgP0ADIwT2s4RXcfKz8E665H" TargetMode="External"/><Relationship Id="rId3111" Type="http://schemas.openxmlformats.org/officeDocument/2006/relationships/hyperlink" Target="https://drive.google.com/uc?export=view&amp;id=1FQepHQT-QSAfKwtEcN8WVYA2qAEsyJb-" TargetMode="External"/><Relationship Id="rId4442" Type="http://schemas.openxmlformats.org/officeDocument/2006/relationships/hyperlink" Target="https://drive.google.com/open?id=11TtI4wByaBW9Yy6InmUQ6_2BFtaqIVTV" TargetMode="External"/><Relationship Id="rId3110" Type="http://schemas.openxmlformats.org/officeDocument/2006/relationships/hyperlink" Target="https://drive.google.com/open?id=1FQepHQT-QSAfKwtEcN8WVYA2qAEsyJb-" TargetMode="External"/><Relationship Id="rId4441" Type="http://schemas.openxmlformats.org/officeDocument/2006/relationships/hyperlink" Target="https://docs.google.com/document/d/165GB7gg99P32LlSdEtr3oCWrlB5BbmdbEoEgSdW6uxA/edit?usp=drivesdk" TargetMode="External"/><Relationship Id="rId3113" Type="http://schemas.openxmlformats.org/officeDocument/2006/relationships/hyperlink" Target="https://drive.google.com/open?id=1Nj26NoEBujS53fM9D7lqZq-WutLyC2dJ" TargetMode="External"/><Relationship Id="rId4444" Type="http://schemas.openxmlformats.org/officeDocument/2006/relationships/hyperlink" Target="https://docs.google.com/document/d/1Ya61WoPrYy_gEdwz_0k7ZINus_0BGUR0EDcNY7JW2Ng/edit?usp=drivesdk" TargetMode="External"/><Relationship Id="rId3112" Type="http://schemas.openxmlformats.org/officeDocument/2006/relationships/hyperlink" Target="https://docs.google.com/document/d/1z9Gj-Stuzjk9pqjrTYZFR1F23VeVZf16s4Gk7yr__j0/edit?usp=drivesdk" TargetMode="External"/><Relationship Id="rId4443" Type="http://schemas.openxmlformats.org/officeDocument/2006/relationships/hyperlink" Target="https://drive.google.com/uc?export=view&amp;id=11TtI4wByaBW9Yy6InmUQ6_2BFtaqIVTV" TargetMode="External"/><Relationship Id="rId3115" Type="http://schemas.openxmlformats.org/officeDocument/2006/relationships/hyperlink" Target="https://docs.google.com/document/d/1QVfHn5rl7wC_sHJIFzbUNHO3K4BSBC6bPfjBWD9rUEw/edit?usp=drivesdk" TargetMode="External"/><Relationship Id="rId4446" Type="http://schemas.openxmlformats.org/officeDocument/2006/relationships/hyperlink" Target="https://drive.google.com/uc?export=view&amp;id=1wFNkcn2We14_8PSa_s4WO-8lg9QfJxnQ" TargetMode="External"/><Relationship Id="rId3114" Type="http://schemas.openxmlformats.org/officeDocument/2006/relationships/hyperlink" Target="https://drive.google.com/uc?export=view&amp;id=1Nj26NoEBujS53fM9D7lqZq-WutLyC2dJ" TargetMode="External"/><Relationship Id="rId4445" Type="http://schemas.openxmlformats.org/officeDocument/2006/relationships/hyperlink" Target="https://drive.google.com/open?id=1wFNkcn2We14_8PSa_s4WO-8lg9QfJxnQ" TargetMode="External"/><Relationship Id="rId3106" Type="http://schemas.openxmlformats.org/officeDocument/2006/relationships/hyperlink" Target="https://docs.google.com/document/d/1rJa8lycoUKgKyU8rhQFy3HlISDqdiAQsK9ommYPlAHg/edit?usp=drivesdk" TargetMode="External"/><Relationship Id="rId4437" Type="http://schemas.openxmlformats.org/officeDocument/2006/relationships/hyperlink" Target="https://drive.google.com/uc?export=view&amp;id=1YuQAB_A20YAfyCkb1MnKFeBkU6nCIhEe" TargetMode="External"/><Relationship Id="rId3105" Type="http://schemas.openxmlformats.org/officeDocument/2006/relationships/hyperlink" Target="https://drive.google.com/uc?export=view&amp;id=1AUH28tU1q0AJ0acLdOJdMAZ_gcU26Doh" TargetMode="External"/><Relationship Id="rId4436" Type="http://schemas.openxmlformats.org/officeDocument/2006/relationships/hyperlink" Target="https://drive.google.com/open?id=1YuQAB_A20YAfyCkb1MnKFeBkU6nCIhEe" TargetMode="External"/><Relationship Id="rId3108" Type="http://schemas.openxmlformats.org/officeDocument/2006/relationships/hyperlink" Target="https://drive.google.com/uc?export=view&amp;id=1i894bRBFw-dUyndlgEwDY5ZZDlvceiVH" TargetMode="External"/><Relationship Id="rId4439" Type="http://schemas.openxmlformats.org/officeDocument/2006/relationships/hyperlink" Target="https://drive.google.com/open?id=1_LeRTm6hYgP0ADIwT2s4RXcfKz8E665H" TargetMode="External"/><Relationship Id="rId3107" Type="http://schemas.openxmlformats.org/officeDocument/2006/relationships/hyperlink" Target="https://drive.google.com/open?id=1i894bRBFw-dUyndlgEwDY5ZZDlvceiVH" TargetMode="External"/><Relationship Id="rId4438" Type="http://schemas.openxmlformats.org/officeDocument/2006/relationships/hyperlink" Target="https://docs.google.com/document/d/1DmLlPooKBYlXnF879vJFKOGtfANSMeW_--Y2YjGt6d4/edit?usp=drivesdk" TargetMode="External"/><Relationship Id="rId3109" Type="http://schemas.openxmlformats.org/officeDocument/2006/relationships/hyperlink" Target="https://docs.google.com/document/d/1L5ZzxxVRoLCWZueIv04QPxpc-qsmbNk_GyB8eriFKXs/edit?usp=drivesdk" TargetMode="External"/><Relationship Id="rId3100" Type="http://schemas.openxmlformats.org/officeDocument/2006/relationships/hyperlink" Target="https://docs.google.com/document/d/1mJe1qPSEGqpHdKsJ6HS5u7wQjPo0alWJft8cMNUqtyY/edit?usp=drivesdk" TargetMode="External"/><Relationship Id="rId4431" Type="http://schemas.openxmlformats.org/officeDocument/2006/relationships/hyperlink" Target="https://drive.google.com/uc?export=view&amp;id=1SJ3sSnX0OABc_yaVJLov7Y7VtcqDh0QU" TargetMode="External"/><Relationship Id="rId4430" Type="http://schemas.openxmlformats.org/officeDocument/2006/relationships/hyperlink" Target="https://drive.google.com/open?id=1SJ3sSnX0OABc_yaVJLov7Y7VtcqDh0QU" TargetMode="External"/><Relationship Id="rId3102" Type="http://schemas.openxmlformats.org/officeDocument/2006/relationships/hyperlink" Target="https://drive.google.com/uc?export=view&amp;id=1iDCa6AQHYghbYAnsccVYI3vNSAmi7h3C" TargetMode="External"/><Relationship Id="rId4433" Type="http://schemas.openxmlformats.org/officeDocument/2006/relationships/hyperlink" Target="https://drive.google.com/open?id=1B_NG2KB26o9ZF2MDG9su1cixtpetw4Ix" TargetMode="External"/><Relationship Id="rId3101" Type="http://schemas.openxmlformats.org/officeDocument/2006/relationships/hyperlink" Target="https://drive.google.com/open?id=1iDCa6AQHYghbYAnsccVYI3vNSAmi7h3C" TargetMode="External"/><Relationship Id="rId4432" Type="http://schemas.openxmlformats.org/officeDocument/2006/relationships/hyperlink" Target="https://docs.google.com/document/d/1WRwKfLsk6R011iGHfeaFpBaAxjpA6YY2GJI3Zp6NznE/edit?usp=drivesdk" TargetMode="External"/><Relationship Id="rId3104" Type="http://schemas.openxmlformats.org/officeDocument/2006/relationships/hyperlink" Target="https://drive.google.com/open?id=1AUH28tU1q0AJ0acLdOJdMAZ_gcU26Doh" TargetMode="External"/><Relationship Id="rId4435" Type="http://schemas.openxmlformats.org/officeDocument/2006/relationships/hyperlink" Target="https://docs.google.com/document/d/1phrHDqbjvsrVYGxiAPYE9rAU-t9Mbo-Zf7EMa_lJyuU/edit?usp=drivesdk" TargetMode="External"/><Relationship Id="rId3103" Type="http://schemas.openxmlformats.org/officeDocument/2006/relationships/hyperlink" Target="https://docs.google.com/document/d/1HAWHV9LLoVNq_FVKfykG4ptXuvWw9HtZNfn4WhhFD5Q/edit?usp=drivesdk" TargetMode="External"/><Relationship Id="rId4434" Type="http://schemas.openxmlformats.org/officeDocument/2006/relationships/hyperlink" Target="https://drive.google.com/uc?export=view&amp;id=1B_NG2KB26o9ZF2MDG9su1cixtpetw4Ix" TargetMode="External"/><Relationship Id="rId3139" Type="http://schemas.openxmlformats.org/officeDocument/2006/relationships/hyperlink" Target="https://docs.google.com/document/d/1e_TB7dw9ESFlUupnb1Frr0OQB2Ut6b5MiBJe8oeVbBY/edit?usp=drivesdk" TargetMode="External"/><Relationship Id="rId3138" Type="http://schemas.openxmlformats.org/officeDocument/2006/relationships/hyperlink" Target="https://drive.google.com/uc?export=view&amp;id=1KQtUqjLiCMbX0N_jaxlMr4mMftSzI3Tk" TargetMode="External"/><Relationship Id="rId4469" Type="http://schemas.openxmlformats.org/officeDocument/2006/relationships/hyperlink" Target="https://drive.google.com/open?id=1ZlowOArIzxX_0yaB8T_GTX-sgpAAqhAC" TargetMode="External"/><Relationship Id="rId4460" Type="http://schemas.openxmlformats.org/officeDocument/2006/relationships/hyperlink" Target="https://drive.google.com/open?id=1pTZEM-Y2_3RhDGyCKFVfTqEjPlRmJQiM" TargetMode="External"/><Relationship Id="rId3131" Type="http://schemas.openxmlformats.org/officeDocument/2006/relationships/hyperlink" Target="https://drive.google.com/open?id=1CO5se1zZ2wRbPvVtVQoERf15EiASVTlq" TargetMode="External"/><Relationship Id="rId4462" Type="http://schemas.openxmlformats.org/officeDocument/2006/relationships/hyperlink" Target="https://docs.google.com/document/d/1rPH-NYfHDALXrgUSXDvHX_XKBZAQkBMV6-TZyXlQ1WA/edit?usp=drivesdk" TargetMode="External"/><Relationship Id="rId3130" Type="http://schemas.openxmlformats.org/officeDocument/2006/relationships/hyperlink" Target="https://docs.google.com/document/d/1JQTyQlc5Q2m-JiO7qeMc-ev2NHbnWLntdchkP4YIMNY/edit?usp=drivesdk" TargetMode="External"/><Relationship Id="rId4461" Type="http://schemas.openxmlformats.org/officeDocument/2006/relationships/hyperlink" Target="https://drive.google.com/uc?export=view&amp;id=1pTZEM-Y2_3RhDGyCKFVfTqEjPlRmJQiM" TargetMode="External"/><Relationship Id="rId3133" Type="http://schemas.openxmlformats.org/officeDocument/2006/relationships/hyperlink" Target="https://docs.google.com/document/d/1C5XH2w5s8e8FAOr6aGbEK9penyT9sRVhRaXWQcx2FDY/edit?usp=drivesdk" TargetMode="External"/><Relationship Id="rId4464" Type="http://schemas.openxmlformats.org/officeDocument/2006/relationships/hyperlink" Target="https://drive.google.com/uc?export=view&amp;id=1hQWQDrMiJ_veDMdV6kkTd0snLNR9Ln9J" TargetMode="External"/><Relationship Id="rId3132" Type="http://schemas.openxmlformats.org/officeDocument/2006/relationships/hyperlink" Target="https://drive.google.com/uc?export=view&amp;id=1CO5se1zZ2wRbPvVtVQoERf15EiASVTlq" TargetMode="External"/><Relationship Id="rId4463" Type="http://schemas.openxmlformats.org/officeDocument/2006/relationships/hyperlink" Target="https://drive.google.com/open?id=1hQWQDrMiJ_veDMdV6kkTd0snLNR9Ln9J" TargetMode="External"/><Relationship Id="rId3135" Type="http://schemas.openxmlformats.org/officeDocument/2006/relationships/hyperlink" Target="https://drive.google.com/uc?export=view&amp;id=1nFGZb55v_z0nsjJ-ldUx6DJdbn8fC_hT" TargetMode="External"/><Relationship Id="rId4466" Type="http://schemas.openxmlformats.org/officeDocument/2006/relationships/hyperlink" Target="https://drive.google.com/open?id=1EPCodO36-xvMmh9g1FMRSu4PqizfA1PY" TargetMode="External"/><Relationship Id="rId3134" Type="http://schemas.openxmlformats.org/officeDocument/2006/relationships/hyperlink" Target="https://drive.google.com/open?id=1nFGZb55v_z0nsjJ-ldUx6DJdbn8fC_hT" TargetMode="External"/><Relationship Id="rId4465" Type="http://schemas.openxmlformats.org/officeDocument/2006/relationships/hyperlink" Target="https://docs.google.com/document/d/1zaYJGyB1lRz22jdqbMIQ0VuxAee2xLXDtFQEhT7ifDE/edit?usp=drivesdk" TargetMode="External"/><Relationship Id="rId3137" Type="http://schemas.openxmlformats.org/officeDocument/2006/relationships/hyperlink" Target="https://drive.google.com/open?id=1KQtUqjLiCMbX0N_jaxlMr4mMftSzI3Tk" TargetMode="External"/><Relationship Id="rId4468" Type="http://schemas.openxmlformats.org/officeDocument/2006/relationships/hyperlink" Target="https://docs.google.com/document/d/1JSpDLlXPxO-qcmPvxvh6aNSFkS5YKQQUG_s7JvezqF0/edit?usp=drivesdk" TargetMode="External"/><Relationship Id="rId3136" Type="http://schemas.openxmlformats.org/officeDocument/2006/relationships/hyperlink" Target="https://docs.google.com/document/d/1mmc8IqKOEg8RPAXNaAD3KnrFdf7qR82cnptIfDskN2w/edit?usp=drivesdk" TargetMode="External"/><Relationship Id="rId4467" Type="http://schemas.openxmlformats.org/officeDocument/2006/relationships/hyperlink" Target="https://drive.google.com/uc?export=view&amp;id=1EPCodO36-xvMmh9g1FMRSu4PqizfA1PY" TargetMode="External"/><Relationship Id="rId3128" Type="http://schemas.openxmlformats.org/officeDocument/2006/relationships/hyperlink" Target="https://drive.google.com/open?id=1YjbtZ19GBjcxt8BqP3fRbNTci4Ze5swu" TargetMode="External"/><Relationship Id="rId4459" Type="http://schemas.openxmlformats.org/officeDocument/2006/relationships/hyperlink" Target="https://docs.google.com/document/d/1ijI3y0CjTzjPaq4mS1pwfT_8L5TYS7sor4HkVc5MZbY/edit?usp=drivesdk" TargetMode="External"/><Relationship Id="rId3127" Type="http://schemas.openxmlformats.org/officeDocument/2006/relationships/hyperlink" Target="https://docs.google.com/document/d/1lxq7kCl5jlWWQVmdXz_na9uFDtdGx4IFnHMKapxg7nY/edit?usp=drivesdk" TargetMode="External"/><Relationship Id="rId4458" Type="http://schemas.openxmlformats.org/officeDocument/2006/relationships/hyperlink" Target="https://drive.google.com/uc?export=view&amp;id=1JOfaZqTatI7bjJcoeOA6S-vB-ldaAw5o" TargetMode="External"/><Relationship Id="rId3129" Type="http://schemas.openxmlformats.org/officeDocument/2006/relationships/hyperlink" Target="https://drive.google.com/uc?export=view&amp;id=1YjbtZ19GBjcxt8BqP3fRbNTci4Ze5swu" TargetMode="External"/><Relationship Id="rId3120" Type="http://schemas.openxmlformats.org/officeDocument/2006/relationships/hyperlink" Target="https://drive.google.com/uc?export=view&amp;id=1JHAMohstvd4zEZRJ409R7RnMShXpDXa2" TargetMode="External"/><Relationship Id="rId4451" Type="http://schemas.openxmlformats.org/officeDocument/2006/relationships/hyperlink" Target="https://drive.google.com/open?id=1BA6XWd7DJHMW3wkbEWWZb7NehBy57pHZ" TargetMode="External"/><Relationship Id="rId4450" Type="http://schemas.openxmlformats.org/officeDocument/2006/relationships/hyperlink" Target="https://docs.google.com/document/d/1DBQ65kyZkykyVqqnmclMjDO06BRKjBBxjG6z9cXQs_U/edit?usp=drivesdk" TargetMode="External"/><Relationship Id="rId3122" Type="http://schemas.openxmlformats.org/officeDocument/2006/relationships/hyperlink" Target="https://drive.google.com/open?id=1gaMO_LKj3mVnYshGxTsWRzVy43BO95Ns" TargetMode="External"/><Relationship Id="rId4453" Type="http://schemas.openxmlformats.org/officeDocument/2006/relationships/hyperlink" Target="https://docs.google.com/document/d/1CPzL0drnIJV12pVwr51P6FPmnMK2TZHJAq9PVaTqAS0/edit?usp=drivesdk" TargetMode="External"/><Relationship Id="rId3121" Type="http://schemas.openxmlformats.org/officeDocument/2006/relationships/hyperlink" Target="https://docs.google.com/document/d/14z9nciUI-iC9JZuMPeOyipYVXBsTj83VG14Ttojt4U4/edit?usp=drivesdk" TargetMode="External"/><Relationship Id="rId4452" Type="http://schemas.openxmlformats.org/officeDocument/2006/relationships/hyperlink" Target="https://drive.google.com/uc?export=view&amp;id=1BA6XWd7DJHMW3wkbEWWZb7NehBy57pHZ" TargetMode="External"/><Relationship Id="rId3124" Type="http://schemas.openxmlformats.org/officeDocument/2006/relationships/hyperlink" Target="https://docs.google.com/document/d/1nmQY_P5JlVhyL_Mo_sOVR24-vqzea0b-C6Q2MQAk0wk/edit?usp=drivesdk" TargetMode="External"/><Relationship Id="rId4455" Type="http://schemas.openxmlformats.org/officeDocument/2006/relationships/hyperlink" Target="https://drive.google.com/uc?export=view&amp;id=15ET2bD-Y5jIxuboXJkQBhhGrKG0aON4q" TargetMode="External"/><Relationship Id="rId3123" Type="http://schemas.openxmlformats.org/officeDocument/2006/relationships/hyperlink" Target="https://drive.google.com/uc?export=view&amp;id=1gaMO_LKj3mVnYshGxTsWRzVy43BO95Ns" TargetMode="External"/><Relationship Id="rId4454" Type="http://schemas.openxmlformats.org/officeDocument/2006/relationships/hyperlink" Target="https://drive.google.com/open?id=15ET2bD-Y5jIxuboXJkQBhhGrKG0aON4q" TargetMode="External"/><Relationship Id="rId3126" Type="http://schemas.openxmlformats.org/officeDocument/2006/relationships/hyperlink" Target="https://drive.google.com/uc?export=view&amp;id=1qputr4hxceGdT8L_L51Pz7jZv59s7kQo" TargetMode="External"/><Relationship Id="rId4457" Type="http://schemas.openxmlformats.org/officeDocument/2006/relationships/hyperlink" Target="https://drive.google.com/open?id=1JOfaZqTatI7bjJcoeOA6S-vB-ldaAw5o" TargetMode="External"/><Relationship Id="rId3125" Type="http://schemas.openxmlformats.org/officeDocument/2006/relationships/hyperlink" Target="https://drive.google.com/open?id=1qputr4hxceGdT8L_L51Pz7jZv59s7kQo" TargetMode="External"/><Relationship Id="rId4456" Type="http://schemas.openxmlformats.org/officeDocument/2006/relationships/hyperlink" Target="https://docs.google.com/document/d/1h0RRFxMdNbkPwXCTFQpA-iDLL2iKd0J3E1GKufpVAYM/edit?usp=drivesdk" TargetMode="External"/><Relationship Id="rId1378" Type="http://schemas.openxmlformats.org/officeDocument/2006/relationships/hyperlink" Target="https://drive.google.com/uc?export=view&amp;id=1SrtVcmvuw_UTnffM081-PV8cyUFlwGEG" TargetMode="External"/><Relationship Id="rId4404" Type="http://schemas.openxmlformats.org/officeDocument/2006/relationships/hyperlink" Target="https://drive.google.com/uc?export=view&amp;id=1tOC-zvFf0t-n1wRQo1iWcvvvURL2uKdi" TargetMode="External"/><Relationship Id="rId1379" Type="http://schemas.openxmlformats.org/officeDocument/2006/relationships/hyperlink" Target="https://docs.google.com/document/d/1ujllh8kq7oTmrCWTqqjqf_Ut6kPugwSatxrcoiMIxQs/edit?usp=drivesdk" TargetMode="External"/><Relationship Id="rId4403" Type="http://schemas.openxmlformats.org/officeDocument/2006/relationships/hyperlink" Target="https://drive.google.com/open?id=1tOC-zvFf0t-n1wRQo1iWcvvvURL2uKdi" TargetMode="External"/><Relationship Id="rId4406" Type="http://schemas.openxmlformats.org/officeDocument/2006/relationships/hyperlink" Target="https://drive.google.com/open?id=1JQkriRnDGhhcQl-bOM8vVQ-Avd1uBAev" TargetMode="External"/><Relationship Id="rId4405" Type="http://schemas.openxmlformats.org/officeDocument/2006/relationships/hyperlink" Target="https://docs.google.com/document/d/1GA3bmTfiIsNlFzkSV4oYM3Mp_Vvy72K6T8hQ_KIpKOg/edit?usp=drivesdk" TargetMode="External"/><Relationship Id="rId4408" Type="http://schemas.openxmlformats.org/officeDocument/2006/relationships/hyperlink" Target="https://docs.google.com/document/d/1vjNblCD0LnG6swnikNeLfdaa3wC8XOS5Mi1J9bxjD9Y/edit?usp=drivesdk" TargetMode="External"/><Relationship Id="rId4407" Type="http://schemas.openxmlformats.org/officeDocument/2006/relationships/hyperlink" Target="https://drive.google.com/uc?export=view&amp;id=1JQkriRnDGhhcQl-bOM8vVQ-Avd1uBAev" TargetMode="External"/><Relationship Id="rId4409" Type="http://schemas.openxmlformats.org/officeDocument/2006/relationships/hyperlink" Target="https://drive.google.com/open?id=1irGdS65NFqsNOAGww0f9hNBer0FbF2Xb" TargetMode="External"/><Relationship Id="rId789" Type="http://schemas.openxmlformats.org/officeDocument/2006/relationships/hyperlink" Target="https://docs.google.com/document/d/1zT1YAlNrKAYur-WvYywot4HcUyDYIWQDEg9Ouu3rMnI/edit?usp=drivesdk" TargetMode="External"/><Relationship Id="rId788" Type="http://schemas.openxmlformats.org/officeDocument/2006/relationships/hyperlink" Target="https://drive.google.com/uc?export=view&amp;id=1PHzeobfpDGbA-oxQQxswGWfFKzE96jqh" TargetMode="External"/><Relationship Id="rId787" Type="http://schemas.openxmlformats.org/officeDocument/2006/relationships/hyperlink" Target="https://drive.google.com/open?id=1PHzeobfpDGbA-oxQQxswGWfFKzE96jqh" TargetMode="External"/><Relationship Id="rId786" Type="http://schemas.openxmlformats.org/officeDocument/2006/relationships/hyperlink" Target="https://docs.google.com/document/d/1ApqVA0Uj9Go7sBREZtphOskLspJL1i4G7t-NbmTSYhU/edit?usp=drivesdk" TargetMode="External"/><Relationship Id="rId781" Type="http://schemas.openxmlformats.org/officeDocument/2006/relationships/hyperlink" Target="https://drive.google.com/open?id=1MZviSHKriAP1ivA0Q4TQ0y8OI2PTa_75" TargetMode="External"/><Relationship Id="rId1370" Type="http://schemas.openxmlformats.org/officeDocument/2006/relationships/hyperlink" Target="https://docs.google.com/document/d/1Uv7tl1hbjiKnMtcC-x0Dk5C9SrAFpe05Wrv4-KulMZM/edit?usp=drivesdk" TargetMode="External"/><Relationship Id="rId780" Type="http://schemas.openxmlformats.org/officeDocument/2006/relationships/hyperlink" Target="https://docs.google.com/document/d/1WzflRtAwY9vaGD7DCHR4QSxiZbjJSAGmz3a8Kxcsbr8/edit?usp=drivesdk" TargetMode="External"/><Relationship Id="rId1371" Type="http://schemas.openxmlformats.org/officeDocument/2006/relationships/hyperlink" Target="https://drive.google.com/open?id=1jUBB8bi1gwtJnyNUeGBHfFFkflRd2kEj" TargetMode="External"/><Relationship Id="rId1372" Type="http://schemas.openxmlformats.org/officeDocument/2006/relationships/hyperlink" Target="https://drive.google.com/uc?export=view&amp;id=1jUBB8bi1gwtJnyNUeGBHfFFkflRd2kEj" TargetMode="External"/><Relationship Id="rId1373" Type="http://schemas.openxmlformats.org/officeDocument/2006/relationships/hyperlink" Target="https://docs.google.com/document/d/1pmKTevyIocj900QDU0kj3XDyMis5svvzeJyUS_HXi5g/edit?usp=drivesdk" TargetMode="External"/><Relationship Id="rId785" Type="http://schemas.openxmlformats.org/officeDocument/2006/relationships/hyperlink" Target="https://drive.google.com/uc?export=view&amp;id=1RTunEbVLnIsku-oM-vmh_6qOFqUV7Q7F" TargetMode="External"/><Relationship Id="rId1374" Type="http://schemas.openxmlformats.org/officeDocument/2006/relationships/hyperlink" Target="https://drive.google.com/open?id=10a_Dz6fV2PCX6iBJP5yK2duA0-h2xxAf" TargetMode="External"/><Relationship Id="rId4400" Type="http://schemas.openxmlformats.org/officeDocument/2006/relationships/hyperlink" Target="https://drive.google.com/open?id=1oo86RssWGlFnBZCfaDNSRiXSbOQnhABg" TargetMode="External"/><Relationship Id="rId784" Type="http://schemas.openxmlformats.org/officeDocument/2006/relationships/hyperlink" Target="https://drive.google.com/open?id=1RTunEbVLnIsku-oM-vmh_6qOFqUV7Q7F" TargetMode="External"/><Relationship Id="rId1375" Type="http://schemas.openxmlformats.org/officeDocument/2006/relationships/hyperlink" Target="https://drive.google.com/uc?export=view&amp;id=10a_Dz6fV2PCX6iBJP5yK2duA0-h2xxAf" TargetMode="External"/><Relationship Id="rId783" Type="http://schemas.openxmlformats.org/officeDocument/2006/relationships/hyperlink" Target="https://docs.google.com/document/d/1j_n1wSswrJa3TZsvcxE1BWjMR_SCDA9QQptLjaH8gL8/edit?usp=drivesdk" TargetMode="External"/><Relationship Id="rId1376" Type="http://schemas.openxmlformats.org/officeDocument/2006/relationships/hyperlink" Target="https://docs.google.com/document/d/1kv9vSmQU4ogRK8X2bvdJooFRto-CCgkIDgLsaP9u9YE/edit?usp=drivesdk" TargetMode="External"/><Relationship Id="rId4402" Type="http://schemas.openxmlformats.org/officeDocument/2006/relationships/hyperlink" Target="https://docs.google.com/document/d/1i4-5yqI12tHvGAXQ1YCH6rYG3HbOU105FYTU4to2i88/edit?usp=drivesdk" TargetMode="External"/><Relationship Id="rId782" Type="http://schemas.openxmlformats.org/officeDocument/2006/relationships/hyperlink" Target="https://drive.google.com/uc?export=view&amp;id=1MZviSHKriAP1ivA0Q4TQ0y8OI2PTa_75" TargetMode="External"/><Relationship Id="rId1377" Type="http://schemas.openxmlformats.org/officeDocument/2006/relationships/hyperlink" Target="https://drive.google.com/open?id=1SrtVcmvuw_UTnffM081-PV8cyUFlwGEG" TargetMode="External"/><Relationship Id="rId4401" Type="http://schemas.openxmlformats.org/officeDocument/2006/relationships/hyperlink" Target="https://drive.google.com/uc?export=view&amp;id=1oo86RssWGlFnBZCfaDNSRiXSbOQnhABg" TargetMode="External"/><Relationship Id="rId1367" Type="http://schemas.openxmlformats.org/officeDocument/2006/relationships/hyperlink" Target="https://docs.google.com/document/d/1FnQAjLEP2jOLwCmdGfMd_LDIsW3MEbUpB4MmKRiZMq8/edit?usp=drivesdk" TargetMode="External"/><Relationship Id="rId2698" Type="http://schemas.openxmlformats.org/officeDocument/2006/relationships/hyperlink" Target="https://docs.google.com/document/d/1SgYWDIepXs6bfDb_4qR8iPYSJfBaFHY0y8Jke0Mx9IY/edit?usp=drivesdk" TargetMode="External"/><Relationship Id="rId1368" Type="http://schemas.openxmlformats.org/officeDocument/2006/relationships/hyperlink" Target="https://drive.google.com/open?id=1lWDPU66QnL_gTSJE1cPmvdF86HP-xTYz" TargetMode="External"/><Relationship Id="rId2699" Type="http://schemas.openxmlformats.org/officeDocument/2006/relationships/hyperlink" Target="https://drive.google.com/open?id=1euTf3uc-FRxLCWcH42UPSyuMfJPSE8qh" TargetMode="External"/><Relationship Id="rId1369" Type="http://schemas.openxmlformats.org/officeDocument/2006/relationships/hyperlink" Target="https://drive.google.com/uc?export=view&amp;id=1lWDPU66QnL_gTSJE1cPmvdF86HP-xTYz" TargetMode="External"/><Relationship Id="rId778" Type="http://schemas.openxmlformats.org/officeDocument/2006/relationships/hyperlink" Target="https://drive.google.com/open?id=1UQ-1gu2RBqWdDogDVl1zIcAVASJpNtxv" TargetMode="External"/><Relationship Id="rId777" Type="http://schemas.openxmlformats.org/officeDocument/2006/relationships/hyperlink" Target="https://docs.google.com/document/d/1k6yC_-zuLeF844V-rMYTnQlfrtxJjpZkYNC5j2kntI8/edit?usp=drivesdk" TargetMode="External"/><Relationship Id="rId776" Type="http://schemas.openxmlformats.org/officeDocument/2006/relationships/hyperlink" Target="https://drive.google.com/uc?export=view&amp;id=1smVJVxpiMifvN5i0QSMJxAo4vGidnXAF" TargetMode="External"/><Relationship Id="rId775" Type="http://schemas.openxmlformats.org/officeDocument/2006/relationships/hyperlink" Target="https://drive.google.com/open?id=1smVJVxpiMifvN5i0QSMJxAo4vGidnXAF" TargetMode="External"/><Relationship Id="rId779" Type="http://schemas.openxmlformats.org/officeDocument/2006/relationships/hyperlink" Target="https://drive.google.com/uc?export=view&amp;id=1UQ-1gu2RBqWdDogDVl1zIcAVASJpNtxv" TargetMode="External"/><Relationship Id="rId770" Type="http://schemas.openxmlformats.org/officeDocument/2006/relationships/hyperlink" Target="https://drive.google.com/uc?export=view&amp;id=1rWOWDzIWk3KplimW7zqYTKHT2UeQXbjP" TargetMode="External"/><Relationship Id="rId2690" Type="http://schemas.openxmlformats.org/officeDocument/2006/relationships/hyperlink" Target="https://drive.google.com/open?id=1h6NUj6Q2Ws7wvkTohDIGGZy-9PJEYA-j" TargetMode="External"/><Relationship Id="rId1360" Type="http://schemas.openxmlformats.org/officeDocument/2006/relationships/hyperlink" Target="https://drive.google.com/uc?export=view&amp;id=1-L8odO-fHxWxruEigf59pCjsZBs6nJZH" TargetMode="External"/><Relationship Id="rId2691" Type="http://schemas.openxmlformats.org/officeDocument/2006/relationships/hyperlink" Target="https://drive.google.com/uc?export=view&amp;id=1h6NUj6Q2Ws7wvkTohDIGGZy-9PJEYA-j" TargetMode="External"/><Relationship Id="rId1361" Type="http://schemas.openxmlformats.org/officeDocument/2006/relationships/hyperlink" Target="https://docs.google.com/document/d/1dIIJVabDl0vi8pzvB7TGNUwr_46CS-ZzDnxUx0LIeCM/edit?usp=drivesdk" TargetMode="External"/><Relationship Id="rId2692" Type="http://schemas.openxmlformats.org/officeDocument/2006/relationships/hyperlink" Target="https://docs.google.com/document/d/19R8cfu8u1oHeBjk9HXoPe6I_absP8kNTuhGjEbW2NI8/edit?usp=drivesdk" TargetMode="External"/><Relationship Id="rId1362" Type="http://schemas.openxmlformats.org/officeDocument/2006/relationships/hyperlink" Target="https://drive.google.com/open?id=1gTS_YuLtgT4Hpo9L2UHprqG7eN_zykuY" TargetMode="External"/><Relationship Id="rId2693" Type="http://schemas.openxmlformats.org/officeDocument/2006/relationships/hyperlink" Target="https://drive.google.com/open?id=1dv1mW5zBpESE4-Bs5TsPbUIMkxN_iFW-" TargetMode="External"/><Relationship Id="rId774" Type="http://schemas.openxmlformats.org/officeDocument/2006/relationships/hyperlink" Target="https://docs.google.com/document/d/1rJvuNhpkHGzriKdzdhoav1PiJ0LsOUjk4qpOFa5H3NA/edit?usp=drivesdk" TargetMode="External"/><Relationship Id="rId1363" Type="http://schemas.openxmlformats.org/officeDocument/2006/relationships/hyperlink" Target="https://drive.google.com/uc?export=view&amp;id=1gTS_YuLtgT4Hpo9L2UHprqG7eN_zykuY" TargetMode="External"/><Relationship Id="rId2694" Type="http://schemas.openxmlformats.org/officeDocument/2006/relationships/hyperlink" Target="https://drive.google.com/uc?export=view&amp;id=1dv1mW5zBpESE4-Bs5TsPbUIMkxN_iFW-" TargetMode="External"/><Relationship Id="rId773" Type="http://schemas.openxmlformats.org/officeDocument/2006/relationships/hyperlink" Target="https://drive.google.com/uc?export=view&amp;id=1i0k0XkjbhEaKNUiiPmgVhdZJS9iKH-Tm" TargetMode="External"/><Relationship Id="rId1364" Type="http://schemas.openxmlformats.org/officeDocument/2006/relationships/hyperlink" Target="https://docs.google.com/document/d/1TKENXDlfd6NpVrL92OuMiwrvCMfxiO_5jcF_bHPE4Pg/edit?usp=drivesdk" TargetMode="External"/><Relationship Id="rId2695" Type="http://schemas.openxmlformats.org/officeDocument/2006/relationships/hyperlink" Target="https://docs.google.com/document/d/1KQysH4lSlYQW9Ob_WYJVzxutrqK5fWL8MQHEXjoGuaw/edit?usp=drivesdk" TargetMode="External"/><Relationship Id="rId772" Type="http://schemas.openxmlformats.org/officeDocument/2006/relationships/hyperlink" Target="https://drive.google.com/open?id=1i0k0XkjbhEaKNUiiPmgVhdZJS9iKH-Tm" TargetMode="External"/><Relationship Id="rId1365" Type="http://schemas.openxmlformats.org/officeDocument/2006/relationships/hyperlink" Target="https://drive.google.com/open?id=14uPAck1mXV0Kvpi7dK0rvznKVPByQcio" TargetMode="External"/><Relationship Id="rId2696" Type="http://schemas.openxmlformats.org/officeDocument/2006/relationships/hyperlink" Target="https://drive.google.com/open?id=1I4cBJNimyajgOuPjADNR73iiKimNq2m7" TargetMode="External"/><Relationship Id="rId771" Type="http://schemas.openxmlformats.org/officeDocument/2006/relationships/hyperlink" Target="https://docs.google.com/document/d/1kM-F0gdPnW74Q6C71pQ6ItLjz9ZeDqTnjfqsjlU2PeM/edit?usp=drivesdk" TargetMode="External"/><Relationship Id="rId1366" Type="http://schemas.openxmlformats.org/officeDocument/2006/relationships/hyperlink" Target="https://drive.google.com/uc?export=view&amp;id=14uPAck1mXV0Kvpi7dK0rvznKVPByQcio" TargetMode="External"/><Relationship Id="rId2697" Type="http://schemas.openxmlformats.org/officeDocument/2006/relationships/hyperlink" Target="https://drive.google.com/uc?export=view&amp;id=1I4cBJNimyajgOuPjADNR73iiKimNq2m7" TargetMode="External"/><Relationship Id="rId4426" Type="http://schemas.openxmlformats.org/officeDocument/2006/relationships/hyperlink" Target="https://docs.google.com/document/d/1aK2ZOQ3FLkP0eVFeAoNHeOrbZw_1eol3cY2kwhRRvIA/edit?usp=drivesdk" TargetMode="External"/><Relationship Id="rId4425" Type="http://schemas.openxmlformats.org/officeDocument/2006/relationships/hyperlink" Target="https://drive.google.com/uc?export=view&amp;id=1tER9A880IaXSKDGudCdQI3_BTWr4KPq1" TargetMode="External"/><Relationship Id="rId4428" Type="http://schemas.openxmlformats.org/officeDocument/2006/relationships/hyperlink" Target="https://drive.google.com/uc?export=view&amp;id=1DWt42W4xw5rMPrgmrV7qa_ufNXFtKU-8" TargetMode="External"/><Relationship Id="rId4427" Type="http://schemas.openxmlformats.org/officeDocument/2006/relationships/hyperlink" Target="https://drive.google.com/open?id=1DWt42W4xw5rMPrgmrV7qa_ufNXFtKU-8" TargetMode="External"/><Relationship Id="rId4429" Type="http://schemas.openxmlformats.org/officeDocument/2006/relationships/hyperlink" Target="https://docs.google.com/document/d/1N8aDHVx1_EcQdTwdBpsCxqNau93Ul-ACjFTv2e3nKgA/edit?usp=drivesdk" TargetMode="External"/><Relationship Id="rId1390" Type="http://schemas.openxmlformats.org/officeDocument/2006/relationships/hyperlink" Target="https://drive.google.com/open?id=1YhqmsJPEWdLvD3I7uCiixmvODZ7wN7fb" TargetMode="External"/><Relationship Id="rId1391" Type="http://schemas.openxmlformats.org/officeDocument/2006/relationships/hyperlink" Target="https://drive.google.com/uc?export=view&amp;id=1YhqmsJPEWdLvD3I7uCiixmvODZ7wN7fb" TargetMode="External"/><Relationship Id="rId1392" Type="http://schemas.openxmlformats.org/officeDocument/2006/relationships/hyperlink" Target="https://docs.google.com/document/d/1pF96gKcdfVBobKjuX0ZicH4TA-zBceltSW0M0hs0urw/edit?usp=drivesdk" TargetMode="External"/><Relationship Id="rId1393" Type="http://schemas.openxmlformats.org/officeDocument/2006/relationships/hyperlink" Target="https://drive.google.com/open?id=1ShQdJT_SKduuzAGtHK3D7_LPMYdHKC9q" TargetMode="External"/><Relationship Id="rId1394" Type="http://schemas.openxmlformats.org/officeDocument/2006/relationships/hyperlink" Target="https://drive.google.com/uc?export=view&amp;id=1ShQdJT_SKduuzAGtHK3D7_LPMYdHKC9q" TargetMode="External"/><Relationship Id="rId4420" Type="http://schemas.openxmlformats.org/officeDocument/2006/relationships/hyperlink" Target="https://docs.google.com/document/d/1OdZwvYAmHFVloHaqnWGT8r7yrbCizHUU8PS7Y--UG_Y/edit?usp=drivesdk" TargetMode="External"/><Relationship Id="rId1395" Type="http://schemas.openxmlformats.org/officeDocument/2006/relationships/hyperlink" Target="https://docs.google.com/document/d/1JpPfVigVFhWGQo4Vs79T4DUXPDVLGR4FLdws12MyWTQ/edit?usp=drivesdk" TargetMode="External"/><Relationship Id="rId1396" Type="http://schemas.openxmlformats.org/officeDocument/2006/relationships/hyperlink" Target="https://drive.google.com/open?id=1c2poxYsGO-J6smEcUq2_m2BBJrNl1IU3" TargetMode="External"/><Relationship Id="rId4422" Type="http://schemas.openxmlformats.org/officeDocument/2006/relationships/hyperlink" Target="https://drive.google.com/uc?export=view&amp;id=1ijlRg_WryJNCfZOOCorsx3nk5qOudRyp" TargetMode="External"/><Relationship Id="rId1397" Type="http://schemas.openxmlformats.org/officeDocument/2006/relationships/hyperlink" Target="https://drive.google.com/uc?export=view&amp;id=1c2poxYsGO-J6smEcUq2_m2BBJrNl1IU3" TargetMode="External"/><Relationship Id="rId4421" Type="http://schemas.openxmlformats.org/officeDocument/2006/relationships/hyperlink" Target="https://drive.google.com/open?id=1ijlRg_WryJNCfZOOCorsx3nk5qOudRyp" TargetMode="External"/><Relationship Id="rId1398" Type="http://schemas.openxmlformats.org/officeDocument/2006/relationships/hyperlink" Target="https://docs.google.com/document/d/1oHYwqT1_zKf4S7TzrUfMwv_XLQZOZ55vO2zfix58s5Y/edit?usp=drivesdk" TargetMode="External"/><Relationship Id="rId4424" Type="http://schemas.openxmlformats.org/officeDocument/2006/relationships/hyperlink" Target="https://drive.google.com/open?id=1tER9A880IaXSKDGudCdQI3_BTWr4KPq1" TargetMode="External"/><Relationship Id="rId1399" Type="http://schemas.openxmlformats.org/officeDocument/2006/relationships/hyperlink" Target="https://drive.google.com/open?id=1dxMJywr_vCLUouTxV_btQSUAF88ttSAl" TargetMode="External"/><Relationship Id="rId4423" Type="http://schemas.openxmlformats.org/officeDocument/2006/relationships/hyperlink" Target="https://docs.google.com/document/d/1lDuW76GRqt91GUbOMvw-5fSBJLrrGy0-b2SbUKPDAPI/edit?usp=drivesdk" TargetMode="External"/><Relationship Id="rId1389" Type="http://schemas.openxmlformats.org/officeDocument/2006/relationships/hyperlink" Target="https://docs.google.com/document/d/1qmN45rhEflRRQcviLy9TML78ZpzL18dzJhHPaQ7ZQAk/edit?usp=drivesdk" TargetMode="External"/><Relationship Id="rId4415" Type="http://schemas.openxmlformats.org/officeDocument/2006/relationships/hyperlink" Target="https://drive.google.com/open?id=1v5DJj8DG-ffsVZRlQiFyHpJLq7yuGOrp" TargetMode="External"/><Relationship Id="rId4414" Type="http://schemas.openxmlformats.org/officeDocument/2006/relationships/hyperlink" Target="https://docs.google.com/document/d/1xdurwv4Z9XwJIQSoE3DMNv-ZzKKs3S_xcNxLt4EXykA/edit?usp=drivesdk" TargetMode="External"/><Relationship Id="rId4417" Type="http://schemas.openxmlformats.org/officeDocument/2006/relationships/hyperlink" Target="https://docs.google.com/document/d/1RS8fBCpUYgNUnXg-88FLYGL7iIZ_e-BMtSuOlIJ3Bfc/edit?usp=drivesdk" TargetMode="External"/><Relationship Id="rId4416" Type="http://schemas.openxmlformats.org/officeDocument/2006/relationships/hyperlink" Target="https://drive.google.com/uc?export=view&amp;id=1v5DJj8DG-ffsVZRlQiFyHpJLq7yuGOrp" TargetMode="External"/><Relationship Id="rId4419" Type="http://schemas.openxmlformats.org/officeDocument/2006/relationships/hyperlink" Target="https://drive.google.com/uc?export=view&amp;id=17rx03KFCXajAkFfsh0knmEBSRyecnf-3" TargetMode="External"/><Relationship Id="rId4418" Type="http://schemas.openxmlformats.org/officeDocument/2006/relationships/hyperlink" Target="https://drive.google.com/open?id=17rx03KFCXajAkFfsh0knmEBSRyecnf-3" TargetMode="External"/><Relationship Id="rId799" Type="http://schemas.openxmlformats.org/officeDocument/2006/relationships/hyperlink" Target="https://drive.google.com/open?id=1ml6szt5KaMVdhL7wupmVdkElpX61mTZ1" TargetMode="External"/><Relationship Id="rId798" Type="http://schemas.openxmlformats.org/officeDocument/2006/relationships/hyperlink" Target="https://docs.google.com/document/d/1za_7yOqTib1NPMSh4IbFSA-dtAiSNJgyO-MfswdGlpc/edit?usp=drivesdk" TargetMode="External"/><Relationship Id="rId797" Type="http://schemas.openxmlformats.org/officeDocument/2006/relationships/hyperlink" Target="https://drive.google.com/uc?export=view&amp;id=1D_2sJDZmO8wK0nbxXORZ5sU_5FzmhQix" TargetMode="External"/><Relationship Id="rId1380" Type="http://schemas.openxmlformats.org/officeDocument/2006/relationships/hyperlink" Target="https://drive.google.com/open?id=1echSvP7mUzeimKKouM3Ke-y1LfsiYiI_" TargetMode="External"/><Relationship Id="rId792" Type="http://schemas.openxmlformats.org/officeDocument/2006/relationships/hyperlink" Target="https://docs.google.com/document/d/1tnuUb9BqNx6xR7-k_cObkv5FP4YSMyAsrnt5s4kG_Os/edit?usp=drivesdk" TargetMode="External"/><Relationship Id="rId1381" Type="http://schemas.openxmlformats.org/officeDocument/2006/relationships/hyperlink" Target="https://drive.google.com/uc?export=view&amp;id=1echSvP7mUzeimKKouM3Ke-y1LfsiYiI_" TargetMode="External"/><Relationship Id="rId791" Type="http://schemas.openxmlformats.org/officeDocument/2006/relationships/hyperlink" Target="https://drive.google.com/uc?export=view&amp;id=1kxmwe4VzVONL0qswgajfUCtiBh7yZr50" TargetMode="External"/><Relationship Id="rId1382" Type="http://schemas.openxmlformats.org/officeDocument/2006/relationships/hyperlink" Target="http://amirudin.lc" TargetMode="External"/><Relationship Id="rId790" Type="http://schemas.openxmlformats.org/officeDocument/2006/relationships/hyperlink" Target="https://drive.google.com/open?id=1kxmwe4VzVONL0qswgajfUCtiBh7yZr50" TargetMode="External"/><Relationship Id="rId1383" Type="http://schemas.openxmlformats.org/officeDocument/2006/relationships/hyperlink" Target="https://docs.google.com/document/d/17w5oIOidX4ylhtUVULFNR3yXMAT3ao6C3f91_mOv_fM/edit?usp=drivesdk" TargetMode="External"/><Relationship Id="rId1384" Type="http://schemas.openxmlformats.org/officeDocument/2006/relationships/hyperlink" Target="https://drive.google.com/open?id=1AA2yf0UUnviaPSFCCEwh0bMUajLZmju0" TargetMode="External"/><Relationship Id="rId796" Type="http://schemas.openxmlformats.org/officeDocument/2006/relationships/hyperlink" Target="https://drive.google.com/open?id=1D_2sJDZmO8wK0nbxXORZ5sU_5FzmhQix" TargetMode="External"/><Relationship Id="rId1385" Type="http://schemas.openxmlformats.org/officeDocument/2006/relationships/hyperlink" Target="https://drive.google.com/uc?export=view&amp;id=1AA2yf0UUnviaPSFCCEwh0bMUajLZmju0" TargetMode="External"/><Relationship Id="rId4411" Type="http://schemas.openxmlformats.org/officeDocument/2006/relationships/hyperlink" Target="https://docs.google.com/document/d/1KQK54KcMagfTKdYr1RwnlkMiQdNaTp6WfjgumYRsNEE/edit?usp=drivesdk" TargetMode="External"/><Relationship Id="rId795" Type="http://schemas.openxmlformats.org/officeDocument/2006/relationships/hyperlink" Target="https://docs.google.com/document/d/1Txa-bu2Vw2NyFsB18wqijG3gQJSGcm-b6U8rHPYiGqs/edit?usp=drivesdk" TargetMode="External"/><Relationship Id="rId1386" Type="http://schemas.openxmlformats.org/officeDocument/2006/relationships/hyperlink" Target="https://docs.google.com/document/d/1EA2BIcTvTdQ79Btm9gbY5IrZsFc5aHOXJWuzpL7kJ1k/edit?usp=drivesdk" TargetMode="External"/><Relationship Id="rId4410" Type="http://schemas.openxmlformats.org/officeDocument/2006/relationships/hyperlink" Target="https://drive.google.com/uc?export=view&amp;id=1irGdS65NFqsNOAGww0f9hNBer0FbF2Xb" TargetMode="External"/><Relationship Id="rId794" Type="http://schemas.openxmlformats.org/officeDocument/2006/relationships/hyperlink" Target="https://drive.google.com/uc?export=view&amp;id=1cX2FwaU1ZRnwB8DM3H1CA7FRsKcO-FpG" TargetMode="External"/><Relationship Id="rId1387" Type="http://schemas.openxmlformats.org/officeDocument/2006/relationships/hyperlink" Target="https://drive.google.com/open?id=1hl4lT8VDWlxmy_yC3PGTXscWvOSKIa4f" TargetMode="External"/><Relationship Id="rId4413" Type="http://schemas.openxmlformats.org/officeDocument/2006/relationships/hyperlink" Target="https://drive.google.com/uc?export=view&amp;id=1d-CmYITErAg1070NkuPhb9IwjU_jE-R7" TargetMode="External"/><Relationship Id="rId793" Type="http://schemas.openxmlformats.org/officeDocument/2006/relationships/hyperlink" Target="https://drive.google.com/open?id=1cX2FwaU1ZRnwB8DM3H1CA7FRsKcO-FpG" TargetMode="External"/><Relationship Id="rId1388" Type="http://schemas.openxmlformats.org/officeDocument/2006/relationships/hyperlink" Target="https://drive.google.com/uc?export=view&amp;id=1hl4lT8VDWlxmy_yC3PGTXscWvOSKIa4f" TargetMode="External"/><Relationship Id="rId4412" Type="http://schemas.openxmlformats.org/officeDocument/2006/relationships/hyperlink" Target="https://drive.google.com/open?id=1d-CmYITErAg1070NkuPhb9IwjU_jE-R7" TargetMode="External"/><Relationship Id="rId3191" Type="http://schemas.openxmlformats.org/officeDocument/2006/relationships/hyperlink" Target="https://drive.google.com/open?id=15iOZWkcnKL6PUhHpMwrcTfQS1svwCkIS" TargetMode="External"/><Relationship Id="rId3190" Type="http://schemas.openxmlformats.org/officeDocument/2006/relationships/hyperlink" Target="https://docs.google.com/document/d/1J5CHAVnIBxdE3zgvPAPsj6tkPc7h1FfFdWq0fvP4wHA/edit?usp=drivesdk" TargetMode="External"/><Relationship Id="rId3193" Type="http://schemas.openxmlformats.org/officeDocument/2006/relationships/hyperlink" Target="https://docs.google.com/document/d/1PBkyYo9uY_1-Lm_DCV1sivgvNfq0QGnM66iIXRj5wyw/edit?usp=drivesdk" TargetMode="External"/><Relationship Id="rId3192" Type="http://schemas.openxmlformats.org/officeDocument/2006/relationships/hyperlink" Target="https://drive.google.com/uc?export=view&amp;id=15iOZWkcnKL6PUhHpMwrcTfQS1svwCkIS" TargetMode="External"/><Relationship Id="rId3195" Type="http://schemas.openxmlformats.org/officeDocument/2006/relationships/hyperlink" Target="https://drive.google.com/uc?export=view&amp;id=1oLrePZLSnQF7nuOooArZ-3RYK-wyxTQW" TargetMode="External"/><Relationship Id="rId3194" Type="http://schemas.openxmlformats.org/officeDocument/2006/relationships/hyperlink" Target="https://drive.google.com/open?id=1oLrePZLSnQF7nuOooArZ-3RYK-wyxTQW" TargetMode="External"/><Relationship Id="rId3197" Type="http://schemas.openxmlformats.org/officeDocument/2006/relationships/hyperlink" Target="https://drive.google.com/open?id=1GcyzNWvteh5WlnThSU8NyFkVvB8hhrJ_" TargetMode="External"/><Relationship Id="rId3196" Type="http://schemas.openxmlformats.org/officeDocument/2006/relationships/hyperlink" Target="https://docs.google.com/document/d/1kojFa1gqGQsURNu7gqnMWxwXaEde-tsq0n1MtHSTLVY/edit?usp=drivesdk" TargetMode="External"/><Relationship Id="rId3199" Type="http://schemas.openxmlformats.org/officeDocument/2006/relationships/hyperlink" Target="https://docs.google.com/document/d/1GX7dFivowxctd14Ispd_IBYTRDFwo_WHyk301IYR5ss/edit?usp=drivesdk" TargetMode="External"/><Relationship Id="rId3198" Type="http://schemas.openxmlformats.org/officeDocument/2006/relationships/hyperlink" Target="https://drive.google.com/uc?export=view&amp;id=1GcyzNWvteh5WlnThSU8NyFkVvB8hhrJ_" TargetMode="External"/><Relationship Id="rId3180" Type="http://schemas.openxmlformats.org/officeDocument/2006/relationships/hyperlink" Target="https://drive.google.com/uc?export=view&amp;id=1-EEzexcNWZJbx0wCpTRiy6-uItzYOAHh" TargetMode="External"/><Relationship Id="rId3182" Type="http://schemas.openxmlformats.org/officeDocument/2006/relationships/hyperlink" Target="https://drive.google.com/open?id=14jcuqYjHTQb8vXLRVvnZT2Ql-MeRn7T3" TargetMode="External"/><Relationship Id="rId3181" Type="http://schemas.openxmlformats.org/officeDocument/2006/relationships/hyperlink" Target="https://docs.google.com/document/d/1G5a2TN_UMednaCGb5wj85FnQnWDrYDRubllE1U0w6z0/edit?usp=drivesdk" TargetMode="External"/><Relationship Id="rId3184" Type="http://schemas.openxmlformats.org/officeDocument/2006/relationships/hyperlink" Target="https://docs.google.com/document/d/1mohnHiEdm4LYfAHG_mxyEARceaz8KAV4IqdfGf1oVVQ/edit?usp=drivesdk" TargetMode="External"/><Relationship Id="rId3183" Type="http://schemas.openxmlformats.org/officeDocument/2006/relationships/hyperlink" Target="https://drive.google.com/uc?export=view&amp;id=14jcuqYjHTQb8vXLRVvnZT2Ql-MeRn7T3" TargetMode="External"/><Relationship Id="rId3186" Type="http://schemas.openxmlformats.org/officeDocument/2006/relationships/hyperlink" Target="https://drive.google.com/uc?export=view&amp;id=1QCxKNCOeix_V4ceKUkmyN4kdnqWiH0Qy" TargetMode="External"/><Relationship Id="rId3185" Type="http://schemas.openxmlformats.org/officeDocument/2006/relationships/hyperlink" Target="https://drive.google.com/open?id=1QCxKNCOeix_V4ceKUkmyN4kdnqWiH0Qy" TargetMode="External"/><Relationship Id="rId3188" Type="http://schemas.openxmlformats.org/officeDocument/2006/relationships/hyperlink" Target="https://drive.google.com/open?id=1skNoiQFN8S1E9qrZfpQdM6hECcCfcTrV" TargetMode="External"/><Relationship Id="rId3187" Type="http://schemas.openxmlformats.org/officeDocument/2006/relationships/hyperlink" Target="https://docs.google.com/document/d/1ZQ4Xo_ZDt5ONUjDq1XnxM6ixCZnoks0xaMl80D1B7yY/edit?usp=drivesdk" TargetMode="External"/><Relationship Id="rId3189" Type="http://schemas.openxmlformats.org/officeDocument/2006/relationships/hyperlink" Target="https://drive.google.com/uc?export=view&amp;id=1skNoiQFN8S1E9qrZfpQdM6hECcCfcTrV" TargetMode="External"/><Relationship Id="rId4480" Type="http://schemas.openxmlformats.org/officeDocument/2006/relationships/hyperlink" Target="https://docs.google.com/document/d/13wYwNfG1yhPDla54QVCvrxIx4_CYcYlQWWW-uXlkD6Q/edit?usp=drivesdk" TargetMode="External"/><Relationship Id="rId3151" Type="http://schemas.openxmlformats.org/officeDocument/2006/relationships/hyperlink" Target="https://docs.google.com/document/d/1KMzq0c0XznF4ZDXxmYv6lXUoRN9NoVcHaTHmqArjf1c/edit?usp=drivesdk" TargetMode="External"/><Relationship Id="rId4482" Type="http://schemas.openxmlformats.org/officeDocument/2006/relationships/hyperlink" Target="https://drive.google.com/uc?export=view&amp;id=1PRRJJu1vACH1r5PHhQ511VBZlEFtvpWD" TargetMode="External"/><Relationship Id="rId3150" Type="http://schemas.openxmlformats.org/officeDocument/2006/relationships/hyperlink" Target="https://drive.google.com/uc?export=view&amp;id=1Wb4aSlsuna0twqYOeWUQySug-e72ds8p" TargetMode="External"/><Relationship Id="rId4481" Type="http://schemas.openxmlformats.org/officeDocument/2006/relationships/hyperlink" Target="https://drive.google.com/open?id=1PRRJJu1vACH1r5PHhQ511VBZlEFtvpWD" TargetMode="External"/><Relationship Id="rId3153" Type="http://schemas.openxmlformats.org/officeDocument/2006/relationships/hyperlink" Target="https://drive.google.com/uc?export=view&amp;id=16p2Uh8QZpcmdXXUWPpXtYV4d01Mh3Dmk" TargetMode="External"/><Relationship Id="rId4484" Type="http://schemas.openxmlformats.org/officeDocument/2006/relationships/hyperlink" Target="https://drive.google.com/open?id=1kBw9Dlea05r1GhtQN38r_NFCZDg0vfoo" TargetMode="External"/><Relationship Id="rId3152" Type="http://schemas.openxmlformats.org/officeDocument/2006/relationships/hyperlink" Target="https://drive.google.com/open?id=16p2Uh8QZpcmdXXUWPpXtYV4d01Mh3Dmk" TargetMode="External"/><Relationship Id="rId4483" Type="http://schemas.openxmlformats.org/officeDocument/2006/relationships/hyperlink" Target="https://docs.google.com/document/d/1pijsl0e3qXruMejGUSNJvC4APJoAK2FqvH1ttascsw0/edit?usp=drivesdk" TargetMode="External"/><Relationship Id="rId3155" Type="http://schemas.openxmlformats.org/officeDocument/2006/relationships/hyperlink" Target="https://drive.google.com/open?id=1c7tQA6vVBB_Gif2vkQWdDvP7LpC8E7yi" TargetMode="External"/><Relationship Id="rId4486" Type="http://schemas.openxmlformats.org/officeDocument/2006/relationships/hyperlink" Target="https://docs.google.com/document/d/16dGWRa0QbqJJK8Wpm8BGi0Exyn7BJWzmXad0sheLJ24/edit?usp=drivesdk" TargetMode="External"/><Relationship Id="rId3154" Type="http://schemas.openxmlformats.org/officeDocument/2006/relationships/hyperlink" Target="https://docs.google.com/document/d/1lVshn3yUlDO1kCDZF9c6pNO6JZ5Fbyfnl2a9V81Kcrg/edit?usp=drivesdk" TargetMode="External"/><Relationship Id="rId4485" Type="http://schemas.openxmlformats.org/officeDocument/2006/relationships/hyperlink" Target="https://drive.google.com/uc?export=view&amp;id=1kBw9Dlea05r1GhtQN38r_NFCZDg0vfoo" TargetMode="External"/><Relationship Id="rId3157" Type="http://schemas.openxmlformats.org/officeDocument/2006/relationships/hyperlink" Target="https://docs.google.com/document/d/1XxBMlUHoNLt0RHv_ZTZ21QGLJA2Q2Jun1AKXAouVdzQ/edit?usp=drivesdk" TargetMode="External"/><Relationship Id="rId4488" Type="http://schemas.openxmlformats.org/officeDocument/2006/relationships/hyperlink" Target="https://drive.google.com/uc?export=view&amp;id=1zI_HV96R-7V2wQOW1caMi8-UcbD-7qte" TargetMode="External"/><Relationship Id="rId3156" Type="http://schemas.openxmlformats.org/officeDocument/2006/relationships/hyperlink" Target="https://drive.google.com/uc?export=view&amp;id=1c7tQA6vVBB_Gif2vkQWdDvP7LpC8E7yi" TargetMode="External"/><Relationship Id="rId4487" Type="http://schemas.openxmlformats.org/officeDocument/2006/relationships/hyperlink" Target="https://drive.google.com/open?id=1zI_HV96R-7V2wQOW1caMi8-UcbD-7qte" TargetMode="External"/><Relationship Id="rId3159" Type="http://schemas.openxmlformats.org/officeDocument/2006/relationships/hyperlink" Target="https://drive.google.com/uc?export=view&amp;id=1sJjzbnTFyVGjDe9y057gNPTjHjJ_W9np" TargetMode="External"/><Relationship Id="rId3158" Type="http://schemas.openxmlformats.org/officeDocument/2006/relationships/hyperlink" Target="https://drive.google.com/open?id=1sJjzbnTFyVGjDe9y057gNPTjHjJ_W9np" TargetMode="External"/><Relationship Id="rId4489" Type="http://schemas.openxmlformats.org/officeDocument/2006/relationships/hyperlink" Target="https://docs.google.com/document/d/16vA9t6JcydZyWdFTchKDDAODvQ5uQJTK4__IfisfmKM/edit?usp=drivesdk" TargetMode="External"/><Relationship Id="rId3149" Type="http://schemas.openxmlformats.org/officeDocument/2006/relationships/hyperlink" Target="https://drive.google.com/open?id=1Wb4aSlsuna0twqYOeWUQySug-e72ds8p" TargetMode="External"/><Relationship Id="rId3140" Type="http://schemas.openxmlformats.org/officeDocument/2006/relationships/hyperlink" Target="https://drive.google.com/open?id=1rInmJJ9CHb5m-w9q7kaz9OGlHUd34SPb" TargetMode="External"/><Relationship Id="rId4471" Type="http://schemas.openxmlformats.org/officeDocument/2006/relationships/hyperlink" Target="https://docs.google.com/document/d/12onhc4t9amWMtFDHp_wP05ocmX2leUsHc3wEAgp5RuI/edit?usp=drivesdk" TargetMode="External"/><Relationship Id="rId4470" Type="http://schemas.openxmlformats.org/officeDocument/2006/relationships/hyperlink" Target="https://drive.google.com/uc?export=view&amp;id=1ZlowOArIzxX_0yaB8T_GTX-sgpAAqhAC" TargetMode="External"/><Relationship Id="rId3142" Type="http://schemas.openxmlformats.org/officeDocument/2006/relationships/hyperlink" Target="https://docs.google.com/document/d/1N5VPCuG77XEIFZTnuG9GrsRk-8FseW-6fDvnTqE-_f0/edit?usp=drivesdk" TargetMode="External"/><Relationship Id="rId4473" Type="http://schemas.openxmlformats.org/officeDocument/2006/relationships/hyperlink" Target="https://drive.google.com/uc?export=view&amp;id=1Ug95xKG2a0b6Mn9dv3MVwLAHNxU7H6WF" TargetMode="External"/><Relationship Id="rId3141" Type="http://schemas.openxmlformats.org/officeDocument/2006/relationships/hyperlink" Target="https://drive.google.com/uc?export=view&amp;id=1rInmJJ9CHb5m-w9q7kaz9OGlHUd34SPb" TargetMode="External"/><Relationship Id="rId4472" Type="http://schemas.openxmlformats.org/officeDocument/2006/relationships/hyperlink" Target="https://drive.google.com/open?id=1Ug95xKG2a0b6Mn9dv3MVwLAHNxU7H6WF" TargetMode="External"/><Relationship Id="rId3144" Type="http://schemas.openxmlformats.org/officeDocument/2006/relationships/hyperlink" Target="https://drive.google.com/uc?export=view&amp;id=1QI-Kt5jFXx3aUlFfAZSdsfwBfb5Z4mNX" TargetMode="External"/><Relationship Id="rId4475" Type="http://schemas.openxmlformats.org/officeDocument/2006/relationships/hyperlink" Target="https://drive.google.com/open?id=16RqhndF_LrUemkFV-0AygDjW9Kvrr6Xw" TargetMode="External"/><Relationship Id="rId3143" Type="http://schemas.openxmlformats.org/officeDocument/2006/relationships/hyperlink" Target="https://drive.google.com/open?id=1QI-Kt5jFXx3aUlFfAZSdsfwBfb5Z4mNX" TargetMode="External"/><Relationship Id="rId4474" Type="http://schemas.openxmlformats.org/officeDocument/2006/relationships/hyperlink" Target="https://docs.google.com/document/d/161wQ3FDD1nCxeRxwcjelhcqcD1b6XClGt4vwAA9qWT4/edit?usp=drivesdk" TargetMode="External"/><Relationship Id="rId3146" Type="http://schemas.openxmlformats.org/officeDocument/2006/relationships/hyperlink" Target="https://drive.google.com/open?id=1K2idFgB9k0Jobq-b1qjqRRqpuZTsKrm6" TargetMode="External"/><Relationship Id="rId4477" Type="http://schemas.openxmlformats.org/officeDocument/2006/relationships/hyperlink" Target="https://docs.google.com/document/d/1UrbYGLzOaJQLWBqd-_M1bgBnDxcba6Emo_hDyroMSUg/edit?usp=drivesdk" TargetMode="External"/><Relationship Id="rId3145" Type="http://schemas.openxmlformats.org/officeDocument/2006/relationships/hyperlink" Target="https://docs.google.com/document/d/18SBxvZEt462zv0WSl0vKEZiKq6-bkj1bqkmVeeNYgHk/edit?usp=drivesdk" TargetMode="External"/><Relationship Id="rId4476" Type="http://schemas.openxmlformats.org/officeDocument/2006/relationships/hyperlink" Target="https://drive.google.com/uc?export=view&amp;id=16RqhndF_LrUemkFV-0AygDjW9Kvrr6Xw" TargetMode="External"/><Relationship Id="rId3148" Type="http://schemas.openxmlformats.org/officeDocument/2006/relationships/hyperlink" Target="https://docs.google.com/document/d/17WgruUEdLqZAQf-6AAwLXcxJLgvFiK1vMXcvgm02sc0/edit?usp=drivesdk" TargetMode="External"/><Relationship Id="rId4479" Type="http://schemas.openxmlformats.org/officeDocument/2006/relationships/hyperlink" Target="https://drive.google.com/uc?export=view&amp;id=1fxWTZsuwH8eM6tI8ePXnktrf1id1tp3Z" TargetMode="External"/><Relationship Id="rId3147" Type="http://schemas.openxmlformats.org/officeDocument/2006/relationships/hyperlink" Target="https://drive.google.com/uc?export=view&amp;id=1K2idFgB9k0Jobq-b1qjqRRqpuZTsKrm6" TargetMode="External"/><Relationship Id="rId4478" Type="http://schemas.openxmlformats.org/officeDocument/2006/relationships/hyperlink" Target="https://drive.google.com/open?id=1fxWTZsuwH8eM6tI8ePXnktrf1id1tp3Z" TargetMode="External"/><Relationship Id="rId3171" Type="http://schemas.openxmlformats.org/officeDocument/2006/relationships/hyperlink" Target="https://drive.google.com/uc?export=view&amp;id=10z2kzRXTWTOUmGqywwTmqMcZylOhJ1fD" TargetMode="External"/><Relationship Id="rId3170" Type="http://schemas.openxmlformats.org/officeDocument/2006/relationships/hyperlink" Target="https://drive.google.com/open?id=10z2kzRXTWTOUmGqywwTmqMcZylOhJ1fD" TargetMode="External"/><Relationship Id="rId3173" Type="http://schemas.openxmlformats.org/officeDocument/2006/relationships/hyperlink" Target="https://drive.google.com/open?id=1QykGzTMaKXLdyCQXfHqNZ_X_euvaLzQ8" TargetMode="External"/><Relationship Id="rId3172" Type="http://schemas.openxmlformats.org/officeDocument/2006/relationships/hyperlink" Target="https://docs.google.com/document/d/1aM9sp4LcvIHkC5xmWSTsQK4RoU6sAJtM-jZBnwb53OI/edit?usp=drivesdk" TargetMode="External"/><Relationship Id="rId3175" Type="http://schemas.openxmlformats.org/officeDocument/2006/relationships/hyperlink" Target="https://docs.google.com/document/d/1_Fv5u3Xfo14gl9fifVz07u_OFdoc7NciPftiFqY9iyk/edit?usp=drivesdk" TargetMode="External"/><Relationship Id="rId3174" Type="http://schemas.openxmlformats.org/officeDocument/2006/relationships/hyperlink" Target="https://drive.google.com/uc?export=view&amp;id=1QykGzTMaKXLdyCQXfHqNZ_X_euvaLzQ8" TargetMode="External"/><Relationship Id="rId3177" Type="http://schemas.openxmlformats.org/officeDocument/2006/relationships/hyperlink" Target="https://drive.google.com/uc?export=view&amp;id=1gSK_RtT9rwdF6_RUKcDaC6GhbAxuMuYZ" TargetMode="External"/><Relationship Id="rId3176" Type="http://schemas.openxmlformats.org/officeDocument/2006/relationships/hyperlink" Target="https://drive.google.com/open?id=1gSK_RtT9rwdF6_RUKcDaC6GhbAxuMuYZ" TargetMode="External"/><Relationship Id="rId3179" Type="http://schemas.openxmlformats.org/officeDocument/2006/relationships/hyperlink" Target="https://drive.google.com/open?id=1-EEzexcNWZJbx0wCpTRiy6-uItzYOAHh" TargetMode="External"/><Relationship Id="rId3178" Type="http://schemas.openxmlformats.org/officeDocument/2006/relationships/hyperlink" Target="https://docs.google.com/document/d/1lclqIDHvSS_pDiAqrHWEmgAQz3qLRISHEyQrGBB9wCU/edit?usp=drivesdk" TargetMode="External"/><Relationship Id="rId3160" Type="http://schemas.openxmlformats.org/officeDocument/2006/relationships/hyperlink" Target="https://docs.google.com/document/d/1ltiFLxKr0F5uUdjHpHUJmWoxsH7GXnsbj6AWiuZXm5I/edit?usp=drivesdk" TargetMode="External"/><Relationship Id="rId4491" Type="http://schemas.openxmlformats.org/officeDocument/2006/relationships/hyperlink" Target="https://drive.google.com/uc?export=view&amp;id=1H5CxO6-lAr0Gk4GwKshvYpTdMOLcshOP" TargetMode="External"/><Relationship Id="rId4490" Type="http://schemas.openxmlformats.org/officeDocument/2006/relationships/hyperlink" Target="https://drive.google.com/open?id=1H5CxO6-lAr0Gk4GwKshvYpTdMOLcshOP" TargetMode="External"/><Relationship Id="rId3162" Type="http://schemas.openxmlformats.org/officeDocument/2006/relationships/hyperlink" Target="https://drive.google.com/uc?export=view&amp;id=1Vk_uGhgVbmOaMCPDbvQsmuvV_fRlUUNZ" TargetMode="External"/><Relationship Id="rId4493" Type="http://schemas.openxmlformats.org/officeDocument/2006/relationships/hyperlink" Target="https://drive.google.com/open?id=1nXoROiBxHqVAtWjAyrn9SS6F30y4k17C" TargetMode="External"/><Relationship Id="rId3161" Type="http://schemas.openxmlformats.org/officeDocument/2006/relationships/hyperlink" Target="https://drive.google.com/open?id=1Vk_uGhgVbmOaMCPDbvQsmuvV_fRlUUNZ" TargetMode="External"/><Relationship Id="rId4492" Type="http://schemas.openxmlformats.org/officeDocument/2006/relationships/hyperlink" Target="https://docs.google.com/document/d/1d3TRFwaoSMlryj432St1Wc1WAry8ElecI0JK1eCh5cc/edit?usp=drivesdk" TargetMode="External"/><Relationship Id="rId3164" Type="http://schemas.openxmlformats.org/officeDocument/2006/relationships/hyperlink" Target="https://drive.google.com/open?id=1UC020cid46sjDd8XmrRx7yQgqZPkjhLV" TargetMode="External"/><Relationship Id="rId4495" Type="http://schemas.openxmlformats.org/officeDocument/2006/relationships/hyperlink" Target="https://docs.google.com/document/d/1KubwXJYhKRWNKL8H41ZCuDXuchI6vi0PnPxKDhZRoBw/edit?usp=drivesdk" TargetMode="External"/><Relationship Id="rId3163" Type="http://schemas.openxmlformats.org/officeDocument/2006/relationships/hyperlink" Target="https://docs.google.com/document/d/1hKy232YRAcgm98x-2PnA9qSH2lSSpx7-pQyYwRGvihI/edit?usp=drivesdk" TargetMode="External"/><Relationship Id="rId4494" Type="http://schemas.openxmlformats.org/officeDocument/2006/relationships/hyperlink" Target="https://drive.google.com/uc?export=view&amp;id=1nXoROiBxHqVAtWjAyrn9SS6F30y4k17C" TargetMode="External"/><Relationship Id="rId3166" Type="http://schemas.openxmlformats.org/officeDocument/2006/relationships/hyperlink" Target="https://docs.google.com/document/d/1VqzjOm4PBDpS0zTF82HSnxQGKLC1IgCzfCfHoqw3EiE/edit?usp=drivesdk" TargetMode="External"/><Relationship Id="rId4497" Type="http://schemas.openxmlformats.org/officeDocument/2006/relationships/hyperlink" Target="https://drive.google.com/uc?export=view&amp;id=1W-nuPkCz_EVltWPhf3L7oOngSXxG8StR" TargetMode="External"/><Relationship Id="rId3165" Type="http://schemas.openxmlformats.org/officeDocument/2006/relationships/hyperlink" Target="https://drive.google.com/uc?export=view&amp;id=1UC020cid46sjDd8XmrRx7yQgqZPkjhLV" TargetMode="External"/><Relationship Id="rId4496" Type="http://schemas.openxmlformats.org/officeDocument/2006/relationships/hyperlink" Target="https://drive.google.com/open?id=1W-nuPkCz_EVltWPhf3L7oOngSXxG8StR" TargetMode="External"/><Relationship Id="rId3168" Type="http://schemas.openxmlformats.org/officeDocument/2006/relationships/hyperlink" Target="https://drive.google.com/uc?export=view&amp;id=1aQ5ilfJK8YWQ6oZH1iDuGBHsDLgvvzFe" TargetMode="External"/><Relationship Id="rId4499" Type="http://schemas.openxmlformats.org/officeDocument/2006/relationships/hyperlink" Target="https://drive.google.com/open?id=1WZkLkC4fqxQTc6MPCisx2osIXffgTok4" TargetMode="External"/><Relationship Id="rId3167" Type="http://schemas.openxmlformats.org/officeDocument/2006/relationships/hyperlink" Target="https://drive.google.com/open?id=1aQ5ilfJK8YWQ6oZH1iDuGBHsDLgvvzFe" TargetMode="External"/><Relationship Id="rId4498" Type="http://schemas.openxmlformats.org/officeDocument/2006/relationships/hyperlink" Target="https://docs.google.com/document/d/133gmJob2JZW-GeWldUCG4-E26cYOzC_qZTph89wdA9Q/edit?usp=drivesdk" TargetMode="External"/><Relationship Id="rId3169" Type="http://schemas.openxmlformats.org/officeDocument/2006/relationships/hyperlink" Target="https://docs.google.com/document/d/1eXtJsuSDr6QDim0fCwrnAEJ7ulOyO-f6PxBnQQisWyY/edit?usp=drivesdk" TargetMode="External"/><Relationship Id="rId2700" Type="http://schemas.openxmlformats.org/officeDocument/2006/relationships/hyperlink" Target="https://drive.google.com/uc?export=view&amp;id=1euTf3uc-FRxLCWcH42UPSyuMfJPSE8qh" TargetMode="External"/><Relationship Id="rId2701" Type="http://schemas.openxmlformats.org/officeDocument/2006/relationships/hyperlink" Target="https://docs.google.com/document/d/1WL-xAezzL5591qOUrbFFkLOHUdzy1_tMGWyhcvFqRd8/edit?usp=drivesdk" TargetMode="External"/><Relationship Id="rId2702" Type="http://schemas.openxmlformats.org/officeDocument/2006/relationships/hyperlink" Target="https://drive.google.com/open?id=1ltY3NpOk2VofY9_FbxclGVAgv8r6Bn_5" TargetMode="External"/><Relationship Id="rId2703" Type="http://schemas.openxmlformats.org/officeDocument/2006/relationships/hyperlink" Target="https://drive.google.com/uc?export=view&amp;id=1ltY3NpOk2VofY9_FbxclGVAgv8r6Bn_5" TargetMode="External"/><Relationship Id="rId2704" Type="http://schemas.openxmlformats.org/officeDocument/2006/relationships/hyperlink" Target="https://docs.google.com/document/d/1n5i1uLAGEiWJQHXMMcZ5qkZFCN7neGzJcDLzvCKEV7s/edit?usp=drivesdk" TargetMode="External"/><Relationship Id="rId2705" Type="http://schemas.openxmlformats.org/officeDocument/2006/relationships/hyperlink" Target="https://drive.google.com/open?id=1g--WtZXhYo5hoiqQGq1ZLZBT9nXkjirO" TargetMode="External"/><Relationship Id="rId2706" Type="http://schemas.openxmlformats.org/officeDocument/2006/relationships/hyperlink" Target="https://drive.google.com/uc?export=view&amp;id=1g--WtZXhYo5hoiqQGq1ZLZBT9nXkjirO" TargetMode="External"/><Relationship Id="rId2707" Type="http://schemas.openxmlformats.org/officeDocument/2006/relationships/hyperlink" Target="https://docs.google.com/document/d/1sJk24J0IRBV_TT4me8XBMQApto5hB1jB39zk21V1Toc/edit?usp=drivesdk" TargetMode="External"/><Relationship Id="rId2708" Type="http://schemas.openxmlformats.org/officeDocument/2006/relationships/hyperlink" Target="https://drive.google.com/open?id=1VO345ieFifyqEctTWFs8cZEVKYU-xnac" TargetMode="External"/><Relationship Id="rId2709" Type="http://schemas.openxmlformats.org/officeDocument/2006/relationships/hyperlink" Target="https://drive.google.com/uc?export=view&amp;id=1VO345ieFifyqEctTWFs8cZEVKYU-xnac" TargetMode="External"/><Relationship Id="rId2720" Type="http://schemas.openxmlformats.org/officeDocument/2006/relationships/hyperlink" Target="https://drive.google.com/open?id=1tTIq14rUHr0uuULtFTmIxynQEQYRVN1V" TargetMode="External"/><Relationship Id="rId2721" Type="http://schemas.openxmlformats.org/officeDocument/2006/relationships/hyperlink" Target="https://drive.google.com/uc?export=view&amp;id=1tTIq14rUHr0uuULtFTmIxynQEQYRVN1V" TargetMode="External"/><Relationship Id="rId2722" Type="http://schemas.openxmlformats.org/officeDocument/2006/relationships/hyperlink" Target="https://docs.google.com/document/d/1dBQ6744Et5aBmNBrLEU7HWoG6zJ288DE004UxlyHw6M/edit?usp=drivesdk" TargetMode="External"/><Relationship Id="rId2723" Type="http://schemas.openxmlformats.org/officeDocument/2006/relationships/hyperlink" Target="https://drive.google.com/open?id=1KE8ngSaPDd1r87T7nqo1oM5GPNXPJAFM" TargetMode="External"/><Relationship Id="rId2724" Type="http://schemas.openxmlformats.org/officeDocument/2006/relationships/hyperlink" Target="https://drive.google.com/uc?export=view&amp;id=1KE8ngSaPDd1r87T7nqo1oM5GPNXPJAFM" TargetMode="External"/><Relationship Id="rId2725" Type="http://schemas.openxmlformats.org/officeDocument/2006/relationships/hyperlink" Target="https://docs.google.com/document/d/133PVBXeEbfRlef3zqaIeNYBBj5uxwLXQkmXc2FzG4IY/edit?usp=drivesdk" TargetMode="External"/><Relationship Id="rId2726" Type="http://schemas.openxmlformats.org/officeDocument/2006/relationships/hyperlink" Target="https://drive.google.com/open?id=1sqXNLn_mkwho7f_PzSYtDrvgXfhMrAZ5" TargetMode="External"/><Relationship Id="rId2727" Type="http://schemas.openxmlformats.org/officeDocument/2006/relationships/hyperlink" Target="https://drive.google.com/uc?export=view&amp;id=1sqXNLn_mkwho7f_PzSYtDrvgXfhMrAZ5" TargetMode="External"/><Relationship Id="rId2728" Type="http://schemas.openxmlformats.org/officeDocument/2006/relationships/hyperlink" Target="https://docs.google.com/document/d/1OK3CmWf05frxIiBOkK3lnzPFj0NFpa26crh4XaolpqY/edit?usp=drivesdk" TargetMode="External"/><Relationship Id="rId2729" Type="http://schemas.openxmlformats.org/officeDocument/2006/relationships/hyperlink" Target="https://drive.google.com/open?id=1EPZONvfbxsnJ6xCRmJi9zZiG6BnEPBvY" TargetMode="External"/><Relationship Id="rId2710" Type="http://schemas.openxmlformats.org/officeDocument/2006/relationships/hyperlink" Target="https://docs.google.com/document/d/1_-ifvF2il6cPZtBamsDzBlrhdKSjPNh-GH96LZP4v9E/edit?usp=drivesdk" TargetMode="External"/><Relationship Id="rId2711" Type="http://schemas.openxmlformats.org/officeDocument/2006/relationships/hyperlink" Target="https://drive.google.com/open?id=1r4AQ-FDfFVBixuI2Gk5TDCcb6MpSz1mB" TargetMode="External"/><Relationship Id="rId2712" Type="http://schemas.openxmlformats.org/officeDocument/2006/relationships/hyperlink" Target="https://drive.google.com/uc?export=view&amp;id=1r4AQ-FDfFVBixuI2Gk5TDCcb6MpSz1mB" TargetMode="External"/><Relationship Id="rId2713" Type="http://schemas.openxmlformats.org/officeDocument/2006/relationships/hyperlink" Target="https://docs.google.com/document/d/1el5Xd7z0m_-9POWS5kpnyCCalJeyoiMA8Jp8i6wJD30/edit?usp=drivesdk" TargetMode="External"/><Relationship Id="rId2714" Type="http://schemas.openxmlformats.org/officeDocument/2006/relationships/hyperlink" Target="https://drive.google.com/open?id=18l2z70SDNvPuwJBhC2-Zdf0UT0UschBY" TargetMode="External"/><Relationship Id="rId2715" Type="http://schemas.openxmlformats.org/officeDocument/2006/relationships/hyperlink" Target="https://drive.google.com/uc?export=view&amp;id=18l2z70SDNvPuwJBhC2-Zdf0UT0UschBY" TargetMode="External"/><Relationship Id="rId2716" Type="http://schemas.openxmlformats.org/officeDocument/2006/relationships/hyperlink" Target="https://docs.google.com/document/d/1aDojvilCaul4b4aZmuYK2ea7PWu3xdZ8Rhc06Oe0Fjk/edit?usp=drivesdk" TargetMode="External"/><Relationship Id="rId2717" Type="http://schemas.openxmlformats.org/officeDocument/2006/relationships/hyperlink" Target="https://drive.google.com/open?id=1THavoeKG29eWtJwooFed171vCyVVrNtk" TargetMode="External"/><Relationship Id="rId2718" Type="http://schemas.openxmlformats.org/officeDocument/2006/relationships/hyperlink" Target="https://drive.google.com/uc?export=view&amp;id=1THavoeKG29eWtJwooFed171vCyVVrNtk" TargetMode="External"/><Relationship Id="rId2719" Type="http://schemas.openxmlformats.org/officeDocument/2006/relationships/hyperlink" Target="https://docs.google.com/document/d/1kk8nXr2-mC2AOr8SzKLcC1uiLgovuYWUoICTvJwVs5I/edit?usp=drivesdk" TargetMode="External"/><Relationship Id="rId1455" Type="http://schemas.openxmlformats.org/officeDocument/2006/relationships/hyperlink" Target="https://docs.google.com/document/d/1yNlo03CvRk95TDW-qVqU-aQdBLeP5Vy9FIErtajKXQE/edit?usp=drivesdk" TargetMode="External"/><Relationship Id="rId2786" Type="http://schemas.openxmlformats.org/officeDocument/2006/relationships/hyperlink" Target="https://drive.google.com/open?id=1Z6yuIqj7fak_cAvEpDqtKMSOo3pYvTun" TargetMode="External"/><Relationship Id="rId1456" Type="http://schemas.openxmlformats.org/officeDocument/2006/relationships/hyperlink" Target="https://drive.google.com/open?id=155pHhiDUqITiYnM4zGOsvNsjiW3-HFY2" TargetMode="External"/><Relationship Id="rId2787" Type="http://schemas.openxmlformats.org/officeDocument/2006/relationships/hyperlink" Target="https://drive.google.com/uc?export=view&amp;id=1Z6yuIqj7fak_cAvEpDqtKMSOo3pYvTun" TargetMode="External"/><Relationship Id="rId1457" Type="http://schemas.openxmlformats.org/officeDocument/2006/relationships/hyperlink" Target="https://drive.google.com/uc?export=view&amp;id=155pHhiDUqITiYnM4zGOsvNsjiW3-HFY2" TargetMode="External"/><Relationship Id="rId2788" Type="http://schemas.openxmlformats.org/officeDocument/2006/relationships/hyperlink" Target="https://docs.google.com/document/d/1SjrsQTV_IVSDWlB7rTqA9Og5bfJC-DFVmsOFTf-Pg3M/edit?usp=drivesdk" TargetMode="External"/><Relationship Id="rId1458" Type="http://schemas.openxmlformats.org/officeDocument/2006/relationships/hyperlink" Target="https://docs.google.com/document/d/14Rjp6fDho8RF4--edHQURkqw78PlxhviOd8TpQ9ipd0/edit?usp=drivesdk" TargetMode="External"/><Relationship Id="rId2789" Type="http://schemas.openxmlformats.org/officeDocument/2006/relationships/hyperlink" Target="https://drive.google.com/open?id=1Pq8eEtrEmpHAWBH0oGIU-U0BQ-Q6I7mR" TargetMode="External"/><Relationship Id="rId1459" Type="http://schemas.openxmlformats.org/officeDocument/2006/relationships/hyperlink" Target="https://drive.google.com/open?id=1uqJttUmFbdsWhVeU6VVZkD_B_Sk1Ms3f" TargetMode="External"/><Relationship Id="rId629" Type="http://schemas.openxmlformats.org/officeDocument/2006/relationships/hyperlink" Target="https://drive.google.com/uc?export=view&amp;id=1Gc96dmhVd0PWiTVnSOPqriMuBOvYfeZ6" TargetMode="External"/><Relationship Id="rId624" Type="http://schemas.openxmlformats.org/officeDocument/2006/relationships/hyperlink" Target="https://docs.google.com/document/d/1cWnXHQOs8dTNBoHIK2zZb3CcSlP_g4Ajb8AiQEMecfI/edit?usp=drivesdk" TargetMode="External"/><Relationship Id="rId623" Type="http://schemas.openxmlformats.org/officeDocument/2006/relationships/hyperlink" Target="https://drive.google.com/uc?export=view&amp;id=1kOSXIEKCcqMkd_XwoeQ4D9B8mqDt1FUJ" TargetMode="External"/><Relationship Id="rId622" Type="http://schemas.openxmlformats.org/officeDocument/2006/relationships/hyperlink" Target="https://drive.google.com/open?id=1kOSXIEKCcqMkd_XwoeQ4D9B8mqDt1FUJ" TargetMode="External"/><Relationship Id="rId621" Type="http://schemas.openxmlformats.org/officeDocument/2006/relationships/hyperlink" Target="https://docs.google.com/document/d/1iKXyeAVDdPckelE7CHmPNd252kHGpJ-Ouhs0QkknjL8/edit?usp=drivesdk" TargetMode="External"/><Relationship Id="rId628" Type="http://schemas.openxmlformats.org/officeDocument/2006/relationships/hyperlink" Target="https://drive.google.com/open?id=1Gc96dmhVd0PWiTVnSOPqriMuBOvYfeZ6" TargetMode="External"/><Relationship Id="rId627" Type="http://schemas.openxmlformats.org/officeDocument/2006/relationships/hyperlink" Target="https://docs.google.com/document/d/1csagkUtXiaXUQVWz1u6Kn6bL8nJ12N1lm_nqmYPZJj0/edit?usp=drivesdk" TargetMode="External"/><Relationship Id="rId626" Type="http://schemas.openxmlformats.org/officeDocument/2006/relationships/hyperlink" Target="https://drive.google.com/uc?export=view&amp;id=1s-0HOZjFIzIYOptxxUddrmN4WpwN3jtb" TargetMode="External"/><Relationship Id="rId625" Type="http://schemas.openxmlformats.org/officeDocument/2006/relationships/hyperlink" Target="https://drive.google.com/open?id=1s-0HOZjFIzIYOptxxUddrmN4WpwN3jtb" TargetMode="External"/><Relationship Id="rId2780" Type="http://schemas.openxmlformats.org/officeDocument/2006/relationships/hyperlink" Target="https://drive.google.com/open?id=1znrJkchofb_xUOWAuwY2epUjSFWky2kS" TargetMode="External"/><Relationship Id="rId1450" Type="http://schemas.openxmlformats.org/officeDocument/2006/relationships/hyperlink" Target="https://drive.google.com/open?id=1B-5j-195b8-pmWGJVouL3ptTIAI0QqJB" TargetMode="External"/><Relationship Id="rId2781" Type="http://schemas.openxmlformats.org/officeDocument/2006/relationships/hyperlink" Target="https://drive.google.com/uc?export=view&amp;id=1znrJkchofb_xUOWAuwY2epUjSFWky2kS" TargetMode="External"/><Relationship Id="rId620" Type="http://schemas.openxmlformats.org/officeDocument/2006/relationships/hyperlink" Target="https://drive.google.com/uc?export=view&amp;id=1apXnCGHItL9w_WAoL2RT4IxtPco3hh42" TargetMode="External"/><Relationship Id="rId1451" Type="http://schemas.openxmlformats.org/officeDocument/2006/relationships/hyperlink" Target="https://drive.google.com/uc?export=view&amp;id=1B-5j-195b8-pmWGJVouL3ptTIAI0QqJB" TargetMode="External"/><Relationship Id="rId2782" Type="http://schemas.openxmlformats.org/officeDocument/2006/relationships/hyperlink" Target="https://docs.google.com/document/d/1J9Ic3E9CNmD7u1QsLXc3-sJNq3YptrJ3OC2sDNz1vI0/edit?usp=drivesdk" TargetMode="External"/><Relationship Id="rId1452" Type="http://schemas.openxmlformats.org/officeDocument/2006/relationships/hyperlink" Target="https://docs.google.com/document/d/1QXCpJi6V02fPmNLbpDGOGx2QAewAroMbNnG2jYxiF20/edit?usp=drivesdk" TargetMode="External"/><Relationship Id="rId2783" Type="http://schemas.openxmlformats.org/officeDocument/2006/relationships/hyperlink" Target="https://drive.google.com/open?id=1pNbo2tobmYuhnqCYa7_xXWM3dJOJfUGp" TargetMode="External"/><Relationship Id="rId1453" Type="http://schemas.openxmlformats.org/officeDocument/2006/relationships/hyperlink" Target="https://drive.google.com/open?id=1db9s483va9oe8JfNdGdy7lnwJHEddAB7" TargetMode="External"/><Relationship Id="rId2784" Type="http://schemas.openxmlformats.org/officeDocument/2006/relationships/hyperlink" Target="https://drive.google.com/uc?export=view&amp;id=1pNbo2tobmYuhnqCYa7_xXWM3dJOJfUGp" TargetMode="External"/><Relationship Id="rId1454" Type="http://schemas.openxmlformats.org/officeDocument/2006/relationships/hyperlink" Target="https://drive.google.com/uc?export=view&amp;id=1db9s483va9oe8JfNdGdy7lnwJHEddAB7" TargetMode="External"/><Relationship Id="rId2785" Type="http://schemas.openxmlformats.org/officeDocument/2006/relationships/hyperlink" Target="https://docs.google.com/document/d/1vLIhxBGki5GHZLkBDr76C8o9BDN37rT0ARdQCRDZb4s/edit?usp=drivesdk" TargetMode="External"/><Relationship Id="rId1444" Type="http://schemas.openxmlformats.org/officeDocument/2006/relationships/hyperlink" Target="https://drive.google.com/open?id=1DCKlWoZFoXODSZuYQrEDnIBozVUKUrOZ" TargetMode="External"/><Relationship Id="rId2775" Type="http://schemas.openxmlformats.org/officeDocument/2006/relationships/hyperlink" Target="https://drive.google.com/uc?export=view&amp;id=1U8FbHrrggnlI9VsO5tTRihuEbRMK4xg_" TargetMode="External"/><Relationship Id="rId1445" Type="http://schemas.openxmlformats.org/officeDocument/2006/relationships/hyperlink" Target="https://drive.google.com/uc?export=view&amp;id=1DCKlWoZFoXODSZuYQrEDnIBozVUKUrOZ" TargetMode="External"/><Relationship Id="rId2776" Type="http://schemas.openxmlformats.org/officeDocument/2006/relationships/hyperlink" Target="https://docs.google.com/document/d/1EMZoQJohcgV0jwdkCIPzZB22WQsWarlgnBHrQZLwlYk/edit?usp=drivesdk" TargetMode="External"/><Relationship Id="rId1446" Type="http://schemas.openxmlformats.org/officeDocument/2006/relationships/hyperlink" Target="https://docs.google.com/document/d/1rfb3UOT36_55qihMQyZjv-GvwyPq7HKt-YxaPVmqVrI/edit?usp=drivesdk" TargetMode="External"/><Relationship Id="rId2777" Type="http://schemas.openxmlformats.org/officeDocument/2006/relationships/hyperlink" Target="https://drive.google.com/open?id=16zn8jrt1RxHu19_25miVuVF7e2dEo_OF" TargetMode="External"/><Relationship Id="rId1447" Type="http://schemas.openxmlformats.org/officeDocument/2006/relationships/hyperlink" Target="https://drive.google.com/open?id=19gPsROoquTJuKO6Uuxl7nMUh8iX4-iEC" TargetMode="External"/><Relationship Id="rId2778" Type="http://schemas.openxmlformats.org/officeDocument/2006/relationships/hyperlink" Target="https://drive.google.com/uc?export=view&amp;id=16zn8jrt1RxHu19_25miVuVF7e2dEo_OF" TargetMode="External"/><Relationship Id="rId1448" Type="http://schemas.openxmlformats.org/officeDocument/2006/relationships/hyperlink" Target="https://drive.google.com/uc?export=view&amp;id=19gPsROoquTJuKO6Uuxl7nMUh8iX4-iEC" TargetMode="External"/><Relationship Id="rId2779" Type="http://schemas.openxmlformats.org/officeDocument/2006/relationships/hyperlink" Target="https://docs.google.com/document/d/1rMDoCghsKI0GRwp7EOHflbj8S0HGMEFelWM3XKAKxzw/edit?usp=drivesdk" TargetMode="External"/><Relationship Id="rId1449" Type="http://schemas.openxmlformats.org/officeDocument/2006/relationships/hyperlink" Target="https://docs.google.com/document/d/1PKwjriYKoX877N4Fhl2qPgxdhAm7qoQJKn3jPSgRPpo/edit?usp=drivesdk" TargetMode="External"/><Relationship Id="rId619" Type="http://schemas.openxmlformats.org/officeDocument/2006/relationships/hyperlink" Target="https://drive.google.com/open?id=1apXnCGHItL9w_WAoL2RT4IxtPco3hh42" TargetMode="External"/><Relationship Id="rId618" Type="http://schemas.openxmlformats.org/officeDocument/2006/relationships/hyperlink" Target="https://docs.google.com/document/d/1rZfieAHeLPGUPWr4WejVPCIaMOKvO2YX2z0M6D3HRBk/edit?usp=drivesdk" TargetMode="External"/><Relationship Id="rId613" Type="http://schemas.openxmlformats.org/officeDocument/2006/relationships/hyperlink" Target="https://drive.google.com/open?id=1PjvHULU_hdXd54KKFIjA77-0r7j68EYM" TargetMode="External"/><Relationship Id="rId612" Type="http://schemas.openxmlformats.org/officeDocument/2006/relationships/hyperlink" Target="https://docs.google.com/document/d/1LpyMe36rZV17bQDAmly3tYMwzcg0NZN5ZoicDLsF95g/edit?usp=drivesdk" TargetMode="External"/><Relationship Id="rId611" Type="http://schemas.openxmlformats.org/officeDocument/2006/relationships/hyperlink" Target="https://drive.google.com/uc?export=view&amp;id=1uYMDsjNsDSDXihhnRegp9kPJbUyTDUAf" TargetMode="External"/><Relationship Id="rId610" Type="http://schemas.openxmlformats.org/officeDocument/2006/relationships/hyperlink" Target="https://drive.google.com/open?id=1uYMDsjNsDSDXihhnRegp9kPJbUyTDUAf" TargetMode="External"/><Relationship Id="rId617" Type="http://schemas.openxmlformats.org/officeDocument/2006/relationships/hyperlink" Target="https://drive.google.com/uc?export=view&amp;id=19Q6EHz4SNT6B3qyVEVByRFVcC4YctNck" TargetMode="External"/><Relationship Id="rId616" Type="http://schemas.openxmlformats.org/officeDocument/2006/relationships/hyperlink" Target="https://drive.google.com/open?id=19Q6EHz4SNT6B3qyVEVByRFVcC4YctNck" TargetMode="External"/><Relationship Id="rId615" Type="http://schemas.openxmlformats.org/officeDocument/2006/relationships/hyperlink" Target="https://docs.google.com/document/d/1crnW72E6CVwNgptYbKBMrns-O4nhc5pqIr2yBQbFyiA/edit?usp=drivesdk" TargetMode="External"/><Relationship Id="rId614" Type="http://schemas.openxmlformats.org/officeDocument/2006/relationships/hyperlink" Target="https://drive.google.com/uc?export=view&amp;id=1PjvHULU_hdXd54KKFIjA77-0r7j68EYM" TargetMode="External"/><Relationship Id="rId2770" Type="http://schemas.openxmlformats.org/officeDocument/2006/relationships/hyperlink" Target="https://docs.google.com/document/d/1Up5ZkFxKtC6H31WaVnP8G7OaAJB8UMYAhAWZgWriz-w/edit?usp=drivesdk" TargetMode="External"/><Relationship Id="rId1440" Type="http://schemas.openxmlformats.org/officeDocument/2006/relationships/hyperlink" Target="https://docs.google.com/document/d/1sQMbEEQyQckqiYoynHHfcrsPw8wuaEVTazsyVUu8hVo/edit?usp=drivesdk" TargetMode="External"/><Relationship Id="rId2771" Type="http://schemas.openxmlformats.org/officeDocument/2006/relationships/hyperlink" Target="https://drive.google.com/open?id=1yoFetEEcPUkRrFCu9d6PIpC8m-XFjBak" TargetMode="External"/><Relationship Id="rId1441" Type="http://schemas.openxmlformats.org/officeDocument/2006/relationships/hyperlink" Target="https://drive.google.com/open?id=1QtoH_1_pSk4h5eoDHx_LmRVSvLHt0-cU" TargetMode="External"/><Relationship Id="rId2772" Type="http://schemas.openxmlformats.org/officeDocument/2006/relationships/hyperlink" Target="https://drive.google.com/uc?export=view&amp;id=1yoFetEEcPUkRrFCu9d6PIpC8m-XFjBak" TargetMode="External"/><Relationship Id="rId1442" Type="http://schemas.openxmlformats.org/officeDocument/2006/relationships/hyperlink" Target="https://drive.google.com/uc?export=view&amp;id=1QtoH_1_pSk4h5eoDHx_LmRVSvLHt0-cU" TargetMode="External"/><Relationship Id="rId2773" Type="http://schemas.openxmlformats.org/officeDocument/2006/relationships/hyperlink" Target="https://docs.google.com/document/d/1E8rHgaceL43h4pnQbnR-Vwiv30JdpHrl3Ibgabv7TYU/edit?usp=drivesdk" TargetMode="External"/><Relationship Id="rId1443" Type="http://schemas.openxmlformats.org/officeDocument/2006/relationships/hyperlink" Target="https://docs.google.com/document/d/1Js6lAmNcJzwfYIP4bkbqSEY2V0FKAqtYDEMN09aMepY/edit?usp=drivesdk" TargetMode="External"/><Relationship Id="rId2774" Type="http://schemas.openxmlformats.org/officeDocument/2006/relationships/hyperlink" Target="https://drive.google.com/open?id=1U8FbHrrggnlI9VsO5tTRihuEbRMK4xg_" TargetMode="External"/><Relationship Id="rId1477" Type="http://schemas.openxmlformats.org/officeDocument/2006/relationships/hyperlink" Target="https://drive.google.com/open?id=1Iflz-OaBJDNwjcUzNtXF6y0e0Fg676uD" TargetMode="External"/><Relationship Id="rId4503" Type="http://schemas.openxmlformats.org/officeDocument/2006/relationships/hyperlink" Target="https://drive.google.com/uc?export=view&amp;id=1KnQ2X0CM6A8uEIVMzZ1FCnQNah8nBewP" TargetMode="External"/><Relationship Id="rId1478" Type="http://schemas.openxmlformats.org/officeDocument/2006/relationships/hyperlink" Target="https://drive.google.com/uc?export=view&amp;id=1Iflz-OaBJDNwjcUzNtXF6y0e0Fg676uD" TargetMode="External"/><Relationship Id="rId4502" Type="http://schemas.openxmlformats.org/officeDocument/2006/relationships/hyperlink" Target="https://drive.google.com/open?id=1KnQ2X0CM6A8uEIVMzZ1FCnQNah8nBewP" TargetMode="External"/><Relationship Id="rId1479" Type="http://schemas.openxmlformats.org/officeDocument/2006/relationships/hyperlink" Target="https://docs.google.com/document/d/1kaRVw04k1_AjlXFqiojHAgLynOM6VSh34KrPRIgnxb0/edit?usp=drivesdk" TargetMode="External"/><Relationship Id="rId4505" Type="http://schemas.openxmlformats.org/officeDocument/2006/relationships/hyperlink" Target="https://drive.google.com/open?id=18pllC9jHtCJxlJd8gLsc1m3a_nuGRayH" TargetMode="External"/><Relationship Id="rId4504" Type="http://schemas.openxmlformats.org/officeDocument/2006/relationships/hyperlink" Target="https://docs.google.com/document/d/1SHMZkEuDH6dan5DZMCj-eTuuTvdEfZ3HBCJv7iHNNtg/edit?usp=drivesdk" TargetMode="External"/><Relationship Id="rId4507" Type="http://schemas.openxmlformats.org/officeDocument/2006/relationships/hyperlink" Target="https://docs.google.com/document/d/1Ub731UpuME_qgLbHZR1Bn6JgBrsZigGISqNoL__S1I4/edit?usp=drivesdk" TargetMode="External"/><Relationship Id="rId4506" Type="http://schemas.openxmlformats.org/officeDocument/2006/relationships/hyperlink" Target="https://drive.google.com/uc?export=view&amp;id=18pllC9jHtCJxlJd8gLsc1m3a_nuGRayH" TargetMode="External"/><Relationship Id="rId4509" Type="http://schemas.openxmlformats.org/officeDocument/2006/relationships/hyperlink" Target="https://drive.google.com/uc?export=view&amp;id=1-VipcfX2SoHMAVoTQVy6gk-5c3UbwD_D" TargetMode="External"/><Relationship Id="rId4508" Type="http://schemas.openxmlformats.org/officeDocument/2006/relationships/hyperlink" Target="https://drive.google.com/open?id=1-VipcfX2SoHMAVoTQVy6gk-5c3UbwD_D" TargetMode="External"/><Relationship Id="rId646" Type="http://schemas.openxmlformats.org/officeDocument/2006/relationships/hyperlink" Target="https://drive.google.com/open?id=11-jhI6lS7PCshl5BcUt7Xe1q06dGW-bl" TargetMode="External"/><Relationship Id="rId645" Type="http://schemas.openxmlformats.org/officeDocument/2006/relationships/hyperlink" Target="https://docs.google.com/document/d/1ZiFsbnLtl4mlgrD4g9MxJa6E6QmU2Nh3-ARr98MfJk8/edit?usp=drivesdk" TargetMode="External"/><Relationship Id="rId644" Type="http://schemas.openxmlformats.org/officeDocument/2006/relationships/hyperlink" Target="https://drive.google.com/uc?export=view&amp;id=1Od2sat-h3gnWD1NIjDOmzAtOWAgk3HGp" TargetMode="External"/><Relationship Id="rId643" Type="http://schemas.openxmlformats.org/officeDocument/2006/relationships/hyperlink" Target="https://drive.google.com/open?id=1Od2sat-h3gnWD1NIjDOmzAtOWAgk3HGp" TargetMode="External"/><Relationship Id="rId649" Type="http://schemas.openxmlformats.org/officeDocument/2006/relationships/hyperlink" Target="https://drive.google.com/open?id=1q1_sGdQ7BOVHD6pID6xGT6pZb277ZnCk" TargetMode="External"/><Relationship Id="rId648" Type="http://schemas.openxmlformats.org/officeDocument/2006/relationships/hyperlink" Target="https://docs.google.com/document/d/1N1Dkg6ZPjYCdwBslplNVZE6IU93uUzeiJvj5ZyZ3PUw/edit?usp=drivesdk" TargetMode="External"/><Relationship Id="rId647" Type="http://schemas.openxmlformats.org/officeDocument/2006/relationships/hyperlink" Target="https://drive.google.com/uc?export=view&amp;id=11-jhI6lS7PCshl5BcUt7Xe1q06dGW-bl" TargetMode="External"/><Relationship Id="rId1470" Type="http://schemas.openxmlformats.org/officeDocument/2006/relationships/hyperlink" Target="https://docs.google.com/document/d/1kcTbwvbB8sZ7Mxf1FyU10TYI10K_miy5esAOAgUmXJg/edit?usp=drivesdk" TargetMode="External"/><Relationship Id="rId1471" Type="http://schemas.openxmlformats.org/officeDocument/2006/relationships/hyperlink" Target="https://drive.google.com/open?id=1KCI-qxcq5jmX6FatykEF-PyrDoAjy2NQ" TargetMode="External"/><Relationship Id="rId1472" Type="http://schemas.openxmlformats.org/officeDocument/2006/relationships/hyperlink" Target="https://drive.google.com/uc?export=view&amp;id=1KCI-qxcq5jmX6FatykEF-PyrDoAjy2NQ" TargetMode="External"/><Relationship Id="rId642" Type="http://schemas.openxmlformats.org/officeDocument/2006/relationships/hyperlink" Target="https://docs.google.com/document/d/1i_A4ao5nPGSjDPp1lcRgzWCoUzILiO9aa8fYOqgrt8s/edit?usp=drivesdk" TargetMode="External"/><Relationship Id="rId1473" Type="http://schemas.openxmlformats.org/officeDocument/2006/relationships/hyperlink" Target="https://docs.google.com/document/d/1TREZdsmlE8qUaQ5AHKLQlRS2c70knJ7umP9k-l1H0AY/edit?usp=drivesdk" TargetMode="External"/><Relationship Id="rId641" Type="http://schemas.openxmlformats.org/officeDocument/2006/relationships/hyperlink" Target="https://drive.google.com/uc?export=view&amp;id=1Pq3MvhuL18dCjq2iDqNC_NcA1KkmyvgY" TargetMode="External"/><Relationship Id="rId1474" Type="http://schemas.openxmlformats.org/officeDocument/2006/relationships/hyperlink" Target="https://drive.google.com/open?id=1XqYLOSCSfQ5ClcfT8ZGHwnNP3KW5X3OX" TargetMode="External"/><Relationship Id="rId640" Type="http://schemas.openxmlformats.org/officeDocument/2006/relationships/hyperlink" Target="https://drive.google.com/open?id=1Pq3MvhuL18dCjq2iDqNC_NcA1KkmyvgY" TargetMode="External"/><Relationship Id="rId1475" Type="http://schemas.openxmlformats.org/officeDocument/2006/relationships/hyperlink" Target="https://drive.google.com/uc?export=view&amp;id=1XqYLOSCSfQ5ClcfT8ZGHwnNP3KW5X3OX" TargetMode="External"/><Relationship Id="rId4501" Type="http://schemas.openxmlformats.org/officeDocument/2006/relationships/hyperlink" Target="https://docs.google.com/document/d/1cvFmUiEogF7z_4ERonKSZP_fbXnb-CHVhyscqf2Zm-Q/edit?usp=drivesdk" TargetMode="External"/><Relationship Id="rId1476" Type="http://schemas.openxmlformats.org/officeDocument/2006/relationships/hyperlink" Target="https://docs.google.com/document/d/1irGDG2aobEFUyvJOQK_50LugP35Gnzywm6VRs9wg1RY/edit?usp=drivesdk" TargetMode="External"/><Relationship Id="rId4500" Type="http://schemas.openxmlformats.org/officeDocument/2006/relationships/hyperlink" Target="https://drive.google.com/uc?export=view&amp;id=1WZkLkC4fqxQTc6MPCisx2osIXffgTok4" TargetMode="External"/><Relationship Id="rId1466" Type="http://schemas.openxmlformats.org/officeDocument/2006/relationships/hyperlink" Target="https://drive.google.com/uc?export=view&amp;id=1BOJMGLCmP9-PjRdQVHyIjMOwcAOBfD-F" TargetMode="External"/><Relationship Id="rId2797" Type="http://schemas.openxmlformats.org/officeDocument/2006/relationships/hyperlink" Target="https://docs.google.com/document/d/1I1jQsh2ZojosFSOzWTS6pEUudkKUqqsXMHRSiREoMF4/edit?usp=drivesdk" TargetMode="External"/><Relationship Id="rId1467" Type="http://schemas.openxmlformats.org/officeDocument/2006/relationships/hyperlink" Target="https://docs.google.com/document/d/1Zwvl_gHKKRmm_vBmLkFUfOQSi0lpmWulD2GLyBkmH3s/edit?usp=drivesdk" TargetMode="External"/><Relationship Id="rId2798" Type="http://schemas.openxmlformats.org/officeDocument/2006/relationships/hyperlink" Target="https://drive.google.com/open?id=1I9xvEORhtSW1uQVNDyMAoAww18sjZv4x" TargetMode="External"/><Relationship Id="rId1468" Type="http://schemas.openxmlformats.org/officeDocument/2006/relationships/hyperlink" Target="https://drive.google.com/open?id=1dMEzlQBm3DnsdLsPl3ZtdICMciIV-99A" TargetMode="External"/><Relationship Id="rId2799" Type="http://schemas.openxmlformats.org/officeDocument/2006/relationships/hyperlink" Target="https://drive.google.com/uc?export=view&amp;id=1I9xvEORhtSW1uQVNDyMAoAww18sjZv4x" TargetMode="External"/><Relationship Id="rId1469" Type="http://schemas.openxmlformats.org/officeDocument/2006/relationships/hyperlink" Target="https://drive.google.com/uc?export=view&amp;id=1dMEzlQBm3DnsdLsPl3ZtdICMciIV-99A" TargetMode="External"/><Relationship Id="rId635" Type="http://schemas.openxmlformats.org/officeDocument/2006/relationships/hyperlink" Target="https://drive.google.com/uc?export=view&amp;id=124J8CEnCSCsTyMLuE-SDElCM85kdAu--" TargetMode="External"/><Relationship Id="rId634" Type="http://schemas.openxmlformats.org/officeDocument/2006/relationships/hyperlink" Target="https://drive.google.com/open?id=124J8CEnCSCsTyMLuE-SDElCM85kdAu--" TargetMode="External"/><Relationship Id="rId633" Type="http://schemas.openxmlformats.org/officeDocument/2006/relationships/hyperlink" Target="https://docs.google.com/document/d/1upBwFPloX8jRlpLifyIHsWXxFytn4Oiscn8y6y2aO6Y/edit?usp=drivesdk" TargetMode="External"/><Relationship Id="rId632" Type="http://schemas.openxmlformats.org/officeDocument/2006/relationships/hyperlink" Target="https://drive.google.com/uc?export=view&amp;id=1NnQ8CqGGTuF1Y8Jmr1zk4KNvryT3TYdT" TargetMode="External"/><Relationship Id="rId639" Type="http://schemas.openxmlformats.org/officeDocument/2006/relationships/hyperlink" Target="https://docs.google.com/document/d/1n4qcxPhug8OtzLioM5vYz6WE-IreOcCi8hvR3N-L6AY/edit?usp=drivesdk" TargetMode="External"/><Relationship Id="rId638" Type="http://schemas.openxmlformats.org/officeDocument/2006/relationships/hyperlink" Target="https://drive.google.com/uc?export=view&amp;id=16mAeRh0Tj7v0jZKjz3BZjYA-Wj2--VqZ" TargetMode="External"/><Relationship Id="rId637" Type="http://schemas.openxmlformats.org/officeDocument/2006/relationships/hyperlink" Target="https://drive.google.com/open?id=16mAeRh0Tj7v0jZKjz3BZjYA-Wj2--VqZ" TargetMode="External"/><Relationship Id="rId636" Type="http://schemas.openxmlformats.org/officeDocument/2006/relationships/hyperlink" Target="https://docs.google.com/document/d/1KbgqU96y0bPH7dmLcCWsqCuPH7powh1zmXSna9zqiL8/edit?usp=drivesdk" TargetMode="External"/><Relationship Id="rId2790" Type="http://schemas.openxmlformats.org/officeDocument/2006/relationships/hyperlink" Target="https://drive.google.com/uc?export=view&amp;id=1Pq8eEtrEmpHAWBH0oGIU-U0BQ-Q6I7mR" TargetMode="External"/><Relationship Id="rId1460" Type="http://schemas.openxmlformats.org/officeDocument/2006/relationships/hyperlink" Target="https://drive.google.com/uc?export=view&amp;id=1uqJttUmFbdsWhVeU6VVZkD_B_Sk1Ms3f" TargetMode="External"/><Relationship Id="rId2791" Type="http://schemas.openxmlformats.org/officeDocument/2006/relationships/hyperlink" Target="https://docs.google.com/document/d/1mzTekkgYhQGWLp2Io60kvILZSxo2BznS5rC77Ip5PpU/edit?usp=drivesdk" TargetMode="External"/><Relationship Id="rId1461" Type="http://schemas.openxmlformats.org/officeDocument/2006/relationships/hyperlink" Target="https://docs.google.com/document/d/1WHo9foEQk5lDIqIEyIPeLm9VwFqW9A6LeuIbkrcv1Xc/edit?usp=drivesdk" TargetMode="External"/><Relationship Id="rId2792" Type="http://schemas.openxmlformats.org/officeDocument/2006/relationships/hyperlink" Target="https://drive.google.com/open?id=1viz0Dl9RJp23cqPyLN7NMJdkSn6V72dz" TargetMode="External"/><Relationship Id="rId631" Type="http://schemas.openxmlformats.org/officeDocument/2006/relationships/hyperlink" Target="https://drive.google.com/open?id=1NnQ8CqGGTuF1Y8Jmr1zk4KNvryT3TYdT" TargetMode="External"/><Relationship Id="rId1462" Type="http://schemas.openxmlformats.org/officeDocument/2006/relationships/hyperlink" Target="https://drive.google.com/open?id=1jMl69SMPGAYFSB8Ow9E9rdJMjTCO5_2c" TargetMode="External"/><Relationship Id="rId2793" Type="http://schemas.openxmlformats.org/officeDocument/2006/relationships/hyperlink" Target="https://drive.google.com/uc?export=view&amp;id=1viz0Dl9RJp23cqPyLN7NMJdkSn6V72dz" TargetMode="External"/><Relationship Id="rId630" Type="http://schemas.openxmlformats.org/officeDocument/2006/relationships/hyperlink" Target="https://docs.google.com/document/d/1hJOAr-ZyOmOw5ntLyzJCM7TGb__VC9srtvlGQCvE358/edit?usp=drivesdk" TargetMode="External"/><Relationship Id="rId1463" Type="http://schemas.openxmlformats.org/officeDocument/2006/relationships/hyperlink" Target="https://drive.google.com/uc?export=view&amp;id=1jMl69SMPGAYFSB8Ow9E9rdJMjTCO5_2c" TargetMode="External"/><Relationship Id="rId2794" Type="http://schemas.openxmlformats.org/officeDocument/2006/relationships/hyperlink" Target="https://docs.google.com/document/d/1Wbx7EBSswCa930iqAWeNItTA0G7Vo6RxYKaoUXjJbiA/edit?usp=drivesdk" TargetMode="External"/><Relationship Id="rId1464" Type="http://schemas.openxmlformats.org/officeDocument/2006/relationships/hyperlink" Target="https://docs.google.com/document/d/1VW4H-_FwUW25psvvarG7jphvtB3yFKO78OZl1fsm0w8/edit?usp=drivesdk" TargetMode="External"/><Relationship Id="rId2795" Type="http://schemas.openxmlformats.org/officeDocument/2006/relationships/hyperlink" Target="https://drive.google.com/open?id=1P28S5UAiAFIFzValh7xqY7Bbcv-b72e2" TargetMode="External"/><Relationship Id="rId1465" Type="http://schemas.openxmlformats.org/officeDocument/2006/relationships/hyperlink" Target="https://drive.google.com/open?id=1BOJMGLCmP9-PjRdQVHyIjMOwcAOBfD-F" TargetMode="External"/><Relationship Id="rId2796" Type="http://schemas.openxmlformats.org/officeDocument/2006/relationships/hyperlink" Target="https://drive.google.com/uc?export=view&amp;id=1P28S5UAiAFIFzValh7xqY7Bbcv-b72e2" TargetMode="External"/><Relationship Id="rId1411" Type="http://schemas.openxmlformats.org/officeDocument/2006/relationships/hyperlink" Target="https://drive.google.com/open?id=1ho-yyK9uwcFx4sc13nSp5M0NzqhTjxst" TargetMode="External"/><Relationship Id="rId2742" Type="http://schemas.openxmlformats.org/officeDocument/2006/relationships/hyperlink" Target="https://drive.google.com/uc?export=view&amp;id=1hwNDHApKGEMBRk0UClTejk0rz4QgLQop" TargetMode="External"/><Relationship Id="rId1412" Type="http://schemas.openxmlformats.org/officeDocument/2006/relationships/hyperlink" Target="https://drive.google.com/uc?export=view&amp;id=1ho-yyK9uwcFx4sc13nSp5M0NzqhTjxst" TargetMode="External"/><Relationship Id="rId2743" Type="http://schemas.openxmlformats.org/officeDocument/2006/relationships/hyperlink" Target="https://docs.google.com/document/d/1R2rLdyuRQHWq0MkS4R3NzsSPi8fJLCxvAtLmYqZywQo/edit?usp=drivesdk" TargetMode="External"/><Relationship Id="rId1413" Type="http://schemas.openxmlformats.org/officeDocument/2006/relationships/hyperlink" Target="https://docs.google.com/document/d/1nSQPl4_cJ9Q6x0mFGM4Gm2C0AtdQio4oaNuwRCCYsSQ/edit?usp=drivesdk" TargetMode="External"/><Relationship Id="rId2744" Type="http://schemas.openxmlformats.org/officeDocument/2006/relationships/hyperlink" Target="https://drive.google.com/open?id=1Thw6wRKAzlMHlnhq9WKAqUzF_g-GC6fV" TargetMode="External"/><Relationship Id="rId1414" Type="http://schemas.openxmlformats.org/officeDocument/2006/relationships/hyperlink" Target="https://drive.google.com/open?id=1RmO_1P4bh8JvFqbF2DBSxIe57rBLOoML" TargetMode="External"/><Relationship Id="rId2745" Type="http://schemas.openxmlformats.org/officeDocument/2006/relationships/hyperlink" Target="https://drive.google.com/uc?export=view&amp;id=1Thw6wRKAzlMHlnhq9WKAqUzF_g-GC6fV" TargetMode="External"/><Relationship Id="rId1415" Type="http://schemas.openxmlformats.org/officeDocument/2006/relationships/hyperlink" Target="https://drive.google.com/uc?export=view&amp;id=1RmO_1P4bh8JvFqbF2DBSxIe57rBLOoML" TargetMode="External"/><Relationship Id="rId2746" Type="http://schemas.openxmlformats.org/officeDocument/2006/relationships/hyperlink" Target="https://docs.google.com/document/d/11OL4LdgTt0KIzRawd-vgQKLHOEmPqQjQiOSMZuJzmzg/edit?usp=drivesdk" TargetMode="External"/><Relationship Id="rId1416" Type="http://schemas.openxmlformats.org/officeDocument/2006/relationships/hyperlink" Target="https://docs.google.com/document/d/1JD_qWEpE8o1ZsvunJ7dQ62OVW23v7DyEOVoLjaFjnf4/edit?usp=drivesdk" TargetMode="External"/><Relationship Id="rId2747" Type="http://schemas.openxmlformats.org/officeDocument/2006/relationships/hyperlink" Target="https://drive.google.com/open?id=1j6KZpMoLQO2pardPJL_nv5sWSYpkOxsp" TargetMode="External"/><Relationship Id="rId1417" Type="http://schemas.openxmlformats.org/officeDocument/2006/relationships/hyperlink" Target="https://drive.google.com/open?id=1xaXHOpyA-y2Gof7zO4zAFzY4qactguoU" TargetMode="External"/><Relationship Id="rId2748" Type="http://schemas.openxmlformats.org/officeDocument/2006/relationships/hyperlink" Target="https://drive.google.com/uc?export=view&amp;id=1j6KZpMoLQO2pardPJL_nv5sWSYpkOxsp" TargetMode="External"/><Relationship Id="rId1418" Type="http://schemas.openxmlformats.org/officeDocument/2006/relationships/hyperlink" Target="https://drive.google.com/uc?export=view&amp;id=1xaXHOpyA-y2Gof7zO4zAFzY4qactguoU" TargetMode="External"/><Relationship Id="rId2749" Type="http://schemas.openxmlformats.org/officeDocument/2006/relationships/hyperlink" Target="https://docs.google.com/document/d/1STjkL8jF0WmcgwribqXhY2oav2bJ4SCT6S_6iIn7nRI/edit?usp=drivesdk" TargetMode="External"/><Relationship Id="rId1419" Type="http://schemas.openxmlformats.org/officeDocument/2006/relationships/hyperlink" Target="https://docs.google.com/document/d/1eLf-6PaXCvnliFU1WrGT_2uJOc7RndxHSYgsnwUis9w/edit?usp=drivesdk" TargetMode="External"/><Relationship Id="rId2740" Type="http://schemas.openxmlformats.org/officeDocument/2006/relationships/hyperlink" Target="https://docs.google.com/document/d/1GBLT1OXYBLlPCZhlzyRmVy6_Tr9cqx6A764lfw7xr5s/edit?usp=drivesdk" TargetMode="External"/><Relationship Id="rId1410" Type="http://schemas.openxmlformats.org/officeDocument/2006/relationships/hyperlink" Target="https://docs.google.com/document/d/1jMI2ZYE45EC3HcdS4jPtc_ArOSoRKKnNva2x8kRGQ60/edit?usp=drivesdk" TargetMode="External"/><Relationship Id="rId2741" Type="http://schemas.openxmlformats.org/officeDocument/2006/relationships/hyperlink" Target="https://drive.google.com/open?id=1hwNDHApKGEMBRk0UClTejk0rz4QgLQop" TargetMode="External"/><Relationship Id="rId1400" Type="http://schemas.openxmlformats.org/officeDocument/2006/relationships/hyperlink" Target="https://drive.google.com/uc?export=view&amp;id=1dxMJywr_vCLUouTxV_btQSUAF88ttSAl" TargetMode="External"/><Relationship Id="rId2731" Type="http://schemas.openxmlformats.org/officeDocument/2006/relationships/hyperlink" Target="https://docs.google.com/document/d/1XxUWSaNusUyBjc80NxiQssHc5s82ifEiY2k60SlLNqI/edit?usp=drivesdk" TargetMode="External"/><Relationship Id="rId1401" Type="http://schemas.openxmlformats.org/officeDocument/2006/relationships/hyperlink" Target="https://docs.google.com/document/d/1by2m3uNcL0634NGcHk_7deFnqzDkQZoTrODVtcrzopI/edit?usp=drivesdk" TargetMode="External"/><Relationship Id="rId2732" Type="http://schemas.openxmlformats.org/officeDocument/2006/relationships/hyperlink" Target="https://drive.google.com/open?id=1_X6D48uJ9PMvZFpNhpXYR6SEsir431dW" TargetMode="External"/><Relationship Id="rId1402" Type="http://schemas.openxmlformats.org/officeDocument/2006/relationships/hyperlink" Target="https://drive.google.com/open?id=18DYnnQib5jFRNlvsYOTOsh33tJC7HCbG" TargetMode="External"/><Relationship Id="rId2733" Type="http://schemas.openxmlformats.org/officeDocument/2006/relationships/hyperlink" Target="https://drive.google.com/uc?export=view&amp;id=1_X6D48uJ9PMvZFpNhpXYR6SEsir431dW" TargetMode="External"/><Relationship Id="rId1403" Type="http://schemas.openxmlformats.org/officeDocument/2006/relationships/hyperlink" Target="https://drive.google.com/uc?export=view&amp;id=18DYnnQib5jFRNlvsYOTOsh33tJC7HCbG" TargetMode="External"/><Relationship Id="rId2734" Type="http://schemas.openxmlformats.org/officeDocument/2006/relationships/hyperlink" Target="https://docs.google.com/document/d/1lh2u7co7J44jKnxr6-LAY_ZMhwDZ5APV8arqTaWSeTQ/edit?usp=drivesdk" TargetMode="External"/><Relationship Id="rId1404" Type="http://schemas.openxmlformats.org/officeDocument/2006/relationships/hyperlink" Target="https://docs.google.com/document/d/1zgb1VAQurqwAdl6WcyeLKp2FuoBVcvWBbqb0h3doEEE/edit?usp=drivesdk" TargetMode="External"/><Relationship Id="rId2735" Type="http://schemas.openxmlformats.org/officeDocument/2006/relationships/hyperlink" Target="https://drive.google.com/open?id=1Zo0xHkelLH02JQAWcLQ2QaJVqnNL3Z-h" TargetMode="External"/><Relationship Id="rId1405" Type="http://schemas.openxmlformats.org/officeDocument/2006/relationships/hyperlink" Target="https://drive.google.com/open?id=1vLGAMU118AHkYQjog3qLy93dMKaJe0T3" TargetMode="External"/><Relationship Id="rId2736" Type="http://schemas.openxmlformats.org/officeDocument/2006/relationships/hyperlink" Target="https://drive.google.com/uc?export=view&amp;id=1Zo0xHkelLH02JQAWcLQ2QaJVqnNL3Z-h" TargetMode="External"/><Relationship Id="rId1406" Type="http://schemas.openxmlformats.org/officeDocument/2006/relationships/hyperlink" Target="https://drive.google.com/uc?export=view&amp;id=1vLGAMU118AHkYQjog3qLy93dMKaJe0T3" TargetMode="External"/><Relationship Id="rId2737" Type="http://schemas.openxmlformats.org/officeDocument/2006/relationships/hyperlink" Target="https://docs.google.com/document/d/1pYEaGWkKZY1GWJ0cyANc8FwXaf5mH4xKRptEVcNTz2k/edit?usp=drivesdk" TargetMode="External"/><Relationship Id="rId1407" Type="http://schemas.openxmlformats.org/officeDocument/2006/relationships/hyperlink" Target="https://docs.google.com/document/d/1z4RGgQIVkKw2wPhBd1DZ2v936kjUltuI9oSzvA-HcT8/edit?usp=drivesdk" TargetMode="External"/><Relationship Id="rId2738" Type="http://schemas.openxmlformats.org/officeDocument/2006/relationships/hyperlink" Target="https://drive.google.com/open?id=1EwLf_uiREprT8osp5z38OqR47pHfgtKe" TargetMode="External"/><Relationship Id="rId1408" Type="http://schemas.openxmlformats.org/officeDocument/2006/relationships/hyperlink" Target="https://drive.google.com/open?id=1N_ciaEdU3k6YEL4UfMcLSoS6KEzumc7B" TargetMode="External"/><Relationship Id="rId2739" Type="http://schemas.openxmlformats.org/officeDocument/2006/relationships/hyperlink" Target="https://drive.google.com/uc?export=view&amp;id=1EwLf_uiREprT8osp5z38OqR47pHfgtKe" TargetMode="External"/><Relationship Id="rId1409" Type="http://schemas.openxmlformats.org/officeDocument/2006/relationships/hyperlink" Target="https://drive.google.com/uc?export=view&amp;id=1N_ciaEdU3k6YEL4UfMcLSoS6KEzumc7B" TargetMode="External"/><Relationship Id="rId2730" Type="http://schemas.openxmlformats.org/officeDocument/2006/relationships/hyperlink" Target="https://drive.google.com/uc?export=view&amp;id=1EPZONvfbxsnJ6xCRmJi9zZiG6BnEPBvY" TargetMode="External"/><Relationship Id="rId1433" Type="http://schemas.openxmlformats.org/officeDocument/2006/relationships/hyperlink" Target="https://drive.google.com/uc?export=view&amp;id=1MQ8gPtalHWwu96MbDu1JhBdzIWXihqpG" TargetMode="External"/><Relationship Id="rId2764" Type="http://schemas.openxmlformats.org/officeDocument/2006/relationships/hyperlink" Target="https://docs.google.com/document/d/1uHRdyFbv2nVxxBzLScMFf9fsNZnDzpGbACp3J-MnJlY/edit?usp=drivesdk" TargetMode="External"/><Relationship Id="rId1434" Type="http://schemas.openxmlformats.org/officeDocument/2006/relationships/hyperlink" Target="https://docs.google.com/document/d/1ZmR4p5G5PNwAS8rCNoWLlzCWpc2NyHglPBCx1rpCSuQ/edit?usp=drivesdk" TargetMode="External"/><Relationship Id="rId2765" Type="http://schemas.openxmlformats.org/officeDocument/2006/relationships/hyperlink" Target="https://drive.google.com/open?id=1fpdTbG3htE1lBigC3nLiq-WEu6h1w6-k" TargetMode="External"/><Relationship Id="rId1435" Type="http://schemas.openxmlformats.org/officeDocument/2006/relationships/hyperlink" Target="https://drive.google.com/open?id=1E1s3ZDF9Ws3oWHWLMtoeY8vPwQyg0TsP" TargetMode="External"/><Relationship Id="rId2766" Type="http://schemas.openxmlformats.org/officeDocument/2006/relationships/hyperlink" Target="https://drive.google.com/uc?export=view&amp;id=1fpdTbG3htE1lBigC3nLiq-WEu6h1w6-k" TargetMode="External"/><Relationship Id="rId1436" Type="http://schemas.openxmlformats.org/officeDocument/2006/relationships/hyperlink" Target="https://drive.google.com/uc?export=view&amp;id=1E1s3ZDF9Ws3oWHWLMtoeY8vPwQyg0TsP" TargetMode="External"/><Relationship Id="rId2767" Type="http://schemas.openxmlformats.org/officeDocument/2006/relationships/hyperlink" Target="https://docs.google.com/document/d/11qGWf9I5us347AV6PQJ1eaF5G5qCHOaiNWmHM4oEffQ/edit?usp=drivesdk" TargetMode="External"/><Relationship Id="rId1437" Type="http://schemas.openxmlformats.org/officeDocument/2006/relationships/hyperlink" Target="https://docs.google.com/document/d/19Nyj9cPI8drz-HF5ZtmjL5bipdc1faGEx4MnXbGUXyg/edit?usp=drivesdk" TargetMode="External"/><Relationship Id="rId2768" Type="http://schemas.openxmlformats.org/officeDocument/2006/relationships/hyperlink" Target="https://drive.google.com/open?id=1WqGQed4HcvC8v4ru9jx9yvfcm5jBF_U1" TargetMode="External"/><Relationship Id="rId1438" Type="http://schemas.openxmlformats.org/officeDocument/2006/relationships/hyperlink" Target="https://drive.google.com/open?id=1uhXX45cK_-AkYamyLODOfHwGx20z2u0Q" TargetMode="External"/><Relationship Id="rId2769" Type="http://schemas.openxmlformats.org/officeDocument/2006/relationships/hyperlink" Target="https://drive.google.com/uc?export=view&amp;id=1WqGQed4HcvC8v4ru9jx9yvfcm5jBF_U1" TargetMode="External"/><Relationship Id="rId1439" Type="http://schemas.openxmlformats.org/officeDocument/2006/relationships/hyperlink" Target="https://drive.google.com/uc?export=view&amp;id=1uhXX45cK_-AkYamyLODOfHwGx20z2u0Q" TargetMode="External"/><Relationship Id="rId609" Type="http://schemas.openxmlformats.org/officeDocument/2006/relationships/hyperlink" Target="https://docs.google.com/document/d/1NILv2uVZRZcsgOqd86UaIyqE0Ts5r2myLUuGmQQXUDQ/edit?usp=drivesdk" TargetMode="External"/><Relationship Id="rId608" Type="http://schemas.openxmlformats.org/officeDocument/2006/relationships/hyperlink" Target="https://drive.google.com/uc?export=view&amp;id=1oMZ19ceqosHmjOFDvhrBCt57Tl99KZvF" TargetMode="External"/><Relationship Id="rId607" Type="http://schemas.openxmlformats.org/officeDocument/2006/relationships/hyperlink" Target="https://drive.google.com/open?id=1oMZ19ceqosHmjOFDvhrBCt57Tl99KZvF" TargetMode="External"/><Relationship Id="rId602" Type="http://schemas.openxmlformats.org/officeDocument/2006/relationships/hyperlink" Target="https://drive.google.com/uc?export=view&amp;id=1kdVMFud82mHgPXjJ2Gc9M5wgw7k57Wig" TargetMode="External"/><Relationship Id="rId601" Type="http://schemas.openxmlformats.org/officeDocument/2006/relationships/hyperlink" Target="https://drive.google.com/open?id=1kdVMFud82mHgPXjJ2Gc9M5wgw7k57Wig" TargetMode="External"/><Relationship Id="rId600" Type="http://schemas.openxmlformats.org/officeDocument/2006/relationships/hyperlink" Target="https://docs.google.com/document/d/17-TvMvJjF4nGUF5S6kg382aZ6CGrJ54ZR_0FqBHqAYY/edit?usp=drivesdk" TargetMode="External"/><Relationship Id="rId606" Type="http://schemas.openxmlformats.org/officeDocument/2006/relationships/hyperlink" Target="https://docs.google.com/document/d/1BsjY1QJq_D_vvJUwZC39T-behD5Gj6vARa2hddtueEA/edit?usp=drivesdk" TargetMode="External"/><Relationship Id="rId605" Type="http://schemas.openxmlformats.org/officeDocument/2006/relationships/hyperlink" Target="https://drive.google.com/uc?export=view&amp;id=1C0L2bRWNy0m7aoxmw0S0zLpQqa4OlZF1" TargetMode="External"/><Relationship Id="rId604" Type="http://schemas.openxmlformats.org/officeDocument/2006/relationships/hyperlink" Target="https://drive.google.com/open?id=1C0L2bRWNy0m7aoxmw0S0zLpQqa4OlZF1" TargetMode="External"/><Relationship Id="rId603" Type="http://schemas.openxmlformats.org/officeDocument/2006/relationships/hyperlink" Target="https://docs.google.com/document/d/126ASg54F9Badd3GFy_lwoQaoqTS4hO6xUg5ytgAnVEM/edit?usp=drivesdk" TargetMode="External"/><Relationship Id="rId2760" Type="http://schemas.openxmlformats.org/officeDocument/2006/relationships/hyperlink" Target="https://drive.google.com/uc?export=view&amp;id=1VVxq4owUJoY8-RWKV0LEaYLwEkpqBD-t" TargetMode="External"/><Relationship Id="rId1430" Type="http://schemas.openxmlformats.org/officeDocument/2006/relationships/hyperlink" Target="https://drive.google.com/uc?export=view&amp;id=1udFy81fpE3evyAkfriC_Hf9_lDokWPgs" TargetMode="External"/><Relationship Id="rId2761" Type="http://schemas.openxmlformats.org/officeDocument/2006/relationships/hyperlink" Target="https://docs.google.com/document/d/18ohcEx_B87_xp47ZbRZ2R7TP51xWB3Gp04e4GlVOtLg/edit?usp=drivesdk" TargetMode="External"/><Relationship Id="rId1431" Type="http://schemas.openxmlformats.org/officeDocument/2006/relationships/hyperlink" Target="https://docs.google.com/document/d/1yT8-3egHyUAJaQuGugI89Ry_thkO__t6LjVJIilu8xY/edit?usp=drivesdk" TargetMode="External"/><Relationship Id="rId2762" Type="http://schemas.openxmlformats.org/officeDocument/2006/relationships/hyperlink" Target="https://drive.google.com/open?id=1XwsgiXLXBe4vxdx_uD8kC-wyH4HLrNFF" TargetMode="External"/><Relationship Id="rId1432" Type="http://schemas.openxmlformats.org/officeDocument/2006/relationships/hyperlink" Target="https://drive.google.com/open?id=1MQ8gPtalHWwu96MbDu1JhBdzIWXihqpG" TargetMode="External"/><Relationship Id="rId2763" Type="http://schemas.openxmlformats.org/officeDocument/2006/relationships/hyperlink" Target="https://drive.google.com/uc?export=view&amp;id=1XwsgiXLXBe4vxdx_uD8kC-wyH4HLrNFF" TargetMode="External"/><Relationship Id="rId1422" Type="http://schemas.openxmlformats.org/officeDocument/2006/relationships/hyperlink" Target="https://docs.google.com/document/d/1MYsCjSrhVO44g2mo06HdnysiymrJi6ALMN620_pHRHM/edit?usp=drivesdk" TargetMode="External"/><Relationship Id="rId2753" Type="http://schemas.openxmlformats.org/officeDocument/2006/relationships/hyperlink" Target="https://drive.google.com/open?id=1j7s2Y-izyizccoNDuxooMtmNWk36q27h" TargetMode="External"/><Relationship Id="rId1423" Type="http://schemas.openxmlformats.org/officeDocument/2006/relationships/hyperlink" Target="https://drive.google.com/open?id=1IJTcKjTdfo2t0dSJf1-ArO_MFG8LyzBf" TargetMode="External"/><Relationship Id="rId2754" Type="http://schemas.openxmlformats.org/officeDocument/2006/relationships/hyperlink" Target="https://drive.google.com/uc?export=view&amp;id=1j7s2Y-izyizccoNDuxooMtmNWk36q27h" TargetMode="External"/><Relationship Id="rId1424" Type="http://schemas.openxmlformats.org/officeDocument/2006/relationships/hyperlink" Target="https://drive.google.com/uc?export=view&amp;id=1IJTcKjTdfo2t0dSJf1-ArO_MFG8LyzBf" TargetMode="External"/><Relationship Id="rId2755" Type="http://schemas.openxmlformats.org/officeDocument/2006/relationships/hyperlink" Target="https://docs.google.com/document/d/16j5lSl2woT7MVDRJL4LAOgBxqO4zRoNXbYaxCkpItMA/edit?usp=drivesdk" TargetMode="External"/><Relationship Id="rId1425" Type="http://schemas.openxmlformats.org/officeDocument/2006/relationships/hyperlink" Target="https://docs.google.com/document/d/1RUznO1YgZzefJJ1m7TUr9H5eXqzF0-hPKDTPrT3G7n8/edit?usp=drivesdk" TargetMode="External"/><Relationship Id="rId2756" Type="http://schemas.openxmlformats.org/officeDocument/2006/relationships/hyperlink" Target="https://drive.google.com/open?id=1Ss3dJJTGO5H-RNgZ3wqqrurbtc3q1Nwc" TargetMode="External"/><Relationship Id="rId1426" Type="http://schemas.openxmlformats.org/officeDocument/2006/relationships/hyperlink" Target="https://drive.google.com/open?id=1XmzvQSURDl9dUqvbyxe9X1Y4D6BUVLAo" TargetMode="External"/><Relationship Id="rId2757" Type="http://schemas.openxmlformats.org/officeDocument/2006/relationships/hyperlink" Target="https://drive.google.com/uc?export=view&amp;id=1Ss3dJJTGO5H-RNgZ3wqqrurbtc3q1Nwc" TargetMode="External"/><Relationship Id="rId1427" Type="http://schemas.openxmlformats.org/officeDocument/2006/relationships/hyperlink" Target="https://drive.google.com/uc?export=view&amp;id=1XmzvQSURDl9dUqvbyxe9X1Y4D6BUVLAo" TargetMode="External"/><Relationship Id="rId2758" Type="http://schemas.openxmlformats.org/officeDocument/2006/relationships/hyperlink" Target="https://docs.google.com/document/d/1RLBQCa1otM_ZFvUpKsKZOgY3t5RFb1pz9HHbRhOTrvk/edit?usp=drivesdk" TargetMode="External"/><Relationship Id="rId1428" Type="http://schemas.openxmlformats.org/officeDocument/2006/relationships/hyperlink" Target="https://docs.google.com/document/d/1J4wVYoa9zEdjAOy-hZP9BqE70rmsdYaQy-FNGl77y5Y/edit?usp=drivesdk" TargetMode="External"/><Relationship Id="rId2759" Type="http://schemas.openxmlformats.org/officeDocument/2006/relationships/hyperlink" Target="https://drive.google.com/open?id=1VVxq4owUJoY8-RWKV0LEaYLwEkpqBD-t" TargetMode="External"/><Relationship Id="rId1429" Type="http://schemas.openxmlformats.org/officeDocument/2006/relationships/hyperlink" Target="https://drive.google.com/open?id=1udFy81fpE3evyAkfriC_Hf9_lDokWPgs" TargetMode="External"/><Relationship Id="rId2750" Type="http://schemas.openxmlformats.org/officeDocument/2006/relationships/hyperlink" Target="https://drive.google.com/open?id=1RNlLtvPGiudoqW0hiYnBrIH9AfSLUVtu" TargetMode="External"/><Relationship Id="rId1420" Type="http://schemas.openxmlformats.org/officeDocument/2006/relationships/hyperlink" Target="https://drive.google.com/open?id=10q8cxEPsTEo_Ipv5jc8CVcQp1Pc9CUnE" TargetMode="External"/><Relationship Id="rId2751" Type="http://schemas.openxmlformats.org/officeDocument/2006/relationships/hyperlink" Target="https://drive.google.com/uc?export=view&amp;id=1RNlLtvPGiudoqW0hiYnBrIH9AfSLUVtu" TargetMode="External"/><Relationship Id="rId1421" Type="http://schemas.openxmlformats.org/officeDocument/2006/relationships/hyperlink" Target="https://drive.google.com/uc?export=view&amp;id=10q8cxEPsTEo_Ipv5jc8CVcQp1Pc9CUnE" TargetMode="External"/><Relationship Id="rId2752" Type="http://schemas.openxmlformats.org/officeDocument/2006/relationships/hyperlink" Target="https://docs.google.com/document/d/1TdkTmMzDzjwt8ymorMaPO85aisworoWOJ2vy3htBn3I/edit?usp=drivesdk" TargetMode="External"/><Relationship Id="rId3238" Type="http://schemas.openxmlformats.org/officeDocument/2006/relationships/hyperlink" Target="https://docs.google.com/document/d/19pWZug_WFrEJoTFsdbITgZvUXnfhhI9NtEBsaNP_fBw/edit?usp=drivesdk" TargetMode="External"/><Relationship Id="rId4569" Type="http://schemas.openxmlformats.org/officeDocument/2006/relationships/hyperlink" Target="https://drive.google.com/uc?export=view&amp;id=14mJBKmZIEvV4qFnI48ZULqzcmyDaNHO4" TargetMode="External"/><Relationship Id="rId3237" Type="http://schemas.openxmlformats.org/officeDocument/2006/relationships/hyperlink" Target="https://drive.google.com/uc?export=view&amp;id=1uH1S6dgdT5_wdGrkN-38qH3l1OQut_at" TargetMode="External"/><Relationship Id="rId4568" Type="http://schemas.openxmlformats.org/officeDocument/2006/relationships/hyperlink" Target="https://drive.google.com/open?id=14mJBKmZIEvV4qFnI48ZULqzcmyDaNHO4" TargetMode="External"/><Relationship Id="rId3239" Type="http://schemas.openxmlformats.org/officeDocument/2006/relationships/hyperlink" Target="https://drive.google.com/open?id=1kuYZlL0F21114ywoxz1YI60nga9IKcC3" TargetMode="External"/><Relationship Id="rId3230" Type="http://schemas.openxmlformats.org/officeDocument/2006/relationships/hyperlink" Target="https://drive.google.com/open?id=18EkCIi7sIP8ygYtnUkSaPPunZVu2_nWA" TargetMode="External"/><Relationship Id="rId4561" Type="http://schemas.openxmlformats.org/officeDocument/2006/relationships/hyperlink" Target="https://docs.google.com/document/d/1p8EuCEhQeYAnnBQ32RSwXa_HBV7p4IFhLqXpU5DyLHc/edit?usp=drivesdk" TargetMode="External"/><Relationship Id="rId4560" Type="http://schemas.openxmlformats.org/officeDocument/2006/relationships/hyperlink" Target="https://drive.google.com/uc?export=view&amp;id=1lztOeRZ2K9YCWDQDEKjVw3LKMOgLT0L3" TargetMode="External"/><Relationship Id="rId3232" Type="http://schemas.openxmlformats.org/officeDocument/2006/relationships/hyperlink" Target="https://docs.google.com/document/d/1UUYqhG5t3GHMZ1UtmlZ8T2G82bQPXBJ8W_ZAVX4vncY/edit?usp=drivesdk" TargetMode="External"/><Relationship Id="rId4563" Type="http://schemas.openxmlformats.org/officeDocument/2006/relationships/hyperlink" Target="https://drive.google.com/uc?export=view&amp;id=1BhMw9MEue3HJBFh86jlJwgPmSbMVaIJ_" TargetMode="External"/><Relationship Id="rId3231" Type="http://schemas.openxmlformats.org/officeDocument/2006/relationships/hyperlink" Target="https://drive.google.com/uc?export=view&amp;id=18EkCIi7sIP8ygYtnUkSaPPunZVu2_nWA" TargetMode="External"/><Relationship Id="rId4562" Type="http://schemas.openxmlformats.org/officeDocument/2006/relationships/hyperlink" Target="https://drive.google.com/open?id=1BhMw9MEue3HJBFh86jlJwgPmSbMVaIJ_" TargetMode="External"/><Relationship Id="rId3234" Type="http://schemas.openxmlformats.org/officeDocument/2006/relationships/hyperlink" Target="https://drive.google.com/uc?export=view&amp;id=1MHQiHSnmF_lZZCEtakrfwz5D_4e0o8K2" TargetMode="External"/><Relationship Id="rId4565" Type="http://schemas.openxmlformats.org/officeDocument/2006/relationships/hyperlink" Target="https://drive.google.com/open?id=1N5XSq1DxdQky3h2ktQeGiQHgxmOj4NSV" TargetMode="External"/><Relationship Id="rId3233" Type="http://schemas.openxmlformats.org/officeDocument/2006/relationships/hyperlink" Target="https://drive.google.com/open?id=1MHQiHSnmF_lZZCEtakrfwz5D_4e0o8K2" TargetMode="External"/><Relationship Id="rId4564" Type="http://schemas.openxmlformats.org/officeDocument/2006/relationships/hyperlink" Target="https://docs.google.com/document/d/1SQ1DXoAVRyOwa7bSZku2gGfwUo9PAmHstUb5KJsE318/edit?usp=drivesdk" TargetMode="External"/><Relationship Id="rId3236" Type="http://schemas.openxmlformats.org/officeDocument/2006/relationships/hyperlink" Target="https://drive.google.com/open?id=1uH1S6dgdT5_wdGrkN-38qH3l1OQut_at" TargetMode="External"/><Relationship Id="rId4567" Type="http://schemas.openxmlformats.org/officeDocument/2006/relationships/hyperlink" Target="https://docs.google.com/document/d/1r1Y38SdVm3NKIhwkoNM2-KRMZWY3mKViihZPJr33i48/edit?usp=drivesdk" TargetMode="External"/><Relationship Id="rId3235" Type="http://schemas.openxmlformats.org/officeDocument/2006/relationships/hyperlink" Target="https://docs.google.com/document/d/1QSSPj2AihxvAiu8tHGd1UV6a62KU38AY22Ghv4cHByU/edit?usp=drivesdk" TargetMode="External"/><Relationship Id="rId4566" Type="http://schemas.openxmlformats.org/officeDocument/2006/relationships/hyperlink" Target="https://drive.google.com/uc?export=view&amp;id=1N5XSq1DxdQky3h2ktQeGiQHgxmOj4NSV" TargetMode="External"/><Relationship Id="rId3227" Type="http://schemas.openxmlformats.org/officeDocument/2006/relationships/hyperlink" Target="https://drive.google.com/open?id=1beOoOLhm0dGEPgkpxe07jmhFkaePkAqx" TargetMode="External"/><Relationship Id="rId4558" Type="http://schemas.openxmlformats.org/officeDocument/2006/relationships/hyperlink" Target="https://docs.google.com/document/d/1eevPQk8LVuZxqqNZzX3jebtME7CzP3ztVvs3V9EqfyY/edit?usp=drivesdk" TargetMode="External"/><Relationship Id="rId3226" Type="http://schemas.openxmlformats.org/officeDocument/2006/relationships/hyperlink" Target="https://docs.google.com/document/d/1ZMGVPf__BJ3EpKZ-Gk6irX8rKxQsDk880jS7S0p9coY/edit?usp=drivesdk" TargetMode="External"/><Relationship Id="rId4557" Type="http://schemas.openxmlformats.org/officeDocument/2006/relationships/hyperlink" Target="https://drive.google.com/uc?export=view&amp;id=1-ocDz2m4Tr2yR44FcfECnJg2RFyic2_2" TargetMode="External"/><Relationship Id="rId3229" Type="http://schemas.openxmlformats.org/officeDocument/2006/relationships/hyperlink" Target="https://docs.google.com/document/d/1RwyNAEqDLrHW2N3agHrlql30d2BYusKmjKM82Tk0988/edit?usp=drivesdk" TargetMode="External"/><Relationship Id="rId3228" Type="http://schemas.openxmlformats.org/officeDocument/2006/relationships/hyperlink" Target="https://drive.google.com/uc?export=view&amp;id=1beOoOLhm0dGEPgkpxe07jmhFkaePkAqx" TargetMode="External"/><Relationship Id="rId4559" Type="http://schemas.openxmlformats.org/officeDocument/2006/relationships/hyperlink" Target="https://drive.google.com/open?id=1lztOeRZ2K9YCWDQDEKjVw3LKMOgLT0L3" TargetMode="External"/><Relationship Id="rId699" Type="http://schemas.openxmlformats.org/officeDocument/2006/relationships/hyperlink" Target="https://docs.google.com/document/d/1Khypz7_2PHtV4w68cPgF8bnZWCRT4YDVTja7OBiwNRU/edit?usp=drivesdk" TargetMode="External"/><Relationship Id="rId698" Type="http://schemas.openxmlformats.org/officeDocument/2006/relationships/hyperlink" Target="https://drive.google.com/uc?export=view&amp;id=1w4merVAFBu5Ism6MSq2Bs1kRs5bvfxIM" TargetMode="External"/><Relationship Id="rId693" Type="http://schemas.openxmlformats.org/officeDocument/2006/relationships/hyperlink" Target="https://docs.google.com/document/d/15ka_4Hx2JpY41nAvbZUPZ1ykzE0mZNwx4EhIkW25z58/edit?usp=drivesdk" TargetMode="External"/><Relationship Id="rId4550" Type="http://schemas.openxmlformats.org/officeDocument/2006/relationships/hyperlink" Target="https://drive.google.com/open?id=1MSb84Ct4asDAdfx66yFzCggJuddkJC0f" TargetMode="External"/><Relationship Id="rId692" Type="http://schemas.openxmlformats.org/officeDocument/2006/relationships/hyperlink" Target="https://drive.google.com/uc?export=view&amp;id=1UU4oLmqTSA_Se4msx9lnThjnD_oyC8R-" TargetMode="External"/><Relationship Id="rId691" Type="http://schemas.openxmlformats.org/officeDocument/2006/relationships/hyperlink" Target="https://drive.google.com/open?id=1UU4oLmqTSA_Se4msx9lnThjnD_oyC8R-" TargetMode="External"/><Relationship Id="rId3221" Type="http://schemas.openxmlformats.org/officeDocument/2006/relationships/hyperlink" Target="https://drive.google.com/open?id=1j9Zg9yPPLWitFDjVHXX71AJYTnIKIXcX" TargetMode="External"/><Relationship Id="rId4552" Type="http://schemas.openxmlformats.org/officeDocument/2006/relationships/hyperlink" Target="https://docs.google.com/document/d/1gWwz1u5TJzSgCdIp-viI6cpGPASE8Wx-a0ETtVJQX3c/edit?usp=drivesdk" TargetMode="External"/><Relationship Id="rId690" Type="http://schemas.openxmlformats.org/officeDocument/2006/relationships/hyperlink" Target="https://docs.google.com/document/d/1ookoF37qFlLJhnKvnCoBnnY4srfpCP8EQN0GPmlHTx0/edit?usp=drivesdk" TargetMode="External"/><Relationship Id="rId3220" Type="http://schemas.openxmlformats.org/officeDocument/2006/relationships/hyperlink" Target="https://docs.google.com/document/d/1IxYMY20sBE-85zKywEnM7HhiV396THssunjzyTxjqv8/edit?usp=drivesdk" TargetMode="External"/><Relationship Id="rId4551" Type="http://schemas.openxmlformats.org/officeDocument/2006/relationships/hyperlink" Target="https://drive.google.com/uc?export=view&amp;id=1MSb84Ct4asDAdfx66yFzCggJuddkJC0f" TargetMode="External"/><Relationship Id="rId697" Type="http://schemas.openxmlformats.org/officeDocument/2006/relationships/hyperlink" Target="https://drive.google.com/open?id=1w4merVAFBu5Ism6MSq2Bs1kRs5bvfxIM" TargetMode="External"/><Relationship Id="rId3223" Type="http://schemas.openxmlformats.org/officeDocument/2006/relationships/hyperlink" Target="https://docs.google.com/document/d/13rnj-9Vxwm09hvkPEtn_enCRdig43YYkCttsyx5SKI0/edit?usp=drivesdk" TargetMode="External"/><Relationship Id="rId4554" Type="http://schemas.openxmlformats.org/officeDocument/2006/relationships/hyperlink" Target="https://drive.google.com/uc?export=view&amp;id=1YrXd73JGy5o3HRVVGheu_8hKms7YFh5h" TargetMode="External"/><Relationship Id="rId696" Type="http://schemas.openxmlformats.org/officeDocument/2006/relationships/hyperlink" Target="https://docs.google.com/document/d/1hqBmAiohJLvSjl8xdQWKhonazUAHrCcT2N5S1Ts1RiE/edit?usp=drivesdk" TargetMode="External"/><Relationship Id="rId3222" Type="http://schemas.openxmlformats.org/officeDocument/2006/relationships/hyperlink" Target="https://drive.google.com/uc?export=view&amp;id=1j9Zg9yPPLWitFDjVHXX71AJYTnIKIXcX" TargetMode="External"/><Relationship Id="rId4553" Type="http://schemas.openxmlformats.org/officeDocument/2006/relationships/hyperlink" Target="https://drive.google.com/open?id=1YrXd73JGy5o3HRVVGheu_8hKms7YFh5h" TargetMode="External"/><Relationship Id="rId695" Type="http://schemas.openxmlformats.org/officeDocument/2006/relationships/hyperlink" Target="https://drive.google.com/uc?export=view&amp;id=1wLEzNHYWtcE7WGETASBbQkjZfAitVpJl" TargetMode="External"/><Relationship Id="rId3225" Type="http://schemas.openxmlformats.org/officeDocument/2006/relationships/hyperlink" Target="https://drive.google.com/uc?export=view&amp;id=1pjH43eBlOfvimWhxeq89nyDJks-iljcW" TargetMode="External"/><Relationship Id="rId4556" Type="http://schemas.openxmlformats.org/officeDocument/2006/relationships/hyperlink" Target="https://drive.google.com/open?id=1-ocDz2m4Tr2yR44FcfECnJg2RFyic2_2" TargetMode="External"/><Relationship Id="rId694" Type="http://schemas.openxmlformats.org/officeDocument/2006/relationships/hyperlink" Target="https://drive.google.com/open?id=1wLEzNHYWtcE7WGETASBbQkjZfAitVpJl" TargetMode="External"/><Relationship Id="rId3224" Type="http://schemas.openxmlformats.org/officeDocument/2006/relationships/hyperlink" Target="https://drive.google.com/open?id=1pjH43eBlOfvimWhxeq89nyDJks-iljcW" TargetMode="External"/><Relationship Id="rId4555" Type="http://schemas.openxmlformats.org/officeDocument/2006/relationships/hyperlink" Target="https://docs.google.com/document/d/1dUT_J2EvS8jIoEMmyJ61BEBpxWzrH-c_euEpE1wKym0/edit?usp=drivesdk" TargetMode="External"/><Relationship Id="rId3259" Type="http://schemas.openxmlformats.org/officeDocument/2006/relationships/hyperlink" Target="https://docs.google.com/document/d/1_TSMKiNycNyDlYGCZahTEHWzeSUgSo7g1CnstTDAlJQ/edit?usp=drivesdk" TargetMode="External"/><Relationship Id="rId3250" Type="http://schemas.openxmlformats.org/officeDocument/2006/relationships/hyperlink" Target="https://docs.google.com/document/d/1TlQpZ0MN7yZh6JokAyVGBzQfvrnEAdpYbdSg_9yikjs/edit?usp=drivesdk" TargetMode="External"/><Relationship Id="rId4581" Type="http://schemas.openxmlformats.org/officeDocument/2006/relationships/hyperlink" Target="https://drive.google.com/uc?export=view&amp;id=1oHabHjCxRItF0rbFQ2ZUfR8_Zj53D5NJ" TargetMode="External"/><Relationship Id="rId4580" Type="http://schemas.openxmlformats.org/officeDocument/2006/relationships/hyperlink" Target="https://drive.google.com/open?id=1oHabHjCxRItF0rbFQ2ZUfR8_Zj53D5NJ" TargetMode="External"/><Relationship Id="rId3252" Type="http://schemas.openxmlformats.org/officeDocument/2006/relationships/hyperlink" Target="https://drive.google.com/uc?export=view&amp;id=1j6uFR00in2TXevhy4Ygx7hwcherHc254" TargetMode="External"/><Relationship Id="rId4583" Type="http://schemas.openxmlformats.org/officeDocument/2006/relationships/hyperlink" Target="https://drive.google.com/open?id=1pkFJVOTMYJJQHsTLurchzs9tlk-0hDPH" TargetMode="External"/><Relationship Id="rId3251" Type="http://schemas.openxmlformats.org/officeDocument/2006/relationships/hyperlink" Target="https://drive.google.com/open?id=1j6uFR00in2TXevhy4Ygx7hwcherHc254" TargetMode="External"/><Relationship Id="rId4582" Type="http://schemas.openxmlformats.org/officeDocument/2006/relationships/hyperlink" Target="https://docs.google.com/document/d/1Ou1pL3tHOrZ-vTPGxoqZRpgOy7U80JUjuSrl-5Axiqc/edit?usp=drivesdk" TargetMode="External"/><Relationship Id="rId3254" Type="http://schemas.openxmlformats.org/officeDocument/2006/relationships/hyperlink" Target="https://drive.google.com/open?id=1Fa-dKImnOjYRUy6vbycR0UrHIXVpkSA6" TargetMode="External"/><Relationship Id="rId4585" Type="http://schemas.openxmlformats.org/officeDocument/2006/relationships/hyperlink" Target="https://docs.google.com/document/d/12Heu_2ASxBfaHpCKLuU5kpNXK6HAO6vXKcTNJlXsFW4/edit?usp=drivesdk" TargetMode="External"/><Relationship Id="rId3253" Type="http://schemas.openxmlformats.org/officeDocument/2006/relationships/hyperlink" Target="https://docs.google.com/document/d/1z02aP6aMqSA3iZarqrA6n72N_-MGEUeYqTMCVKoRGZ8/edit?usp=drivesdk" TargetMode="External"/><Relationship Id="rId4584" Type="http://schemas.openxmlformats.org/officeDocument/2006/relationships/hyperlink" Target="https://drive.google.com/uc?export=view&amp;id=1pkFJVOTMYJJQHsTLurchzs9tlk-0hDPH" TargetMode="External"/><Relationship Id="rId3256" Type="http://schemas.openxmlformats.org/officeDocument/2006/relationships/hyperlink" Target="https://docs.google.com/document/d/1E8A0DgoAcMGvYRIol8NSdjID00VcWrzrPUrLBm3ssvM/edit?usp=drivesdk" TargetMode="External"/><Relationship Id="rId4587" Type="http://schemas.openxmlformats.org/officeDocument/2006/relationships/hyperlink" Target="https://drive.google.com/uc?export=view&amp;id=1vxwCDzVzBVGSf3QZB5B60eT_dyOhZA77" TargetMode="External"/><Relationship Id="rId3255" Type="http://schemas.openxmlformats.org/officeDocument/2006/relationships/hyperlink" Target="https://drive.google.com/uc?export=view&amp;id=1Fa-dKImnOjYRUy6vbycR0UrHIXVpkSA6" TargetMode="External"/><Relationship Id="rId4586" Type="http://schemas.openxmlformats.org/officeDocument/2006/relationships/hyperlink" Target="https://drive.google.com/open?id=1vxwCDzVzBVGSf3QZB5B60eT_dyOhZA77" TargetMode="External"/><Relationship Id="rId3258" Type="http://schemas.openxmlformats.org/officeDocument/2006/relationships/hyperlink" Target="https://drive.google.com/uc?export=view&amp;id=14yXOSEHf2iZzVPOc5FuR68vxb91zD5Kf" TargetMode="External"/><Relationship Id="rId4589" Type="http://schemas.openxmlformats.org/officeDocument/2006/relationships/hyperlink" Target="https://drive.google.com/open?id=1pWvJp9RzUT8Uf3KSmb7kY53YQc4rYhuU" TargetMode="External"/><Relationship Id="rId3257" Type="http://schemas.openxmlformats.org/officeDocument/2006/relationships/hyperlink" Target="https://drive.google.com/open?id=14yXOSEHf2iZzVPOc5FuR68vxb91zD5Kf" TargetMode="External"/><Relationship Id="rId4588" Type="http://schemas.openxmlformats.org/officeDocument/2006/relationships/hyperlink" Target="https://docs.google.com/document/d/18SSfc4VlNs0N44xjvpKY15OokW8X5H8c9dC8DftjPBE/edit?usp=drivesdk" TargetMode="External"/><Relationship Id="rId3249" Type="http://schemas.openxmlformats.org/officeDocument/2006/relationships/hyperlink" Target="https://drive.google.com/uc?export=view&amp;id=1ZjFUmZNDTm4y30dt7j0utMZolyG-NUB8" TargetMode="External"/><Relationship Id="rId3248" Type="http://schemas.openxmlformats.org/officeDocument/2006/relationships/hyperlink" Target="https://drive.google.com/open?id=1ZjFUmZNDTm4y30dt7j0utMZolyG-NUB8" TargetMode="External"/><Relationship Id="rId4579" Type="http://schemas.openxmlformats.org/officeDocument/2006/relationships/hyperlink" Target="https://docs.google.com/document/d/1RTTIhBph_1UKFAhlA62iwA_877dfotoRhJ3K6xAKV2s/edit?usp=drivesdk" TargetMode="External"/><Relationship Id="rId4570" Type="http://schemas.openxmlformats.org/officeDocument/2006/relationships/hyperlink" Target="https://docs.google.com/document/d/1Ot9f_TQuoqb6e5o4zNMlrFRLdQ2xeA1QG7mTdgFANpk/edit?usp=drivesdk" TargetMode="External"/><Relationship Id="rId3241" Type="http://schemas.openxmlformats.org/officeDocument/2006/relationships/hyperlink" Target="https://docs.google.com/document/d/1nTT-Zqd7A9qzBAhPXWWat29EyVKdtQ1nBZFuU9lce8c/edit?usp=drivesdk" TargetMode="External"/><Relationship Id="rId4572" Type="http://schemas.openxmlformats.org/officeDocument/2006/relationships/hyperlink" Target="https://drive.google.com/uc?export=view&amp;id=12n8mte0GfqdWPJTtc0gymGHoEikZIgke" TargetMode="External"/><Relationship Id="rId3240" Type="http://schemas.openxmlformats.org/officeDocument/2006/relationships/hyperlink" Target="https://drive.google.com/uc?export=view&amp;id=1kuYZlL0F21114ywoxz1YI60nga9IKcC3" TargetMode="External"/><Relationship Id="rId4571" Type="http://schemas.openxmlformats.org/officeDocument/2006/relationships/hyperlink" Target="https://drive.google.com/open?id=12n8mte0GfqdWPJTtc0gymGHoEikZIgke" TargetMode="External"/><Relationship Id="rId3243" Type="http://schemas.openxmlformats.org/officeDocument/2006/relationships/hyperlink" Target="https://drive.google.com/uc?export=view&amp;id=1krTBfnV5Jvv2NazTDOqKf5McHnyB_-rv" TargetMode="External"/><Relationship Id="rId4574" Type="http://schemas.openxmlformats.org/officeDocument/2006/relationships/hyperlink" Target="https://drive.google.com/open?id=1vKg0nG6JA9R3hekAaD-lPL68Vi_jSXkj" TargetMode="External"/><Relationship Id="rId3242" Type="http://schemas.openxmlformats.org/officeDocument/2006/relationships/hyperlink" Target="https://drive.google.com/open?id=1krTBfnV5Jvv2NazTDOqKf5McHnyB_-rv" TargetMode="External"/><Relationship Id="rId4573" Type="http://schemas.openxmlformats.org/officeDocument/2006/relationships/hyperlink" Target="https://docs.google.com/document/d/1sWwDIe1Ddpvhiv74d66weXDjjiqre0S6yPKiBDEDGJw/edit?usp=drivesdk" TargetMode="External"/><Relationship Id="rId3245" Type="http://schemas.openxmlformats.org/officeDocument/2006/relationships/hyperlink" Target="https://drive.google.com/open?id=1cSjubJ_w0pumHP91Ebo0lIvkcPJ9hGf8" TargetMode="External"/><Relationship Id="rId4576" Type="http://schemas.openxmlformats.org/officeDocument/2006/relationships/hyperlink" Target="https://docs.google.com/document/d/1PXrs0igzb11bWhuhG_SqcGALaRe2IuXI3L0DJoT12Ek/edit?usp=drivesdk" TargetMode="External"/><Relationship Id="rId3244" Type="http://schemas.openxmlformats.org/officeDocument/2006/relationships/hyperlink" Target="https://docs.google.com/document/d/1c05hl9iidTyGSeoz2UpDqbOHqo7hz7SNatfGd0h9FM4/edit?usp=drivesdk" TargetMode="External"/><Relationship Id="rId4575" Type="http://schemas.openxmlformats.org/officeDocument/2006/relationships/hyperlink" Target="https://drive.google.com/uc?export=view&amp;id=1vKg0nG6JA9R3hekAaD-lPL68Vi_jSXkj" TargetMode="External"/><Relationship Id="rId3247" Type="http://schemas.openxmlformats.org/officeDocument/2006/relationships/hyperlink" Target="https://docs.google.com/document/d/194hlQCZ4osROeshT2jC6fU_FxENqxfm_Ev5_8ESd8Vw/edit?usp=drivesdk" TargetMode="External"/><Relationship Id="rId4578" Type="http://schemas.openxmlformats.org/officeDocument/2006/relationships/hyperlink" Target="https://drive.google.com/uc?export=view&amp;id=1Z5Gd7kwBeaSMtukYmPc6fj3q8MtbiUT9" TargetMode="External"/><Relationship Id="rId3246" Type="http://schemas.openxmlformats.org/officeDocument/2006/relationships/hyperlink" Target="https://drive.google.com/uc?export=view&amp;id=1cSjubJ_w0pumHP91Ebo0lIvkcPJ9hGf8" TargetMode="External"/><Relationship Id="rId4577" Type="http://schemas.openxmlformats.org/officeDocument/2006/relationships/hyperlink" Target="https://drive.google.com/open?id=1Z5Gd7kwBeaSMtukYmPc6fj3q8MtbiUT9" TargetMode="External"/><Relationship Id="rId1499" Type="http://schemas.openxmlformats.org/officeDocument/2006/relationships/hyperlink" Target="https://drive.google.com/uc?export=view&amp;id=1NT_USHW9R4LbXMx4Z-nIPHfvhn_pyop7" TargetMode="External"/><Relationship Id="rId4525" Type="http://schemas.openxmlformats.org/officeDocument/2006/relationships/hyperlink" Target="https://docs.google.com/document/d/1ZNvnzDEpIR_AZriQ9Wl7NQUbWFPUEm0G1BjjxngQAIA/edit?usp=drivesdk" TargetMode="External"/><Relationship Id="rId4524" Type="http://schemas.openxmlformats.org/officeDocument/2006/relationships/hyperlink" Target="https://drive.google.com/uc?export=view&amp;id=10BABJpgv4K0vbruvjmkm2gU4ZVsCmLwq" TargetMode="External"/><Relationship Id="rId4527" Type="http://schemas.openxmlformats.org/officeDocument/2006/relationships/hyperlink" Target="https://drive.google.com/uc?export=view&amp;id=1PUpeZ2Kcn_c4d6jw-bGbvuWP2a_6ezN1" TargetMode="External"/><Relationship Id="rId4526" Type="http://schemas.openxmlformats.org/officeDocument/2006/relationships/hyperlink" Target="https://drive.google.com/open?id=1PUpeZ2Kcn_c4d6jw-bGbvuWP2a_6ezN1" TargetMode="External"/><Relationship Id="rId4529" Type="http://schemas.openxmlformats.org/officeDocument/2006/relationships/hyperlink" Target="https://drive.google.com/open?id=18tdMXehtZ3NRZCpArqYXYK01s-K0g7pU" TargetMode="External"/><Relationship Id="rId4528" Type="http://schemas.openxmlformats.org/officeDocument/2006/relationships/hyperlink" Target="https://docs.google.com/document/d/17tKpBjTgbZsjNVlGXFMsV3gTPXXxCTrgsfGr_hH94TY/edit?usp=drivesdk" TargetMode="External"/><Relationship Id="rId668" Type="http://schemas.openxmlformats.org/officeDocument/2006/relationships/hyperlink" Target="https://drive.google.com/uc?export=view&amp;id=14m5rO9BRzYgYH4N9zuOb3bE4Zqr83AJ7" TargetMode="External"/><Relationship Id="rId667" Type="http://schemas.openxmlformats.org/officeDocument/2006/relationships/hyperlink" Target="https://drive.google.com/open?id=14m5rO9BRzYgYH4N9zuOb3bE4Zqr83AJ7" TargetMode="External"/><Relationship Id="rId666" Type="http://schemas.openxmlformats.org/officeDocument/2006/relationships/hyperlink" Target="https://docs.google.com/document/d/1pYwyEvtj8RBZ2NNZJgEuY3zbE1ueyIAdCIoYprk19_Q/edit?usp=drivesdk" TargetMode="External"/><Relationship Id="rId665" Type="http://schemas.openxmlformats.org/officeDocument/2006/relationships/hyperlink" Target="https://drive.google.com/uc?export=view&amp;id=192D4nXUUxsclaQGYxgFJ5-OuPagUrga3" TargetMode="External"/><Relationship Id="rId669" Type="http://schemas.openxmlformats.org/officeDocument/2006/relationships/hyperlink" Target="https://docs.google.com/document/d/1wJBTjr4O2Juw5Xz0ErKExlHimJHgqWT8r1Y5GmNZi1w/edit?usp=drivesdk" TargetMode="External"/><Relationship Id="rId1490" Type="http://schemas.openxmlformats.org/officeDocument/2006/relationships/hyperlink" Target="https://drive.google.com/uc?export=view&amp;id=1oYjlv7LpIqMz_2rzo1nz1VJQCaKQwDmK" TargetMode="External"/><Relationship Id="rId660" Type="http://schemas.openxmlformats.org/officeDocument/2006/relationships/hyperlink" Target="https://docs.google.com/document/d/1jG7XSZjDveoY7Ncy3PT4M-1j0YnDhG7MWVSeq7KlYMg/edit?usp=drivesdk" TargetMode="External"/><Relationship Id="rId1491" Type="http://schemas.openxmlformats.org/officeDocument/2006/relationships/hyperlink" Target="https://docs.google.com/document/d/1d4NTX2NBO4-5Lz7IMYuSSGo6th71io27hWPS8DB3DRs/edit?usp=drivesdk" TargetMode="External"/><Relationship Id="rId1492" Type="http://schemas.openxmlformats.org/officeDocument/2006/relationships/hyperlink" Target="https://drive.google.com/open?id=10HrJH0fcKHh8k7wPd8niCwGhB6ta9BFD" TargetMode="External"/><Relationship Id="rId1493" Type="http://schemas.openxmlformats.org/officeDocument/2006/relationships/hyperlink" Target="https://drive.google.com/uc?export=view&amp;id=10HrJH0fcKHh8k7wPd8niCwGhB6ta9BFD" TargetMode="External"/><Relationship Id="rId1494" Type="http://schemas.openxmlformats.org/officeDocument/2006/relationships/hyperlink" Target="https://docs.google.com/document/d/1TXPxWg4G-kImPdMs-PQRva1ITkSVs-BZ6Nmh_ocfiw4/edit?usp=drivesdk" TargetMode="External"/><Relationship Id="rId664" Type="http://schemas.openxmlformats.org/officeDocument/2006/relationships/hyperlink" Target="https://drive.google.com/open?id=192D4nXUUxsclaQGYxgFJ5-OuPagUrga3" TargetMode="External"/><Relationship Id="rId1495" Type="http://schemas.openxmlformats.org/officeDocument/2006/relationships/hyperlink" Target="https://drive.google.com/open?id=1CnH4fMLfr1UjtbQlIJXQEVNGy5FbXsJP" TargetMode="External"/><Relationship Id="rId4521" Type="http://schemas.openxmlformats.org/officeDocument/2006/relationships/hyperlink" Target="https://drive.google.com/uc?export=view&amp;id=1bBqrCWDu0Eta25cW8Tgmd6DFyEuSVpes" TargetMode="External"/><Relationship Id="rId663" Type="http://schemas.openxmlformats.org/officeDocument/2006/relationships/hyperlink" Target="https://docs.google.com/document/d/1RvrVLx5cSFqC7DGD-nLOOY1QMC_xPemSiZ6Jt83M3KM/edit?usp=drivesdk" TargetMode="External"/><Relationship Id="rId1496" Type="http://schemas.openxmlformats.org/officeDocument/2006/relationships/hyperlink" Target="https://drive.google.com/uc?export=view&amp;id=1CnH4fMLfr1UjtbQlIJXQEVNGy5FbXsJP" TargetMode="External"/><Relationship Id="rId4520" Type="http://schemas.openxmlformats.org/officeDocument/2006/relationships/hyperlink" Target="https://drive.google.com/open?id=1bBqrCWDu0Eta25cW8Tgmd6DFyEuSVpes" TargetMode="External"/><Relationship Id="rId662" Type="http://schemas.openxmlformats.org/officeDocument/2006/relationships/hyperlink" Target="https://drive.google.com/uc?export=view&amp;id=16iwLorfJMHd7HMpyxVTxXPDkMLpUSUxp" TargetMode="External"/><Relationship Id="rId1497" Type="http://schemas.openxmlformats.org/officeDocument/2006/relationships/hyperlink" Target="https://docs.google.com/document/d/1gdhsg-5yYRzv2veB1L97fOcBUhM5ju7ZwWZKKq74eGM/edit?usp=drivesdk" TargetMode="External"/><Relationship Id="rId4523" Type="http://schemas.openxmlformats.org/officeDocument/2006/relationships/hyperlink" Target="https://drive.google.com/open?id=10BABJpgv4K0vbruvjmkm2gU4ZVsCmLwq" TargetMode="External"/><Relationship Id="rId661" Type="http://schemas.openxmlformats.org/officeDocument/2006/relationships/hyperlink" Target="https://drive.google.com/open?id=16iwLorfJMHd7HMpyxVTxXPDkMLpUSUxp" TargetMode="External"/><Relationship Id="rId1498" Type="http://schemas.openxmlformats.org/officeDocument/2006/relationships/hyperlink" Target="https://drive.google.com/open?id=1NT_USHW9R4LbXMx4Z-nIPHfvhn_pyop7" TargetMode="External"/><Relationship Id="rId4522" Type="http://schemas.openxmlformats.org/officeDocument/2006/relationships/hyperlink" Target="https://docs.google.com/document/d/1i13s0zvyoqmp_7OQlnIAxBJDyt901jm7-ntUwIydTkg/edit?usp=drivesdk" TargetMode="External"/><Relationship Id="rId1488" Type="http://schemas.openxmlformats.org/officeDocument/2006/relationships/hyperlink" Target="https://docs.google.com/document/d/1hb2X2F-gGy_MlC1-fda6H6flueBaREJHIx_sNqMtFmg/edit?usp=drivesdk" TargetMode="External"/><Relationship Id="rId4514" Type="http://schemas.openxmlformats.org/officeDocument/2006/relationships/hyperlink" Target="https://drive.google.com/open?id=1O1-2JkEHF10LN6V_HqQmSKLBx6KhRGW3" TargetMode="External"/><Relationship Id="rId1489" Type="http://schemas.openxmlformats.org/officeDocument/2006/relationships/hyperlink" Target="https://drive.google.com/open?id=1oYjlv7LpIqMz_2rzo1nz1VJQCaKQwDmK" TargetMode="External"/><Relationship Id="rId4513" Type="http://schemas.openxmlformats.org/officeDocument/2006/relationships/hyperlink" Target="https://docs.google.com/document/d/1VUWsa66ZiTyQCUjO0c3tBUP9KIds21Gj_B2B4nwQHPs/edit?usp=drivesdk" TargetMode="External"/><Relationship Id="rId4516" Type="http://schemas.openxmlformats.org/officeDocument/2006/relationships/hyperlink" Target="https://docs.google.com/document/d/1-rYeXNu0-hrnjpFYqsbMimCjgyBZm5w3yv_HvpwMqCg/edit?usp=drivesdk" TargetMode="External"/><Relationship Id="rId4515" Type="http://schemas.openxmlformats.org/officeDocument/2006/relationships/hyperlink" Target="https://drive.google.com/uc?export=view&amp;id=1O1-2JkEHF10LN6V_HqQmSKLBx6KhRGW3" TargetMode="External"/><Relationship Id="rId4518" Type="http://schemas.openxmlformats.org/officeDocument/2006/relationships/hyperlink" Target="https://drive.google.com/uc?export=view&amp;id=1kIk93a68_SYc2pfO7wyYeWkzjLQlfspk" TargetMode="External"/><Relationship Id="rId4517" Type="http://schemas.openxmlformats.org/officeDocument/2006/relationships/hyperlink" Target="https://drive.google.com/open?id=1kIk93a68_SYc2pfO7wyYeWkzjLQlfspk" TargetMode="External"/><Relationship Id="rId4519" Type="http://schemas.openxmlformats.org/officeDocument/2006/relationships/hyperlink" Target="https://docs.google.com/document/d/1I4t8xMfzy3A_wkUapJSKEtiymHuEwJc02VjKPxm4zUE/edit?usp=drivesdk" TargetMode="External"/><Relationship Id="rId657" Type="http://schemas.openxmlformats.org/officeDocument/2006/relationships/hyperlink" Target="https://docs.google.com/document/d/1YqziLuSkCHVWm0Z5-SR58nVxQc7BolmhmX_Zjkl-pwo/edit?usp=drivesdk" TargetMode="External"/><Relationship Id="rId656" Type="http://schemas.openxmlformats.org/officeDocument/2006/relationships/hyperlink" Target="https://drive.google.com/uc?export=view&amp;id=1mMSW9zY0C7PJ9t5MofvviTQie9X3cMYG" TargetMode="External"/><Relationship Id="rId655" Type="http://schemas.openxmlformats.org/officeDocument/2006/relationships/hyperlink" Target="https://drive.google.com/open?id=1mMSW9zY0C7PJ9t5MofvviTQie9X3cMYG" TargetMode="External"/><Relationship Id="rId654" Type="http://schemas.openxmlformats.org/officeDocument/2006/relationships/hyperlink" Target="https://docs.google.com/document/d/1peXwBoLFZY-XZEOPyjCw9ag04hRGbOkXk9xqM1FSH-g/edit?usp=drivesdk" TargetMode="External"/><Relationship Id="rId659" Type="http://schemas.openxmlformats.org/officeDocument/2006/relationships/hyperlink" Target="https://drive.google.com/uc?export=view&amp;id=1s-j0CVtsguKSosT_aCuixCA_92NJm36y" TargetMode="External"/><Relationship Id="rId658" Type="http://schemas.openxmlformats.org/officeDocument/2006/relationships/hyperlink" Target="https://drive.google.com/open?id=1s-j0CVtsguKSosT_aCuixCA_92NJm36y" TargetMode="External"/><Relationship Id="rId1480" Type="http://schemas.openxmlformats.org/officeDocument/2006/relationships/hyperlink" Target="https://drive.google.com/open?id=1XKX6JynZDDrMmRB_ZcVW2Y86iwtd656x" TargetMode="External"/><Relationship Id="rId1481" Type="http://schemas.openxmlformats.org/officeDocument/2006/relationships/hyperlink" Target="https://drive.google.com/uc?export=view&amp;id=1XKX6JynZDDrMmRB_ZcVW2Y86iwtd656x" TargetMode="External"/><Relationship Id="rId1482" Type="http://schemas.openxmlformats.org/officeDocument/2006/relationships/hyperlink" Target="https://docs.google.com/document/d/1duMQkjqQUEbicLDh5X_ZqE8FD_yhBzfXQgr5hKzsPfA/edit?usp=drivesdk" TargetMode="External"/><Relationship Id="rId1483" Type="http://schemas.openxmlformats.org/officeDocument/2006/relationships/hyperlink" Target="https://drive.google.com/open?id=1YOfI5au-9fV5xY9j7PWCISxmv9xMuBN4" TargetMode="External"/><Relationship Id="rId653" Type="http://schemas.openxmlformats.org/officeDocument/2006/relationships/hyperlink" Target="https://drive.google.com/uc?export=view&amp;id=1gAIYa_PrUGDrOQ2gHqMNkTuQ8u2IdenZ" TargetMode="External"/><Relationship Id="rId1484" Type="http://schemas.openxmlformats.org/officeDocument/2006/relationships/hyperlink" Target="https://drive.google.com/uc?export=view&amp;id=1YOfI5au-9fV5xY9j7PWCISxmv9xMuBN4" TargetMode="External"/><Relationship Id="rId4510" Type="http://schemas.openxmlformats.org/officeDocument/2006/relationships/hyperlink" Target="https://docs.google.com/document/d/16eH-Kvow2WxsgiSs5Uys6KyZNPaqwqlnHC4nMfbOv3c/edit?usp=drivesdk" TargetMode="External"/><Relationship Id="rId652" Type="http://schemas.openxmlformats.org/officeDocument/2006/relationships/hyperlink" Target="https://drive.google.com/open?id=1gAIYa_PrUGDrOQ2gHqMNkTuQ8u2IdenZ" TargetMode="External"/><Relationship Id="rId1485" Type="http://schemas.openxmlformats.org/officeDocument/2006/relationships/hyperlink" Target="https://docs.google.com/document/d/1F_V-k88tnqHrMVUhJi-fNSPmgkk4Q-_Fujkxw0eqeKY/edit?usp=drivesdk" TargetMode="External"/><Relationship Id="rId651" Type="http://schemas.openxmlformats.org/officeDocument/2006/relationships/hyperlink" Target="https://docs.google.com/document/d/1IHkwguqJ5RT4oyBw5vX02D60jzi7Iw7UklATgc266I8/edit?usp=drivesdk" TargetMode="External"/><Relationship Id="rId1486" Type="http://schemas.openxmlformats.org/officeDocument/2006/relationships/hyperlink" Target="https://drive.google.com/open?id=1bAfsi5F91LfKlUcR5bn2nEfjIsDlS3Nv" TargetMode="External"/><Relationship Id="rId4512" Type="http://schemas.openxmlformats.org/officeDocument/2006/relationships/hyperlink" Target="https://drive.google.com/uc?export=view&amp;id=1fMHAnB52WJZsr-iEuFQuSE9VGU2mhJpU" TargetMode="External"/><Relationship Id="rId650" Type="http://schemas.openxmlformats.org/officeDocument/2006/relationships/hyperlink" Target="https://drive.google.com/uc?export=view&amp;id=1q1_sGdQ7BOVHD6pID6xGT6pZb277ZnCk" TargetMode="External"/><Relationship Id="rId1487" Type="http://schemas.openxmlformats.org/officeDocument/2006/relationships/hyperlink" Target="https://drive.google.com/uc?export=view&amp;id=1bAfsi5F91LfKlUcR5bn2nEfjIsDlS3Nv" TargetMode="External"/><Relationship Id="rId4511" Type="http://schemas.openxmlformats.org/officeDocument/2006/relationships/hyperlink" Target="https://drive.google.com/open?id=1fMHAnB52WJZsr-iEuFQuSE9VGU2mhJpU" TargetMode="External"/><Relationship Id="rId3216" Type="http://schemas.openxmlformats.org/officeDocument/2006/relationships/hyperlink" Target="https://drive.google.com/uc?export=view&amp;id=1iNXPse-xCGeqAdUOGHbOWxmcVE4dc4Pw" TargetMode="External"/><Relationship Id="rId4547" Type="http://schemas.openxmlformats.org/officeDocument/2006/relationships/hyperlink" Target="https://drive.google.com/open?id=1VlPB2RkUow-QUBezaRYRuxiOax1fS7Mw" TargetMode="External"/><Relationship Id="rId3215" Type="http://schemas.openxmlformats.org/officeDocument/2006/relationships/hyperlink" Target="https://drive.google.com/open?id=1iNXPse-xCGeqAdUOGHbOWxmcVE4dc4Pw" TargetMode="External"/><Relationship Id="rId4546" Type="http://schemas.openxmlformats.org/officeDocument/2006/relationships/hyperlink" Target="https://docs.google.com/document/d/1shLW-RqlP4ZS6dlDlvXredHsyT4WwvT1gTH8T55UF50/edit?usp=drivesdk" TargetMode="External"/><Relationship Id="rId3218" Type="http://schemas.openxmlformats.org/officeDocument/2006/relationships/hyperlink" Target="https://drive.google.com/open?id=1LabZqpAVjvOXJ6xAFE3lle4YYQjhpPJW" TargetMode="External"/><Relationship Id="rId4549" Type="http://schemas.openxmlformats.org/officeDocument/2006/relationships/hyperlink" Target="https://docs.google.com/document/d/1WaOvMMyGbEMKHAbxs9k3Nh6K7xfxT9EzNuS3_0P-0DI/edit?usp=drivesdk" TargetMode="External"/><Relationship Id="rId3217" Type="http://schemas.openxmlformats.org/officeDocument/2006/relationships/hyperlink" Target="https://docs.google.com/document/d/1pKcHRfzT7Zpg7DZJVnrdlEfi4xthNh4OBcozkknQpac/edit?usp=drivesdk" TargetMode="External"/><Relationship Id="rId4548" Type="http://schemas.openxmlformats.org/officeDocument/2006/relationships/hyperlink" Target="https://drive.google.com/uc?export=view&amp;id=1VlPB2RkUow-QUBezaRYRuxiOax1fS7Mw" TargetMode="External"/><Relationship Id="rId3219" Type="http://schemas.openxmlformats.org/officeDocument/2006/relationships/hyperlink" Target="https://drive.google.com/uc?export=view&amp;id=1LabZqpAVjvOXJ6xAFE3lle4YYQjhpPJW" TargetMode="External"/><Relationship Id="rId689" Type="http://schemas.openxmlformats.org/officeDocument/2006/relationships/hyperlink" Target="https://drive.google.com/uc?export=view&amp;id=1BQI_ZvKFcw0YcMPCI_fdFfhUCP4wqkb9" TargetMode="External"/><Relationship Id="rId688" Type="http://schemas.openxmlformats.org/officeDocument/2006/relationships/hyperlink" Target="https://drive.google.com/open?id=1BQI_ZvKFcw0YcMPCI_fdFfhUCP4wqkb9" TargetMode="External"/><Relationship Id="rId687" Type="http://schemas.openxmlformats.org/officeDocument/2006/relationships/hyperlink" Target="https://docs.google.com/document/d/1zGutJv1eXKuV_6DmxG6syTaeaSxptda2xs-PgXvgqzE/edit?usp=drivesdk" TargetMode="External"/><Relationship Id="rId682" Type="http://schemas.openxmlformats.org/officeDocument/2006/relationships/hyperlink" Target="https://drive.google.com/open?id=1BqoMO6Gx-wQCtZpOfcSDPFbTENJh849B" TargetMode="External"/><Relationship Id="rId681" Type="http://schemas.openxmlformats.org/officeDocument/2006/relationships/hyperlink" Target="https://docs.google.com/document/d/106qe-_brQQew3I9AsgxY4tp1BuB9oq7pWfPIH5-SRMY/edit?usp=drivesdk" TargetMode="External"/><Relationship Id="rId680" Type="http://schemas.openxmlformats.org/officeDocument/2006/relationships/hyperlink" Target="https://drive.google.com/uc?export=view&amp;id=17TkV2-9A3n6EVPlSqKCbWDrbJIAi5rHy" TargetMode="External"/><Relationship Id="rId3210" Type="http://schemas.openxmlformats.org/officeDocument/2006/relationships/hyperlink" Target="https://drive.google.com/uc?export=view&amp;id=17z1N_yPIJD4t3uV_ubJTwa9fZtTFIn6w" TargetMode="External"/><Relationship Id="rId4541" Type="http://schemas.openxmlformats.org/officeDocument/2006/relationships/hyperlink" Target="https://drive.google.com/open?id=1HP2Ip6Eln12jJxmi6Ywb00JUfalz_5Ts" TargetMode="External"/><Relationship Id="rId4540" Type="http://schemas.openxmlformats.org/officeDocument/2006/relationships/hyperlink" Target="https://docs.google.com/document/d/15mi3Oi2X9R7YCLOB8R26xM8u-wABVAmy5EqTYiNmpDs/edit?usp=drivesdk" TargetMode="External"/><Relationship Id="rId686" Type="http://schemas.openxmlformats.org/officeDocument/2006/relationships/hyperlink" Target="https://drive.google.com/uc?export=view&amp;id=1OqNBuJ30YxcNoDLjlBjIV06saThYQjjb" TargetMode="External"/><Relationship Id="rId3212" Type="http://schemas.openxmlformats.org/officeDocument/2006/relationships/hyperlink" Target="https://drive.google.com/open?id=1S3h4YMZjxHP58J85DIh5la6X7utk7My2" TargetMode="External"/><Relationship Id="rId4543" Type="http://schemas.openxmlformats.org/officeDocument/2006/relationships/hyperlink" Target="https://docs.google.com/document/d/1nxGdEJVu6vfRWazifCQOvVnYPrPa59IOk7MPOze8cvQ/edit?usp=drivesdk" TargetMode="External"/><Relationship Id="rId685" Type="http://schemas.openxmlformats.org/officeDocument/2006/relationships/hyperlink" Target="https://drive.google.com/open?id=1OqNBuJ30YxcNoDLjlBjIV06saThYQjjb" TargetMode="External"/><Relationship Id="rId3211" Type="http://schemas.openxmlformats.org/officeDocument/2006/relationships/hyperlink" Target="https://docs.google.com/document/d/1wccP6ABhlestlpwo2e314VlfiXen-qtPS3xgxCU3sc0/edit?usp=drivesdk" TargetMode="External"/><Relationship Id="rId4542" Type="http://schemas.openxmlformats.org/officeDocument/2006/relationships/hyperlink" Target="https://drive.google.com/uc?export=view&amp;id=1HP2Ip6Eln12jJxmi6Ywb00JUfalz_5Ts" TargetMode="External"/><Relationship Id="rId684" Type="http://schemas.openxmlformats.org/officeDocument/2006/relationships/hyperlink" Target="https://docs.google.com/document/d/1g70St2TCS_CrIIhwFSuzCn7U60kMQGGU1GDojutJiCU/edit?usp=drivesdk" TargetMode="External"/><Relationship Id="rId3214" Type="http://schemas.openxmlformats.org/officeDocument/2006/relationships/hyperlink" Target="https://docs.google.com/document/d/1ux2np3_eMtfQJzIyiuy9h4V_klXrKBR68fSF_dYSKPU/edit?usp=drivesdk" TargetMode="External"/><Relationship Id="rId4545" Type="http://schemas.openxmlformats.org/officeDocument/2006/relationships/hyperlink" Target="https://drive.google.com/uc?export=view&amp;id=1clanrrc6oeQBeJ9Jdi3L5kfID6mbUVll" TargetMode="External"/><Relationship Id="rId683" Type="http://schemas.openxmlformats.org/officeDocument/2006/relationships/hyperlink" Target="https://drive.google.com/uc?export=view&amp;id=1BqoMO6Gx-wQCtZpOfcSDPFbTENJh849B" TargetMode="External"/><Relationship Id="rId3213" Type="http://schemas.openxmlformats.org/officeDocument/2006/relationships/hyperlink" Target="https://drive.google.com/uc?export=view&amp;id=1S3h4YMZjxHP58J85DIh5la6X7utk7My2" TargetMode="External"/><Relationship Id="rId4544" Type="http://schemas.openxmlformats.org/officeDocument/2006/relationships/hyperlink" Target="https://drive.google.com/open?id=1clanrrc6oeQBeJ9Jdi3L5kfID6mbUVll" TargetMode="External"/><Relationship Id="rId3205" Type="http://schemas.openxmlformats.org/officeDocument/2006/relationships/hyperlink" Target="https://docs.google.com/document/d/1PzcL3DkKisqiS2DDUIQD8hDAbwo2UDAVRz25J7VHUUo/edit?usp=drivesdk" TargetMode="External"/><Relationship Id="rId4536" Type="http://schemas.openxmlformats.org/officeDocument/2006/relationships/hyperlink" Target="https://drive.google.com/uc?export=view&amp;id=1Wv026XrOPIiox2Hvm0cRXDqKk21_GICn" TargetMode="External"/><Relationship Id="rId3204" Type="http://schemas.openxmlformats.org/officeDocument/2006/relationships/hyperlink" Target="https://drive.google.com/uc?export=view&amp;id=1EAf2e1Q1yy_be7dM-N3Nkma6MM2MVocL" TargetMode="External"/><Relationship Id="rId4535" Type="http://schemas.openxmlformats.org/officeDocument/2006/relationships/hyperlink" Target="https://drive.google.com/open?id=1Wv026XrOPIiox2Hvm0cRXDqKk21_GICn" TargetMode="External"/><Relationship Id="rId3207" Type="http://schemas.openxmlformats.org/officeDocument/2006/relationships/hyperlink" Target="https://drive.google.com/uc?export=view&amp;id=1mHwz_A3cgwkdsDC19pMBjJvoXQme9Mde" TargetMode="External"/><Relationship Id="rId4538" Type="http://schemas.openxmlformats.org/officeDocument/2006/relationships/hyperlink" Target="https://drive.google.com/open?id=1oO4Xvlpmn76Fq6J1NCtNY3SvWiqjNFbE" TargetMode="External"/><Relationship Id="rId3206" Type="http://schemas.openxmlformats.org/officeDocument/2006/relationships/hyperlink" Target="https://drive.google.com/open?id=1mHwz_A3cgwkdsDC19pMBjJvoXQme9Mde" TargetMode="External"/><Relationship Id="rId4537" Type="http://schemas.openxmlformats.org/officeDocument/2006/relationships/hyperlink" Target="https://docs.google.com/document/d/1FrChy60CsPUH4EPNyimlkLCep_bRIxR3Vq7JQ8U3NpE/edit?usp=drivesdk" TargetMode="External"/><Relationship Id="rId3209" Type="http://schemas.openxmlformats.org/officeDocument/2006/relationships/hyperlink" Target="https://drive.google.com/open?id=17z1N_yPIJD4t3uV_ubJTwa9fZtTFIn6w" TargetMode="External"/><Relationship Id="rId3208" Type="http://schemas.openxmlformats.org/officeDocument/2006/relationships/hyperlink" Target="https://docs.google.com/document/d/1Q4kPkHxh1jbAlwym3yklke5NO3vPfs6po_ZoZdCa1x8/edit?usp=drivesdk" TargetMode="External"/><Relationship Id="rId4539" Type="http://schemas.openxmlformats.org/officeDocument/2006/relationships/hyperlink" Target="https://drive.google.com/uc?export=view&amp;id=1oO4Xvlpmn76Fq6J1NCtNY3SvWiqjNFbE" TargetMode="External"/><Relationship Id="rId679" Type="http://schemas.openxmlformats.org/officeDocument/2006/relationships/hyperlink" Target="https://drive.google.com/open?id=17TkV2-9A3n6EVPlSqKCbWDrbJIAi5rHy" TargetMode="External"/><Relationship Id="rId678" Type="http://schemas.openxmlformats.org/officeDocument/2006/relationships/hyperlink" Target="https://docs.google.com/document/d/11tVOJ1sxnZeQHmRqu5e87haqHWy5I5uJN-XqS-Y0rqw/edit?usp=drivesdk" TargetMode="External"/><Relationship Id="rId677" Type="http://schemas.openxmlformats.org/officeDocument/2006/relationships/hyperlink" Target="https://drive.google.com/uc?export=view&amp;id=1X9whf4TTKlyHQgR-Xg3ITeEbNFAJ78uG" TargetMode="External"/><Relationship Id="rId676" Type="http://schemas.openxmlformats.org/officeDocument/2006/relationships/hyperlink" Target="https://drive.google.com/open?id=1X9whf4TTKlyHQgR-Xg3ITeEbNFAJ78uG" TargetMode="External"/><Relationship Id="rId671" Type="http://schemas.openxmlformats.org/officeDocument/2006/relationships/hyperlink" Target="https://drive.google.com/uc?export=view&amp;id=1ZvgU8nhPg25_SEc6KJoIo8OoYC3HEEr8" TargetMode="External"/><Relationship Id="rId670" Type="http://schemas.openxmlformats.org/officeDocument/2006/relationships/hyperlink" Target="https://drive.google.com/open?id=1ZvgU8nhPg25_SEc6KJoIo8OoYC3HEEr8" TargetMode="External"/><Relationship Id="rId4530" Type="http://schemas.openxmlformats.org/officeDocument/2006/relationships/hyperlink" Target="https://drive.google.com/uc?export=view&amp;id=18tdMXehtZ3NRZCpArqYXYK01s-K0g7pU" TargetMode="External"/><Relationship Id="rId675" Type="http://schemas.openxmlformats.org/officeDocument/2006/relationships/hyperlink" Target="https://docs.google.com/document/d/19ICcOYu_RV3c2AQNidr4Cq9d-aXuLP56vLrgrqf3Oy4/edit?usp=drivesdk" TargetMode="External"/><Relationship Id="rId3201" Type="http://schemas.openxmlformats.org/officeDocument/2006/relationships/hyperlink" Target="https://drive.google.com/uc?export=view&amp;id=1doNLH2ov_n_8gE5UJBJnHvZrS3NKPL-U" TargetMode="External"/><Relationship Id="rId4532" Type="http://schemas.openxmlformats.org/officeDocument/2006/relationships/hyperlink" Target="https://drive.google.com/open?id=19BUtssZj_A_dnGBYeeUxU4I6WS9Kg-iz" TargetMode="External"/><Relationship Id="rId674" Type="http://schemas.openxmlformats.org/officeDocument/2006/relationships/hyperlink" Target="https://drive.google.com/uc?export=view&amp;id=1hGsln1bypVSjdYDc6dZz6JPOhCZ6lK2A" TargetMode="External"/><Relationship Id="rId3200" Type="http://schemas.openxmlformats.org/officeDocument/2006/relationships/hyperlink" Target="https://drive.google.com/open?id=1doNLH2ov_n_8gE5UJBJnHvZrS3NKPL-U" TargetMode="External"/><Relationship Id="rId4531" Type="http://schemas.openxmlformats.org/officeDocument/2006/relationships/hyperlink" Target="https://docs.google.com/document/d/1KApxReg3pBtcn-xPoraMvN3CjjyDoe_h_XoDiQweXK4/edit?usp=drivesdk" TargetMode="External"/><Relationship Id="rId673" Type="http://schemas.openxmlformats.org/officeDocument/2006/relationships/hyperlink" Target="https://drive.google.com/open?id=1hGsln1bypVSjdYDc6dZz6JPOhCZ6lK2A" TargetMode="External"/><Relationship Id="rId3203" Type="http://schemas.openxmlformats.org/officeDocument/2006/relationships/hyperlink" Target="https://drive.google.com/open?id=1EAf2e1Q1yy_be7dM-N3Nkma6MM2MVocL" TargetMode="External"/><Relationship Id="rId4534" Type="http://schemas.openxmlformats.org/officeDocument/2006/relationships/hyperlink" Target="https://docs.google.com/document/d/1wDH8XI6tYb5bFdgy7nzNyqHGWHG7blMeudYj0ojQ95M/edit?usp=drivesdk" TargetMode="External"/><Relationship Id="rId672" Type="http://schemas.openxmlformats.org/officeDocument/2006/relationships/hyperlink" Target="https://docs.google.com/document/d/1gMw8eJYkU2468ZmnPFTfnRyd1CaGUkiW6M3iq1OSjZw/edit?usp=drivesdk" TargetMode="External"/><Relationship Id="rId3202" Type="http://schemas.openxmlformats.org/officeDocument/2006/relationships/hyperlink" Target="https://docs.google.com/document/d/1HsO98DQchZ-lVRHajhwzeh40CiJnI4aGKaUEl4HKHO0/edit?usp=drivesdk" TargetMode="External"/><Relationship Id="rId4533" Type="http://schemas.openxmlformats.org/officeDocument/2006/relationships/hyperlink" Target="https://drive.google.com/uc?export=view&amp;id=19BUtssZj_A_dnGBYeeUxU4I6WS9Kg-iz" TargetMode="External"/><Relationship Id="rId190" Type="http://schemas.openxmlformats.org/officeDocument/2006/relationships/hyperlink" Target="https://drive.google.com/open?id=1sArePawBLKlip_ysZOx-QzoUlqksiRd-" TargetMode="External"/><Relationship Id="rId194" Type="http://schemas.openxmlformats.org/officeDocument/2006/relationships/hyperlink" Target="https://drive.google.com/uc?export=view&amp;id=1szhU50KNjDpw8c2NMsaelyci-p_zq2vW" TargetMode="External"/><Relationship Id="rId193" Type="http://schemas.openxmlformats.org/officeDocument/2006/relationships/hyperlink" Target="https://drive.google.com/open?id=1szhU50KNjDpw8c2NMsaelyci-p_zq2vW" TargetMode="External"/><Relationship Id="rId192" Type="http://schemas.openxmlformats.org/officeDocument/2006/relationships/hyperlink" Target="https://docs.google.com/document/d/1t_nJzl_vO9UrJ6xpJwO5ZN8AfF_pEpZjS9AJfNXUnIs/edit?usp=drivesdk" TargetMode="External"/><Relationship Id="rId191" Type="http://schemas.openxmlformats.org/officeDocument/2006/relationships/hyperlink" Target="https://drive.google.com/uc?export=view&amp;id=1sArePawBLKlip_ysZOx-QzoUlqksiRd-" TargetMode="External"/><Relationship Id="rId187" Type="http://schemas.openxmlformats.org/officeDocument/2006/relationships/hyperlink" Target="https://drive.google.com/open?id=1nobcChkq_C5fQOo_iGwlrxx_sRX0i-ie" TargetMode="External"/><Relationship Id="rId186" Type="http://schemas.openxmlformats.org/officeDocument/2006/relationships/hyperlink" Target="https://docs.google.com/document/d/1LqhOpIBvGkNGIqxCeAJPi64srd-RByGiJXQoHBP3EQQ/edit?usp=drivesdk" TargetMode="External"/><Relationship Id="rId185" Type="http://schemas.openxmlformats.org/officeDocument/2006/relationships/hyperlink" Target="https://drive.google.com/uc?export=view&amp;id=1U4AzE0JGgKz_D_ggd7vg9Mg_nAymKwYv" TargetMode="External"/><Relationship Id="rId184" Type="http://schemas.openxmlformats.org/officeDocument/2006/relationships/hyperlink" Target="https://drive.google.com/open?id=1U4AzE0JGgKz_D_ggd7vg9Mg_nAymKwYv" TargetMode="External"/><Relationship Id="rId189" Type="http://schemas.openxmlformats.org/officeDocument/2006/relationships/hyperlink" Target="https://docs.google.com/document/d/1PlFdReoLHtny3Zp9DHF5dKZHe_ArjRlur3P2oAeOJF8/edit?usp=drivesdk" TargetMode="External"/><Relationship Id="rId188" Type="http://schemas.openxmlformats.org/officeDocument/2006/relationships/hyperlink" Target="https://drive.google.com/uc?export=view&amp;id=1nobcChkq_C5fQOo_iGwlrxx_sRX0i-ie" TargetMode="External"/><Relationship Id="rId183" Type="http://schemas.openxmlformats.org/officeDocument/2006/relationships/hyperlink" Target="https://docs.google.com/document/d/11A3gHuLhP8SLgSmzN8WgPmIGQWaP8_iHZ_45AjLewGU/edit?usp=drivesdk" TargetMode="External"/><Relationship Id="rId182" Type="http://schemas.openxmlformats.org/officeDocument/2006/relationships/hyperlink" Target="https://drive.google.com/uc?export=view&amp;id=1PFQkMSv8qBYzpOUdz3EhwrjmMIopt14q" TargetMode="External"/><Relationship Id="rId181" Type="http://schemas.openxmlformats.org/officeDocument/2006/relationships/hyperlink" Target="https://drive.google.com/open?id=1PFQkMSv8qBYzpOUdz3EhwrjmMIopt14q" TargetMode="External"/><Relationship Id="rId180" Type="http://schemas.openxmlformats.org/officeDocument/2006/relationships/hyperlink" Target="https://docs.google.com/document/d/1zUeMMlJTVZrHH8q9Pf_EtV4yMfTzjhKFQg0mmWFacgs/edit?usp=drivesdk" TargetMode="External"/><Relationship Id="rId176" Type="http://schemas.openxmlformats.org/officeDocument/2006/relationships/hyperlink" Target="https://drive.google.com/uc?export=view&amp;id=1KrSUDCQVmlFsnTJVrnARA3wSwoz7hhYc" TargetMode="External"/><Relationship Id="rId175" Type="http://schemas.openxmlformats.org/officeDocument/2006/relationships/hyperlink" Target="https://drive.google.com/open?id=1KrSUDCQVmlFsnTJVrnARA3wSwoz7hhYc" TargetMode="External"/><Relationship Id="rId174" Type="http://schemas.openxmlformats.org/officeDocument/2006/relationships/hyperlink" Target="https://docs.google.com/document/d/1Loq9ADq7Oa7ANkhYEs5nwOobGIZbmlQ_Cx5MBvpKf3w/edit?usp=drivesdk" TargetMode="External"/><Relationship Id="rId173" Type="http://schemas.openxmlformats.org/officeDocument/2006/relationships/hyperlink" Target="https://drive.google.com/uc?export=view&amp;id=1Olrx4S0Ehl2Bc6TQK9o-3ygmJIbxzjnI" TargetMode="External"/><Relationship Id="rId179" Type="http://schemas.openxmlformats.org/officeDocument/2006/relationships/hyperlink" Target="https://drive.google.com/uc?export=view&amp;id=1zayilDBm2QIkgBdYk9fUvNVS0T5WLAsm" TargetMode="External"/><Relationship Id="rId178" Type="http://schemas.openxmlformats.org/officeDocument/2006/relationships/hyperlink" Target="https://drive.google.com/open?id=1zayilDBm2QIkgBdYk9fUvNVS0T5WLAsm" TargetMode="External"/><Relationship Id="rId177" Type="http://schemas.openxmlformats.org/officeDocument/2006/relationships/hyperlink" Target="https://docs.google.com/document/d/1cLUGPcBNm6Gdq59C1NqzrD5jsVpoAvjFCITI4MQxUVw/edit?usp=drivesdk" TargetMode="External"/><Relationship Id="rId198" Type="http://schemas.openxmlformats.org/officeDocument/2006/relationships/hyperlink" Target="https://docs.google.com/document/d/1FJPOZUEiKeq6xh24XSKHY4TdjcVk1zAB43o3Dnrsra8/edit?usp=drivesdk" TargetMode="External"/><Relationship Id="rId197" Type="http://schemas.openxmlformats.org/officeDocument/2006/relationships/hyperlink" Target="https://drive.google.com/uc?export=view&amp;id=1ZXwCZ-JlEIsXVIvPpMbelTIRwleedsnr" TargetMode="External"/><Relationship Id="rId196" Type="http://schemas.openxmlformats.org/officeDocument/2006/relationships/hyperlink" Target="https://drive.google.com/open?id=1ZXwCZ-JlEIsXVIvPpMbelTIRwleedsnr" TargetMode="External"/><Relationship Id="rId195" Type="http://schemas.openxmlformats.org/officeDocument/2006/relationships/hyperlink" Target="https://docs.google.com/document/d/1wPyTMv-b6LXBQC8vSzWFF46aopiHvVvdMM1ARu5qX1U/edit?usp=drivesdk" TargetMode="External"/><Relationship Id="rId199" Type="http://schemas.openxmlformats.org/officeDocument/2006/relationships/hyperlink" Target="https://drive.google.com/open?id=1dTSorYbBp3YFvgUmh1VR1R3ClEMhLM5_" TargetMode="External"/><Relationship Id="rId150" Type="http://schemas.openxmlformats.org/officeDocument/2006/relationships/hyperlink" Target="https://docs.google.com/document/d/1AKKeKwYZ7s2QG4Y0XxShPilfQdB4Zm-AQBskSqhqa1s/edit?usp=drivesdk" TargetMode="External"/><Relationship Id="rId149" Type="http://schemas.openxmlformats.org/officeDocument/2006/relationships/hyperlink" Target="https://drive.google.com/uc?export=view&amp;id=1QwlBKbJQ1P36wL7DO675yJk5EZSrtPhh" TargetMode="External"/><Relationship Id="rId148" Type="http://schemas.openxmlformats.org/officeDocument/2006/relationships/hyperlink" Target="https://drive.google.com/open?id=1QwlBKbJQ1P36wL7DO675yJk5EZSrtPhh" TargetMode="External"/><Relationship Id="rId3270" Type="http://schemas.openxmlformats.org/officeDocument/2006/relationships/hyperlink" Target="https://drive.google.com/uc?export=view&amp;id=1oBJHWkzsJJLYOpo9PxYijOAjkJ8AD7ui" TargetMode="External"/><Relationship Id="rId3272" Type="http://schemas.openxmlformats.org/officeDocument/2006/relationships/hyperlink" Target="https://drive.google.com/open?id=1B7tGJbICy-XQpiSAK1k2tU9dTILPu_v7" TargetMode="External"/><Relationship Id="rId3271" Type="http://schemas.openxmlformats.org/officeDocument/2006/relationships/hyperlink" Target="https://docs.google.com/document/d/1plMpRWVzdT846LQVP7mxUV2emJnKTp4UzbczFvPpYsw/edit?usp=drivesdk" TargetMode="External"/><Relationship Id="rId143" Type="http://schemas.openxmlformats.org/officeDocument/2006/relationships/hyperlink" Target="https://drive.google.com/uc?export=view&amp;id=1fNdyITWFvim4y3bOE50nInFdOn6DnCX0" TargetMode="External"/><Relationship Id="rId3274" Type="http://schemas.openxmlformats.org/officeDocument/2006/relationships/hyperlink" Target="https://docs.google.com/document/d/1nl3nIP5uhKEVQ0C-xtpsGnswTOBExYAa-B49cVmZ4u0/edit?usp=drivesdk" TargetMode="External"/><Relationship Id="rId142" Type="http://schemas.openxmlformats.org/officeDocument/2006/relationships/hyperlink" Target="https://drive.google.com/open?id=1fNdyITWFvim4y3bOE50nInFdOn6DnCX0" TargetMode="External"/><Relationship Id="rId3273" Type="http://schemas.openxmlformats.org/officeDocument/2006/relationships/hyperlink" Target="https://drive.google.com/uc?export=view&amp;id=1B7tGJbICy-XQpiSAK1k2tU9dTILPu_v7" TargetMode="External"/><Relationship Id="rId141" Type="http://schemas.openxmlformats.org/officeDocument/2006/relationships/hyperlink" Target="https://docs.google.com/document/d/1wss0mkS9gYm04PbSyuCimu3QP-E-tQliGrcGSDm8ME8/edit?usp=drivesdk" TargetMode="External"/><Relationship Id="rId3276" Type="http://schemas.openxmlformats.org/officeDocument/2006/relationships/hyperlink" Target="https://drive.google.com/uc?export=view&amp;id=1_v7HG4y8ptr6RYbFOb3fRzAdda-rBz9G" TargetMode="External"/><Relationship Id="rId140" Type="http://schemas.openxmlformats.org/officeDocument/2006/relationships/hyperlink" Target="https://drive.google.com/uc?export=view&amp;id=1JxlOHvJ_CsYcvUSFxC0G-pJ1SsM6GNVE" TargetMode="External"/><Relationship Id="rId3275" Type="http://schemas.openxmlformats.org/officeDocument/2006/relationships/hyperlink" Target="https://drive.google.com/open?id=1_v7HG4y8ptr6RYbFOb3fRzAdda-rBz9G" TargetMode="External"/><Relationship Id="rId147" Type="http://schemas.openxmlformats.org/officeDocument/2006/relationships/hyperlink" Target="https://docs.google.com/document/d/1eW5knXYxrHbiOI1jeUWxDNVq6kFSosKWgRdLs5lvW_0/edit?usp=drivesdk" TargetMode="External"/><Relationship Id="rId3278" Type="http://schemas.openxmlformats.org/officeDocument/2006/relationships/hyperlink" Target="https://drive.google.com/open?id=1LlIMj73VfNvcVYmEvLllSCNG0BhNXMz7" TargetMode="External"/><Relationship Id="rId146" Type="http://schemas.openxmlformats.org/officeDocument/2006/relationships/hyperlink" Target="https://drive.google.com/uc?export=view&amp;id=1a7kHf3enQipELkjIMt67AsLdkbU9tSP3" TargetMode="External"/><Relationship Id="rId3277" Type="http://schemas.openxmlformats.org/officeDocument/2006/relationships/hyperlink" Target="https://docs.google.com/document/d/1W5bLBkOALOYpwljl6ahxmMkmV-3pF5EJaFzbaTdHfyI/edit?usp=drivesdk" TargetMode="External"/><Relationship Id="rId145" Type="http://schemas.openxmlformats.org/officeDocument/2006/relationships/hyperlink" Target="https://drive.google.com/open?id=1a7kHf3enQipELkjIMt67AsLdkbU9tSP3" TargetMode="External"/><Relationship Id="rId144" Type="http://schemas.openxmlformats.org/officeDocument/2006/relationships/hyperlink" Target="https://docs.google.com/document/d/1c7nH-j3w3lirVMZ6EX8fKCFayAiebw8oWze89xYnvaA/edit?usp=drivesdk" TargetMode="External"/><Relationship Id="rId3279" Type="http://schemas.openxmlformats.org/officeDocument/2006/relationships/hyperlink" Target="https://drive.google.com/uc?export=view&amp;id=1LlIMj73VfNvcVYmEvLllSCNG0BhNXMz7" TargetMode="External"/><Relationship Id="rId139" Type="http://schemas.openxmlformats.org/officeDocument/2006/relationships/hyperlink" Target="https://drive.google.com/open?id=1JxlOHvJ_CsYcvUSFxC0G-pJ1SsM6GNVE" TargetMode="External"/><Relationship Id="rId138" Type="http://schemas.openxmlformats.org/officeDocument/2006/relationships/hyperlink" Target="https://docs.google.com/document/d/1Dxx89MPh2zfEVyno2N_whGkj9Rh3qJjGhpNLQD2KV0E/edit?usp=drivesdk" TargetMode="External"/><Relationship Id="rId137" Type="http://schemas.openxmlformats.org/officeDocument/2006/relationships/hyperlink" Target="https://drive.google.com/uc?export=view&amp;id=1f9n_PCmF-KK5HLD9epC2GPi-GSUwYqnJ" TargetMode="External"/><Relationship Id="rId4590" Type="http://schemas.openxmlformats.org/officeDocument/2006/relationships/hyperlink" Target="https://drive.google.com/uc?export=view&amp;id=1pWvJp9RzUT8Uf3KSmb7kY53YQc4rYhuU" TargetMode="External"/><Relationship Id="rId3261" Type="http://schemas.openxmlformats.org/officeDocument/2006/relationships/hyperlink" Target="https://drive.google.com/uc?export=view&amp;id=1vK4dXBZn2rwg63EUcjILUqDvAc74W3QX" TargetMode="External"/><Relationship Id="rId4592" Type="http://schemas.openxmlformats.org/officeDocument/2006/relationships/hyperlink" Target="https://drive.google.com/open?id=19Iy97amafP2-P-gHg19oxZ6MEOXwkDRW" TargetMode="External"/><Relationship Id="rId3260" Type="http://schemas.openxmlformats.org/officeDocument/2006/relationships/hyperlink" Target="https://drive.google.com/open?id=1vK4dXBZn2rwg63EUcjILUqDvAc74W3QX" TargetMode="External"/><Relationship Id="rId4591" Type="http://schemas.openxmlformats.org/officeDocument/2006/relationships/hyperlink" Target="https://docs.google.com/document/d/1vxqQuYdPEJ89Yp1joh4FjI5q6xSTOVPlf98I3WUdNug/edit?usp=drivesdk" TargetMode="External"/><Relationship Id="rId132" Type="http://schemas.openxmlformats.org/officeDocument/2006/relationships/hyperlink" Target="https://docs.google.com/document/d/1s1UXneVniuzkr_lSxP7P4PxLw-liJcXEw9GC2AwEWFs/edit?usp=drivesdk" TargetMode="External"/><Relationship Id="rId3263" Type="http://schemas.openxmlformats.org/officeDocument/2006/relationships/hyperlink" Target="https://drive.google.com/open?id=1CSea8n0n9FfIZz9GHKnJ8NvxSjID_W3u" TargetMode="External"/><Relationship Id="rId4594" Type="http://schemas.openxmlformats.org/officeDocument/2006/relationships/hyperlink" Target="https://docs.google.com/document/d/1H_r86Qn4wWN5_K8sk1uBnAKaRtc-1l7EMsKKRY8P3SA/edit?usp=drivesdk" TargetMode="External"/><Relationship Id="rId131" Type="http://schemas.openxmlformats.org/officeDocument/2006/relationships/hyperlink" Target="https://drive.google.com/uc?export=view&amp;id=1qV9eYUEPlUO5P2YcLglFFyzaRKe09Nhc" TargetMode="External"/><Relationship Id="rId3262" Type="http://schemas.openxmlformats.org/officeDocument/2006/relationships/hyperlink" Target="https://docs.google.com/document/d/1UF8jb2x5i0AoKb7BJtObfKoGC6_3_CpGfoaRjZlKVbQ/edit?usp=drivesdk" TargetMode="External"/><Relationship Id="rId4593" Type="http://schemas.openxmlformats.org/officeDocument/2006/relationships/hyperlink" Target="https://drive.google.com/uc?export=view&amp;id=19Iy97amafP2-P-gHg19oxZ6MEOXwkDRW" TargetMode="External"/><Relationship Id="rId130" Type="http://schemas.openxmlformats.org/officeDocument/2006/relationships/hyperlink" Target="https://drive.google.com/open?id=1qV9eYUEPlUO5P2YcLglFFyzaRKe09Nhc" TargetMode="External"/><Relationship Id="rId3265" Type="http://schemas.openxmlformats.org/officeDocument/2006/relationships/hyperlink" Target="https://docs.google.com/document/d/1CxnU4nfZTjQ36fhdkfrFAMCfUVNIr2RxPgNNni21yFc/edit?usp=drivesdk" TargetMode="External"/><Relationship Id="rId4596" Type="http://schemas.openxmlformats.org/officeDocument/2006/relationships/hyperlink" Target="https://drive.google.com/uc?export=view&amp;id=1fpUQ1JkhaxUuLt9W16EMhcD5Li_5DOi4" TargetMode="External"/><Relationship Id="rId3264" Type="http://schemas.openxmlformats.org/officeDocument/2006/relationships/hyperlink" Target="https://drive.google.com/uc?export=view&amp;id=1CSea8n0n9FfIZz9GHKnJ8NvxSjID_W3u" TargetMode="External"/><Relationship Id="rId4595" Type="http://schemas.openxmlformats.org/officeDocument/2006/relationships/hyperlink" Target="https://drive.google.com/open?id=1fpUQ1JkhaxUuLt9W16EMhcD5Li_5DOi4" TargetMode="External"/><Relationship Id="rId136" Type="http://schemas.openxmlformats.org/officeDocument/2006/relationships/hyperlink" Target="https://drive.google.com/open?id=1f9n_PCmF-KK5HLD9epC2GPi-GSUwYqnJ" TargetMode="External"/><Relationship Id="rId3267" Type="http://schemas.openxmlformats.org/officeDocument/2006/relationships/hyperlink" Target="https://drive.google.com/uc?export=view&amp;id=1UGydb8SS8T009NB1aLmiyeC8pQx12kiP" TargetMode="External"/><Relationship Id="rId4598" Type="http://schemas.openxmlformats.org/officeDocument/2006/relationships/hyperlink" Target="https://drive.google.com/open?id=11_K1ixAWPcGPmeEdhdKjJ_PKLXv3EyId" TargetMode="External"/><Relationship Id="rId135" Type="http://schemas.openxmlformats.org/officeDocument/2006/relationships/hyperlink" Target="https://docs.google.com/document/d/1KLQ1gChFOt9yGqg9rhlg3cKim4kkWyezvsuOphdDV88/edit?usp=drivesdk" TargetMode="External"/><Relationship Id="rId3266" Type="http://schemas.openxmlformats.org/officeDocument/2006/relationships/hyperlink" Target="https://drive.google.com/open?id=1UGydb8SS8T009NB1aLmiyeC8pQx12kiP" TargetMode="External"/><Relationship Id="rId4597" Type="http://schemas.openxmlformats.org/officeDocument/2006/relationships/hyperlink" Target="https://docs.google.com/document/d/1jVCbezCVU6IgvR8UDH9tawfTad445z5W5s-ZnxbroNo/edit?usp=drivesdk" TargetMode="External"/><Relationship Id="rId134" Type="http://schemas.openxmlformats.org/officeDocument/2006/relationships/hyperlink" Target="https://drive.google.com/uc?export=view&amp;id=13mQ4EqtQUfU-cFXJ_TFjaq6oExCO_09E" TargetMode="External"/><Relationship Id="rId3269" Type="http://schemas.openxmlformats.org/officeDocument/2006/relationships/hyperlink" Target="https://drive.google.com/open?id=1oBJHWkzsJJLYOpo9PxYijOAjkJ8AD7ui" TargetMode="External"/><Relationship Id="rId133" Type="http://schemas.openxmlformats.org/officeDocument/2006/relationships/hyperlink" Target="https://drive.google.com/open?id=13mQ4EqtQUfU-cFXJ_TFjaq6oExCO_09E" TargetMode="External"/><Relationship Id="rId3268" Type="http://schemas.openxmlformats.org/officeDocument/2006/relationships/hyperlink" Target="https://docs.google.com/document/d/1b7B6hQbko_UA2KIh7ef70dJWmWm127Pkb2ESn3eg18Q/edit?usp=drivesdk" TargetMode="External"/><Relationship Id="rId4599" Type="http://schemas.openxmlformats.org/officeDocument/2006/relationships/hyperlink" Target="https://drive.google.com/uc?export=view&amp;id=11_K1ixAWPcGPmeEdhdKjJ_PKLXv3EyId" TargetMode="External"/><Relationship Id="rId172" Type="http://schemas.openxmlformats.org/officeDocument/2006/relationships/hyperlink" Target="https://drive.google.com/open?id=1Olrx4S0Ehl2Bc6TQK9o-3ygmJIbxzjnI" TargetMode="External"/><Relationship Id="rId171" Type="http://schemas.openxmlformats.org/officeDocument/2006/relationships/hyperlink" Target="https://docs.google.com/document/d/1u7GZsdNQsWXHJSndTwIigE7l7wOTPKlk7mOntM82lgc/edit?usp=drivesdk" TargetMode="External"/><Relationship Id="rId170" Type="http://schemas.openxmlformats.org/officeDocument/2006/relationships/hyperlink" Target="https://drive.google.com/uc?export=view&amp;id=1zDO307HB2zN80lSm06czdMoHLD5CYrzw" TargetMode="External"/><Relationship Id="rId3290" Type="http://schemas.openxmlformats.org/officeDocument/2006/relationships/hyperlink" Target="https://drive.google.com/open?id=1L_Fh5ECiK8pFIiaBRxfWxP390dBSkQjW" TargetMode="External"/><Relationship Id="rId3292" Type="http://schemas.openxmlformats.org/officeDocument/2006/relationships/hyperlink" Target="https://docs.google.com/document/d/1Lmtgcy4eWQTr3PNNkHnApyeOjVxI6qg1OG5Hbo5DPzg/edit?usp=drivesdk" TargetMode="External"/><Relationship Id="rId3291" Type="http://schemas.openxmlformats.org/officeDocument/2006/relationships/hyperlink" Target="https://drive.google.com/uc?export=view&amp;id=1L_Fh5ECiK8pFIiaBRxfWxP390dBSkQjW" TargetMode="External"/><Relationship Id="rId3294" Type="http://schemas.openxmlformats.org/officeDocument/2006/relationships/hyperlink" Target="https://drive.google.com/uc?export=view&amp;id=1pJZ9wr58hnP1bbJQm-JpaN5VAE7-wJoU" TargetMode="External"/><Relationship Id="rId3293" Type="http://schemas.openxmlformats.org/officeDocument/2006/relationships/hyperlink" Target="https://drive.google.com/open?id=1pJZ9wr58hnP1bbJQm-JpaN5VAE7-wJoU" TargetMode="External"/><Relationship Id="rId165" Type="http://schemas.openxmlformats.org/officeDocument/2006/relationships/hyperlink" Target="https://docs.google.com/document/d/1WE2uL7xnyOycvXYGZ4cMRTP65nHnUbpbHdIFRqiMaWs/edit?usp=drivesdk" TargetMode="External"/><Relationship Id="rId3296" Type="http://schemas.openxmlformats.org/officeDocument/2006/relationships/hyperlink" Target="https://drive.google.com/open?id=127AXpME88fRgJyGDsubT2VsLYTeSP78H" TargetMode="External"/><Relationship Id="rId164" Type="http://schemas.openxmlformats.org/officeDocument/2006/relationships/hyperlink" Target="https://drive.google.com/uc?export=view&amp;id=187VZtHR4j2S-1B4ddSQ0yjR9kV2u5lvA" TargetMode="External"/><Relationship Id="rId3295" Type="http://schemas.openxmlformats.org/officeDocument/2006/relationships/hyperlink" Target="https://docs.google.com/document/d/17RdEf-zfuMR6gstpD0NIYGxr8dCwmiUNd5KYDDPFwes/edit?usp=drivesdk" TargetMode="External"/><Relationship Id="rId163" Type="http://schemas.openxmlformats.org/officeDocument/2006/relationships/hyperlink" Target="https://drive.google.com/open?id=187VZtHR4j2S-1B4ddSQ0yjR9kV2u5lvA" TargetMode="External"/><Relationship Id="rId3298" Type="http://schemas.openxmlformats.org/officeDocument/2006/relationships/hyperlink" Target="https://docs.google.com/document/d/1RD0rUtr9Z01D0pFUTamj7CSibqKBSazo2WPQRtQ9YUM/edit?usp=drivesdk" TargetMode="External"/><Relationship Id="rId162" Type="http://schemas.openxmlformats.org/officeDocument/2006/relationships/hyperlink" Target="https://docs.google.com/document/d/1dScuRo631_GiVEAumN59dfG3rU0Ln2YOx8u9MjZA3nQ/edit?usp=drivesdk" TargetMode="External"/><Relationship Id="rId3297" Type="http://schemas.openxmlformats.org/officeDocument/2006/relationships/hyperlink" Target="https://drive.google.com/uc?export=view&amp;id=127AXpME88fRgJyGDsubT2VsLYTeSP78H" TargetMode="External"/><Relationship Id="rId169" Type="http://schemas.openxmlformats.org/officeDocument/2006/relationships/hyperlink" Target="https://drive.google.com/open?id=1zDO307HB2zN80lSm06czdMoHLD5CYrzw" TargetMode="External"/><Relationship Id="rId168" Type="http://schemas.openxmlformats.org/officeDocument/2006/relationships/hyperlink" Target="https://docs.google.com/document/d/1ZT2IR0Ep8hEjTPhKmXCn2amhKL2HJN-ukjYZXOU9zBg/edit?usp=drivesdk" TargetMode="External"/><Relationship Id="rId3299" Type="http://schemas.openxmlformats.org/officeDocument/2006/relationships/hyperlink" Target="https://drive.google.com/open?id=1tCw_dlFqDuP09F_8QOI7KQlP9jiMrjqU" TargetMode="External"/><Relationship Id="rId167" Type="http://schemas.openxmlformats.org/officeDocument/2006/relationships/hyperlink" Target="https://drive.google.com/uc?export=view&amp;id=1MJhCLNfhBjVue8mQ9nn3Ihz3wpl9Ykhy" TargetMode="External"/><Relationship Id="rId166" Type="http://schemas.openxmlformats.org/officeDocument/2006/relationships/hyperlink" Target="https://drive.google.com/open?id=1MJhCLNfhBjVue8mQ9nn3Ihz3wpl9Ykhy" TargetMode="External"/><Relationship Id="rId161" Type="http://schemas.openxmlformats.org/officeDocument/2006/relationships/hyperlink" Target="https://drive.google.com/uc?export=view&amp;id=1W8NtczfMvrAJsTfMc0fsWccIptRuVHmA" TargetMode="External"/><Relationship Id="rId160" Type="http://schemas.openxmlformats.org/officeDocument/2006/relationships/hyperlink" Target="https://drive.google.com/open?id=1W8NtczfMvrAJsTfMc0fsWccIptRuVHmA" TargetMode="External"/><Relationship Id="rId159" Type="http://schemas.openxmlformats.org/officeDocument/2006/relationships/hyperlink" Target="https://docs.google.com/document/d/1lbKFLAVr4ZMRH7iDQPx8TnI_ObGAulUfGrt_tA5Po4s/edit?usp=drivesdk" TargetMode="External"/><Relationship Id="rId3281" Type="http://schemas.openxmlformats.org/officeDocument/2006/relationships/hyperlink" Target="https://drive.google.com/open?id=1GLa8pNgiS2eaynAsFERq5TLcr2NgQ_j7" TargetMode="External"/><Relationship Id="rId3280" Type="http://schemas.openxmlformats.org/officeDocument/2006/relationships/hyperlink" Target="https://docs.google.com/document/d/1V33nwDs8IsRF1FELyDxefKmb9DXGzoxIwR3CvakjHRI/edit?usp=drivesdk" TargetMode="External"/><Relationship Id="rId3283" Type="http://schemas.openxmlformats.org/officeDocument/2006/relationships/hyperlink" Target="https://docs.google.com/document/d/1ja3Sizssg84mBPlxMqVo19wK48Dpg6nhMUp4dv1PeZA/edit?usp=drivesdk" TargetMode="External"/><Relationship Id="rId3282" Type="http://schemas.openxmlformats.org/officeDocument/2006/relationships/hyperlink" Target="https://drive.google.com/uc?export=view&amp;id=1GLa8pNgiS2eaynAsFERq5TLcr2NgQ_j7" TargetMode="External"/><Relationship Id="rId154" Type="http://schemas.openxmlformats.org/officeDocument/2006/relationships/hyperlink" Target="https://drive.google.com/open?id=1_jTAG-Qjk18iggZXt-88wuRaHmjUhOkH" TargetMode="External"/><Relationship Id="rId3285" Type="http://schemas.openxmlformats.org/officeDocument/2006/relationships/hyperlink" Target="https://drive.google.com/uc?export=view&amp;id=1AwlEkg2qwsDIHULV301aULI8vNOk5uzp" TargetMode="External"/><Relationship Id="rId153" Type="http://schemas.openxmlformats.org/officeDocument/2006/relationships/hyperlink" Target="https://docs.google.com/document/d/1IfZqwDs19jPPfdUmZjo5cSBr3Mnmvwb_wmVNRGZG7DY/edit?usp=drivesdk" TargetMode="External"/><Relationship Id="rId3284" Type="http://schemas.openxmlformats.org/officeDocument/2006/relationships/hyperlink" Target="https://drive.google.com/open?id=1AwlEkg2qwsDIHULV301aULI8vNOk5uzp" TargetMode="External"/><Relationship Id="rId152" Type="http://schemas.openxmlformats.org/officeDocument/2006/relationships/hyperlink" Target="https://drive.google.com/uc?export=view&amp;id=1v9FwqX8caAQyGR0YohTDLD5UrELAhsKn" TargetMode="External"/><Relationship Id="rId3287" Type="http://schemas.openxmlformats.org/officeDocument/2006/relationships/hyperlink" Target="https://drive.google.com/open?id=1T_ykmaWe65-qI6QcM4Pbt2zOyXrsaXGV" TargetMode="External"/><Relationship Id="rId151" Type="http://schemas.openxmlformats.org/officeDocument/2006/relationships/hyperlink" Target="https://drive.google.com/open?id=1v9FwqX8caAQyGR0YohTDLD5UrELAhsKn" TargetMode="External"/><Relationship Id="rId3286" Type="http://schemas.openxmlformats.org/officeDocument/2006/relationships/hyperlink" Target="https://docs.google.com/document/d/1wF4BC_0Wn7pEPYutewdA33VyGyksCPb4tI6aMDKijPM/edit?usp=drivesdk" TargetMode="External"/><Relationship Id="rId158" Type="http://schemas.openxmlformats.org/officeDocument/2006/relationships/hyperlink" Target="https://drive.google.com/uc?export=view&amp;id=1_MQaM4U-jl0Do26xJs8Ukc8VcjonQn80" TargetMode="External"/><Relationship Id="rId3289" Type="http://schemas.openxmlformats.org/officeDocument/2006/relationships/hyperlink" Target="https://docs.google.com/document/d/1M2z7ZNJbTrvcO_G9kYUVQ3P-no-XEv882M0WUOsIcMc/edit?usp=drivesdk" TargetMode="External"/><Relationship Id="rId157" Type="http://schemas.openxmlformats.org/officeDocument/2006/relationships/hyperlink" Target="https://drive.google.com/open?id=1_MQaM4U-jl0Do26xJs8Ukc8VcjonQn80" TargetMode="External"/><Relationship Id="rId3288" Type="http://schemas.openxmlformats.org/officeDocument/2006/relationships/hyperlink" Target="https://drive.google.com/uc?export=view&amp;id=1T_ykmaWe65-qI6QcM4Pbt2zOyXrsaXGV" TargetMode="External"/><Relationship Id="rId156" Type="http://schemas.openxmlformats.org/officeDocument/2006/relationships/hyperlink" Target="https://docs.google.com/document/d/1jm9BXaJxOcUsXXoz1edURuFk0Y3B6oXN5g4P8StthxQ/edit?usp=drivesdk" TargetMode="External"/><Relationship Id="rId155" Type="http://schemas.openxmlformats.org/officeDocument/2006/relationships/hyperlink" Target="https://drive.google.com/uc?export=view&amp;id=1_jTAG-Qjk18iggZXt-88wuRaHmjUhOkH" TargetMode="External"/><Relationship Id="rId2820" Type="http://schemas.openxmlformats.org/officeDocument/2006/relationships/hyperlink" Target="https://drive.google.com/uc?export=view&amp;id=1BMCrjidDRWuB0N89QhRFQ3LFZD9RI8i2" TargetMode="External"/><Relationship Id="rId2821" Type="http://schemas.openxmlformats.org/officeDocument/2006/relationships/hyperlink" Target="https://docs.google.com/document/d/1qENV5AxP2EGAHUgaJT5BYTxtoYts7QIBJ1C4aYOvrzk/edit?usp=drivesdk" TargetMode="External"/><Relationship Id="rId2822" Type="http://schemas.openxmlformats.org/officeDocument/2006/relationships/hyperlink" Target="https://drive.google.com/open?id=10Rdhb1jOfp1zZJ6YtaVIBcIKCYkMsu1O" TargetMode="External"/><Relationship Id="rId2823" Type="http://schemas.openxmlformats.org/officeDocument/2006/relationships/hyperlink" Target="https://drive.google.com/uc?export=view&amp;id=10Rdhb1jOfp1zZJ6YtaVIBcIKCYkMsu1O" TargetMode="External"/><Relationship Id="rId2824" Type="http://schemas.openxmlformats.org/officeDocument/2006/relationships/hyperlink" Target="https://docs.google.com/document/d/1itZUmV3x9QJnGdC3L6EYP4i1YgM1OgoT96YOt5SiSJE/edit?usp=drivesdk" TargetMode="External"/><Relationship Id="rId2825" Type="http://schemas.openxmlformats.org/officeDocument/2006/relationships/hyperlink" Target="https://drive.google.com/open?id=1L-YU9Y2Sll6gIfMc8I0zEIBVrrk9nsMN" TargetMode="External"/><Relationship Id="rId2826" Type="http://schemas.openxmlformats.org/officeDocument/2006/relationships/hyperlink" Target="https://drive.google.com/uc?export=view&amp;id=1L-YU9Y2Sll6gIfMc8I0zEIBVrrk9nsMN" TargetMode="External"/><Relationship Id="rId2827" Type="http://schemas.openxmlformats.org/officeDocument/2006/relationships/hyperlink" Target="https://docs.google.com/document/d/1ogxhxA-zpuP3BNxVEvKB_g23FFl6JDQX-kVbG13TKP8/edit?usp=drivesdk" TargetMode="External"/><Relationship Id="rId2828" Type="http://schemas.openxmlformats.org/officeDocument/2006/relationships/hyperlink" Target="https://drive.google.com/open?id=1GOowLL_va0QN_xO2V9owPTY4jw_dXIq0" TargetMode="External"/><Relationship Id="rId2829" Type="http://schemas.openxmlformats.org/officeDocument/2006/relationships/hyperlink" Target="https://drive.google.com/uc?export=view&amp;id=1GOowLL_va0QN_xO2V9owPTY4jw_dXIq0" TargetMode="External"/><Relationship Id="rId2810" Type="http://schemas.openxmlformats.org/officeDocument/2006/relationships/hyperlink" Target="https://drive.google.com/open?id=1Dx8kEiN0agWlwX2LK2EvqP29lzG9FYAG" TargetMode="External"/><Relationship Id="rId2811" Type="http://schemas.openxmlformats.org/officeDocument/2006/relationships/hyperlink" Target="https://drive.google.com/uc?export=view&amp;id=1Dx8kEiN0agWlwX2LK2EvqP29lzG9FYAG" TargetMode="External"/><Relationship Id="rId2812" Type="http://schemas.openxmlformats.org/officeDocument/2006/relationships/hyperlink" Target="https://docs.google.com/document/d/1FbSjxR0UM8OGLJd8Y4TgzvaR-81efRv2rxgcK5ISnHg/edit?usp=drivesdk" TargetMode="External"/><Relationship Id="rId2813" Type="http://schemas.openxmlformats.org/officeDocument/2006/relationships/hyperlink" Target="https://drive.google.com/open?id=16-TkdOarNxRt6Am83lP9G1GwvAxDALPY" TargetMode="External"/><Relationship Id="rId2814" Type="http://schemas.openxmlformats.org/officeDocument/2006/relationships/hyperlink" Target="https://drive.google.com/uc?export=view&amp;id=16-TkdOarNxRt6Am83lP9G1GwvAxDALPY" TargetMode="External"/><Relationship Id="rId2815" Type="http://schemas.openxmlformats.org/officeDocument/2006/relationships/hyperlink" Target="https://docs.google.com/document/d/1kE89ydJvk83GajKjBlFNIElLkIzWBGiYRDC87v-jPow/edit?usp=drivesdk" TargetMode="External"/><Relationship Id="rId2816" Type="http://schemas.openxmlformats.org/officeDocument/2006/relationships/hyperlink" Target="https://drive.google.com/open?id=1fmu5AN0iVixBXfCvzWTB0Tf0iOvAEMb1" TargetMode="External"/><Relationship Id="rId2817" Type="http://schemas.openxmlformats.org/officeDocument/2006/relationships/hyperlink" Target="https://drive.google.com/uc?export=view&amp;id=1fmu5AN0iVixBXfCvzWTB0Tf0iOvAEMb1" TargetMode="External"/><Relationship Id="rId2818" Type="http://schemas.openxmlformats.org/officeDocument/2006/relationships/hyperlink" Target="https://docs.google.com/document/d/1spAohZSVro7RHj3C_WSNezx8yOHegFsul62r_Kh0t3A/edit?usp=drivesdk" TargetMode="External"/><Relationship Id="rId2819" Type="http://schemas.openxmlformats.org/officeDocument/2006/relationships/hyperlink" Target="https://drive.google.com/open?id=1BMCrjidDRWuB0N89QhRFQ3LFZD9RI8i2" TargetMode="External"/><Relationship Id="rId1510" Type="http://schemas.openxmlformats.org/officeDocument/2006/relationships/hyperlink" Target="https://drive.google.com/open?id=1d-hb53-4YB4To5Vm-DGnoziSdLFVmwdO" TargetMode="External"/><Relationship Id="rId2841" Type="http://schemas.openxmlformats.org/officeDocument/2006/relationships/hyperlink" Target="https://drive.google.com/uc?export=view&amp;id=1uwrtpVAHhiwph1ygZjUkbNdm0WW0NNU8" TargetMode="External"/><Relationship Id="rId1511" Type="http://schemas.openxmlformats.org/officeDocument/2006/relationships/hyperlink" Target="https://drive.google.com/uc?export=view&amp;id=1d-hb53-4YB4To5Vm-DGnoziSdLFVmwdO" TargetMode="External"/><Relationship Id="rId2842" Type="http://schemas.openxmlformats.org/officeDocument/2006/relationships/hyperlink" Target="https://docs.google.com/document/d/1AEXyTNUck5Nn8EFDa2_MRbeq4WKhkdzIw5xv-lWyvKQ/edit?usp=drivesdk" TargetMode="External"/><Relationship Id="rId1512" Type="http://schemas.openxmlformats.org/officeDocument/2006/relationships/hyperlink" Target="https://docs.google.com/document/d/1XoLc7yIYR1_l-dLeEmIdjJ1hkKSy-jidawzE_Jt0rs0/edit?usp=drivesdk" TargetMode="External"/><Relationship Id="rId2843" Type="http://schemas.openxmlformats.org/officeDocument/2006/relationships/hyperlink" Target="https://drive.google.com/open?id=1mJHErk60GZnQbUFvg9MI426Kt1YiIKnL" TargetMode="External"/><Relationship Id="rId1513" Type="http://schemas.openxmlformats.org/officeDocument/2006/relationships/hyperlink" Target="https://drive.google.com/open?id=17oe04kPRxH9dd63LkQAMZF81qJXdzcEj" TargetMode="External"/><Relationship Id="rId2844" Type="http://schemas.openxmlformats.org/officeDocument/2006/relationships/hyperlink" Target="https://drive.google.com/uc?export=view&amp;id=1mJHErk60GZnQbUFvg9MI426Kt1YiIKnL" TargetMode="External"/><Relationship Id="rId1514" Type="http://schemas.openxmlformats.org/officeDocument/2006/relationships/hyperlink" Target="https://drive.google.com/uc?export=view&amp;id=17oe04kPRxH9dd63LkQAMZF81qJXdzcEj" TargetMode="External"/><Relationship Id="rId2845" Type="http://schemas.openxmlformats.org/officeDocument/2006/relationships/hyperlink" Target="https://docs.google.com/document/d/1D5vw0rvG_23m9eH6zYCl897-XlXC-8DRIBNmuafXZAk/edit?usp=drivesdk" TargetMode="External"/><Relationship Id="rId1515" Type="http://schemas.openxmlformats.org/officeDocument/2006/relationships/hyperlink" Target="https://docs.google.com/document/d/1s0XhoZ3GbTsNpap2hZjCz4TanTdy2ju0izO0P9C9QRk/edit?usp=drivesdk" TargetMode="External"/><Relationship Id="rId2846" Type="http://schemas.openxmlformats.org/officeDocument/2006/relationships/hyperlink" Target="https://drive.google.com/open?id=1mu73hXi29ps08R2ANfZbbPnZK4HKUQFx" TargetMode="External"/><Relationship Id="rId1516" Type="http://schemas.openxmlformats.org/officeDocument/2006/relationships/hyperlink" Target="https://drive.google.com/open?id=1zDcZMIcZFOARA0PMqqG3qe-zawC-ywSP" TargetMode="External"/><Relationship Id="rId2847" Type="http://schemas.openxmlformats.org/officeDocument/2006/relationships/hyperlink" Target="https://drive.google.com/uc?export=view&amp;id=1mu73hXi29ps08R2ANfZbbPnZK4HKUQFx" TargetMode="External"/><Relationship Id="rId1517" Type="http://schemas.openxmlformats.org/officeDocument/2006/relationships/hyperlink" Target="https://drive.google.com/uc?export=view&amp;id=1zDcZMIcZFOARA0PMqqG3qe-zawC-ywSP" TargetMode="External"/><Relationship Id="rId2848" Type="http://schemas.openxmlformats.org/officeDocument/2006/relationships/hyperlink" Target="https://docs.google.com/document/d/19jpjEZIgodiSmgn49nA9bxVSfdx84xKsyFJTAxB1k_o/edit?usp=drivesdk" TargetMode="External"/><Relationship Id="rId1518" Type="http://schemas.openxmlformats.org/officeDocument/2006/relationships/hyperlink" Target="https://docs.google.com/document/d/1y5RhBCugo-2jkWsXCnCb7kiz9MK8if4l_pMX5XUFt00/edit?usp=drivesdk" TargetMode="External"/><Relationship Id="rId2849" Type="http://schemas.openxmlformats.org/officeDocument/2006/relationships/hyperlink" Target="https://drive.google.com/open?id=1SofydT1FSwvGkNHRd-R4Sv84QCHS669H" TargetMode="External"/><Relationship Id="rId1519" Type="http://schemas.openxmlformats.org/officeDocument/2006/relationships/hyperlink" Target="https://drive.google.com/open?id=1ZTDN8zPJBfTxOSkZ-LBkC3eRmoJaTOfB" TargetMode="External"/><Relationship Id="rId2840" Type="http://schemas.openxmlformats.org/officeDocument/2006/relationships/hyperlink" Target="https://drive.google.com/open?id=1uwrtpVAHhiwph1ygZjUkbNdm0WW0NNU8" TargetMode="External"/><Relationship Id="rId2830" Type="http://schemas.openxmlformats.org/officeDocument/2006/relationships/hyperlink" Target="https://docs.google.com/document/d/1IxIql9xR-FoC3rQHkRP5TU_r0kFmHWhMBr_F4P3aLjQ/edit?usp=drivesdk" TargetMode="External"/><Relationship Id="rId1500" Type="http://schemas.openxmlformats.org/officeDocument/2006/relationships/hyperlink" Target="https://docs.google.com/document/d/1sgHZd6yrqLqKZa_5hZi57UuNHKmz7XlXM2tHTy0LZlk/edit?usp=drivesdk" TargetMode="External"/><Relationship Id="rId2831" Type="http://schemas.openxmlformats.org/officeDocument/2006/relationships/hyperlink" Target="https://drive.google.com/open?id=18zhH-CGEbhadRK9h58Ryq3_E-4rVUuWv" TargetMode="External"/><Relationship Id="rId1501" Type="http://schemas.openxmlformats.org/officeDocument/2006/relationships/hyperlink" Target="https://drive.google.com/open?id=1VPMsZwC37zj-hcnBXWxIDUrMNzDntNAe" TargetMode="External"/><Relationship Id="rId2832" Type="http://schemas.openxmlformats.org/officeDocument/2006/relationships/hyperlink" Target="https://drive.google.com/uc?export=view&amp;id=18zhH-CGEbhadRK9h58Ryq3_E-4rVUuWv" TargetMode="External"/><Relationship Id="rId1502" Type="http://schemas.openxmlformats.org/officeDocument/2006/relationships/hyperlink" Target="https://drive.google.com/uc?export=view&amp;id=1VPMsZwC37zj-hcnBXWxIDUrMNzDntNAe" TargetMode="External"/><Relationship Id="rId2833" Type="http://schemas.openxmlformats.org/officeDocument/2006/relationships/hyperlink" Target="https://docs.google.com/document/d/1KTwiA53PeM6KqiyEfeSjZLqbeg3vi4mng6nS2lw9nuA/edit?usp=drivesdk" TargetMode="External"/><Relationship Id="rId1503" Type="http://schemas.openxmlformats.org/officeDocument/2006/relationships/hyperlink" Target="https://docs.google.com/document/d/11ajVI7CWegxnnFBIuv1kffNQHrfMAPsE5oTqm6jtQjw/edit?usp=drivesdk" TargetMode="External"/><Relationship Id="rId2834" Type="http://schemas.openxmlformats.org/officeDocument/2006/relationships/hyperlink" Target="https://drive.google.com/open?id=1Fhccopu1mBmeBpRHN_bYdS-F4G09U9c8" TargetMode="External"/><Relationship Id="rId1504" Type="http://schemas.openxmlformats.org/officeDocument/2006/relationships/hyperlink" Target="https://drive.google.com/open?id=119t_qiz0wdik1fClqlYJoJYn5OVTEL71" TargetMode="External"/><Relationship Id="rId2835" Type="http://schemas.openxmlformats.org/officeDocument/2006/relationships/hyperlink" Target="https://drive.google.com/uc?export=view&amp;id=1Fhccopu1mBmeBpRHN_bYdS-F4G09U9c8" TargetMode="External"/><Relationship Id="rId1505" Type="http://schemas.openxmlformats.org/officeDocument/2006/relationships/hyperlink" Target="https://drive.google.com/uc?export=view&amp;id=119t_qiz0wdik1fClqlYJoJYn5OVTEL71" TargetMode="External"/><Relationship Id="rId2836" Type="http://schemas.openxmlformats.org/officeDocument/2006/relationships/hyperlink" Target="https://docs.google.com/document/d/1a6P3IwY8Y6t9a1N38c_C2uuz-QZFODB2gzOkOo9oByg/edit?usp=drivesdk" TargetMode="External"/><Relationship Id="rId1506" Type="http://schemas.openxmlformats.org/officeDocument/2006/relationships/hyperlink" Target="https://docs.google.com/document/d/1zn5jTGV_FqbMGlcBjHoW9PovbejrchRUDLzncw-DAK8/edit?usp=drivesdk" TargetMode="External"/><Relationship Id="rId2837" Type="http://schemas.openxmlformats.org/officeDocument/2006/relationships/hyperlink" Target="https://drive.google.com/open?id=1LrJeTLZ6W6YRQj-yNjx78742zC1u8aD_" TargetMode="External"/><Relationship Id="rId1507" Type="http://schemas.openxmlformats.org/officeDocument/2006/relationships/hyperlink" Target="https://drive.google.com/open?id=1Ncy5lnDzi8B5yvjE5q3fK_xRJmiXesCD" TargetMode="External"/><Relationship Id="rId2838" Type="http://schemas.openxmlformats.org/officeDocument/2006/relationships/hyperlink" Target="https://drive.google.com/uc?export=view&amp;id=1LrJeTLZ6W6YRQj-yNjx78742zC1u8aD_" TargetMode="External"/><Relationship Id="rId1508" Type="http://schemas.openxmlformats.org/officeDocument/2006/relationships/hyperlink" Target="https://drive.google.com/uc?export=view&amp;id=1Ncy5lnDzi8B5yvjE5q3fK_xRJmiXesCD" TargetMode="External"/><Relationship Id="rId2839" Type="http://schemas.openxmlformats.org/officeDocument/2006/relationships/hyperlink" Target="https://docs.google.com/document/d/1wWLpcR_SKQMVPMnSoT-p68vbEbSRZy0EIipcU1tm2vU/edit?usp=drivesdk" TargetMode="External"/><Relationship Id="rId1509" Type="http://schemas.openxmlformats.org/officeDocument/2006/relationships/hyperlink" Target="https://docs.google.com/document/d/1fXEWR2h3UHyJ74ifWxyGdsuESc9GS8OnXw_G_5bZ18c/edit?usp=drivesdk" TargetMode="External"/><Relationship Id="rId2800" Type="http://schemas.openxmlformats.org/officeDocument/2006/relationships/hyperlink" Target="https://docs.google.com/document/d/1u2a7EfXTmbDQzhEuLo4xKXb2xz1gjZTVJhCP5B96zI4/edit?usp=drivesdk" TargetMode="External"/><Relationship Id="rId2801" Type="http://schemas.openxmlformats.org/officeDocument/2006/relationships/hyperlink" Target="https://drive.google.com/open?id=1rPC9nvjhTrw0L48Bn5-s1K93BbtXOHKM" TargetMode="External"/><Relationship Id="rId2802" Type="http://schemas.openxmlformats.org/officeDocument/2006/relationships/hyperlink" Target="https://drive.google.com/uc?export=view&amp;id=1rPC9nvjhTrw0L48Bn5-s1K93BbtXOHKM" TargetMode="External"/><Relationship Id="rId2803" Type="http://schemas.openxmlformats.org/officeDocument/2006/relationships/hyperlink" Target="https://docs.google.com/document/d/1gltkem-IBXw3YKtbspbAC7UEBzMlu8ZxenBFwDnGlpU/edit?usp=drivesdk" TargetMode="External"/><Relationship Id="rId2804" Type="http://schemas.openxmlformats.org/officeDocument/2006/relationships/hyperlink" Target="https://drive.google.com/open?id=18c41RF7yfI2TwgboaYQ_behpK-K-kTHy" TargetMode="External"/><Relationship Id="rId2805" Type="http://schemas.openxmlformats.org/officeDocument/2006/relationships/hyperlink" Target="https://drive.google.com/uc?export=view&amp;id=18c41RF7yfI2TwgboaYQ_behpK-K-kTHy" TargetMode="External"/><Relationship Id="rId2806" Type="http://schemas.openxmlformats.org/officeDocument/2006/relationships/hyperlink" Target="https://docs.google.com/document/d/1POqBQm94N-g9El3DZZ4r-GguXod17VsbFgRwD9yEBiY/edit?usp=drivesdk" TargetMode="External"/><Relationship Id="rId2807" Type="http://schemas.openxmlformats.org/officeDocument/2006/relationships/hyperlink" Target="https://drive.google.com/open?id=1C9Qk-uh4OSm1iYPFl92Qk6xrv85e_KOT" TargetMode="External"/><Relationship Id="rId2808" Type="http://schemas.openxmlformats.org/officeDocument/2006/relationships/hyperlink" Target="https://drive.google.com/uc?export=view&amp;id=1C9Qk-uh4OSm1iYPFl92Qk6xrv85e_KOT" TargetMode="External"/><Relationship Id="rId2809" Type="http://schemas.openxmlformats.org/officeDocument/2006/relationships/hyperlink" Target="https://docs.google.com/document/d/1DmH7fr_XumEVyVARP7NrH0EntvdgEdlOU-t4FiYL5l8/edit?usp=drivesdk" TargetMode="External"/><Relationship Id="rId1576" Type="http://schemas.openxmlformats.org/officeDocument/2006/relationships/hyperlink" Target="https://drive.google.com/open?id=1j3OThzvBgksdZEdh6Vcnn0ZxveCDFS5-" TargetMode="External"/><Relationship Id="rId4602" Type="http://schemas.openxmlformats.org/officeDocument/2006/relationships/hyperlink" Target="https://drive.google.com/uc?export=view&amp;id=12-zIXpFt154lHtLNO9mbMq3zIzsPnUHQ" TargetMode="External"/><Relationship Id="rId1577" Type="http://schemas.openxmlformats.org/officeDocument/2006/relationships/hyperlink" Target="https://drive.google.com/uc?export=view&amp;id=1j3OThzvBgksdZEdh6Vcnn0ZxveCDFS5-" TargetMode="External"/><Relationship Id="rId4601" Type="http://schemas.openxmlformats.org/officeDocument/2006/relationships/hyperlink" Target="https://drive.google.com/open?id=12-zIXpFt154lHtLNO9mbMq3zIzsPnUHQ" TargetMode="External"/><Relationship Id="rId1578" Type="http://schemas.openxmlformats.org/officeDocument/2006/relationships/hyperlink" Target="https://docs.google.com/document/d/1umX66GT50ctFuRGvfXXpX6srb1-T966F-Bs-Nrdyp-Q/edit?usp=drivesdk" TargetMode="External"/><Relationship Id="rId4604" Type="http://schemas.openxmlformats.org/officeDocument/2006/relationships/hyperlink" Target="https://drive.google.com/open?id=1I0WCJH4m0xgmYA8_9ssQVOUyhc5SOqX1" TargetMode="External"/><Relationship Id="rId1579" Type="http://schemas.openxmlformats.org/officeDocument/2006/relationships/hyperlink" Target="https://drive.google.com/open?id=1egGGyOvBqo3abN0rpgRYjrpyNdUiBfEt" TargetMode="External"/><Relationship Id="rId4603" Type="http://schemas.openxmlformats.org/officeDocument/2006/relationships/hyperlink" Target="https://docs.google.com/document/d/1hLPyREStkWAncqaVWxczdeNKzFeG1XtIw2XFFV3vWHw/edit?usp=drivesdk" TargetMode="External"/><Relationship Id="rId4606" Type="http://schemas.openxmlformats.org/officeDocument/2006/relationships/hyperlink" Target="https://docs.google.com/document/d/1E4YCw5xmqstKcn09jT4BxRLtYAKoIB9nvJNxhOs3lUU/edit?usp=drivesdk" TargetMode="External"/><Relationship Id="rId4605" Type="http://schemas.openxmlformats.org/officeDocument/2006/relationships/hyperlink" Target="https://drive.google.com/uc?export=view&amp;id=1I0WCJH4m0xgmYA8_9ssQVOUyhc5SOqX1" TargetMode="External"/><Relationship Id="rId4608" Type="http://schemas.openxmlformats.org/officeDocument/2006/relationships/hyperlink" Target="https://drive.google.com/uc?export=view&amp;id=1TWVgf-j4ym9x16GquRnrMJuR9myKvAst" TargetMode="External"/><Relationship Id="rId4607" Type="http://schemas.openxmlformats.org/officeDocument/2006/relationships/hyperlink" Target="https://drive.google.com/open?id=1TWVgf-j4ym9x16GquRnrMJuR9myKvAst" TargetMode="External"/><Relationship Id="rId4609" Type="http://schemas.openxmlformats.org/officeDocument/2006/relationships/hyperlink" Target="https://docs.google.com/document/d/170tR1EvcmixiKJTeR80IQOA7XHsJHe68XtCrReUBWSs/edit?usp=drivesdk" TargetMode="External"/><Relationship Id="rId987" Type="http://schemas.openxmlformats.org/officeDocument/2006/relationships/hyperlink" Target="https://drive.google.com/uc?export=view&amp;id=19RVt1sUiQvaayBVc8mC5eccwmD0NX6tp" TargetMode="External"/><Relationship Id="rId986" Type="http://schemas.openxmlformats.org/officeDocument/2006/relationships/hyperlink" Target="https://drive.google.com/open?id=19RVt1sUiQvaayBVc8mC5eccwmD0NX6tp" TargetMode="External"/><Relationship Id="rId985" Type="http://schemas.openxmlformats.org/officeDocument/2006/relationships/hyperlink" Target="https://docs.google.com/document/d/1n1NWNP9otDMqrb4n9ZuU_Hln5x9xOIm4HnQVPLcbvsQ/edit?usp=drivesdk" TargetMode="External"/><Relationship Id="rId984" Type="http://schemas.openxmlformats.org/officeDocument/2006/relationships/hyperlink" Target="https://drive.google.com/uc?export=view&amp;id=1lZ5HXCiqbDoNKeSpuWlqY_OKLRbOrB28" TargetMode="External"/><Relationship Id="rId989" Type="http://schemas.openxmlformats.org/officeDocument/2006/relationships/hyperlink" Target="https://drive.google.com/open?id=1Qyj9aXKR4xrSlzwLuWRH7abvJRyYgK3-" TargetMode="External"/><Relationship Id="rId988" Type="http://schemas.openxmlformats.org/officeDocument/2006/relationships/hyperlink" Target="https://docs.google.com/document/d/1Bf75Utx9NSkyZdvcqSdSBYKpP2D_L2XLwEAUiPPFLH4/edit?usp=drivesdk" TargetMode="External"/><Relationship Id="rId1570" Type="http://schemas.openxmlformats.org/officeDocument/2006/relationships/hyperlink" Target="https://drive.google.com/open?id=1GlmmxFzNB-w8IbT9woLKV_8jMCd8J_FB" TargetMode="External"/><Relationship Id="rId1571" Type="http://schemas.openxmlformats.org/officeDocument/2006/relationships/hyperlink" Target="https://drive.google.com/uc?export=view&amp;id=1GlmmxFzNB-w8IbT9woLKV_8jMCd8J_FB" TargetMode="External"/><Relationship Id="rId983" Type="http://schemas.openxmlformats.org/officeDocument/2006/relationships/hyperlink" Target="https://drive.google.com/open?id=1lZ5HXCiqbDoNKeSpuWlqY_OKLRbOrB28" TargetMode="External"/><Relationship Id="rId1572" Type="http://schemas.openxmlformats.org/officeDocument/2006/relationships/hyperlink" Target="https://docs.google.com/document/d/1SyGoKhSHeEdQt_097HX32PdQ1_hN2XI9-fKf36Oa0Dw/edit?usp=drivesdk" TargetMode="External"/><Relationship Id="rId982" Type="http://schemas.openxmlformats.org/officeDocument/2006/relationships/hyperlink" Target="https://docs.google.com/document/d/1Ve3gbAvSDEqfjchSpba--bT_D8LzXxAC_DktuMEMGto/edit?usp=drivesdk" TargetMode="External"/><Relationship Id="rId1573" Type="http://schemas.openxmlformats.org/officeDocument/2006/relationships/hyperlink" Target="https://drive.google.com/open?id=1GSh8K6-oeiLpJyPCrr3XoN0j1rXs2mHL" TargetMode="External"/><Relationship Id="rId981" Type="http://schemas.openxmlformats.org/officeDocument/2006/relationships/hyperlink" Target="https://drive.google.com/uc?export=view&amp;id=1pl2AsySpPQI1W_6pNGVZVDyj-VB8WVlH" TargetMode="External"/><Relationship Id="rId1574" Type="http://schemas.openxmlformats.org/officeDocument/2006/relationships/hyperlink" Target="https://drive.google.com/uc?export=view&amp;id=1GSh8K6-oeiLpJyPCrr3XoN0j1rXs2mHL" TargetMode="External"/><Relationship Id="rId4600" Type="http://schemas.openxmlformats.org/officeDocument/2006/relationships/hyperlink" Target="https://docs.google.com/document/d/1ssf0H1iBncSUxdHqHwHDb2KVTSoUwSy4Xd9zqvGuC-w/edit?usp=drivesdk" TargetMode="External"/><Relationship Id="rId980" Type="http://schemas.openxmlformats.org/officeDocument/2006/relationships/hyperlink" Target="https://drive.google.com/open?id=1pl2AsySpPQI1W_6pNGVZVDyj-VB8WVlH" TargetMode="External"/><Relationship Id="rId1575" Type="http://schemas.openxmlformats.org/officeDocument/2006/relationships/hyperlink" Target="https://docs.google.com/document/d/15c-Ccpwt4vX9yXcn4zkZ1TOmSJGTioqd3qwyFMQ8828/edit?usp=drivesdk" TargetMode="External"/><Relationship Id="rId1565" Type="http://schemas.openxmlformats.org/officeDocument/2006/relationships/hyperlink" Target="https://drive.google.com/uc?export=view&amp;id=1s4FGXccWc0cmsjrN3heotWa9eupvdDrh" TargetMode="External"/><Relationship Id="rId2896" Type="http://schemas.openxmlformats.org/officeDocument/2006/relationships/hyperlink" Target="https://docs.google.com/document/d/1RGrKFesJj2Adnc1MPq7JOg7lzGQO_Y2EjvFOUt2YsiU/edit?usp=drivesdk" TargetMode="External"/><Relationship Id="rId1566" Type="http://schemas.openxmlformats.org/officeDocument/2006/relationships/hyperlink" Target="https://docs.google.com/document/d/1MoKvfW0RGyK1Iufl15QwEqglqiacw9CJAVDWIF5EFaE/edit?usp=drivesdk" TargetMode="External"/><Relationship Id="rId2897" Type="http://schemas.openxmlformats.org/officeDocument/2006/relationships/hyperlink" Target="https://drive.google.com/open?id=1p3aFiLzyQ5PHOi8cwPP36BxYnd_YaGM4" TargetMode="External"/><Relationship Id="rId1567" Type="http://schemas.openxmlformats.org/officeDocument/2006/relationships/hyperlink" Target="https://drive.google.com/open?id=1cb5vYOKzQgeoXfEy25kb9P2r99wEm41S" TargetMode="External"/><Relationship Id="rId2898" Type="http://schemas.openxmlformats.org/officeDocument/2006/relationships/hyperlink" Target="https://drive.google.com/uc?export=view&amp;id=1p3aFiLzyQ5PHOi8cwPP36BxYnd_YaGM4" TargetMode="External"/><Relationship Id="rId1568" Type="http://schemas.openxmlformats.org/officeDocument/2006/relationships/hyperlink" Target="https://drive.google.com/uc?export=view&amp;id=1cb5vYOKzQgeoXfEy25kb9P2r99wEm41S" TargetMode="External"/><Relationship Id="rId2899" Type="http://schemas.openxmlformats.org/officeDocument/2006/relationships/hyperlink" Target="https://docs.google.com/document/d/15uhn2dZuQdKkdnlTet0Y9tYjI9fpRpJtryn1LzdJcKs/edit?usp=drivesdk" TargetMode="External"/><Relationship Id="rId1569" Type="http://schemas.openxmlformats.org/officeDocument/2006/relationships/hyperlink" Target="https://docs.google.com/document/d/12jRNGzcYSvmx6h9vC-_1PK3L_ZQwJjnpBNxC2x6hdDQ/edit?usp=drivesdk" TargetMode="External"/><Relationship Id="rId976" Type="http://schemas.openxmlformats.org/officeDocument/2006/relationships/hyperlink" Target="https://docs.google.com/document/d/1H_F1WuHZj8WC89pDRjgsUln8WfuRjVVzKSG4St5gtrU/edit?usp=drivesdk" TargetMode="External"/><Relationship Id="rId975" Type="http://schemas.openxmlformats.org/officeDocument/2006/relationships/hyperlink" Target="https://drive.google.com/uc?export=view&amp;id=1ig35A39qXB4EOTHh23u1aV0Ifes0QRQi" TargetMode="External"/><Relationship Id="rId974" Type="http://schemas.openxmlformats.org/officeDocument/2006/relationships/hyperlink" Target="https://drive.google.com/open?id=1ig35A39qXB4EOTHh23u1aV0Ifes0QRQi" TargetMode="External"/><Relationship Id="rId973" Type="http://schemas.openxmlformats.org/officeDocument/2006/relationships/hyperlink" Target="https://docs.google.com/document/d/13RYl16PpJQONAhX9CsU-F0imSUWIy3ZCpu9FZcooCPA/edit?usp=drivesdk" TargetMode="External"/><Relationship Id="rId979" Type="http://schemas.openxmlformats.org/officeDocument/2006/relationships/hyperlink" Target="https://docs.google.com/document/d/1FRTLkCvvMj7mrMXT-4ykV27BllTW39GTTlWH5Vm1Wt4/edit?usp=drivesdk" TargetMode="External"/><Relationship Id="rId978" Type="http://schemas.openxmlformats.org/officeDocument/2006/relationships/hyperlink" Target="https://drive.google.com/uc?export=view&amp;id=1qWjOKfrB9DboxVgjm5h027CHPvxSIZN1" TargetMode="External"/><Relationship Id="rId977" Type="http://schemas.openxmlformats.org/officeDocument/2006/relationships/hyperlink" Target="https://drive.google.com/open?id=1qWjOKfrB9DboxVgjm5h027CHPvxSIZN1" TargetMode="External"/><Relationship Id="rId2890" Type="http://schemas.openxmlformats.org/officeDocument/2006/relationships/hyperlink" Target="https://docs.google.com/document/d/1-h4xH5v7vBmxsV9bvUTXw4V6Sg0qZOmjw_I6LdvBjq4/edit?usp=drivesdk" TargetMode="External"/><Relationship Id="rId1560" Type="http://schemas.openxmlformats.org/officeDocument/2006/relationships/hyperlink" Target="https://docs.google.com/document/d/1FpcRGTfgxSrfHmYGyNz0XmcnRDNvG8gwLGLWSw3lZS0/edit?usp=drivesdk" TargetMode="External"/><Relationship Id="rId2891" Type="http://schemas.openxmlformats.org/officeDocument/2006/relationships/hyperlink" Target="https://drive.google.com/open?id=1E1a0_zDgfKhEWFU5T4TKi2DqRKZnwJAN" TargetMode="External"/><Relationship Id="rId972" Type="http://schemas.openxmlformats.org/officeDocument/2006/relationships/hyperlink" Target="https://drive.google.com/uc?export=view&amp;id=1da1CcTlGD_fGiEBrzft0XuE0G0mQ5JaG" TargetMode="External"/><Relationship Id="rId1561" Type="http://schemas.openxmlformats.org/officeDocument/2006/relationships/hyperlink" Target="https://drive.google.com/open?id=1hZ-RS9sQ4SCC95zFe5DXF8lQ20BKFKvx" TargetMode="External"/><Relationship Id="rId2892" Type="http://schemas.openxmlformats.org/officeDocument/2006/relationships/hyperlink" Target="https://drive.google.com/uc?export=view&amp;id=1E1a0_zDgfKhEWFU5T4TKi2DqRKZnwJAN" TargetMode="External"/><Relationship Id="rId971" Type="http://schemas.openxmlformats.org/officeDocument/2006/relationships/hyperlink" Target="https://drive.google.com/open?id=1da1CcTlGD_fGiEBrzft0XuE0G0mQ5JaG" TargetMode="External"/><Relationship Id="rId1562" Type="http://schemas.openxmlformats.org/officeDocument/2006/relationships/hyperlink" Target="https://drive.google.com/uc?export=view&amp;id=1hZ-RS9sQ4SCC95zFe5DXF8lQ20BKFKvx" TargetMode="External"/><Relationship Id="rId2893" Type="http://schemas.openxmlformats.org/officeDocument/2006/relationships/hyperlink" Target="https://docs.google.com/document/d/1eyjpkLEab96BgXgrw-FvK3U5gJ-7Ew_JXomDUn89Gks/edit?usp=drivesdk" TargetMode="External"/><Relationship Id="rId970" Type="http://schemas.openxmlformats.org/officeDocument/2006/relationships/hyperlink" Target="https://docs.google.com/document/d/16aejRMIPdqsKO_7SHnZNhavVORh2vgHP3JyoLHBakuc/edit?usp=drivesdk" TargetMode="External"/><Relationship Id="rId1563" Type="http://schemas.openxmlformats.org/officeDocument/2006/relationships/hyperlink" Target="https://docs.google.com/document/d/1isRCEeBFq1T6rFb1IyAP5V0tOSWC5XAm0sM19MRFAL8/edit?usp=drivesdk" TargetMode="External"/><Relationship Id="rId2894" Type="http://schemas.openxmlformats.org/officeDocument/2006/relationships/hyperlink" Target="https://drive.google.com/open?id=1B_tX1EuccaDkVck_Xc2Q-N2dqjPzXAVT" TargetMode="External"/><Relationship Id="rId1564" Type="http://schemas.openxmlformats.org/officeDocument/2006/relationships/hyperlink" Target="https://drive.google.com/open?id=1s4FGXccWc0cmsjrN3heotWa9eupvdDrh" TargetMode="External"/><Relationship Id="rId2895" Type="http://schemas.openxmlformats.org/officeDocument/2006/relationships/hyperlink" Target="https://drive.google.com/uc?export=view&amp;id=1B_tX1EuccaDkVck_Xc2Q-N2dqjPzXAVT" TargetMode="External"/><Relationship Id="rId1598" Type="http://schemas.openxmlformats.org/officeDocument/2006/relationships/hyperlink" Target="https://drive.google.com/uc?export=view&amp;id=1bnAOtlMoNkGLb93OXm5N-XMjnQ56rxjA" TargetMode="External"/><Relationship Id="rId4624" Type="http://schemas.openxmlformats.org/officeDocument/2006/relationships/hyperlink" Target="https://docs.google.com/document/d/1QEdfkTkUw8GGwTAfjV7IutLiKW5t1CG0uvujHp_ZnhM/edit?usp=drivesdk" TargetMode="External"/><Relationship Id="rId1599" Type="http://schemas.openxmlformats.org/officeDocument/2006/relationships/hyperlink" Target="https://docs.google.com/document/d/11iTKB4bFZYIaUBab_BUyQDZYVLhtF9GPev4x1cVVCtU/edit?usp=drivesdk" TargetMode="External"/><Relationship Id="rId4623" Type="http://schemas.openxmlformats.org/officeDocument/2006/relationships/hyperlink" Target="https://drive.google.com/uc?export=view&amp;id=1Y9nLNkxKEIoCQE4FhSmF0AjMj6FUYB1t" TargetMode="External"/><Relationship Id="rId4626" Type="http://schemas.openxmlformats.org/officeDocument/2006/relationships/hyperlink" Target="https://drive.google.com/uc?export=view&amp;id=1q6O4Is66jth51_aiR_CpRrmmuvyuN9xB" TargetMode="External"/><Relationship Id="rId4625" Type="http://schemas.openxmlformats.org/officeDocument/2006/relationships/hyperlink" Target="https://drive.google.com/open?id=1q6O4Is66jth51_aiR_CpRrmmuvyuN9xB" TargetMode="External"/><Relationship Id="rId4628" Type="http://schemas.openxmlformats.org/officeDocument/2006/relationships/hyperlink" Target="https://drive.google.com/open?id=1EwxmSyJUCG7KCFgRwcyqKlEMQFZkT4tk" TargetMode="External"/><Relationship Id="rId4627" Type="http://schemas.openxmlformats.org/officeDocument/2006/relationships/hyperlink" Target="https://docs.google.com/document/d/1caH6m5Qx9XBtTlxBN4cUqbNBJeXvFocRflk-zNWi3uA/edit?usp=drivesdk" TargetMode="External"/><Relationship Id="rId4629" Type="http://schemas.openxmlformats.org/officeDocument/2006/relationships/hyperlink" Target="https://drive.google.com/uc?export=view&amp;id=1EwxmSyJUCG7KCFgRwcyqKlEMQFZkT4tk" TargetMode="External"/><Relationship Id="rId1590" Type="http://schemas.openxmlformats.org/officeDocument/2006/relationships/hyperlink" Target="https://docs.google.com/document/d/1Nyvl2oQ68HDXr3vf_RaHPePgshl0iRHFV0MbkZIWn2g/edit?usp=drivesdk" TargetMode="External"/><Relationship Id="rId1591" Type="http://schemas.openxmlformats.org/officeDocument/2006/relationships/hyperlink" Target="https://drive.google.com/open?id=15xQs7MUuE_InA5TmzdRVBRwuNM1pr_aB" TargetMode="External"/><Relationship Id="rId1592" Type="http://schemas.openxmlformats.org/officeDocument/2006/relationships/hyperlink" Target="https://drive.google.com/uc?export=view&amp;id=15xQs7MUuE_InA5TmzdRVBRwuNM1pr_aB" TargetMode="External"/><Relationship Id="rId1593" Type="http://schemas.openxmlformats.org/officeDocument/2006/relationships/hyperlink" Target="https://docs.google.com/document/d/1MjNfkCsLAT3xQj_100GMlqYpZnJZ6q4DuyUiWynFcr4/edit?usp=drivesdk" TargetMode="External"/><Relationship Id="rId1594" Type="http://schemas.openxmlformats.org/officeDocument/2006/relationships/hyperlink" Target="https://drive.google.com/open?id=1ERPKW8bn243iiwPKS6v0e49WzSomdT60" TargetMode="External"/><Relationship Id="rId4620" Type="http://schemas.openxmlformats.org/officeDocument/2006/relationships/hyperlink" Target="https://drive.google.com/uc?export=view&amp;id=1QsHYXAKs1keHgpiMClmNndyYzlSTllbP" TargetMode="External"/><Relationship Id="rId1595" Type="http://schemas.openxmlformats.org/officeDocument/2006/relationships/hyperlink" Target="https://drive.google.com/uc?export=view&amp;id=1ERPKW8bn243iiwPKS6v0e49WzSomdT60" TargetMode="External"/><Relationship Id="rId1596" Type="http://schemas.openxmlformats.org/officeDocument/2006/relationships/hyperlink" Target="https://docs.google.com/document/d/1uDr8UP7UrkCJY1IlRhKe771NjsWLyf_kEZdvGDENof4/edit?usp=drivesdk" TargetMode="External"/><Relationship Id="rId4622" Type="http://schemas.openxmlformats.org/officeDocument/2006/relationships/hyperlink" Target="https://drive.google.com/open?id=1Y9nLNkxKEIoCQE4FhSmF0AjMj6FUYB1t" TargetMode="External"/><Relationship Id="rId1597" Type="http://schemas.openxmlformats.org/officeDocument/2006/relationships/hyperlink" Target="https://drive.google.com/open?id=1bnAOtlMoNkGLb93OXm5N-XMjnQ56rxjA" TargetMode="External"/><Relationship Id="rId4621" Type="http://schemas.openxmlformats.org/officeDocument/2006/relationships/hyperlink" Target="https://docs.google.com/document/d/1aZezG-ykGOTnzP6_wtK3Zu8ArIXNMp5W4c32YA4yY3o/edit?usp=drivesdk" TargetMode="External"/><Relationship Id="rId1587" Type="http://schemas.openxmlformats.org/officeDocument/2006/relationships/hyperlink" Target="https://docs.google.com/document/d/1IxvZB0lSrww3b_IwyA3oBUBXJUTuxU2uj31Km2AM_tc/edit?usp=drivesdk" TargetMode="External"/><Relationship Id="rId4613" Type="http://schemas.openxmlformats.org/officeDocument/2006/relationships/hyperlink" Target="https://drive.google.com/open?id=1Cr_DqGai-S1TvAb_aKTc3kNMzoubHwqQ" TargetMode="External"/><Relationship Id="rId1588" Type="http://schemas.openxmlformats.org/officeDocument/2006/relationships/hyperlink" Target="https://drive.google.com/open?id=1VhNIt9p3lN_W05nCNLSxnef75HBNhrg3" TargetMode="External"/><Relationship Id="rId4612" Type="http://schemas.openxmlformats.org/officeDocument/2006/relationships/hyperlink" Target="https://docs.google.com/document/d/1BlAv0rUJWCzBjx9HwWOZ9FSefds3lYBWQafVSHTkO1o/edit?usp=drivesdk" TargetMode="External"/><Relationship Id="rId1589" Type="http://schemas.openxmlformats.org/officeDocument/2006/relationships/hyperlink" Target="https://drive.google.com/uc?export=view&amp;id=1VhNIt9p3lN_W05nCNLSxnef75HBNhrg3" TargetMode="External"/><Relationship Id="rId4615" Type="http://schemas.openxmlformats.org/officeDocument/2006/relationships/hyperlink" Target="https://docs.google.com/document/d/1BT5SKMuFZtAgHqjQA41QoXp69agG0ULlG9_SfeZ1n3U/edit?usp=drivesdk" TargetMode="External"/><Relationship Id="rId4614" Type="http://schemas.openxmlformats.org/officeDocument/2006/relationships/hyperlink" Target="https://drive.google.com/uc?export=view&amp;id=1Cr_DqGai-S1TvAb_aKTc3kNMzoubHwqQ" TargetMode="External"/><Relationship Id="rId4617" Type="http://schemas.openxmlformats.org/officeDocument/2006/relationships/hyperlink" Target="https://drive.google.com/uc?export=view&amp;id=11PRuQnFJvJhDQYBgrpNJVxixqMBMfedM" TargetMode="External"/><Relationship Id="rId4616" Type="http://schemas.openxmlformats.org/officeDocument/2006/relationships/hyperlink" Target="https://drive.google.com/open?id=11PRuQnFJvJhDQYBgrpNJVxixqMBMfedM" TargetMode="External"/><Relationship Id="rId4619" Type="http://schemas.openxmlformats.org/officeDocument/2006/relationships/hyperlink" Target="https://drive.google.com/open?id=1QsHYXAKs1keHgpiMClmNndyYzlSTllbP" TargetMode="External"/><Relationship Id="rId4618" Type="http://schemas.openxmlformats.org/officeDocument/2006/relationships/hyperlink" Target="https://docs.google.com/document/d/15JgU7veBnlxQ2xlOkjITzIrDUr576MIUpQAhOQt2j4k/edit?usp=drivesdk" TargetMode="External"/><Relationship Id="rId998" Type="http://schemas.openxmlformats.org/officeDocument/2006/relationships/hyperlink" Target="https://drive.google.com/open?id=13JNeWrhWZAD8d1pKBO77E2TIO52hrzWi" TargetMode="External"/><Relationship Id="rId997" Type="http://schemas.openxmlformats.org/officeDocument/2006/relationships/hyperlink" Target="https://docs.google.com/document/d/199P77xpMnOB4ldR9BL5ITmmGLjASncCBrJjUGaJ1ioI/edit?usp=drivesdk" TargetMode="External"/><Relationship Id="rId996" Type="http://schemas.openxmlformats.org/officeDocument/2006/relationships/hyperlink" Target="https://drive.google.com/uc?export=view&amp;id=1mpq62MYf0-lqoA3xOGSdxW8WKZMyv8mL" TargetMode="External"/><Relationship Id="rId995" Type="http://schemas.openxmlformats.org/officeDocument/2006/relationships/hyperlink" Target="https://drive.google.com/open?id=1mpq62MYf0-lqoA3xOGSdxW8WKZMyv8mL" TargetMode="External"/><Relationship Id="rId999" Type="http://schemas.openxmlformats.org/officeDocument/2006/relationships/hyperlink" Target="https://drive.google.com/uc?export=view&amp;id=13JNeWrhWZAD8d1pKBO77E2TIO52hrzWi" TargetMode="External"/><Relationship Id="rId990" Type="http://schemas.openxmlformats.org/officeDocument/2006/relationships/hyperlink" Target="https://drive.google.com/uc?export=view&amp;id=1Qyj9aXKR4xrSlzwLuWRH7abvJRyYgK3-" TargetMode="External"/><Relationship Id="rId1580" Type="http://schemas.openxmlformats.org/officeDocument/2006/relationships/hyperlink" Target="https://drive.google.com/uc?export=view&amp;id=1egGGyOvBqo3abN0rpgRYjrpyNdUiBfEt" TargetMode="External"/><Relationship Id="rId1581" Type="http://schemas.openxmlformats.org/officeDocument/2006/relationships/hyperlink" Target="https://docs.google.com/document/d/1XuoRy5cMKUT4XtqDIByPKTqMulNWxjXSw7NUCOMfTRg/edit?usp=drivesdk" TargetMode="External"/><Relationship Id="rId1582" Type="http://schemas.openxmlformats.org/officeDocument/2006/relationships/hyperlink" Target="https://drive.google.com/open?id=1k9I9P88k0MzEclAqKRchLhwR7T6hSsYH" TargetMode="External"/><Relationship Id="rId994" Type="http://schemas.openxmlformats.org/officeDocument/2006/relationships/hyperlink" Target="https://docs.google.com/document/d/1Q9MkW2vqImLVmNLwCeD1Dyc5FkTP6LnYZdJ1D3SmrEg/edit?usp=drivesdk" TargetMode="External"/><Relationship Id="rId1583" Type="http://schemas.openxmlformats.org/officeDocument/2006/relationships/hyperlink" Target="https://drive.google.com/uc?export=view&amp;id=1k9I9P88k0MzEclAqKRchLhwR7T6hSsYH" TargetMode="External"/><Relationship Id="rId993" Type="http://schemas.openxmlformats.org/officeDocument/2006/relationships/hyperlink" Target="https://drive.google.com/uc?export=view&amp;id=14noI6PNQN7OOir8kkU5GGOiNUS3CBZ7w" TargetMode="External"/><Relationship Id="rId1584" Type="http://schemas.openxmlformats.org/officeDocument/2006/relationships/hyperlink" Target="https://docs.google.com/document/d/1jE7dCPvnnRq7nSFyLp4ZMathXL1AH1z9DXBCc8CKAtA/edit?usp=drivesdk" TargetMode="External"/><Relationship Id="rId992" Type="http://schemas.openxmlformats.org/officeDocument/2006/relationships/hyperlink" Target="https://drive.google.com/open?id=14noI6PNQN7OOir8kkU5GGOiNUS3CBZ7w" TargetMode="External"/><Relationship Id="rId1585" Type="http://schemas.openxmlformats.org/officeDocument/2006/relationships/hyperlink" Target="https://drive.google.com/open?id=1kjX9C88SAZs9FXWTLwDGesfQdsyH8fX9" TargetMode="External"/><Relationship Id="rId4611" Type="http://schemas.openxmlformats.org/officeDocument/2006/relationships/hyperlink" Target="https://drive.google.com/uc?export=view&amp;id=1J3o8aL_Fa7dPuHruiLw_kQ2GwgVa_O8r" TargetMode="External"/><Relationship Id="rId991" Type="http://schemas.openxmlformats.org/officeDocument/2006/relationships/hyperlink" Target="https://docs.google.com/document/d/1-BXGDascwv4fwfmL_ZJVEj19mY7__520DNc8YLvVrwA/edit?usp=drivesdk" TargetMode="External"/><Relationship Id="rId1586" Type="http://schemas.openxmlformats.org/officeDocument/2006/relationships/hyperlink" Target="https://drive.google.com/uc?export=view&amp;id=1kjX9C88SAZs9FXWTLwDGesfQdsyH8fX9" TargetMode="External"/><Relationship Id="rId4610" Type="http://schemas.openxmlformats.org/officeDocument/2006/relationships/hyperlink" Target="https://drive.google.com/open?id=1J3o8aL_Fa7dPuHruiLw_kQ2GwgVa_O8r" TargetMode="External"/><Relationship Id="rId1532" Type="http://schemas.openxmlformats.org/officeDocument/2006/relationships/hyperlink" Target="https://drive.google.com/uc?export=view&amp;id=16o16Jq8z-Ul1OAvPcCFNT7IndbqRDEVL" TargetMode="External"/><Relationship Id="rId2863" Type="http://schemas.openxmlformats.org/officeDocument/2006/relationships/hyperlink" Target="https://docs.google.com/document/d/1fdVZmFA_k-nXaBf2ABb76pVkqF_BRET7W7KPlHoC86g/edit?usp=drivesdk" TargetMode="External"/><Relationship Id="rId1533" Type="http://schemas.openxmlformats.org/officeDocument/2006/relationships/hyperlink" Target="https://docs.google.com/document/d/1c4ibqgWMYTXmMVZtUdBjKmzG43Ak5foL-0kwq_KDsp4/edit?usp=drivesdk" TargetMode="External"/><Relationship Id="rId2864" Type="http://schemas.openxmlformats.org/officeDocument/2006/relationships/hyperlink" Target="https://drive.google.com/open?id=1oKaH082YMRYxngYRHdw_8y8uSjbQVErI" TargetMode="External"/><Relationship Id="rId1534" Type="http://schemas.openxmlformats.org/officeDocument/2006/relationships/hyperlink" Target="https://drive.google.com/open?id=1ABooliXsF8b_ZzavwPhdYQuh1Zv_xhX2" TargetMode="External"/><Relationship Id="rId2865" Type="http://schemas.openxmlformats.org/officeDocument/2006/relationships/hyperlink" Target="https://drive.google.com/uc?export=view&amp;id=1oKaH082YMRYxngYRHdw_8y8uSjbQVErI" TargetMode="External"/><Relationship Id="rId1535" Type="http://schemas.openxmlformats.org/officeDocument/2006/relationships/hyperlink" Target="https://drive.google.com/uc?export=view&amp;id=1ABooliXsF8b_ZzavwPhdYQuh1Zv_xhX2" TargetMode="External"/><Relationship Id="rId2866" Type="http://schemas.openxmlformats.org/officeDocument/2006/relationships/hyperlink" Target="https://docs.google.com/document/d/1OaBXFq4xGDx1nADm1dhvvGYhxbhJhxX5_LdbX8xj47c/edit?usp=drivesdk" TargetMode="External"/><Relationship Id="rId1536" Type="http://schemas.openxmlformats.org/officeDocument/2006/relationships/hyperlink" Target="https://docs.google.com/document/d/1M99DDLbQ9ZXkuK6DjYnwdtz9IHyOVD7mlUodGs4W-lM/edit?usp=drivesdk" TargetMode="External"/><Relationship Id="rId2867" Type="http://schemas.openxmlformats.org/officeDocument/2006/relationships/hyperlink" Target="https://drive.google.com/open?id=1wTlSjHseX5Ci4pjRse5AhanTCSZusooc" TargetMode="External"/><Relationship Id="rId1537" Type="http://schemas.openxmlformats.org/officeDocument/2006/relationships/hyperlink" Target="https://drive.google.com/open?id=1tKVHk1k3qAYgs5Mj5ReQuFEJPq6ZoS49" TargetMode="External"/><Relationship Id="rId2868" Type="http://schemas.openxmlformats.org/officeDocument/2006/relationships/hyperlink" Target="https://drive.google.com/uc?export=view&amp;id=1wTlSjHseX5Ci4pjRse5AhanTCSZusooc" TargetMode="External"/><Relationship Id="rId1538" Type="http://schemas.openxmlformats.org/officeDocument/2006/relationships/hyperlink" Target="https://drive.google.com/uc?export=view&amp;id=1tKVHk1k3qAYgs5Mj5ReQuFEJPq6ZoS49" TargetMode="External"/><Relationship Id="rId2869" Type="http://schemas.openxmlformats.org/officeDocument/2006/relationships/hyperlink" Target="https://docs.google.com/document/d/1C43zNGF7VQQIjzz-iId4BLx-qB8zyo46oDDec2IB5mw/edit?usp=drivesdk" TargetMode="External"/><Relationship Id="rId1539" Type="http://schemas.openxmlformats.org/officeDocument/2006/relationships/hyperlink" Target="https://docs.google.com/document/d/1OWQjXPIFYtw3mqFSLdH73zHk5y8c4BLI_8WTFLD_Fl8/edit?usp=drivesdk" TargetMode="External"/><Relationship Id="rId949" Type="http://schemas.openxmlformats.org/officeDocument/2006/relationships/hyperlink" Target="https://docs.google.com/document/d/1XI0kWoaelsoAwZ04uyywtuquOloFJgF7beFRgRn7p_E/edit?usp=drivesdk" TargetMode="External"/><Relationship Id="rId948" Type="http://schemas.openxmlformats.org/officeDocument/2006/relationships/hyperlink" Target="https://drive.google.com/uc?export=view&amp;id=146xNpeYa5EEouo12IxBi7hjgW1YSRA4E" TargetMode="External"/><Relationship Id="rId943" Type="http://schemas.openxmlformats.org/officeDocument/2006/relationships/hyperlink" Target="https://docs.google.com/document/d/1yA2H68qyTNIc7alKd6Sti3oIHLI3ou2yBTO9dyNPbtw/edit?usp=drivesdk" TargetMode="External"/><Relationship Id="rId942" Type="http://schemas.openxmlformats.org/officeDocument/2006/relationships/hyperlink" Target="https://drive.google.com/uc?export=view&amp;id=15iI-MMLHACBz2XX9xnfDa7pS-S6tbQeE" TargetMode="External"/><Relationship Id="rId941" Type="http://schemas.openxmlformats.org/officeDocument/2006/relationships/hyperlink" Target="https://drive.google.com/open?id=15iI-MMLHACBz2XX9xnfDa7pS-S6tbQeE" TargetMode="External"/><Relationship Id="rId940" Type="http://schemas.openxmlformats.org/officeDocument/2006/relationships/hyperlink" Target="https://docs.google.com/document/d/1mTVxgQxGUNgceFHmygO74u7D1M1xKO7YnSMCc3MQfMM/edit?usp=drivesdk" TargetMode="External"/><Relationship Id="rId947" Type="http://schemas.openxmlformats.org/officeDocument/2006/relationships/hyperlink" Target="https://drive.google.com/open?id=146xNpeYa5EEouo12IxBi7hjgW1YSRA4E" TargetMode="External"/><Relationship Id="rId946" Type="http://schemas.openxmlformats.org/officeDocument/2006/relationships/hyperlink" Target="https://docs.google.com/document/d/1kjLaLUL3_UzdTyEwo324d2fMQm_HgTQjsPWC_Oavs10/edit?usp=drivesdk" TargetMode="External"/><Relationship Id="rId945" Type="http://schemas.openxmlformats.org/officeDocument/2006/relationships/hyperlink" Target="https://drive.google.com/uc?export=view&amp;id=1FkjQQuonlAopkYMRHVuMKGNJxpfmrLZG" TargetMode="External"/><Relationship Id="rId944" Type="http://schemas.openxmlformats.org/officeDocument/2006/relationships/hyperlink" Target="https://drive.google.com/open?id=1FkjQQuonlAopkYMRHVuMKGNJxpfmrLZG" TargetMode="External"/><Relationship Id="rId2860" Type="http://schemas.openxmlformats.org/officeDocument/2006/relationships/hyperlink" Target="https://docs.google.com/document/d/1HmVLEE6uvijRhjg7tgZzeKInJwuoUI-xwgW8qSXWZDM/edit?usp=drivesdk" TargetMode="External"/><Relationship Id="rId1530" Type="http://schemas.openxmlformats.org/officeDocument/2006/relationships/hyperlink" Target="https://docs.google.com/document/d/1FJFfdLajYxpoY8-icrULT165S7_OiI5ciGlPP2si8XQ/edit?usp=drivesdk" TargetMode="External"/><Relationship Id="rId2861" Type="http://schemas.openxmlformats.org/officeDocument/2006/relationships/hyperlink" Target="https://drive.google.com/open?id=1AJqKm5uY3k_vA4NK6zgytbfKWs2jsOkN" TargetMode="External"/><Relationship Id="rId1531" Type="http://schemas.openxmlformats.org/officeDocument/2006/relationships/hyperlink" Target="https://drive.google.com/open?id=16o16Jq8z-Ul1OAvPcCFNT7IndbqRDEVL" TargetMode="External"/><Relationship Id="rId2862" Type="http://schemas.openxmlformats.org/officeDocument/2006/relationships/hyperlink" Target="https://drive.google.com/uc?export=view&amp;id=1AJqKm5uY3k_vA4NK6zgytbfKWs2jsOkN" TargetMode="External"/><Relationship Id="rId1521" Type="http://schemas.openxmlformats.org/officeDocument/2006/relationships/hyperlink" Target="https://docs.google.com/document/d/1OivhdGrGAmFi_6ZX7jRP9eyzgP5F6yXWiV0NaKtXtJ8/edit?usp=drivesdk" TargetMode="External"/><Relationship Id="rId2852" Type="http://schemas.openxmlformats.org/officeDocument/2006/relationships/hyperlink" Target="https://drive.google.com/open?id=1fw4nl0_1BulATuWURfGj9V_wfMToONQz" TargetMode="External"/><Relationship Id="rId1522" Type="http://schemas.openxmlformats.org/officeDocument/2006/relationships/hyperlink" Target="https://drive.google.com/open?id=18DFlln2dM0R4GiG3tr_BK9GNWmsvyp7z" TargetMode="External"/><Relationship Id="rId2853" Type="http://schemas.openxmlformats.org/officeDocument/2006/relationships/hyperlink" Target="https://drive.google.com/uc?export=view&amp;id=1fw4nl0_1BulATuWURfGj9V_wfMToONQz" TargetMode="External"/><Relationship Id="rId1523" Type="http://schemas.openxmlformats.org/officeDocument/2006/relationships/hyperlink" Target="https://drive.google.com/uc?export=view&amp;id=18DFlln2dM0R4GiG3tr_BK9GNWmsvyp7z" TargetMode="External"/><Relationship Id="rId2854" Type="http://schemas.openxmlformats.org/officeDocument/2006/relationships/hyperlink" Target="https://docs.google.com/document/d/188WeZbHKD0PrxZ5VEh8p0wK34VAnZ73-cUifzzVneig/edit?usp=drivesdk" TargetMode="External"/><Relationship Id="rId1524" Type="http://schemas.openxmlformats.org/officeDocument/2006/relationships/hyperlink" Target="https://docs.google.com/document/d/10weCf6H3sIMtUOHistH13qVYhpc2ATcswGyZOMyvFpI/edit?usp=drivesdk" TargetMode="External"/><Relationship Id="rId2855" Type="http://schemas.openxmlformats.org/officeDocument/2006/relationships/hyperlink" Target="https://drive.google.com/open?id=1Zi5B64oAOj0eEk2Qlr4XmEnVBVp0OPUa" TargetMode="External"/><Relationship Id="rId1525" Type="http://schemas.openxmlformats.org/officeDocument/2006/relationships/hyperlink" Target="https://drive.google.com/open?id=1g7fzcY1lVuIsqtja_sslfJEeL2PiwBjR" TargetMode="External"/><Relationship Id="rId2856" Type="http://schemas.openxmlformats.org/officeDocument/2006/relationships/hyperlink" Target="https://drive.google.com/uc?export=view&amp;id=1Zi5B64oAOj0eEk2Qlr4XmEnVBVp0OPUa" TargetMode="External"/><Relationship Id="rId1526" Type="http://schemas.openxmlformats.org/officeDocument/2006/relationships/hyperlink" Target="https://drive.google.com/uc?export=view&amp;id=1g7fzcY1lVuIsqtja_sslfJEeL2PiwBjR" TargetMode="External"/><Relationship Id="rId2857" Type="http://schemas.openxmlformats.org/officeDocument/2006/relationships/hyperlink" Target="https://docs.google.com/document/d/1H4SoG3VI0NTdjP8kVdy0OgJ8uGUBFXjt0vd1gxXgv3Y/edit?usp=drivesdk" TargetMode="External"/><Relationship Id="rId1527" Type="http://schemas.openxmlformats.org/officeDocument/2006/relationships/hyperlink" Target="https://docs.google.com/document/d/1jgW5fXYvTq9F5HVspVHTaeyxWSxEs5Q2GRTwDcCoko0/edit?usp=drivesdk" TargetMode="External"/><Relationship Id="rId2858" Type="http://schemas.openxmlformats.org/officeDocument/2006/relationships/hyperlink" Target="https://drive.google.com/open?id=11mgN-RcsR5_rl360P_IBxr-0_L4CiIzz" TargetMode="External"/><Relationship Id="rId1528" Type="http://schemas.openxmlformats.org/officeDocument/2006/relationships/hyperlink" Target="https://drive.google.com/open?id=1MXJNibKnwR6FcECXdW_3QL-jvcQow1y2" TargetMode="External"/><Relationship Id="rId2859" Type="http://schemas.openxmlformats.org/officeDocument/2006/relationships/hyperlink" Target="https://drive.google.com/uc?export=view&amp;id=11mgN-RcsR5_rl360P_IBxr-0_L4CiIzz" TargetMode="External"/><Relationship Id="rId1529" Type="http://schemas.openxmlformats.org/officeDocument/2006/relationships/hyperlink" Target="https://drive.google.com/uc?export=view&amp;id=1MXJNibKnwR6FcECXdW_3QL-jvcQow1y2" TargetMode="External"/><Relationship Id="rId939" Type="http://schemas.openxmlformats.org/officeDocument/2006/relationships/hyperlink" Target="https://drive.google.com/uc?export=view&amp;id=1PX7XDOdURkMonD-F79FLTRyH327wqIEN" TargetMode="External"/><Relationship Id="rId938" Type="http://schemas.openxmlformats.org/officeDocument/2006/relationships/hyperlink" Target="https://drive.google.com/open?id=1PX7XDOdURkMonD-F79FLTRyH327wqIEN" TargetMode="External"/><Relationship Id="rId937" Type="http://schemas.openxmlformats.org/officeDocument/2006/relationships/hyperlink" Target="https://docs.google.com/document/d/1hADVLQI_d6bAUGctxKZGtWsRgvWBe1nU5EA6QNt57g4/edit?usp=drivesdk" TargetMode="External"/><Relationship Id="rId932" Type="http://schemas.openxmlformats.org/officeDocument/2006/relationships/hyperlink" Target="https://drive.google.com/open?id=1237aE-c6fWQBTdUcXwSQi0bhWEI7EX0d" TargetMode="External"/><Relationship Id="rId931" Type="http://schemas.openxmlformats.org/officeDocument/2006/relationships/hyperlink" Target="https://docs.google.com/document/d/1eMVmxgQKozZA3JJ2eGI6iO_3XPudOXaXhJnMsO-Cv4w/edit?usp=drivesdk" TargetMode="External"/><Relationship Id="rId930" Type="http://schemas.openxmlformats.org/officeDocument/2006/relationships/hyperlink" Target="https://drive.google.com/uc?export=view&amp;id=1tYwi-LFxR1QetzHhahLvZX_BlGm1WCXW" TargetMode="External"/><Relationship Id="rId936" Type="http://schemas.openxmlformats.org/officeDocument/2006/relationships/hyperlink" Target="https://drive.google.com/uc?export=view&amp;id=13xR_8t_eVZ6AHv9r64nlsyVEm3KIt2k_" TargetMode="External"/><Relationship Id="rId935" Type="http://schemas.openxmlformats.org/officeDocument/2006/relationships/hyperlink" Target="https://drive.google.com/open?id=13xR_8t_eVZ6AHv9r64nlsyVEm3KIt2k_" TargetMode="External"/><Relationship Id="rId934" Type="http://schemas.openxmlformats.org/officeDocument/2006/relationships/hyperlink" Target="https://docs.google.com/document/d/1cfiBEGapQrBrK8QVl1GcV9ea3a-0kVFWQTjRiyO7de4/edit?usp=drivesdk" TargetMode="External"/><Relationship Id="rId933" Type="http://schemas.openxmlformats.org/officeDocument/2006/relationships/hyperlink" Target="https://drive.google.com/uc?export=view&amp;id=1237aE-c6fWQBTdUcXwSQi0bhWEI7EX0d" TargetMode="External"/><Relationship Id="rId2850" Type="http://schemas.openxmlformats.org/officeDocument/2006/relationships/hyperlink" Target="https://drive.google.com/uc?export=view&amp;id=1SofydT1FSwvGkNHRd-R4Sv84QCHS669H" TargetMode="External"/><Relationship Id="rId1520" Type="http://schemas.openxmlformats.org/officeDocument/2006/relationships/hyperlink" Target="https://drive.google.com/uc?export=view&amp;id=1ZTDN8zPJBfTxOSkZ-LBkC3eRmoJaTOfB" TargetMode="External"/><Relationship Id="rId2851" Type="http://schemas.openxmlformats.org/officeDocument/2006/relationships/hyperlink" Target="https://docs.google.com/document/d/1ITj_faROMME7bBBVjiKqO3Ddj7J2voWGdXaY_U24UhA/edit?usp=drivesdk" TargetMode="External"/><Relationship Id="rId1554" Type="http://schemas.openxmlformats.org/officeDocument/2006/relationships/hyperlink" Target="https://docs.google.com/document/d/1EHpra7Zq3vHRaqw9SD8B4NecW0DMnwVmePhI45MjUYM/edit?usp=drivesdk" TargetMode="External"/><Relationship Id="rId2885" Type="http://schemas.openxmlformats.org/officeDocument/2006/relationships/hyperlink" Target="https://drive.google.com/open?id=1MOcpt7Szg6nI3N0yPGS13JS15ZduZgxm" TargetMode="External"/><Relationship Id="rId1555" Type="http://schemas.openxmlformats.org/officeDocument/2006/relationships/hyperlink" Target="https://drive.google.com/open?id=1YvBCnFDSW_xcio5DJCN_QVbRzjVRwBeo" TargetMode="External"/><Relationship Id="rId2886" Type="http://schemas.openxmlformats.org/officeDocument/2006/relationships/hyperlink" Target="https://drive.google.com/uc?export=view&amp;id=1MOcpt7Szg6nI3N0yPGS13JS15ZduZgxm" TargetMode="External"/><Relationship Id="rId1556" Type="http://schemas.openxmlformats.org/officeDocument/2006/relationships/hyperlink" Target="https://drive.google.com/uc?export=view&amp;id=1YvBCnFDSW_xcio5DJCN_QVbRzjVRwBeo" TargetMode="External"/><Relationship Id="rId2887" Type="http://schemas.openxmlformats.org/officeDocument/2006/relationships/hyperlink" Target="https://docs.google.com/document/d/1AuIwa9s-ilj2a_y1GAQ0KExdbohzQ4tngK83jRk7Sk0/edit?usp=drivesdk" TargetMode="External"/><Relationship Id="rId1557" Type="http://schemas.openxmlformats.org/officeDocument/2006/relationships/hyperlink" Target="https://docs.google.com/document/d/1GqU6j-UD2FFjBZrojdXpFtBHB6wkWqTz7aHGP2HIp-8/edit?usp=drivesdk" TargetMode="External"/><Relationship Id="rId2888" Type="http://schemas.openxmlformats.org/officeDocument/2006/relationships/hyperlink" Target="https://drive.google.com/open?id=11sH4RmHhl3-x_UQKWVATDPLUEO5AkgHd" TargetMode="External"/><Relationship Id="rId1558" Type="http://schemas.openxmlformats.org/officeDocument/2006/relationships/hyperlink" Target="https://drive.google.com/open?id=1bsMS5Ll1gduaTNLiLd9f3Eh0HZLUVk-A" TargetMode="External"/><Relationship Id="rId2889" Type="http://schemas.openxmlformats.org/officeDocument/2006/relationships/hyperlink" Target="https://drive.google.com/uc?export=view&amp;id=11sH4RmHhl3-x_UQKWVATDPLUEO5AkgHd" TargetMode="External"/><Relationship Id="rId1559" Type="http://schemas.openxmlformats.org/officeDocument/2006/relationships/hyperlink" Target="https://drive.google.com/uc?export=view&amp;id=1bsMS5Ll1gduaTNLiLd9f3Eh0HZLUVk-A" TargetMode="External"/><Relationship Id="rId965" Type="http://schemas.openxmlformats.org/officeDocument/2006/relationships/hyperlink" Target="https://drive.google.com/open?id=16ua7Vzy0REsuva4glhvoaVX4yHHaDavM" TargetMode="External"/><Relationship Id="rId964" Type="http://schemas.openxmlformats.org/officeDocument/2006/relationships/hyperlink" Target="https://docs.google.com/document/d/1GcFQ0_YPNM1Z1FeHGjnl8yBTPMw8g-wcDZ-bJ-CZmbA/edit?usp=drivesdk" TargetMode="External"/><Relationship Id="rId963" Type="http://schemas.openxmlformats.org/officeDocument/2006/relationships/hyperlink" Target="https://drive.google.com/uc?export=view&amp;id=1JymvqlEM4YYTSzV9TPiNGirZlFObCX0p" TargetMode="External"/><Relationship Id="rId962" Type="http://schemas.openxmlformats.org/officeDocument/2006/relationships/hyperlink" Target="https://drive.google.com/open?id=1JymvqlEM4YYTSzV9TPiNGirZlFObCX0p" TargetMode="External"/><Relationship Id="rId969" Type="http://schemas.openxmlformats.org/officeDocument/2006/relationships/hyperlink" Target="https://drive.google.com/uc?export=view&amp;id=1-ytzALDm_p54VruIiDGaaw3_plleM-iO" TargetMode="External"/><Relationship Id="rId968" Type="http://schemas.openxmlformats.org/officeDocument/2006/relationships/hyperlink" Target="https://drive.google.com/open?id=1-ytzALDm_p54VruIiDGaaw3_plleM-iO" TargetMode="External"/><Relationship Id="rId967" Type="http://schemas.openxmlformats.org/officeDocument/2006/relationships/hyperlink" Target="https://docs.google.com/document/d/1rqjk-gsjbHePiRP3NJPKyfTaOrzxeliLuT3CYfOLHxY/edit?usp=drivesdk" TargetMode="External"/><Relationship Id="rId966" Type="http://schemas.openxmlformats.org/officeDocument/2006/relationships/hyperlink" Target="https://drive.google.com/uc?export=view&amp;id=16ua7Vzy0REsuva4glhvoaVX4yHHaDavM" TargetMode="External"/><Relationship Id="rId2880" Type="http://schemas.openxmlformats.org/officeDocument/2006/relationships/hyperlink" Target="https://drive.google.com/uc?export=view&amp;id=1xIxA-aUCyDKsbY8KztiJFoUNTqzQAGzA" TargetMode="External"/><Relationship Id="rId961" Type="http://schemas.openxmlformats.org/officeDocument/2006/relationships/hyperlink" Target="https://docs.google.com/document/d/1F72u5EYV2UGvmjtuA6UkEFpzc6ntG28uNaa12AS5ZIk/edit?usp=drivesdk" TargetMode="External"/><Relationship Id="rId1550" Type="http://schemas.openxmlformats.org/officeDocument/2006/relationships/hyperlink" Target="https://drive.google.com/uc?export=view&amp;id=1qJHxpyaoLlE2s8W9JPNyX6Kc9g0a2D8l" TargetMode="External"/><Relationship Id="rId2881" Type="http://schemas.openxmlformats.org/officeDocument/2006/relationships/hyperlink" Target="https://docs.google.com/document/d/1MMyAnyebpBQOMAz7durFz7nw2Lr2hiHsJBiXezjMXgQ/edit?usp=drivesdk" TargetMode="External"/><Relationship Id="rId960" Type="http://schemas.openxmlformats.org/officeDocument/2006/relationships/hyperlink" Target="https://drive.google.com/uc?export=view&amp;id=1lh7fqn8Ww6XWYl9QTpYWvm0YJupCr3s_" TargetMode="External"/><Relationship Id="rId1551" Type="http://schemas.openxmlformats.org/officeDocument/2006/relationships/hyperlink" Target="https://docs.google.com/document/d/1oduOoqsRHnocHlqBfT_-ICNm2c6LYO8hHPlLQWdqk5Y/edit?usp=drivesdk" TargetMode="External"/><Relationship Id="rId2882" Type="http://schemas.openxmlformats.org/officeDocument/2006/relationships/hyperlink" Target="https://drive.google.com/open?id=1XwtTnJFzss6aPlCVDAH-4ceBy9c_7ed2" TargetMode="External"/><Relationship Id="rId1552" Type="http://schemas.openxmlformats.org/officeDocument/2006/relationships/hyperlink" Target="https://drive.google.com/open?id=1qSWcYLEhOte5RnbEHhnmOtxdsQ9q2ukX" TargetMode="External"/><Relationship Id="rId2883" Type="http://schemas.openxmlformats.org/officeDocument/2006/relationships/hyperlink" Target="https://drive.google.com/uc?export=view&amp;id=1XwtTnJFzss6aPlCVDAH-4ceBy9c_7ed2" TargetMode="External"/><Relationship Id="rId1553" Type="http://schemas.openxmlformats.org/officeDocument/2006/relationships/hyperlink" Target="https://drive.google.com/uc?export=view&amp;id=1qSWcYLEhOte5RnbEHhnmOtxdsQ9q2ukX" TargetMode="External"/><Relationship Id="rId2884" Type="http://schemas.openxmlformats.org/officeDocument/2006/relationships/hyperlink" Target="https://docs.google.com/document/d/1Qwogk02WKnz5fFRJghMP6-JTolmrW8sAUg0z7deAC8E/edit?usp=drivesdk" TargetMode="External"/><Relationship Id="rId1543" Type="http://schemas.openxmlformats.org/officeDocument/2006/relationships/hyperlink" Target="https://drive.google.com/open?id=1iOsXSn5_T_Sy44aAicSzdvKPPy8G-h5_" TargetMode="External"/><Relationship Id="rId2874" Type="http://schemas.openxmlformats.org/officeDocument/2006/relationships/hyperlink" Target="https://drive.google.com/uc?export=view&amp;id=1iTi4CiCTARhg236iMQXrd2nSA0mT6Cjq" TargetMode="External"/><Relationship Id="rId1544" Type="http://schemas.openxmlformats.org/officeDocument/2006/relationships/hyperlink" Target="https://drive.google.com/uc?export=view&amp;id=1iOsXSn5_T_Sy44aAicSzdvKPPy8G-h5_" TargetMode="External"/><Relationship Id="rId2875" Type="http://schemas.openxmlformats.org/officeDocument/2006/relationships/hyperlink" Target="https://docs.google.com/document/d/1aNdAxKOXhSMRFtyFcg2LHxK1OGsyk6ckTe--BVBTKaw/edit?usp=drivesdk" TargetMode="External"/><Relationship Id="rId1545" Type="http://schemas.openxmlformats.org/officeDocument/2006/relationships/hyperlink" Target="https://docs.google.com/document/d/1cu39pzlLJ8RJbiUiGmBDKXF3PyLz-5iUrYWygHNFNhw/edit?usp=drivesdk" TargetMode="External"/><Relationship Id="rId2876" Type="http://schemas.openxmlformats.org/officeDocument/2006/relationships/hyperlink" Target="https://drive.google.com/open?id=1kZScpQd5Zb0cUlK7g7RGX6ruergYt2ZG" TargetMode="External"/><Relationship Id="rId1546" Type="http://schemas.openxmlformats.org/officeDocument/2006/relationships/hyperlink" Target="https://drive.google.com/open?id=1ttF0MFMMYD8MXtbNq9BgCnCQhFooFgi2" TargetMode="External"/><Relationship Id="rId2877" Type="http://schemas.openxmlformats.org/officeDocument/2006/relationships/hyperlink" Target="https://drive.google.com/uc?export=view&amp;id=1kZScpQd5Zb0cUlK7g7RGX6ruergYt2ZG" TargetMode="External"/><Relationship Id="rId1547" Type="http://schemas.openxmlformats.org/officeDocument/2006/relationships/hyperlink" Target="https://drive.google.com/uc?export=view&amp;id=1ttF0MFMMYD8MXtbNq9BgCnCQhFooFgi2" TargetMode="External"/><Relationship Id="rId2878" Type="http://schemas.openxmlformats.org/officeDocument/2006/relationships/hyperlink" Target="https://docs.google.com/document/d/1-x502pesFhsny9FdHtAi9FhGsPbcUsh0Mgkq9kLqqA4/edit?usp=drivesdk" TargetMode="External"/><Relationship Id="rId1548" Type="http://schemas.openxmlformats.org/officeDocument/2006/relationships/hyperlink" Target="https://docs.google.com/document/d/1VZ3_5F-FIbqdVw0YL8rRKnOHjr4y0Nj-lJeTgJDvbBc/edit?usp=drivesdk" TargetMode="External"/><Relationship Id="rId2879" Type="http://schemas.openxmlformats.org/officeDocument/2006/relationships/hyperlink" Target="https://drive.google.com/open?id=1xIxA-aUCyDKsbY8KztiJFoUNTqzQAGzA" TargetMode="External"/><Relationship Id="rId1549" Type="http://schemas.openxmlformats.org/officeDocument/2006/relationships/hyperlink" Target="https://drive.google.com/open?id=1qJHxpyaoLlE2s8W9JPNyX6Kc9g0a2D8l" TargetMode="External"/><Relationship Id="rId959" Type="http://schemas.openxmlformats.org/officeDocument/2006/relationships/hyperlink" Target="https://drive.google.com/open?id=1lh7fqn8Ww6XWYl9QTpYWvm0YJupCr3s_" TargetMode="External"/><Relationship Id="rId954" Type="http://schemas.openxmlformats.org/officeDocument/2006/relationships/hyperlink" Target="https://drive.google.com/uc?export=view&amp;id=1jzrqm7g_JXs0WKLhOkH6vsn9StuNG9hg" TargetMode="External"/><Relationship Id="rId953" Type="http://schemas.openxmlformats.org/officeDocument/2006/relationships/hyperlink" Target="https://drive.google.com/open?id=1jzrqm7g_JXs0WKLhOkH6vsn9StuNG9hg" TargetMode="External"/><Relationship Id="rId952" Type="http://schemas.openxmlformats.org/officeDocument/2006/relationships/hyperlink" Target="https://docs.google.com/document/d/1am7l1rpCBu7_8GrKHY-tXOe1T9QdAnX6qkqK1gm90mw/edit?usp=drivesdk" TargetMode="External"/><Relationship Id="rId951" Type="http://schemas.openxmlformats.org/officeDocument/2006/relationships/hyperlink" Target="https://drive.google.com/uc?export=view&amp;id=1F3nsieqpRBJyUsE5KkrT422Y-q1aGHAP" TargetMode="External"/><Relationship Id="rId958" Type="http://schemas.openxmlformats.org/officeDocument/2006/relationships/hyperlink" Target="https://docs.google.com/document/d/17SGAY1CO3JOr4hl7U0QonCOZx5iWi59ZTErwoz7aHZg/edit?usp=drivesdk" TargetMode="External"/><Relationship Id="rId957" Type="http://schemas.openxmlformats.org/officeDocument/2006/relationships/hyperlink" Target="https://drive.google.com/uc?export=view&amp;id=16bZDhFSemC_cjSaeRWsVAgH2PX09WxcG" TargetMode="External"/><Relationship Id="rId956" Type="http://schemas.openxmlformats.org/officeDocument/2006/relationships/hyperlink" Target="https://drive.google.com/open?id=16bZDhFSemC_cjSaeRWsVAgH2PX09WxcG" TargetMode="External"/><Relationship Id="rId955" Type="http://schemas.openxmlformats.org/officeDocument/2006/relationships/hyperlink" Target="https://docs.google.com/document/d/1pDM4ipt7en7JHJYgT767CzXFLI4rLkqv_F18LfzSnx8/edit?usp=drivesdk" TargetMode="External"/><Relationship Id="rId950" Type="http://schemas.openxmlformats.org/officeDocument/2006/relationships/hyperlink" Target="https://drive.google.com/open?id=1F3nsieqpRBJyUsE5KkrT422Y-q1aGHAP" TargetMode="External"/><Relationship Id="rId2870" Type="http://schemas.openxmlformats.org/officeDocument/2006/relationships/hyperlink" Target="https://drive.google.com/open?id=1ayqCEM-7H3XEmhmNCe0JyizopxnMkic8" TargetMode="External"/><Relationship Id="rId1540" Type="http://schemas.openxmlformats.org/officeDocument/2006/relationships/hyperlink" Target="https://drive.google.com/open?id=1Ccojk19wOtMKdqz-PBBP4Ra0hufReZQ_" TargetMode="External"/><Relationship Id="rId2871" Type="http://schemas.openxmlformats.org/officeDocument/2006/relationships/hyperlink" Target="https://drive.google.com/uc?export=view&amp;id=1ayqCEM-7H3XEmhmNCe0JyizopxnMkic8" TargetMode="External"/><Relationship Id="rId1541" Type="http://schemas.openxmlformats.org/officeDocument/2006/relationships/hyperlink" Target="https://drive.google.com/uc?export=view&amp;id=1Ccojk19wOtMKdqz-PBBP4Ra0hufReZQ_" TargetMode="External"/><Relationship Id="rId2872" Type="http://schemas.openxmlformats.org/officeDocument/2006/relationships/hyperlink" Target="https://docs.google.com/document/d/1L1SjPzIw1fLHvKslrir-v8S4NIcEFhJxruGI5Tuvq6U/edit?usp=drivesdk" TargetMode="External"/><Relationship Id="rId1542" Type="http://schemas.openxmlformats.org/officeDocument/2006/relationships/hyperlink" Target="https://docs.google.com/document/d/1hPe_Rpur7tEjJhg0P5HM2acnJYOa47neiYR1UMtBb7U/edit?usp=drivesdk" TargetMode="External"/><Relationship Id="rId2873" Type="http://schemas.openxmlformats.org/officeDocument/2006/relationships/hyperlink" Target="https://drive.google.com/open?id=1iTi4CiCTARhg236iMQXrd2nSA0mT6Cjq" TargetMode="External"/><Relationship Id="rId2027" Type="http://schemas.openxmlformats.org/officeDocument/2006/relationships/hyperlink" Target="https://drive.google.com/open?id=1Cdusz2vCMUBHTlTJR0jMedgJP2uGJcap" TargetMode="External"/><Relationship Id="rId3359" Type="http://schemas.openxmlformats.org/officeDocument/2006/relationships/hyperlink" Target="https://drive.google.com/open?id=1l7wi9r6Ny8BTGS1xsf0bakKkaC0sMUbh" TargetMode="External"/><Relationship Id="rId2028" Type="http://schemas.openxmlformats.org/officeDocument/2006/relationships/hyperlink" Target="https://drive.google.com/uc?export=view&amp;id=1Cdusz2vCMUBHTlTJR0jMedgJP2uGJcap" TargetMode="External"/><Relationship Id="rId3358" Type="http://schemas.openxmlformats.org/officeDocument/2006/relationships/hyperlink" Target="https://docs.google.com/document/d/1_WRzKzuJRxC_-oj9Q1jDV6zyZTIqIhonGRLMNRzvf6E/edit?usp=drivesdk" TargetMode="External"/><Relationship Id="rId4689" Type="http://schemas.openxmlformats.org/officeDocument/2006/relationships/hyperlink" Target="https://drive.google.com/uc?export=view&amp;id=1EhVVQGWAoDETHwcQPkUXN7xjC7RBRe_J" TargetMode="External"/><Relationship Id="rId2029" Type="http://schemas.openxmlformats.org/officeDocument/2006/relationships/hyperlink" Target="https://docs.google.com/document/d/1seoIfRYmm4SRwAZgp-ibOoPTievjQLpw9zHew8wdlHo/edit?usp=drivesdk" TargetMode="External"/><Relationship Id="rId107" Type="http://schemas.openxmlformats.org/officeDocument/2006/relationships/hyperlink" Target="https://drive.google.com/uc?export=view&amp;id=1muhvj9Oc7aPHt8cWXPWDNPteLGypQ8Zw" TargetMode="External"/><Relationship Id="rId106" Type="http://schemas.openxmlformats.org/officeDocument/2006/relationships/hyperlink" Target="https://drive.google.com/open?id=1muhvj9Oc7aPHt8cWXPWDNPteLGypQ8Zw" TargetMode="External"/><Relationship Id="rId105" Type="http://schemas.openxmlformats.org/officeDocument/2006/relationships/hyperlink" Target="https://docs.google.com/document/d/1HzT4frt4znf-r5sA3IjN7b-q1RGxPo6NW5WAK32ImsM/edit?usp=drivesdk" TargetMode="External"/><Relationship Id="rId104" Type="http://schemas.openxmlformats.org/officeDocument/2006/relationships/hyperlink" Target="https://drive.google.com/uc?export=view&amp;id=12e4kp3NGla0-_noEDsSKpleyFL69HqWp" TargetMode="External"/><Relationship Id="rId109" Type="http://schemas.openxmlformats.org/officeDocument/2006/relationships/hyperlink" Target="https://drive.google.com/open?id=1o-PrHK3x7EMoC8FLVkBUQRBSCudexrdr" TargetMode="External"/><Relationship Id="rId4680" Type="http://schemas.openxmlformats.org/officeDocument/2006/relationships/hyperlink" Target="https://drive.google.com/uc?export=view&amp;id=1pT2Y0j4CsT-lje2EiDztKExeNticotdx" TargetMode="External"/><Relationship Id="rId108" Type="http://schemas.openxmlformats.org/officeDocument/2006/relationships/hyperlink" Target="https://docs.google.com/document/d/1POOPqa9-45OmUHCOFavJRhDAWXV5TiTcNliiPfJviHI/edit?usp=drivesdk" TargetMode="External"/><Relationship Id="rId3351" Type="http://schemas.openxmlformats.org/officeDocument/2006/relationships/hyperlink" Target="https://drive.google.com/uc?export=view&amp;id=1o-EptD6TWse4l75ofkONnx2shX5vuNf-" TargetMode="External"/><Relationship Id="rId4682" Type="http://schemas.openxmlformats.org/officeDocument/2006/relationships/hyperlink" Target="https://drive.google.com/open?id=1t4rvrAXi-CYMJZktx1EYj_lbIOQDBC1H" TargetMode="External"/><Relationship Id="rId2020" Type="http://schemas.openxmlformats.org/officeDocument/2006/relationships/hyperlink" Target="https://docs.google.com/document/d/1u0oY6jBedRzA1Fp_Zj3UWCSaSotkg9slBjKf5Xivo7s/edit?usp=drivesdk" TargetMode="External"/><Relationship Id="rId3350" Type="http://schemas.openxmlformats.org/officeDocument/2006/relationships/hyperlink" Target="https://drive.google.com/open?id=1o-EptD6TWse4l75ofkONnx2shX5vuNf-" TargetMode="External"/><Relationship Id="rId4681" Type="http://schemas.openxmlformats.org/officeDocument/2006/relationships/hyperlink" Target="https://docs.google.com/document/d/1LoKN4ZXakvca8eophl_7MHvUb8ildT5yJsi_X0iMWTU/edit?usp=drivesdk" TargetMode="External"/><Relationship Id="rId2021" Type="http://schemas.openxmlformats.org/officeDocument/2006/relationships/hyperlink" Target="https://drive.google.com/open?id=1BjPlOVfTVxo-a7TWaj8y-RrMkqu6iTSl" TargetMode="External"/><Relationship Id="rId3353" Type="http://schemas.openxmlformats.org/officeDocument/2006/relationships/hyperlink" Target="https://drive.google.com/open?id=1Jalykuj9UfLiJDye43vuEX1YbSljgYN7" TargetMode="External"/><Relationship Id="rId4684" Type="http://schemas.openxmlformats.org/officeDocument/2006/relationships/hyperlink" Target="https://docs.google.com/document/d/1HauTcb5HtSA53CQVTJ8qlasVvp7ICLMf4jHlEmmh1IY/edit?usp=drivesdk" TargetMode="External"/><Relationship Id="rId2022" Type="http://schemas.openxmlformats.org/officeDocument/2006/relationships/hyperlink" Target="https://drive.google.com/uc?export=view&amp;id=1BjPlOVfTVxo-a7TWaj8y-RrMkqu6iTSl" TargetMode="External"/><Relationship Id="rId3352" Type="http://schemas.openxmlformats.org/officeDocument/2006/relationships/hyperlink" Target="https://docs.google.com/document/d/1e3LNFPs6jMZJla6rPab63oxteqmhrduF6ntkpff2JBQ/edit?usp=drivesdk" TargetMode="External"/><Relationship Id="rId4683" Type="http://schemas.openxmlformats.org/officeDocument/2006/relationships/hyperlink" Target="https://drive.google.com/uc?export=view&amp;id=1t4rvrAXi-CYMJZktx1EYj_lbIOQDBC1H" TargetMode="External"/><Relationship Id="rId103" Type="http://schemas.openxmlformats.org/officeDocument/2006/relationships/hyperlink" Target="https://drive.google.com/open?id=12e4kp3NGla0-_noEDsSKpleyFL69HqWp" TargetMode="External"/><Relationship Id="rId2023" Type="http://schemas.openxmlformats.org/officeDocument/2006/relationships/hyperlink" Target="https://docs.google.com/document/d/1RxbH-89GbA-aK8GaAR7j-6VAmEuy8w04QiisTOczB7E/edit?usp=drivesdk" TargetMode="External"/><Relationship Id="rId3355" Type="http://schemas.openxmlformats.org/officeDocument/2006/relationships/hyperlink" Target="https://docs.google.com/document/d/1BX11KwmJiHqHgVFRXeqQulx5CEipXlf0Hn6UDNBsT8w/edit?usp=drivesdk" TargetMode="External"/><Relationship Id="rId4686" Type="http://schemas.openxmlformats.org/officeDocument/2006/relationships/hyperlink" Target="https://drive.google.com/uc?export=view&amp;id=1JkCHFIqd-5mgpvzpbPya2GnS3aiEI476" TargetMode="External"/><Relationship Id="rId102" Type="http://schemas.openxmlformats.org/officeDocument/2006/relationships/hyperlink" Target="https://docs.google.com/document/d/1tb9thzuovWsXqmCeIM2jPFFg1Hj7Pxu4RuFHHSKy2n4/edit?usp=drivesdk" TargetMode="External"/><Relationship Id="rId2024" Type="http://schemas.openxmlformats.org/officeDocument/2006/relationships/hyperlink" Target="https://drive.google.com/open?id=11Okphhc0KXDZ2EIPZmwxWTA-ZAg3k2Zo" TargetMode="External"/><Relationship Id="rId3354" Type="http://schemas.openxmlformats.org/officeDocument/2006/relationships/hyperlink" Target="https://drive.google.com/uc?export=view&amp;id=1Jalykuj9UfLiJDye43vuEX1YbSljgYN7" TargetMode="External"/><Relationship Id="rId4685" Type="http://schemas.openxmlformats.org/officeDocument/2006/relationships/hyperlink" Target="https://drive.google.com/open?id=1JkCHFIqd-5mgpvzpbPya2GnS3aiEI476" TargetMode="External"/><Relationship Id="rId101" Type="http://schemas.openxmlformats.org/officeDocument/2006/relationships/hyperlink" Target="https://drive.google.com/uc?export=view&amp;id=1DRPE8ANuFFV3dMZDrKKX80z2t_9XHopP" TargetMode="External"/><Relationship Id="rId2025" Type="http://schemas.openxmlformats.org/officeDocument/2006/relationships/hyperlink" Target="https://drive.google.com/uc?export=view&amp;id=11Okphhc0KXDZ2EIPZmwxWTA-ZAg3k2Zo" TargetMode="External"/><Relationship Id="rId3357" Type="http://schemas.openxmlformats.org/officeDocument/2006/relationships/hyperlink" Target="https://drive.google.com/uc?export=view&amp;id=1lDv7M6bJHm6Rjbwhjlpg1saPIeRjnfbY" TargetMode="External"/><Relationship Id="rId4688" Type="http://schemas.openxmlformats.org/officeDocument/2006/relationships/hyperlink" Target="https://drive.google.com/open?id=1EhVVQGWAoDETHwcQPkUXN7xjC7RBRe_J" TargetMode="External"/><Relationship Id="rId100" Type="http://schemas.openxmlformats.org/officeDocument/2006/relationships/hyperlink" Target="https://drive.google.com/open?id=1DRPE8ANuFFV3dMZDrKKX80z2t_9XHopP" TargetMode="External"/><Relationship Id="rId2026" Type="http://schemas.openxmlformats.org/officeDocument/2006/relationships/hyperlink" Target="https://docs.google.com/document/d/1zyOHs3Y7jyEcvC-VoenIgmP1VWn9Z2ELNt5ak_L5xl8/edit?usp=drivesdk" TargetMode="External"/><Relationship Id="rId3356" Type="http://schemas.openxmlformats.org/officeDocument/2006/relationships/hyperlink" Target="https://drive.google.com/open?id=1lDv7M6bJHm6Rjbwhjlpg1saPIeRjnfbY" TargetMode="External"/><Relationship Id="rId4687" Type="http://schemas.openxmlformats.org/officeDocument/2006/relationships/hyperlink" Target="https://docs.google.com/document/d/1liU8gv7AQG7FaJYoZ940GENvZ5v6eVq-XEXNwxNfaoM/edit?usp=drivesdk" TargetMode="External"/><Relationship Id="rId2016" Type="http://schemas.openxmlformats.org/officeDocument/2006/relationships/hyperlink" Target="https://drive.google.com/uc?export=view&amp;id=1lhoPJHQPinnlsEuEqXeEWlSCsoSNP4jD" TargetMode="External"/><Relationship Id="rId3348" Type="http://schemas.openxmlformats.org/officeDocument/2006/relationships/hyperlink" Target="https://drive.google.com/uc?export=view&amp;id=1jefmHCpUtN3u_9ywWQ81hyT1eK4bL66d" TargetMode="External"/><Relationship Id="rId4679" Type="http://schemas.openxmlformats.org/officeDocument/2006/relationships/hyperlink" Target="https://drive.google.com/open?id=1pT2Y0j4CsT-lje2EiDztKExeNticotdx" TargetMode="External"/><Relationship Id="rId2017" Type="http://schemas.openxmlformats.org/officeDocument/2006/relationships/hyperlink" Target="https://docs.google.com/document/d/1JXiVOJLDF2NNkuYNhERUVxlgTPpZTt1YJ-ZCKJgG-D4/edit?usp=drivesdk" TargetMode="External"/><Relationship Id="rId3347" Type="http://schemas.openxmlformats.org/officeDocument/2006/relationships/hyperlink" Target="https://drive.google.com/open?id=1jefmHCpUtN3u_9ywWQ81hyT1eK4bL66d" TargetMode="External"/><Relationship Id="rId4678" Type="http://schemas.openxmlformats.org/officeDocument/2006/relationships/hyperlink" Target="https://docs.google.com/document/d/1Eu-pRg36StJX7c9T0or2xojf07X83u6YrvdaOh2SV28/edit?usp=drivesdk" TargetMode="External"/><Relationship Id="rId2018" Type="http://schemas.openxmlformats.org/officeDocument/2006/relationships/hyperlink" Target="https://drive.google.com/open?id=1ZXnShxez6E856BZWJDXg-raQfEY-_1VV" TargetMode="External"/><Relationship Id="rId2019" Type="http://schemas.openxmlformats.org/officeDocument/2006/relationships/hyperlink" Target="https://drive.google.com/uc?export=view&amp;id=1ZXnShxez6E856BZWJDXg-raQfEY-_1VV" TargetMode="External"/><Relationship Id="rId3349" Type="http://schemas.openxmlformats.org/officeDocument/2006/relationships/hyperlink" Target="https://docs.google.com/document/d/1e3d8NaFXroNWSaAHzBkqrddyg4_kvzmrvxKJYgJ_dto/edit?usp=drivesdk" TargetMode="External"/><Relationship Id="rId3340" Type="http://schemas.openxmlformats.org/officeDocument/2006/relationships/hyperlink" Target="https://docs.google.com/document/d/1vFkR0-W5EqraxkOKrDUqDsRD6AcX861bJ_S1Y05x78E/edit?usp=drivesdk" TargetMode="External"/><Relationship Id="rId4671" Type="http://schemas.openxmlformats.org/officeDocument/2006/relationships/hyperlink" Target="https://drive.google.com/uc?export=view&amp;id=1QI895cj_dqpxfwaqTjbHRutTQsn1XGfP" TargetMode="External"/><Relationship Id="rId4670" Type="http://schemas.openxmlformats.org/officeDocument/2006/relationships/hyperlink" Target="https://drive.google.com/open?id=1QI895cj_dqpxfwaqTjbHRutTQsn1XGfP" TargetMode="External"/><Relationship Id="rId2010" Type="http://schemas.openxmlformats.org/officeDocument/2006/relationships/hyperlink" Target="https://drive.google.com/uc?export=view&amp;id=1aSQmkT9gXGJIxyhgy0NK0PAj5nRCvyTr" TargetMode="External"/><Relationship Id="rId3342" Type="http://schemas.openxmlformats.org/officeDocument/2006/relationships/hyperlink" Target="https://drive.google.com/uc?export=view&amp;id=1gtBkbRXAUl0vtE6kgT2UmCrePzu6aEvm" TargetMode="External"/><Relationship Id="rId4673" Type="http://schemas.openxmlformats.org/officeDocument/2006/relationships/hyperlink" Target="https://drive.google.com/open?id=14HAvQipzvMtYOCrxNg0BuPiBiYop4iYr" TargetMode="External"/><Relationship Id="rId2011" Type="http://schemas.openxmlformats.org/officeDocument/2006/relationships/hyperlink" Target="https://docs.google.com/document/d/1qHEfxZCOCQGkJOaXisXqi1-LXuAa8JVDQC0aAQYi7Bg/edit?usp=drivesdk" TargetMode="External"/><Relationship Id="rId3341" Type="http://schemas.openxmlformats.org/officeDocument/2006/relationships/hyperlink" Target="https://drive.google.com/open?id=1gtBkbRXAUl0vtE6kgT2UmCrePzu6aEvm" TargetMode="External"/><Relationship Id="rId4672" Type="http://schemas.openxmlformats.org/officeDocument/2006/relationships/hyperlink" Target="https://docs.google.com/document/d/1A_PfVtOcYtcV-10n10BYvQerWnrMv5fd5MugnEQZR2k/edit?usp=drivesdk" TargetMode="External"/><Relationship Id="rId2012" Type="http://schemas.openxmlformats.org/officeDocument/2006/relationships/hyperlink" Target="https://drive.google.com/open?id=1GYaFX4A_dzwf41iDNsBVfh0BfBn5bqH_" TargetMode="External"/><Relationship Id="rId3344" Type="http://schemas.openxmlformats.org/officeDocument/2006/relationships/hyperlink" Target="https://drive.google.com/open?id=1j1iSu-aJQvD7xYd2YmaBJIuj4C0WYZ1P" TargetMode="External"/><Relationship Id="rId4675" Type="http://schemas.openxmlformats.org/officeDocument/2006/relationships/hyperlink" Target="https://docs.google.com/document/d/1vhllfw-_Rpp_umo4ak16lGWTH31lH41qr10n7oQ7iWU/edit?usp=drivesdk" TargetMode="External"/><Relationship Id="rId2013" Type="http://schemas.openxmlformats.org/officeDocument/2006/relationships/hyperlink" Target="https://drive.google.com/uc?export=view&amp;id=1GYaFX4A_dzwf41iDNsBVfh0BfBn5bqH_" TargetMode="External"/><Relationship Id="rId3343" Type="http://schemas.openxmlformats.org/officeDocument/2006/relationships/hyperlink" Target="https://docs.google.com/document/d/1V-PHfoQsNdssjwQhpnUtbF_4ssfm-djSj2rCgQbxJhc/edit?usp=drivesdk" TargetMode="External"/><Relationship Id="rId4674" Type="http://schemas.openxmlformats.org/officeDocument/2006/relationships/hyperlink" Target="https://drive.google.com/uc?export=view&amp;id=14HAvQipzvMtYOCrxNg0BuPiBiYop4iYr" TargetMode="External"/><Relationship Id="rId2014" Type="http://schemas.openxmlformats.org/officeDocument/2006/relationships/hyperlink" Target="https://docs.google.com/document/d/1Fz1zneAK1Ku8DjxkliEkxosrPL37cQpCbe-9nrlZ69I/edit?usp=drivesdk" TargetMode="External"/><Relationship Id="rId3346" Type="http://schemas.openxmlformats.org/officeDocument/2006/relationships/hyperlink" Target="https://docs.google.com/document/d/1vjf4pPJ_hSP6eHk4vLAIQhZD4A-GQr7n9SmbpVDCW2k/edit?usp=drivesdk" TargetMode="External"/><Relationship Id="rId4677" Type="http://schemas.openxmlformats.org/officeDocument/2006/relationships/hyperlink" Target="https://drive.google.com/uc?export=view&amp;id=15Aq23ePEbUjSR3JKPhdMgEKWQkwJlBrr" TargetMode="External"/><Relationship Id="rId2015" Type="http://schemas.openxmlformats.org/officeDocument/2006/relationships/hyperlink" Target="https://drive.google.com/open?id=1lhoPJHQPinnlsEuEqXeEWlSCsoSNP4jD" TargetMode="External"/><Relationship Id="rId3345" Type="http://schemas.openxmlformats.org/officeDocument/2006/relationships/hyperlink" Target="https://drive.google.com/uc?export=view&amp;id=1j1iSu-aJQvD7xYd2YmaBJIuj4C0WYZ1P" TargetMode="External"/><Relationship Id="rId4676" Type="http://schemas.openxmlformats.org/officeDocument/2006/relationships/hyperlink" Target="https://drive.google.com/open?id=15Aq23ePEbUjSR3JKPhdMgEKWQkwJlBrr" TargetMode="External"/><Relationship Id="rId2049" Type="http://schemas.openxmlformats.org/officeDocument/2006/relationships/hyperlink" Target="https://drive.google.com/uc?export=view&amp;id=13fBSspLwSx3UHq6gobXBpCg_dm2_IJXM" TargetMode="External"/><Relationship Id="rId129" Type="http://schemas.openxmlformats.org/officeDocument/2006/relationships/hyperlink" Target="https://docs.google.com/document/d/1qzCBlTm1XmCExG24JuEZocy9WqVcrSwM4rT-D-PvqqE/edit?usp=drivesdk" TargetMode="External"/><Relationship Id="rId128" Type="http://schemas.openxmlformats.org/officeDocument/2006/relationships/hyperlink" Target="https://drive.google.com/uc?export=view&amp;id=1zf4jmRII-78g1kBGVF3sBb_YVX3n2ydi" TargetMode="External"/><Relationship Id="rId127" Type="http://schemas.openxmlformats.org/officeDocument/2006/relationships/hyperlink" Target="https://drive.google.com/open?id=1zf4jmRII-78g1kBGVF3sBb_YVX3n2ydi" TargetMode="External"/><Relationship Id="rId126" Type="http://schemas.openxmlformats.org/officeDocument/2006/relationships/hyperlink" Target="https://docs.google.com/document/d/1Bznh-YSZbLy1KRmVJfCRQgxolq0715zgJO4-MBEwA2g/edit?usp=drivesdk" TargetMode="External"/><Relationship Id="rId3371" Type="http://schemas.openxmlformats.org/officeDocument/2006/relationships/hyperlink" Target="https://drive.google.com/open?id=1s7Jnb4fIJ48wTaPxb322-_pkfv25HQMG" TargetMode="External"/><Relationship Id="rId2040" Type="http://schemas.openxmlformats.org/officeDocument/2006/relationships/hyperlink" Target="https://drive.google.com/uc?export=view&amp;id=10i3nD9AAj7vl1GuU8J1Y31cG6GBw68Gk" TargetMode="External"/><Relationship Id="rId3370" Type="http://schemas.openxmlformats.org/officeDocument/2006/relationships/hyperlink" Target="https://docs.google.com/document/d/1EibVJRlDBVmVmCeMZLI9svd9d8enJFwadkr77zXEoGc/edit?usp=drivesdk" TargetMode="External"/><Relationship Id="rId121" Type="http://schemas.openxmlformats.org/officeDocument/2006/relationships/hyperlink" Target="https://drive.google.com/open?id=199Ie0EsboBJOBUQ7lDYFIGaxb8m2MpNL" TargetMode="External"/><Relationship Id="rId2041" Type="http://schemas.openxmlformats.org/officeDocument/2006/relationships/hyperlink" Target="https://docs.google.com/document/d/14ZYnP6ZK3pcrfg_gcbvCxndAAqD-AE36W9MiZ8AYg0k/edit?usp=drivesdk" TargetMode="External"/><Relationship Id="rId3373" Type="http://schemas.openxmlformats.org/officeDocument/2006/relationships/hyperlink" Target="https://docs.google.com/document/d/1sPZgI8w_a1evIws_kahSZFYHaQBal9riFScXFlPQ0-I/edit?usp=drivesdk" TargetMode="External"/><Relationship Id="rId120" Type="http://schemas.openxmlformats.org/officeDocument/2006/relationships/hyperlink" Target="https://docs.google.com/document/d/1K-UNYcL3mRAc743yXbdNtQ6GoshlVvKLh_xXMIdNdgk/edit?usp=drivesdk" TargetMode="External"/><Relationship Id="rId2042" Type="http://schemas.openxmlformats.org/officeDocument/2006/relationships/hyperlink" Target="https://drive.google.com/open?id=1IjKjDyqpoJH3pTcv318xLa3v-H43QDea" TargetMode="External"/><Relationship Id="rId3372" Type="http://schemas.openxmlformats.org/officeDocument/2006/relationships/hyperlink" Target="https://drive.google.com/uc?export=view&amp;id=1s7Jnb4fIJ48wTaPxb322-_pkfv25HQMG" TargetMode="External"/><Relationship Id="rId2043" Type="http://schemas.openxmlformats.org/officeDocument/2006/relationships/hyperlink" Target="https://drive.google.com/uc?export=view&amp;id=1IjKjDyqpoJH3pTcv318xLa3v-H43QDea" TargetMode="External"/><Relationship Id="rId3375" Type="http://schemas.openxmlformats.org/officeDocument/2006/relationships/hyperlink" Target="https://drive.google.com/uc?export=view&amp;id=1c1G2GHqW1pXrsOfBJj7qDTyaE8UbzQpc" TargetMode="External"/><Relationship Id="rId2044" Type="http://schemas.openxmlformats.org/officeDocument/2006/relationships/hyperlink" Target="https://docs.google.com/document/d/1YvsXqA_ApMyI38vXTucM6Y6lyCZPeH7Rf2TFPHjckc0/edit?usp=drivesdk" TargetMode="External"/><Relationship Id="rId3374" Type="http://schemas.openxmlformats.org/officeDocument/2006/relationships/hyperlink" Target="https://drive.google.com/open?id=1c1G2GHqW1pXrsOfBJj7qDTyaE8UbzQpc" TargetMode="External"/><Relationship Id="rId125" Type="http://schemas.openxmlformats.org/officeDocument/2006/relationships/hyperlink" Target="https://drive.google.com/uc?export=view&amp;id=19WC66zLSf-NwOjJWUMzl4dJrzlIg2GJa" TargetMode="External"/><Relationship Id="rId2045" Type="http://schemas.openxmlformats.org/officeDocument/2006/relationships/hyperlink" Target="https://drive.google.com/open?id=17-vgpOBos9Uufm2F1V9b1DcZrMwUNzTq" TargetMode="External"/><Relationship Id="rId3377" Type="http://schemas.openxmlformats.org/officeDocument/2006/relationships/hyperlink" Target="https://drive.google.com/open?id=1xk2wjcxxeb_ANEMkrZhbJU2LDzmDeVSv" TargetMode="External"/><Relationship Id="rId124" Type="http://schemas.openxmlformats.org/officeDocument/2006/relationships/hyperlink" Target="https://drive.google.com/open?id=19WC66zLSf-NwOjJWUMzl4dJrzlIg2GJa" TargetMode="External"/><Relationship Id="rId2046" Type="http://schemas.openxmlformats.org/officeDocument/2006/relationships/hyperlink" Target="https://drive.google.com/uc?export=view&amp;id=17-vgpOBos9Uufm2F1V9b1DcZrMwUNzTq" TargetMode="External"/><Relationship Id="rId3376" Type="http://schemas.openxmlformats.org/officeDocument/2006/relationships/hyperlink" Target="https://docs.google.com/document/d/1pJOaa2SFEmrnvjhKJmjStljFNIiVvdnH3xwcad0kYV8/edit?usp=drivesdk" TargetMode="External"/><Relationship Id="rId123" Type="http://schemas.openxmlformats.org/officeDocument/2006/relationships/hyperlink" Target="https://docs.google.com/document/d/1B9svvASczwQBfyayu9lZPsejy1BVsJDaONa6GpxjZZA/edit?usp=drivesdk" TargetMode="External"/><Relationship Id="rId2047" Type="http://schemas.openxmlformats.org/officeDocument/2006/relationships/hyperlink" Target="https://docs.google.com/document/d/1wD-_qNpXkr1_nCFdVEzr4BXqqIJd6D6GIPU4lJJBdUo/edit?usp=drivesdk" TargetMode="External"/><Relationship Id="rId3379" Type="http://schemas.openxmlformats.org/officeDocument/2006/relationships/hyperlink" Target="https://docs.google.com/document/d/1-J8abfMjIIKzNw-mNfMojGM-E0-gLVtGiW_kB-rJHFI/edit?usp=drivesdk" TargetMode="External"/><Relationship Id="rId122" Type="http://schemas.openxmlformats.org/officeDocument/2006/relationships/hyperlink" Target="https://drive.google.com/uc?export=view&amp;id=199Ie0EsboBJOBUQ7lDYFIGaxb8m2MpNL" TargetMode="External"/><Relationship Id="rId2048" Type="http://schemas.openxmlformats.org/officeDocument/2006/relationships/hyperlink" Target="https://drive.google.com/open?id=13fBSspLwSx3UHq6gobXBpCg_dm2_IJXM" TargetMode="External"/><Relationship Id="rId3378" Type="http://schemas.openxmlformats.org/officeDocument/2006/relationships/hyperlink" Target="https://drive.google.com/uc?export=view&amp;id=1xk2wjcxxeb_ANEMkrZhbJU2LDzmDeVSv" TargetMode="External"/><Relationship Id="rId2038" Type="http://schemas.openxmlformats.org/officeDocument/2006/relationships/hyperlink" Target="https://docs.google.com/document/d/1Mgx_ics3Gl520AURL9WwarUya9uO2I49Mkkiek_r72A/edit?usp=drivesdk" TargetMode="External"/><Relationship Id="rId2039" Type="http://schemas.openxmlformats.org/officeDocument/2006/relationships/hyperlink" Target="https://drive.google.com/open?id=10i3nD9AAj7vl1GuU8J1Y31cG6GBw68Gk" TargetMode="External"/><Relationship Id="rId3369" Type="http://schemas.openxmlformats.org/officeDocument/2006/relationships/hyperlink" Target="https://drive.google.com/uc?export=view&amp;id=1C6JM1rgdm2oKWB2Se86jDrroj7xjC6aQ" TargetMode="External"/><Relationship Id="rId118" Type="http://schemas.openxmlformats.org/officeDocument/2006/relationships/hyperlink" Target="https://drive.google.com/open?id=11fYn_WLU1tXd18idN_n7ThtewoItEVR-" TargetMode="External"/><Relationship Id="rId117" Type="http://schemas.openxmlformats.org/officeDocument/2006/relationships/hyperlink" Target="https://docs.google.com/document/d/1O4VcelY5NIYwAzYzzRqdviTXSB2CWm8jynah3joRxAM/edit?usp=drivesdk" TargetMode="External"/><Relationship Id="rId116" Type="http://schemas.openxmlformats.org/officeDocument/2006/relationships/hyperlink" Target="https://drive.google.com/uc?export=view&amp;id=1Y9oNAu55ai-gI05rHOPeiHCR1sfoYon4" TargetMode="External"/><Relationship Id="rId115" Type="http://schemas.openxmlformats.org/officeDocument/2006/relationships/hyperlink" Target="https://drive.google.com/open?id=1Y9oNAu55ai-gI05rHOPeiHCR1sfoYon4" TargetMode="External"/><Relationship Id="rId3360" Type="http://schemas.openxmlformats.org/officeDocument/2006/relationships/hyperlink" Target="https://drive.google.com/uc?export=view&amp;id=1l7wi9r6Ny8BTGS1xsf0bakKkaC0sMUbh" TargetMode="External"/><Relationship Id="rId4691" Type="http://schemas.openxmlformats.org/officeDocument/2006/relationships/hyperlink" Target="https://drive.google.com/open?id=1-cKMbElbW-FYUvSxnm1lQO1cEXoHdqMk" TargetMode="External"/><Relationship Id="rId119" Type="http://schemas.openxmlformats.org/officeDocument/2006/relationships/hyperlink" Target="https://drive.google.com/uc?export=view&amp;id=11fYn_WLU1tXd18idN_n7ThtewoItEVR-" TargetMode="External"/><Relationship Id="rId4690" Type="http://schemas.openxmlformats.org/officeDocument/2006/relationships/hyperlink" Target="https://docs.google.com/document/d/1SGuy3Jfpghe79pJaS-0Eu6f_MG41nChlGfEpSE30FDs/edit?usp=drivesdk" TargetMode="External"/><Relationship Id="rId110" Type="http://schemas.openxmlformats.org/officeDocument/2006/relationships/hyperlink" Target="https://drive.google.com/uc?export=view&amp;id=1o-PrHK3x7EMoC8FLVkBUQRBSCudexrdr" TargetMode="External"/><Relationship Id="rId2030" Type="http://schemas.openxmlformats.org/officeDocument/2006/relationships/hyperlink" Target="https://drive.google.com/open?id=1jutE-RsYDgqw1XpbKO4SvlDQmViWWqTT" TargetMode="External"/><Relationship Id="rId3362" Type="http://schemas.openxmlformats.org/officeDocument/2006/relationships/hyperlink" Target="https://drive.google.com/open?id=1kJKYqwHJIBF-nJEIi9JG5EyAMQY-Gn0n" TargetMode="External"/><Relationship Id="rId4693" Type="http://schemas.openxmlformats.org/officeDocument/2006/relationships/hyperlink" Target="https://docs.google.com/document/d/1V4PyIVWkWy5vVzvpmPvK9N8_vy0pXCwfECVqXfa3IDM/edit?usp=drivesdk" TargetMode="External"/><Relationship Id="rId2031" Type="http://schemas.openxmlformats.org/officeDocument/2006/relationships/hyperlink" Target="https://drive.google.com/uc?export=view&amp;id=1jutE-RsYDgqw1XpbKO4SvlDQmViWWqTT" TargetMode="External"/><Relationship Id="rId3361" Type="http://schemas.openxmlformats.org/officeDocument/2006/relationships/hyperlink" Target="https://docs.google.com/document/d/13NMHNmbZlNSnTg1qA6A7wVbcc0Y-Necf21CCUlYKtjA/edit?usp=drivesdk" TargetMode="External"/><Relationship Id="rId4692" Type="http://schemas.openxmlformats.org/officeDocument/2006/relationships/hyperlink" Target="https://drive.google.com/uc?export=view&amp;id=1-cKMbElbW-FYUvSxnm1lQO1cEXoHdqMk" TargetMode="External"/><Relationship Id="rId2032" Type="http://schemas.openxmlformats.org/officeDocument/2006/relationships/hyperlink" Target="https://docs.google.com/document/d/1BhO1EOCCAMoPAd1PiQRKYmixnSnmzT4Ji4odXnDFTx8/edit?usp=drivesdk" TargetMode="External"/><Relationship Id="rId3364" Type="http://schemas.openxmlformats.org/officeDocument/2006/relationships/hyperlink" Target="https://docs.google.com/document/d/1MxCteZOpHLqOhZAmKG5yBNXoLrq_7azMgAnOgP6OnR4/edit?usp=drivesdk" TargetMode="External"/><Relationship Id="rId4695" Type="http://schemas.openxmlformats.org/officeDocument/2006/relationships/hyperlink" Target="https://drive.google.com/uc?export=view&amp;id=18QnQc_ESQajujlF0WGh7UhOW8XcKbXZq" TargetMode="External"/><Relationship Id="rId2033" Type="http://schemas.openxmlformats.org/officeDocument/2006/relationships/hyperlink" Target="https://drive.google.com/open?id=17yGuik912m3RLARlFIplbeZ7uKkI7C8h" TargetMode="External"/><Relationship Id="rId3363" Type="http://schemas.openxmlformats.org/officeDocument/2006/relationships/hyperlink" Target="https://drive.google.com/uc?export=view&amp;id=1kJKYqwHJIBF-nJEIi9JG5EyAMQY-Gn0n" TargetMode="External"/><Relationship Id="rId4694" Type="http://schemas.openxmlformats.org/officeDocument/2006/relationships/hyperlink" Target="https://drive.google.com/open?id=18QnQc_ESQajujlF0WGh7UhOW8XcKbXZq" TargetMode="External"/><Relationship Id="rId114" Type="http://schemas.openxmlformats.org/officeDocument/2006/relationships/hyperlink" Target="https://docs.google.com/document/d/1-ki1oZTSSq3eLlhrg3AkHi_GZSoJuaHVUncYDDeP-n8/edit?usp=drivesdk" TargetMode="External"/><Relationship Id="rId2034" Type="http://schemas.openxmlformats.org/officeDocument/2006/relationships/hyperlink" Target="https://drive.google.com/uc?export=view&amp;id=17yGuik912m3RLARlFIplbeZ7uKkI7C8h" TargetMode="External"/><Relationship Id="rId3366" Type="http://schemas.openxmlformats.org/officeDocument/2006/relationships/hyperlink" Target="https://drive.google.com/uc?export=view&amp;id=1SJILhE-Ztp01NX01y5AA5YPlV0Nfzmxo" TargetMode="External"/><Relationship Id="rId4697" Type="http://schemas.openxmlformats.org/officeDocument/2006/relationships/hyperlink" Target="https://drive.google.com/open?id=195DLfHGsDSpKFSekN9xwlagZKKhHmnJ3" TargetMode="External"/><Relationship Id="rId113" Type="http://schemas.openxmlformats.org/officeDocument/2006/relationships/hyperlink" Target="https://drive.google.com/uc?export=view&amp;id=1-Hr6U1wKCGzaVuqx2tyXtKqwuuzdZHRh" TargetMode="External"/><Relationship Id="rId2035" Type="http://schemas.openxmlformats.org/officeDocument/2006/relationships/hyperlink" Target="https://docs.google.com/document/d/1RH9lGLTgNXQsU-ChkHkHnjxPVlHsHdSincfBnCTONk4/edit?usp=drivesdk" TargetMode="External"/><Relationship Id="rId3365" Type="http://schemas.openxmlformats.org/officeDocument/2006/relationships/hyperlink" Target="https://drive.google.com/open?id=1SJILhE-Ztp01NX01y5AA5YPlV0Nfzmxo" TargetMode="External"/><Relationship Id="rId4696" Type="http://schemas.openxmlformats.org/officeDocument/2006/relationships/hyperlink" Target="https://docs.google.com/document/d/1eSMZJ5okt_n3hZKqCzshm6Ptt_oBDe_go20jBaiG1Zw/edit?usp=drivesdk" TargetMode="External"/><Relationship Id="rId112" Type="http://schemas.openxmlformats.org/officeDocument/2006/relationships/hyperlink" Target="https://drive.google.com/open?id=1-Hr6U1wKCGzaVuqx2tyXtKqwuuzdZHRh" TargetMode="External"/><Relationship Id="rId2036" Type="http://schemas.openxmlformats.org/officeDocument/2006/relationships/hyperlink" Target="https://drive.google.com/open?id=137mRQKKzebiI-bs-WG-VDcwf1wFPBKAE" TargetMode="External"/><Relationship Id="rId3368" Type="http://schemas.openxmlformats.org/officeDocument/2006/relationships/hyperlink" Target="https://drive.google.com/open?id=1C6JM1rgdm2oKWB2Se86jDrroj7xjC6aQ" TargetMode="External"/><Relationship Id="rId4699" Type="http://schemas.openxmlformats.org/officeDocument/2006/relationships/hyperlink" Target="https://docs.google.com/document/d/1fOTFHsjLfFietfrXFpkSB0ErflH6nwuG2KvVYYfbgXo/edit?usp=drivesdk" TargetMode="External"/><Relationship Id="rId111" Type="http://schemas.openxmlformats.org/officeDocument/2006/relationships/hyperlink" Target="https://docs.google.com/document/d/1Ma5NFbP4XZoHg7UItMpjDopvgeUPNIERpRXRoZTlrW8/edit?usp=drivesdk" TargetMode="External"/><Relationship Id="rId2037" Type="http://schemas.openxmlformats.org/officeDocument/2006/relationships/hyperlink" Target="https://drive.google.com/uc?export=view&amp;id=137mRQKKzebiI-bs-WG-VDcwf1wFPBKAE" TargetMode="External"/><Relationship Id="rId3367" Type="http://schemas.openxmlformats.org/officeDocument/2006/relationships/hyperlink" Target="https://docs.google.com/document/d/1hab55rnHOehafb9D64T1iRePRYpBFXsKKFXG9LcjoYk/edit?usp=drivesdk" TargetMode="External"/><Relationship Id="rId4698" Type="http://schemas.openxmlformats.org/officeDocument/2006/relationships/hyperlink" Target="https://drive.google.com/uc?export=view&amp;id=195DLfHGsDSpKFSekN9xwlagZKKhHmnJ3" TargetMode="External"/><Relationship Id="rId3315" Type="http://schemas.openxmlformats.org/officeDocument/2006/relationships/hyperlink" Target="https://drive.google.com/uc?export=view&amp;id=1yVih1Ke8iJSHNe0dhQ1GfJHW6T7B01a5" TargetMode="External"/><Relationship Id="rId4646" Type="http://schemas.openxmlformats.org/officeDocument/2006/relationships/hyperlink" Target="https://drive.google.com/open?id=1NAN6C-PdXb6jKJSehRJM2wiQRrkvqPDc" TargetMode="External"/><Relationship Id="rId3314" Type="http://schemas.openxmlformats.org/officeDocument/2006/relationships/hyperlink" Target="https://drive.google.com/open?id=1yVih1Ke8iJSHNe0dhQ1GfJHW6T7B01a5" TargetMode="External"/><Relationship Id="rId4645" Type="http://schemas.openxmlformats.org/officeDocument/2006/relationships/hyperlink" Target="https://docs.google.com/document/d/1PILENpfD4Ofa1pPfRbCgciATQHwydLBc6k2qkUoqpCA/edit?usp=drivesdk" TargetMode="External"/><Relationship Id="rId3317" Type="http://schemas.openxmlformats.org/officeDocument/2006/relationships/hyperlink" Target="https://drive.google.com/open?id=1GUSIoVLGrBHQCWZOah07Qa4Z8Ecj4Rxs" TargetMode="External"/><Relationship Id="rId4648" Type="http://schemas.openxmlformats.org/officeDocument/2006/relationships/hyperlink" Target="https://docs.google.com/document/d/1uuQN42-jOEOeN14_h9mq5feqIEp_D0NOcbC-rfCXd3g/edit?usp=drivesdk" TargetMode="External"/><Relationship Id="rId3316" Type="http://schemas.openxmlformats.org/officeDocument/2006/relationships/hyperlink" Target="https://docs.google.com/document/d/10APBydzZaPHumDeg_Xfz-lxf4DK2vqR9r30JbyBK3dw/edit?usp=drivesdk" TargetMode="External"/><Relationship Id="rId4647" Type="http://schemas.openxmlformats.org/officeDocument/2006/relationships/hyperlink" Target="https://drive.google.com/uc?export=view&amp;id=1NAN6C-PdXb6jKJSehRJM2wiQRrkvqPDc" TargetMode="External"/><Relationship Id="rId3319" Type="http://schemas.openxmlformats.org/officeDocument/2006/relationships/hyperlink" Target="https://docs.google.com/document/d/1wyA02Kh0o0PrQwex4ockNpX7qzyYdm8vXyaf2MCeGrY/edit?usp=drivesdk" TargetMode="External"/><Relationship Id="rId3318" Type="http://schemas.openxmlformats.org/officeDocument/2006/relationships/hyperlink" Target="https://drive.google.com/uc?export=view&amp;id=1GUSIoVLGrBHQCWZOah07Qa4Z8Ecj4Rxs" TargetMode="External"/><Relationship Id="rId4649" Type="http://schemas.openxmlformats.org/officeDocument/2006/relationships/hyperlink" Target="https://drive.google.com/open?id=1P_sMCZnas-GKWEM1sjx4b6ZLQRkKFpyW" TargetMode="External"/><Relationship Id="rId4640" Type="http://schemas.openxmlformats.org/officeDocument/2006/relationships/hyperlink" Target="https://drive.google.com/open?id=1zLd9Wo26_C3SOPiYHGamdxaHpngTUk97" TargetMode="External"/><Relationship Id="rId3311" Type="http://schemas.openxmlformats.org/officeDocument/2006/relationships/hyperlink" Target="https://drive.google.com/open?id=1ZjpTdsxoYnmhKBQPS2XwOJZ4738eHoFo" TargetMode="External"/><Relationship Id="rId4642" Type="http://schemas.openxmlformats.org/officeDocument/2006/relationships/hyperlink" Target="https://docs.google.com/document/d/1bBaZRNI5InWn2Ju8wymAqfoivZ5ir55zZau6r5jTj3A/edit?usp=drivesdk" TargetMode="External"/><Relationship Id="rId3310" Type="http://schemas.openxmlformats.org/officeDocument/2006/relationships/hyperlink" Target="https://docs.google.com/document/d/12BjmZLgNKjYoR44IbzzTF3l5vJ5ExOW-1vglWdXffLo/edit?usp=drivesdk" TargetMode="External"/><Relationship Id="rId4641" Type="http://schemas.openxmlformats.org/officeDocument/2006/relationships/hyperlink" Target="https://drive.google.com/uc?export=view&amp;id=1zLd9Wo26_C3SOPiYHGamdxaHpngTUk97" TargetMode="External"/><Relationship Id="rId3313" Type="http://schemas.openxmlformats.org/officeDocument/2006/relationships/hyperlink" Target="https://docs.google.com/document/d/173b_p-oDIfVloyV-XjpNUAHB-wjn9a6KHfy8J3GSIJw/edit?usp=drivesdk" TargetMode="External"/><Relationship Id="rId4644" Type="http://schemas.openxmlformats.org/officeDocument/2006/relationships/hyperlink" Target="https://drive.google.com/uc?export=view&amp;id=1JpVH9MUx7SZ18ptp_K9vg7mOJypJr3KU" TargetMode="External"/><Relationship Id="rId3312" Type="http://schemas.openxmlformats.org/officeDocument/2006/relationships/hyperlink" Target="https://drive.google.com/uc?export=view&amp;id=1ZjpTdsxoYnmhKBQPS2XwOJZ4738eHoFo" TargetMode="External"/><Relationship Id="rId4643" Type="http://schemas.openxmlformats.org/officeDocument/2006/relationships/hyperlink" Target="https://drive.google.com/open?id=1JpVH9MUx7SZ18ptp_K9vg7mOJypJr3KU" TargetMode="External"/><Relationship Id="rId3304" Type="http://schemas.openxmlformats.org/officeDocument/2006/relationships/hyperlink" Target="https://docs.google.com/document/d/10SaPjZdEuFBRx41GBX3DTYJKU5oj66AA1gRc_OmvQ0A/edit?usp=drivesdk" TargetMode="External"/><Relationship Id="rId4635" Type="http://schemas.openxmlformats.org/officeDocument/2006/relationships/hyperlink" Target="https://drive.google.com/uc?export=view&amp;id=1yIZ3VCvsb_L4psXdpxLSDLTNb1su5M5C" TargetMode="External"/><Relationship Id="rId3303" Type="http://schemas.openxmlformats.org/officeDocument/2006/relationships/hyperlink" Target="https://drive.google.com/uc?export=view&amp;id=1YqccOeB1qC9lWYL6P3xhb6Qs0n13TqvT" TargetMode="External"/><Relationship Id="rId4634" Type="http://schemas.openxmlformats.org/officeDocument/2006/relationships/hyperlink" Target="https://drive.google.com/open?id=1yIZ3VCvsb_L4psXdpxLSDLTNb1su5M5C" TargetMode="External"/><Relationship Id="rId3306" Type="http://schemas.openxmlformats.org/officeDocument/2006/relationships/hyperlink" Target="https://drive.google.com/uc?export=view&amp;id=1gsndGq1TT14GIBvUH5H0Vf65TcfYGwt_" TargetMode="External"/><Relationship Id="rId4637" Type="http://schemas.openxmlformats.org/officeDocument/2006/relationships/hyperlink" Target="https://drive.google.com/open?id=1-8jAicLT81ipJtpuhYRxb6_rHeJloV2Q" TargetMode="External"/><Relationship Id="rId3305" Type="http://schemas.openxmlformats.org/officeDocument/2006/relationships/hyperlink" Target="https://drive.google.com/open?id=1gsndGq1TT14GIBvUH5H0Vf65TcfYGwt_" TargetMode="External"/><Relationship Id="rId4636" Type="http://schemas.openxmlformats.org/officeDocument/2006/relationships/hyperlink" Target="https://docs.google.com/document/d/1cgOYPfMDhQQ44Jwxm9LcllKErg0q4w8wYPtCbQfXMkI/edit?usp=drivesdk" TargetMode="External"/><Relationship Id="rId3308" Type="http://schemas.openxmlformats.org/officeDocument/2006/relationships/hyperlink" Target="https://drive.google.com/open?id=1uU8ovrjSdE0BY28HHomILrE7Fm5c0nKm" TargetMode="External"/><Relationship Id="rId4639" Type="http://schemas.openxmlformats.org/officeDocument/2006/relationships/hyperlink" Target="https://docs.google.com/document/d/1o_U0YLSsf3cGIqfhX-NWPqfZgG6VgVnOIx5UjX8tcFs/edit?usp=drivesdk" TargetMode="External"/><Relationship Id="rId3307" Type="http://schemas.openxmlformats.org/officeDocument/2006/relationships/hyperlink" Target="https://docs.google.com/document/d/1AdynSNhvUzu7f6PWcl_qIJviZBpwA91O-H3QH8-q--Q/edit?usp=drivesdk" TargetMode="External"/><Relationship Id="rId4638" Type="http://schemas.openxmlformats.org/officeDocument/2006/relationships/hyperlink" Target="https://drive.google.com/uc?export=view&amp;id=1-8jAicLT81ipJtpuhYRxb6_rHeJloV2Q" TargetMode="External"/><Relationship Id="rId3309" Type="http://schemas.openxmlformats.org/officeDocument/2006/relationships/hyperlink" Target="https://drive.google.com/uc?export=view&amp;id=1uU8ovrjSdE0BY28HHomILrE7Fm5c0nKm" TargetMode="External"/><Relationship Id="rId3300" Type="http://schemas.openxmlformats.org/officeDocument/2006/relationships/hyperlink" Target="https://drive.google.com/uc?export=view&amp;id=1tCw_dlFqDuP09F_8QOI7KQlP9jiMrjqU" TargetMode="External"/><Relationship Id="rId4631" Type="http://schemas.openxmlformats.org/officeDocument/2006/relationships/hyperlink" Target="https://drive.google.com/open?id=1wuGL1plIB55O-UbhF3k8QjfVEyHtWH_v" TargetMode="External"/><Relationship Id="rId4630" Type="http://schemas.openxmlformats.org/officeDocument/2006/relationships/hyperlink" Target="https://docs.google.com/document/d/1-cPjfa-uA3WuHVUqKITqvNJ_iFFVo7KFcA4MiSJlnLE/edit?usp=drivesdk" TargetMode="External"/><Relationship Id="rId3302" Type="http://schemas.openxmlformats.org/officeDocument/2006/relationships/hyperlink" Target="https://drive.google.com/open?id=1YqccOeB1qC9lWYL6P3xhb6Qs0n13TqvT" TargetMode="External"/><Relationship Id="rId4633" Type="http://schemas.openxmlformats.org/officeDocument/2006/relationships/hyperlink" Target="https://docs.google.com/document/d/1hOC_FJlBsAdMPZn_2d7L7KejCCaJurKDy2XWJWZ6tUM/edit?usp=drivesdk" TargetMode="External"/><Relationship Id="rId3301" Type="http://schemas.openxmlformats.org/officeDocument/2006/relationships/hyperlink" Target="https://docs.google.com/document/d/1HIRkg_DHyMhoADDUbrRroZhrCCJpC3vCkzl8lXHw1bA/edit?usp=drivesdk" TargetMode="External"/><Relationship Id="rId4632" Type="http://schemas.openxmlformats.org/officeDocument/2006/relationships/hyperlink" Target="https://drive.google.com/uc?export=view&amp;id=1wuGL1plIB55O-UbhF3k8QjfVEyHtWH_v" TargetMode="External"/><Relationship Id="rId2005" Type="http://schemas.openxmlformats.org/officeDocument/2006/relationships/hyperlink" Target="https://docs.google.com/document/d/1Umyso_mCNMndvoRaAZTUo0c7Ltz3nr9pcaQWvhOoNAc/edit?usp=drivesdk" TargetMode="External"/><Relationship Id="rId3337" Type="http://schemas.openxmlformats.org/officeDocument/2006/relationships/hyperlink" Target="https://docs.google.com/document/d/1jdFKd96Isu6QDxa_F4ZAtIRUfZQHLgzI3n18KWzxqVQ/edit?usp=drivesdk" TargetMode="External"/><Relationship Id="rId4668" Type="http://schemas.openxmlformats.org/officeDocument/2006/relationships/hyperlink" Target="https://drive.google.com/uc?export=view&amp;id=19wxFHt1YrPdV1rQMKweeNFAYVase5j-S" TargetMode="External"/><Relationship Id="rId2006" Type="http://schemas.openxmlformats.org/officeDocument/2006/relationships/hyperlink" Target="https://drive.google.com/open?id=1KR28Cs4S_Hrfk3QvEQjth9YZB3PJdZsR" TargetMode="External"/><Relationship Id="rId3336" Type="http://schemas.openxmlformats.org/officeDocument/2006/relationships/hyperlink" Target="https://drive.google.com/uc?export=view&amp;id=1sJs-Sug62NUK0jO3MiLTQCtEU3gjXpV7" TargetMode="External"/><Relationship Id="rId4667" Type="http://schemas.openxmlformats.org/officeDocument/2006/relationships/hyperlink" Target="https://drive.google.com/open?id=19wxFHt1YrPdV1rQMKweeNFAYVase5j-S" TargetMode="External"/><Relationship Id="rId2007" Type="http://schemas.openxmlformats.org/officeDocument/2006/relationships/hyperlink" Target="https://drive.google.com/uc?export=view&amp;id=1KR28Cs4S_Hrfk3QvEQjth9YZB3PJdZsR" TargetMode="External"/><Relationship Id="rId3339" Type="http://schemas.openxmlformats.org/officeDocument/2006/relationships/hyperlink" Target="https://drive.google.com/uc?export=view&amp;id=1tiAe8uGiFerXd9UMWzvP7OLSc4L_w5CZ" TargetMode="External"/><Relationship Id="rId2008" Type="http://schemas.openxmlformats.org/officeDocument/2006/relationships/hyperlink" Target="https://docs.google.com/document/d/1oFWXSZ4B6HvUUxteOB04jgH7CsrdJHG0kfkRP3nTOzk/edit?usp=drivesdk" TargetMode="External"/><Relationship Id="rId3338" Type="http://schemas.openxmlformats.org/officeDocument/2006/relationships/hyperlink" Target="https://drive.google.com/open?id=1tiAe8uGiFerXd9UMWzvP7OLSc4L_w5CZ" TargetMode="External"/><Relationship Id="rId4669" Type="http://schemas.openxmlformats.org/officeDocument/2006/relationships/hyperlink" Target="https://docs.google.com/document/d/1FWKzZ4mogIy3QR-_avCpTmCHSeoxBu0NZGjHWzC-sAU/edit?usp=drivesdk" TargetMode="External"/><Relationship Id="rId2009" Type="http://schemas.openxmlformats.org/officeDocument/2006/relationships/hyperlink" Target="https://drive.google.com/open?id=1aSQmkT9gXGJIxyhgy0NK0PAj5nRCvyTr" TargetMode="External"/><Relationship Id="rId4660" Type="http://schemas.openxmlformats.org/officeDocument/2006/relationships/hyperlink" Target="https://docs.google.com/document/d/1YiyPvt1lgS66rkhYNXH4QYAj95OlYHvunz6dAdqMvcI/edit?usp=drivesdk" TargetMode="External"/><Relationship Id="rId3331" Type="http://schemas.openxmlformats.org/officeDocument/2006/relationships/hyperlink" Target="https://docs.google.com/document/d/1atSHEE1mTGHa7IRLgiBuT3n-PS-vMZd_xqkOG1ELm5I/edit?usp=drivesdk" TargetMode="External"/><Relationship Id="rId4662" Type="http://schemas.openxmlformats.org/officeDocument/2006/relationships/hyperlink" Target="https://drive.google.com/uc?export=view&amp;id=1A7mT_A8-N2aFx1WwcY20Lj6XuwjsAKwF" TargetMode="External"/><Relationship Id="rId2000" Type="http://schemas.openxmlformats.org/officeDocument/2006/relationships/hyperlink" Target="https://drive.google.com/open?id=1i6tgFViKc7f-I7bnyTg9WYCdo8AtCJXB" TargetMode="External"/><Relationship Id="rId3330" Type="http://schemas.openxmlformats.org/officeDocument/2006/relationships/hyperlink" Target="https://drive.google.com/uc?export=view&amp;id=1IA8_ZNmkde-M5LJgg7g0UwKbHh2n8VRs" TargetMode="External"/><Relationship Id="rId4661" Type="http://schemas.openxmlformats.org/officeDocument/2006/relationships/hyperlink" Target="https://drive.google.com/open?id=1A7mT_A8-N2aFx1WwcY20Lj6XuwjsAKwF" TargetMode="External"/><Relationship Id="rId2001" Type="http://schemas.openxmlformats.org/officeDocument/2006/relationships/hyperlink" Target="https://drive.google.com/uc?export=view&amp;id=1i6tgFViKc7f-I7bnyTg9WYCdo8AtCJXB" TargetMode="External"/><Relationship Id="rId3333" Type="http://schemas.openxmlformats.org/officeDocument/2006/relationships/hyperlink" Target="https://drive.google.com/uc?export=view&amp;id=1T0K3Hf_xwoquqeYwz8LfTmrisqEGLbYR" TargetMode="External"/><Relationship Id="rId4664" Type="http://schemas.openxmlformats.org/officeDocument/2006/relationships/hyperlink" Target="https://drive.google.com/open?id=1Ua4eAlP-1r4K4S6clnmkYW4n1RW68C9t" TargetMode="External"/><Relationship Id="rId2002" Type="http://schemas.openxmlformats.org/officeDocument/2006/relationships/hyperlink" Target="https://docs.google.com/document/d/1QiSl47TJbnJfQgnFO9Fod4e5lVpw-ezYTymw5_aLtQs/edit?usp=drivesdk" TargetMode="External"/><Relationship Id="rId3332" Type="http://schemas.openxmlformats.org/officeDocument/2006/relationships/hyperlink" Target="https://drive.google.com/open?id=1T0K3Hf_xwoquqeYwz8LfTmrisqEGLbYR" TargetMode="External"/><Relationship Id="rId4663" Type="http://schemas.openxmlformats.org/officeDocument/2006/relationships/hyperlink" Target="https://docs.google.com/document/d/1vDX-mWcoWanRkzXsCOdw57YfJaY9kGt-KFzxiLt-D3E/edit?usp=drivesdk" TargetMode="External"/><Relationship Id="rId2003" Type="http://schemas.openxmlformats.org/officeDocument/2006/relationships/hyperlink" Target="https://drive.google.com/open?id=1pEfMLABwaCuD-WqSWdBWcssuuxwmBLWH" TargetMode="External"/><Relationship Id="rId3335" Type="http://schemas.openxmlformats.org/officeDocument/2006/relationships/hyperlink" Target="https://drive.google.com/open?id=1sJs-Sug62NUK0jO3MiLTQCtEU3gjXpV7" TargetMode="External"/><Relationship Id="rId4666" Type="http://schemas.openxmlformats.org/officeDocument/2006/relationships/hyperlink" Target="https://docs.google.com/document/d/1lOgLD7kUXglMUlqorCbaO5kIUVV8usvDeOPfJrNPY-s/edit?usp=drivesdk" TargetMode="External"/><Relationship Id="rId2004" Type="http://schemas.openxmlformats.org/officeDocument/2006/relationships/hyperlink" Target="https://drive.google.com/uc?export=view&amp;id=1pEfMLABwaCuD-WqSWdBWcssuuxwmBLWH" TargetMode="External"/><Relationship Id="rId3334" Type="http://schemas.openxmlformats.org/officeDocument/2006/relationships/hyperlink" Target="https://docs.google.com/document/d/18ZW1AEFy_15Ek0wGFP5sCElU5pr7ww8vYtcYjIZM7dc/edit?usp=drivesdk" TargetMode="External"/><Relationship Id="rId4665" Type="http://schemas.openxmlformats.org/officeDocument/2006/relationships/hyperlink" Target="https://drive.google.com/uc?export=view&amp;id=1Ua4eAlP-1r4K4S6clnmkYW4n1RW68C9t" TargetMode="External"/><Relationship Id="rId3326" Type="http://schemas.openxmlformats.org/officeDocument/2006/relationships/hyperlink" Target="https://drive.google.com/open?id=1Tjh7F--kJ1yHQrXiBBbGlF6mrJkvh_I4" TargetMode="External"/><Relationship Id="rId4657" Type="http://schemas.openxmlformats.org/officeDocument/2006/relationships/hyperlink" Target="https://docs.google.com/document/d/1UR8qG1TyHQrJlKYlx96jdP3iLwhJjJEFJr3ByHang8o/edit?usp=drivesdk" TargetMode="External"/><Relationship Id="rId3325" Type="http://schemas.openxmlformats.org/officeDocument/2006/relationships/hyperlink" Target="https://docs.google.com/document/d/1-TVBFrqHQtp1uT2hcgH07b2rVBQDaFTwAver0ladqRY/edit?usp=drivesdk" TargetMode="External"/><Relationship Id="rId4656" Type="http://schemas.openxmlformats.org/officeDocument/2006/relationships/hyperlink" Target="https://drive.google.com/uc?export=view&amp;id=1QdAou8sC79bYmhb5eDbqqPtNmg8tdao_" TargetMode="External"/><Relationship Id="rId3328" Type="http://schemas.openxmlformats.org/officeDocument/2006/relationships/hyperlink" Target="https://docs.google.com/document/d/1MHO49-FSyTHQtfZCF9oN7Y7HvTgzHLcu3bjNcNkGN8M/edit?usp=drivesdk" TargetMode="External"/><Relationship Id="rId4659" Type="http://schemas.openxmlformats.org/officeDocument/2006/relationships/hyperlink" Target="https://drive.google.com/uc?export=view&amp;id=1mwVrokQJoabVnIb4U6_OhNc_1ipH_zIx" TargetMode="External"/><Relationship Id="rId3327" Type="http://schemas.openxmlformats.org/officeDocument/2006/relationships/hyperlink" Target="https://drive.google.com/uc?export=view&amp;id=1Tjh7F--kJ1yHQrXiBBbGlF6mrJkvh_I4" TargetMode="External"/><Relationship Id="rId4658" Type="http://schemas.openxmlformats.org/officeDocument/2006/relationships/hyperlink" Target="https://drive.google.com/open?id=1mwVrokQJoabVnIb4U6_OhNc_1ipH_zIx" TargetMode="External"/><Relationship Id="rId3329" Type="http://schemas.openxmlformats.org/officeDocument/2006/relationships/hyperlink" Target="https://drive.google.com/open?id=1IA8_ZNmkde-M5LJgg7g0UwKbHh2n8VRs" TargetMode="External"/><Relationship Id="rId3320" Type="http://schemas.openxmlformats.org/officeDocument/2006/relationships/hyperlink" Target="https://drive.google.com/open?id=1Vd72MNdsOqxb8bLPl2I7XP7vkUqW9GeK" TargetMode="External"/><Relationship Id="rId4651" Type="http://schemas.openxmlformats.org/officeDocument/2006/relationships/hyperlink" Target="https://docs.google.com/document/d/1ZHpccY_h1RlJU9DG3PEG3DM3mFiqBPRPs6GVM1REl5g/edit?usp=drivesdk" TargetMode="External"/><Relationship Id="rId4650" Type="http://schemas.openxmlformats.org/officeDocument/2006/relationships/hyperlink" Target="https://drive.google.com/uc?export=view&amp;id=1P_sMCZnas-GKWEM1sjx4b6ZLQRkKFpyW" TargetMode="External"/><Relationship Id="rId3322" Type="http://schemas.openxmlformats.org/officeDocument/2006/relationships/hyperlink" Target="https://docs.google.com/document/d/1GZIBSub3yH6wQMRdKKisKatvKGR0wIJQq0PvF4ijfq8/edit?usp=drivesdk" TargetMode="External"/><Relationship Id="rId4653" Type="http://schemas.openxmlformats.org/officeDocument/2006/relationships/hyperlink" Target="https://drive.google.com/uc?export=view&amp;id=1xb7_cvlfo-hBRRLTiEqMU5WgxAkiASSV" TargetMode="External"/><Relationship Id="rId3321" Type="http://schemas.openxmlformats.org/officeDocument/2006/relationships/hyperlink" Target="https://drive.google.com/uc?export=view&amp;id=1Vd72MNdsOqxb8bLPl2I7XP7vkUqW9GeK" TargetMode="External"/><Relationship Id="rId4652" Type="http://schemas.openxmlformats.org/officeDocument/2006/relationships/hyperlink" Target="https://drive.google.com/open?id=1xb7_cvlfo-hBRRLTiEqMU5WgxAkiASSV" TargetMode="External"/><Relationship Id="rId3324" Type="http://schemas.openxmlformats.org/officeDocument/2006/relationships/hyperlink" Target="https://drive.google.com/uc?export=view&amp;id=1Es9ilKlyaIZfqa_AZ5FnV1VeTR8kbVCd" TargetMode="External"/><Relationship Id="rId4655" Type="http://schemas.openxmlformats.org/officeDocument/2006/relationships/hyperlink" Target="https://drive.google.com/open?id=1QdAou8sC79bYmhb5eDbqqPtNmg8tdao_" TargetMode="External"/><Relationship Id="rId3323" Type="http://schemas.openxmlformats.org/officeDocument/2006/relationships/hyperlink" Target="https://drive.google.com/open?id=1Es9ilKlyaIZfqa_AZ5FnV1VeTR8kbVCd" TargetMode="External"/><Relationship Id="rId4654" Type="http://schemas.openxmlformats.org/officeDocument/2006/relationships/hyperlink" Target="https://docs.google.com/document/d/1udkqbHI1hTYk7F-HuHjseoPMXYrnksp0Ik-d64YcAWw/edit?usp=drivesdk" TargetMode="External"/><Relationship Id="rId2090" Type="http://schemas.openxmlformats.org/officeDocument/2006/relationships/hyperlink" Target="https://drive.google.com/open?id=1a5aGz6paIC1zI5TW1GNMCkHx2eUS55ZS" TargetMode="External"/><Relationship Id="rId2091" Type="http://schemas.openxmlformats.org/officeDocument/2006/relationships/hyperlink" Target="https://drive.google.com/uc?export=view&amp;id=1a5aGz6paIC1zI5TW1GNMCkHx2eUS55ZS" TargetMode="External"/><Relationship Id="rId2092" Type="http://schemas.openxmlformats.org/officeDocument/2006/relationships/hyperlink" Target="https://docs.google.com/document/d/1OqFO04N0wT0zFn1MMJJjmfNc3meQfMYmciFPAaI6FiM/edit?usp=drivesdk" TargetMode="External"/><Relationship Id="rId2093" Type="http://schemas.openxmlformats.org/officeDocument/2006/relationships/hyperlink" Target="https://drive.google.com/open?id=1U9FkTqdZjtB4T1t1hgzYz4UGvFOkazH7" TargetMode="External"/><Relationship Id="rId2094" Type="http://schemas.openxmlformats.org/officeDocument/2006/relationships/hyperlink" Target="https://drive.google.com/uc?export=view&amp;id=1U9FkTqdZjtB4T1t1hgzYz4UGvFOkazH7" TargetMode="External"/><Relationship Id="rId2095" Type="http://schemas.openxmlformats.org/officeDocument/2006/relationships/hyperlink" Target="https://docs.google.com/document/d/17DtBa6peI9zvJNTYy9dApUZNBrXk9gdsTmXtuXumkS8/edit?usp=drivesdk" TargetMode="External"/><Relationship Id="rId2096" Type="http://schemas.openxmlformats.org/officeDocument/2006/relationships/hyperlink" Target="https://drive.google.com/open?id=1zNySSFic3L-AZCp8Y4sjVAVfmU0_eEeK" TargetMode="External"/><Relationship Id="rId2097" Type="http://schemas.openxmlformats.org/officeDocument/2006/relationships/hyperlink" Target="https://drive.google.com/uc?export=view&amp;id=1zNySSFic3L-AZCp8Y4sjVAVfmU0_eEeK" TargetMode="External"/><Relationship Id="rId2098" Type="http://schemas.openxmlformats.org/officeDocument/2006/relationships/hyperlink" Target="https://docs.google.com/document/d/13ASl5VpbiRrMaS8ow8GJZhYLEP3dLFKAyykN82X9hu0/edit?usp=drivesdk" TargetMode="External"/><Relationship Id="rId2099" Type="http://schemas.openxmlformats.org/officeDocument/2006/relationships/hyperlink" Target="https://drive.google.com/open?id=1m85_rOlSLvlLEy_Fvk1YFEmU7dz2Z_Di" TargetMode="External"/><Relationship Id="rId3391" Type="http://schemas.openxmlformats.org/officeDocument/2006/relationships/hyperlink" Target="https://docs.google.com/document/d/1wciRhe1aygrW_1fA9liWFe70Zhmd63LV8OocjyyhDkQ/edit?usp=drivesdk" TargetMode="External"/><Relationship Id="rId2060" Type="http://schemas.openxmlformats.org/officeDocument/2006/relationships/hyperlink" Target="https://drive.google.com/open?id=15-4ZzIiYkyFblN6b3r__bHyOlQ_zm_IO" TargetMode="External"/><Relationship Id="rId3390" Type="http://schemas.openxmlformats.org/officeDocument/2006/relationships/hyperlink" Target="https://drive.google.com/uc?export=view&amp;id=1gmKqTnoGOADTTTiOR12fmzbStCMJyoj0" TargetMode="External"/><Relationship Id="rId2061" Type="http://schemas.openxmlformats.org/officeDocument/2006/relationships/hyperlink" Target="https://drive.google.com/uc?export=view&amp;id=15-4ZzIiYkyFblN6b3r__bHyOlQ_zm_IO" TargetMode="External"/><Relationship Id="rId3393" Type="http://schemas.openxmlformats.org/officeDocument/2006/relationships/hyperlink" Target="https://drive.google.com/uc?export=view&amp;id=1ZPBITjQWvkUQ7_R_V06nT_Ougj7o-psS" TargetMode="External"/><Relationship Id="rId2062" Type="http://schemas.openxmlformats.org/officeDocument/2006/relationships/hyperlink" Target="https://docs.google.com/document/d/1KETjVlzi9h4QYSf4LvJCFz8Iw7kyYALjbP7BmK8ZMqo/edit?usp=drivesdk" TargetMode="External"/><Relationship Id="rId3392" Type="http://schemas.openxmlformats.org/officeDocument/2006/relationships/hyperlink" Target="https://drive.google.com/open?id=1ZPBITjQWvkUQ7_R_V06nT_Ougj7o-psS" TargetMode="External"/><Relationship Id="rId2063" Type="http://schemas.openxmlformats.org/officeDocument/2006/relationships/hyperlink" Target="https://drive.google.com/open?id=1A1_ULc-hrpUS413ZgrLgOKiMxtZ5Meoq" TargetMode="External"/><Relationship Id="rId3395" Type="http://schemas.openxmlformats.org/officeDocument/2006/relationships/hyperlink" Target="https://drive.google.com/open?id=1pgdT2nXdUdfSxicLR3NjaQ7jIJ0uUw9m" TargetMode="External"/><Relationship Id="rId2064" Type="http://schemas.openxmlformats.org/officeDocument/2006/relationships/hyperlink" Target="https://drive.google.com/uc?export=view&amp;id=1A1_ULc-hrpUS413ZgrLgOKiMxtZ5Meoq" TargetMode="External"/><Relationship Id="rId3394" Type="http://schemas.openxmlformats.org/officeDocument/2006/relationships/hyperlink" Target="https://docs.google.com/document/d/1s82nhRK59sXkhsikR0rg8Rcvo9tj3zqEaPYIy8BRLRw/edit?usp=drivesdk" TargetMode="External"/><Relationship Id="rId2065" Type="http://schemas.openxmlformats.org/officeDocument/2006/relationships/hyperlink" Target="https://docs.google.com/document/d/1Qu3BE-5sQ3ra1bB5swtqDLMbjmxDitmWZ87sKJMYVOQ/edit?usp=drivesdk" TargetMode="External"/><Relationship Id="rId3397" Type="http://schemas.openxmlformats.org/officeDocument/2006/relationships/hyperlink" Target="https://docs.google.com/document/d/1QErYnEPGdvbLoCxsqs7aIf011qjdZn8Dj_ybdqhs6WM/edit?usp=drivesdk" TargetMode="External"/><Relationship Id="rId2066" Type="http://schemas.openxmlformats.org/officeDocument/2006/relationships/hyperlink" Target="https://drive.google.com/open?id=1dpwtMjUFhvqXYu3EURa13IppAv8Zn6Mi" TargetMode="External"/><Relationship Id="rId3396" Type="http://schemas.openxmlformats.org/officeDocument/2006/relationships/hyperlink" Target="https://drive.google.com/uc?export=view&amp;id=1pgdT2nXdUdfSxicLR3NjaQ7jIJ0uUw9m" TargetMode="External"/><Relationship Id="rId2067" Type="http://schemas.openxmlformats.org/officeDocument/2006/relationships/hyperlink" Target="https://drive.google.com/uc?export=view&amp;id=1dpwtMjUFhvqXYu3EURa13IppAv8Zn6Mi" TargetMode="External"/><Relationship Id="rId3399" Type="http://schemas.openxmlformats.org/officeDocument/2006/relationships/hyperlink" Target="https://drive.google.com/uc?export=view&amp;id=1x-rYaUN0SxaJzWVaEZpL_51SxwHue0T1" TargetMode="External"/><Relationship Id="rId2068" Type="http://schemas.openxmlformats.org/officeDocument/2006/relationships/hyperlink" Target="https://docs.google.com/document/d/1BqyNZ6Rm9luoXBwpxwuaK-3e9wHCoUTADZvs9KyyH10/edit?usp=drivesdk" TargetMode="External"/><Relationship Id="rId3398" Type="http://schemas.openxmlformats.org/officeDocument/2006/relationships/hyperlink" Target="https://drive.google.com/open?id=1x-rYaUN0SxaJzWVaEZpL_51SxwHue0T1" TargetMode="External"/><Relationship Id="rId2069" Type="http://schemas.openxmlformats.org/officeDocument/2006/relationships/hyperlink" Target="https://drive.google.com/open?id=15SEFvCkH3wYTIa-ruzTI1YJiDAmZkYRc" TargetMode="External"/><Relationship Id="rId3380" Type="http://schemas.openxmlformats.org/officeDocument/2006/relationships/hyperlink" Target="https://drive.google.com/open?id=13vHCu--uuieRpPQmuZaI_9CXatkzajep" TargetMode="External"/><Relationship Id="rId2050" Type="http://schemas.openxmlformats.org/officeDocument/2006/relationships/hyperlink" Target="https://docs.google.com/document/d/1SwIcVtcpBBd1fTz3NEGqLHxqFpwFCJPfkd0BaYWpLZY/edit?usp=drivesdk" TargetMode="External"/><Relationship Id="rId3382" Type="http://schemas.openxmlformats.org/officeDocument/2006/relationships/hyperlink" Target="https://docs.google.com/document/d/1gisYu0uovhJZaIc4NjOGCn9VHyM6i339aTAJvgzgDdY/edit?usp=drivesdk" TargetMode="External"/><Relationship Id="rId2051" Type="http://schemas.openxmlformats.org/officeDocument/2006/relationships/hyperlink" Target="https://drive.google.com/open?id=19nUhwNTXf7Jdcly8k6EzswWarv8l1ntJ" TargetMode="External"/><Relationship Id="rId3381" Type="http://schemas.openxmlformats.org/officeDocument/2006/relationships/hyperlink" Target="https://drive.google.com/uc?export=view&amp;id=13vHCu--uuieRpPQmuZaI_9CXatkzajep" TargetMode="External"/><Relationship Id="rId2052" Type="http://schemas.openxmlformats.org/officeDocument/2006/relationships/hyperlink" Target="https://drive.google.com/uc?export=view&amp;id=19nUhwNTXf7Jdcly8k6EzswWarv8l1ntJ" TargetMode="External"/><Relationship Id="rId3384" Type="http://schemas.openxmlformats.org/officeDocument/2006/relationships/hyperlink" Target="https://drive.google.com/uc?export=view&amp;id=15CHP9HkkltAc8ch1663Cx-i20Rv_Is8g" TargetMode="External"/><Relationship Id="rId2053" Type="http://schemas.openxmlformats.org/officeDocument/2006/relationships/hyperlink" Target="https://docs.google.com/document/d/1QlRFSpD6ChAcDulsWSHLCvooChSwUmjRuLdEVIZw04Y/edit?usp=drivesdk" TargetMode="External"/><Relationship Id="rId3383" Type="http://schemas.openxmlformats.org/officeDocument/2006/relationships/hyperlink" Target="https://drive.google.com/open?id=15CHP9HkkltAc8ch1663Cx-i20Rv_Is8g" TargetMode="External"/><Relationship Id="rId2054" Type="http://schemas.openxmlformats.org/officeDocument/2006/relationships/hyperlink" Target="https://drive.google.com/open?id=15A06_6E8Z1fyH0Zq5dsgfSRWgBCgBrWm" TargetMode="External"/><Relationship Id="rId3386" Type="http://schemas.openxmlformats.org/officeDocument/2006/relationships/hyperlink" Target="https://drive.google.com/open?id=1Sb9rlyBstDVYdrnZEtKFN0I8H9sK-hsv" TargetMode="External"/><Relationship Id="rId2055" Type="http://schemas.openxmlformats.org/officeDocument/2006/relationships/hyperlink" Target="https://drive.google.com/uc?export=view&amp;id=15A06_6E8Z1fyH0Zq5dsgfSRWgBCgBrWm" TargetMode="External"/><Relationship Id="rId3385" Type="http://schemas.openxmlformats.org/officeDocument/2006/relationships/hyperlink" Target="https://docs.google.com/document/d/1b68lKnhg5HUt6ZYw2fmnSXxK_IaADeEPDOUHOx-YCl4/edit?usp=drivesdk" TargetMode="External"/><Relationship Id="rId2056" Type="http://schemas.openxmlformats.org/officeDocument/2006/relationships/hyperlink" Target="https://docs.google.com/document/d/1lVjqXuwgjDxIEiXg2de3toQoWVKUP_8UFcsM2JubyOM/edit?usp=drivesdk" TargetMode="External"/><Relationship Id="rId3388" Type="http://schemas.openxmlformats.org/officeDocument/2006/relationships/hyperlink" Target="https://docs.google.com/document/d/1vMGeoym2ZYN0zV7liqUFAaTrEe3A9aPJl2qA7E7KGz0/edit?usp=drivesdk" TargetMode="External"/><Relationship Id="rId2057" Type="http://schemas.openxmlformats.org/officeDocument/2006/relationships/hyperlink" Target="https://drive.google.com/open?id=1t28lkMXt2aTp4wUxAbujWsJDE_PnFScZ" TargetMode="External"/><Relationship Id="rId3387" Type="http://schemas.openxmlformats.org/officeDocument/2006/relationships/hyperlink" Target="https://drive.google.com/uc?export=view&amp;id=1Sb9rlyBstDVYdrnZEtKFN0I8H9sK-hsv" TargetMode="External"/><Relationship Id="rId2058" Type="http://schemas.openxmlformats.org/officeDocument/2006/relationships/hyperlink" Target="https://drive.google.com/uc?export=view&amp;id=1t28lkMXt2aTp4wUxAbujWsJDE_PnFScZ" TargetMode="External"/><Relationship Id="rId2059" Type="http://schemas.openxmlformats.org/officeDocument/2006/relationships/hyperlink" Target="https://docs.google.com/document/d/1SJmblHVdWZJbE2zisx8MkjIlfmVBecOT-0sl-wzxj5Q/edit?usp=drivesdk" TargetMode="External"/><Relationship Id="rId3389" Type="http://schemas.openxmlformats.org/officeDocument/2006/relationships/hyperlink" Target="https://drive.google.com/open?id=1gmKqTnoGOADTTTiOR12fmzbStCMJyoj0" TargetMode="External"/><Relationship Id="rId2080" Type="http://schemas.openxmlformats.org/officeDocument/2006/relationships/hyperlink" Target="https://docs.google.com/document/d/1lZQVg4bby0eGYoh8pNnGWH_csOGF0aPy5mKtpFTSWA4/edit?usp=drivesdk" TargetMode="External"/><Relationship Id="rId2081" Type="http://schemas.openxmlformats.org/officeDocument/2006/relationships/hyperlink" Target="https://drive.google.com/open?id=1UVjUUpgx3zB3t7U9fUXItb72Rt38pgXK" TargetMode="External"/><Relationship Id="rId2082" Type="http://schemas.openxmlformats.org/officeDocument/2006/relationships/hyperlink" Target="https://drive.google.com/uc?export=view&amp;id=1UVjUUpgx3zB3t7U9fUXItb72Rt38pgXK" TargetMode="External"/><Relationship Id="rId2083" Type="http://schemas.openxmlformats.org/officeDocument/2006/relationships/hyperlink" Target="https://docs.google.com/document/d/1buX8VBWeeKPbSnwRdML02oYG6owZF-XEsG6xBoXm69M/edit?usp=drivesdk" TargetMode="External"/><Relationship Id="rId2084" Type="http://schemas.openxmlformats.org/officeDocument/2006/relationships/hyperlink" Target="https://drive.google.com/open?id=1EX1mvWSYfTN-G2Ej74uxIt_-4ZjmAvpO" TargetMode="External"/><Relationship Id="rId2085" Type="http://schemas.openxmlformats.org/officeDocument/2006/relationships/hyperlink" Target="https://drive.google.com/uc?export=view&amp;id=1EX1mvWSYfTN-G2Ej74uxIt_-4ZjmAvpO" TargetMode="External"/><Relationship Id="rId2086" Type="http://schemas.openxmlformats.org/officeDocument/2006/relationships/hyperlink" Target="https://docs.google.com/document/d/1k6HJgaffkQdZi2_ziTAaq_qo_3yY9rylYx4B-O0Ql18/edit?usp=drivesdk" TargetMode="External"/><Relationship Id="rId2087" Type="http://schemas.openxmlformats.org/officeDocument/2006/relationships/hyperlink" Target="https://drive.google.com/open?id=1qxNpLfhsbdgW-tVXUX6cPiGFgYQPNC-w" TargetMode="External"/><Relationship Id="rId2088" Type="http://schemas.openxmlformats.org/officeDocument/2006/relationships/hyperlink" Target="https://drive.google.com/uc?export=view&amp;id=1qxNpLfhsbdgW-tVXUX6cPiGFgYQPNC-w" TargetMode="External"/><Relationship Id="rId2089" Type="http://schemas.openxmlformats.org/officeDocument/2006/relationships/hyperlink" Target="https://docs.google.com/document/d/1AYxDgRm3nkl9S4x7qjOZuZ5KravOlgrQE4-GJuhvU-U/edit?usp=drivesdk" TargetMode="External"/><Relationship Id="rId2070" Type="http://schemas.openxmlformats.org/officeDocument/2006/relationships/hyperlink" Target="https://drive.google.com/uc?export=view&amp;id=15SEFvCkH3wYTIa-ruzTI1YJiDAmZkYRc" TargetMode="External"/><Relationship Id="rId2071" Type="http://schemas.openxmlformats.org/officeDocument/2006/relationships/hyperlink" Target="https://docs.google.com/document/d/10pebc3WIm-N9QuE7Kzy5E8JzE8wuoIOm3VE5SaMEiP4/edit?usp=drivesdk" TargetMode="External"/><Relationship Id="rId2072" Type="http://schemas.openxmlformats.org/officeDocument/2006/relationships/hyperlink" Target="https://drive.google.com/open?id=1_qsPgWQwevye7b4lFdkZr9Eap5f9ZC59" TargetMode="External"/><Relationship Id="rId2073" Type="http://schemas.openxmlformats.org/officeDocument/2006/relationships/hyperlink" Target="https://drive.google.com/uc?export=view&amp;id=1_qsPgWQwevye7b4lFdkZr9Eap5f9ZC59" TargetMode="External"/><Relationship Id="rId2074" Type="http://schemas.openxmlformats.org/officeDocument/2006/relationships/hyperlink" Target="https://docs.google.com/document/d/1SGV6dHvCQYzYKaqQNusKy7wO5B_iMonIltOvxIMl1y8/edit?usp=drivesdk" TargetMode="External"/><Relationship Id="rId2075" Type="http://schemas.openxmlformats.org/officeDocument/2006/relationships/hyperlink" Target="https://drive.google.com/open?id=1yc13K2IYK9E5K1oCsvgjo4s3VBFLn2we" TargetMode="External"/><Relationship Id="rId2076" Type="http://schemas.openxmlformats.org/officeDocument/2006/relationships/hyperlink" Target="https://drive.google.com/uc?export=view&amp;id=1yc13K2IYK9E5K1oCsvgjo4s3VBFLn2we" TargetMode="External"/><Relationship Id="rId2077" Type="http://schemas.openxmlformats.org/officeDocument/2006/relationships/hyperlink" Target="https://docs.google.com/document/d/1RSYTfCcSYQq1Rb_Pz6clwVGnYCGeSiWC00hBpVSw5sU/edit?usp=drivesdk" TargetMode="External"/><Relationship Id="rId2078" Type="http://schemas.openxmlformats.org/officeDocument/2006/relationships/hyperlink" Target="https://drive.google.com/open?id=1pfWINEgyl2MefXFrTJcNfixW0ry-4xfN" TargetMode="External"/><Relationship Id="rId2079" Type="http://schemas.openxmlformats.org/officeDocument/2006/relationships/hyperlink" Target="https://drive.google.com/uc?export=view&amp;id=1pfWINEgyl2MefXFrTJcNfixW0ry-4xfN" TargetMode="External"/><Relationship Id="rId2940" Type="http://schemas.openxmlformats.org/officeDocument/2006/relationships/hyperlink" Target="https://drive.google.com/uc?export=view&amp;id=1DkMikU-c67rmvpUzdkgzn-bkhIMjqKlP" TargetMode="External"/><Relationship Id="rId1610" Type="http://schemas.openxmlformats.org/officeDocument/2006/relationships/hyperlink" Target="https://drive.google.com/open?id=1dK5GEZHT7WMYYHo5voyuw_t5cqlZE3WB" TargetMode="External"/><Relationship Id="rId2941" Type="http://schemas.openxmlformats.org/officeDocument/2006/relationships/hyperlink" Target="https://docs.google.com/document/d/111pjnnMAF0QoSc6crNGE14rjNCbKHa1VUAgmVQJTITI/edit?usp=drivesdk" TargetMode="External"/><Relationship Id="rId1611" Type="http://schemas.openxmlformats.org/officeDocument/2006/relationships/hyperlink" Target="https://drive.google.com/uc?export=view&amp;id=1dK5GEZHT7WMYYHo5voyuw_t5cqlZE3WB" TargetMode="External"/><Relationship Id="rId2942" Type="http://schemas.openxmlformats.org/officeDocument/2006/relationships/hyperlink" Target="https://drive.google.com/open?id=10Q5iICnbXE7IfYDDKhMRGP5OSMy9DEJX" TargetMode="External"/><Relationship Id="rId1612" Type="http://schemas.openxmlformats.org/officeDocument/2006/relationships/hyperlink" Target="https://docs.google.com/document/d/1pWXYXaLm5pF-oLe6x2Iuk1r-3SJ3AagUeAEtOQFbLGA/edit?usp=drivesdk" TargetMode="External"/><Relationship Id="rId2943" Type="http://schemas.openxmlformats.org/officeDocument/2006/relationships/hyperlink" Target="https://drive.google.com/uc?export=view&amp;id=10Q5iICnbXE7IfYDDKhMRGP5OSMy9DEJX" TargetMode="External"/><Relationship Id="rId1613" Type="http://schemas.openxmlformats.org/officeDocument/2006/relationships/hyperlink" Target="https://drive.google.com/open?id=1aVJZI7SQ0bVtLt7WDecuFqm_dnNaNNI2" TargetMode="External"/><Relationship Id="rId2944" Type="http://schemas.openxmlformats.org/officeDocument/2006/relationships/hyperlink" Target="https://docs.google.com/document/d/1myGMbqdktfSrOn9GZ35Dn_LybIUd9Y6W64rk0DVlavM/edit?usp=drivesdk" TargetMode="External"/><Relationship Id="rId1614" Type="http://schemas.openxmlformats.org/officeDocument/2006/relationships/hyperlink" Target="https://drive.google.com/uc?export=view&amp;id=1aVJZI7SQ0bVtLt7WDecuFqm_dnNaNNI2" TargetMode="External"/><Relationship Id="rId2945" Type="http://schemas.openxmlformats.org/officeDocument/2006/relationships/hyperlink" Target="https://drive.google.com/open?id=11kg7uH02N3GLpf8Ob-s-k5W8ah9lyXRV" TargetMode="External"/><Relationship Id="rId1615" Type="http://schemas.openxmlformats.org/officeDocument/2006/relationships/hyperlink" Target="https://docs.google.com/document/d/1yzNs3naTF-3kjI3t0oInmyUl3RhaDy2j7T49iSuZI74/edit?usp=drivesdk" TargetMode="External"/><Relationship Id="rId2946" Type="http://schemas.openxmlformats.org/officeDocument/2006/relationships/hyperlink" Target="https://drive.google.com/uc?export=view&amp;id=11kg7uH02N3GLpf8Ob-s-k5W8ah9lyXRV" TargetMode="External"/><Relationship Id="rId1616" Type="http://schemas.openxmlformats.org/officeDocument/2006/relationships/hyperlink" Target="https://drive.google.com/open?id=1tv-Mu1UZ3h8sh1R22G1yHK_-HIVuZX4_" TargetMode="External"/><Relationship Id="rId2947" Type="http://schemas.openxmlformats.org/officeDocument/2006/relationships/hyperlink" Target="https://docs.google.com/document/d/1OCnxJEx2YC63z9uwSi_Lc9uYfkq87oCOwrNuQpn7gEk/edit?usp=drivesdk" TargetMode="External"/><Relationship Id="rId907" Type="http://schemas.openxmlformats.org/officeDocument/2006/relationships/hyperlink" Target="https://docs.google.com/document/d/1wxfuOrbvVlApISxhA3jDmMSUfUg2zJE4aNVFgeC8tSc/edit?usp=drivesdk" TargetMode="External"/><Relationship Id="rId1617" Type="http://schemas.openxmlformats.org/officeDocument/2006/relationships/hyperlink" Target="https://drive.google.com/uc?export=view&amp;id=1tv-Mu1UZ3h8sh1R22G1yHK_-HIVuZX4_" TargetMode="External"/><Relationship Id="rId2948" Type="http://schemas.openxmlformats.org/officeDocument/2006/relationships/hyperlink" Target="https://drive.google.com/open?id=1BJXPLk9fyhTL8e7JbkBEO-sx1rBs3QnU" TargetMode="External"/><Relationship Id="rId906" Type="http://schemas.openxmlformats.org/officeDocument/2006/relationships/hyperlink" Target="https://drive.google.com/uc?export=view&amp;id=1XUFRKP_a0wpfaGjh9veo0f9nNiUg7lb_" TargetMode="External"/><Relationship Id="rId1618" Type="http://schemas.openxmlformats.org/officeDocument/2006/relationships/hyperlink" Target="https://docs.google.com/document/d/1A3cJPto9sLF6oNoOy7_uoW0FfmjUTXOIvHFZYks2kaY/edit?usp=drivesdk" TargetMode="External"/><Relationship Id="rId2949" Type="http://schemas.openxmlformats.org/officeDocument/2006/relationships/hyperlink" Target="https://drive.google.com/uc?export=view&amp;id=1BJXPLk9fyhTL8e7JbkBEO-sx1rBs3QnU" TargetMode="External"/><Relationship Id="rId905" Type="http://schemas.openxmlformats.org/officeDocument/2006/relationships/hyperlink" Target="https://drive.google.com/open?id=1XUFRKP_a0wpfaGjh9veo0f9nNiUg7lb_" TargetMode="External"/><Relationship Id="rId1619" Type="http://schemas.openxmlformats.org/officeDocument/2006/relationships/hyperlink" Target="https://drive.google.com/open?id=1A5eG72JtymfreMD5Yu2eqjh_qnGQFcb4" TargetMode="External"/><Relationship Id="rId904" Type="http://schemas.openxmlformats.org/officeDocument/2006/relationships/hyperlink" Target="https://docs.google.com/document/d/1g8JMeV5Py0IAc1YKZ2xKput6KPmAKAzMybLM7dATQuc/edit?usp=drivesdk" TargetMode="External"/><Relationship Id="rId909" Type="http://schemas.openxmlformats.org/officeDocument/2006/relationships/hyperlink" Target="https://drive.google.com/uc?export=view&amp;id=1_GJeLkEZ4tuJ6fT9EjzSAJFOZ6CCeHan" TargetMode="External"/><Relationship Id="rId908" Type="http://schemas.openxmlformats.org/officeDocument/2006/relationships/hyperlink" Target="https://drive.google.com/open?id=1_GJeLkEZ4tuJ6fT9EjzSAJFOZ6CCeHan" TargetMode="External"/><Relationship Id="rId903" Type="http://schemas.openxmlformats.org/officeDocument/2006/relationships/hyperlink" Target="https://drive.google.com/uc?export=view&amp;id=1kwH-GzfqOKcLCq0iF-a-sRPHaA1nkbil" TargetMode="External"/><Relationship Id="rId902" Type="http://schemas.openxmlformats.org/officeDocument/2006/relationships/hyperlink" Target="https://drive.google.com/open?id=1kwH-GzfqOKcLCq0iF-a-sRPHaA1nkbil" TargetMode="External"/><Relationship Id="rId901" Type="http://schemas.openxmlformats.org/officeDocument/2006/relationships/hyperlink" Target="https://docs.google.com/document/d/1SUNZ2MxtMQu-tbqs7r1BWIiqxFrySL5Txsnisb1vUuc/edit?usp=drivesdk" TargetMode="External"/><Relationship Id="rId900" Type="http://schemas.openxmlformats.org/officeDocument/2006/relationships/hyperlink" Target="https://drive.google.com/uc?export=view&amp;id=1K9g5uqPFHlx7dB9kQgnSrpDiLJVeThbn" TargetMode="External"/><Relationship Id="rId2930" Type="http://schemas.openxmlformats.org/officeDocument/2006/relationships/hyperlink" Target="https://drive.google.com/open?id=1wdMDYNmMEzvN6f6gWOjH1dzkhAOwnhIq" TargetMode="External"/><Relationship Id="rId1600" Type="http://schemas.openxmlformats.org/officeDocument/2006/relationships/hyperlink" Target="https://drive.google.com/open?id=1Hm9wYPC0k56ZivQBzZONcBKMRCgAJCFx" TargetMode="External"/><Relationship Id="rId2931" Type="http://schemas.openxmlformats.org/officeDocument/2006/relationships/hyperlink" Target="https://drive.google.com/uc?export=view&amp;id=1wdMDYNmMEzvN6f6gWOjH1dzkhAOwnhIq" TargetMode="External"/><Relationship Id="rId1601" Type="http://schemas.openxmlformats.org/officeDocument/2006/relationships/hyperlink" Target="https://drive.google.com/uc?export=view&amp;id=1Hm9wYPC0k56ZivQBzZONcBKMRCgAJCFx" TargetMode="External"/><Relationship Id="rId2932" Type="http://schemas.openxmlformats.org/officeDocument/2006/relationships/hyperlink" Target="https://docs.google.com/document/d/1XQEwh6s6KMhiCNHFOkitC5ZMEwrY1dv1wNOeQLO1Xqs/edit?usp=drivesdk" TargetMode="External"/><Relationship Id="rId1602" Type="http://schemas.openxmlformats.org/officeDocument/2006/relationships/hyperlink" Target="https://docs.google.com/document/d/1OZYbswRQLMXFfdVYhJL7tmPDCy55Cc4VnJQJ4zypwuk/edit?usp=drivesdk" TargetMode="External"/><Relationship Id="rId2933" Type="http://schemas.openxmlformats.org/officeDocument/2006/relationships/hyperlink" Target="https://drive.google.com/open?id=1FiX-dAsYJvHIfFnHfVhNVlLhGK4kFRKx" TargetMode="External"/><Relationship Id="rId1603" Type="http://schemas.openxmlformats.org/officeDocument/2006/relationships/hyperlink" Target="https://drive.google.com/open?id=1_PzgnDUkEwidzPeoUaPApBsYwp0k69BC" TargetMode="External"/><Relationship Id="rId2934" Type="http://schemas.openxmlformats.org/officeDocument/2006/relationships/hyperlink" Target="https://drive.google.com/uc?export=view&amp;id=1FiX-dAsYJvHIfFnHfVhNVlLhGK4kFRKx" TargetMode="External"/><Relationship Id="rId1604" Type="http://schemas.openxmlformats.org/officeDocument/2006/relationships/hyperlink" Target="https://drive.google.com/uc?export=view&amp;id=1_PzgnDUkEwidzPeoUaPApBsYwp0k69BC" TargetMode="External"/><Relationship Id="rId2935" Type="http://schemas.openxmlformats.org/officeDocument/2006/relationships/hyperlink" Target="https://docs.google.com/document/d/1kg1g9JUM8G4POkwYUvmaDp9-ZzkzNgGNx6lieg0rPKY/edit?usp=drivesdk" TargetMode="External"/><Relationship Id="rId1605" Type="http://schemas.openxmlformats.org/officeDocument/2006/relationships/hyperlink" Target="http://suara.com" TargetMode="External"/><Relationship Id="rId2936" Type="http://schemas.openxmlformats.org/officeDocument/2006/relationships/hyperlink" Target="https://drive.google.com/open?id=1AsAv1LcIwi2j8mF17rDjfmQRgjFR9IQH" TargetMode="External"/><Relationship Id="rId1606" Type="http://schemas.openxmlformats.org/officeDocument/2006/relationships/hyperlink" Target="https://docs.google.com/document/d/15sXVAVoVLtOPcvQTJoZwErHRyFw-iH1lKagsVKCBXKI/edit?usp=drivesdk" TargetMode="External"/><Relationship Id="rId2937" Type="http://schemas.openxmlformats.org/officeDocument/2006/relationships/hyperlink" Target="https://drive.google.com/uc?export=view&amp;id=1AsAv1LcIwi2j8mF17rDjfmQRgjFR9IQH" TargetMode="External"/><Relationship Id="rId1607" Type="http://schemas.openxmlformats.org/officeDocument/2006/relationships/hyperlink" Target="https://drive.google.com/open?id=17EBcSwNTCxvvJh-1XxvQyLz4BQ_3VG6W" TargetMode="External"/><Relationship Id="rId2938" Type="http://schemas.openxmlformats.org/officeDocument/2006/relationships/hyperlink" Target="https://docs.google.com/document/d/1j1oD7WAlh4rK7pPTB1PDdpV_vWLeZWOK-VsAQyjLQS4/edit?usp=drivesdk" TargetMode="External"/><Relationship Id="rId1608" Type="http://schemas.openxmlformats.org/officeDocument/2006/relationships/hyperlink" Target="https://drive.google.com/uc?export=view&amp;id=17EBcSwNTCxvvJh-1XxvQyLz4BQ_3VG6W" TargetMode="External"/><Relationship Id="rId2939" Type="http://schemas.openxmlformats.org/officeDocument/2006/relationships/hyperlink" Target="https://drive.google.com/open?id=1DkMikU-c67rmvpUzdkgzn-bkhIMjqKlP" TargetMode="External"/><Relationship Id="rId1609" Type="http://schemas.openxmlformats.org/officeDocument/2006/relationships/hyperlink" Target="https://docs.google.com/document/d/1X21ILiXAYzfXOjxVsKd4x6lfrLw3-7U1IKqLAic_4m0/edit?usp=drivesdk" TargetMode="External"/><Relationship Id="rId1631" Type="http://schemas.openxmlformats.org/officeDocument/2006/relationships/hyperlink" Target="https://drive.google.com/open?id=1rCV6_kRq8G4-YFljKx37yfOmNdFeKo4E" TargetMode="External"/><Relationship Id="rId2962" Type="http://schemas.openxmlformats.org/officeDocument/2006/relationships/hyperlink" Target="https://docs.google.com/document/d/1ih5N5dKnaENeBcA39175j2Pf5yTqmhPd2x2tgqNvx1s/edit?usp=drivesdk" TargetMode="External"/><Relationship Id="rId1632" Type="http://schemas.openxmlformats.org/officeDocument/2006/relationships/hyperlink" Target="https://drive.google.com/uc?export=view&amp;id=1rCV6_kRq8G4-YFljKx37yfOmNdFeKo4E" TargetMode="External"/><Relationship Id="rId2963" Type="http://schemas.openxmlformats.org/officeDocument/2006/relationships/hyperlink" Target="https://drive.google.com/open?id=1_nzK--w1uqYLVm4pCEhpLLF0Al_lX99V" TargetMode="External"/><Relationship Id="rId1633" Type="http://schemas.openxmlformats.org/officeDocument/2006/relationships/hyperlink" Target="https://docs.google.com/document/d/17c2uqGzgtL61ZeDvv1ZwlLKkHneDlpILOqrXczwUcsA/edit?usp=drivesdk" TargetMode="External"/><Relationship Id="rId2964" Type="http://schemas.openxmlformats.org/officeDocument/2006/relationships/hyperlink" Target="https://drive.google.com/uc?export=view&amp;id=1_nzK--w1uqYLVm4pCEhpLLF0Al_lX99V" TargetMode="External"/><Relationship Id="rId1634" Type="http://schemas.openxmlformats.org/officeDocument/2006/relationships/hyperlink" Target="https://drive.google.com/open?id=112yvL5NITLupj10wvvIx3dqErYsMy75R" TargetMode="External"/><Relationship Id="rId2965" Type="http://schemas.openxmlformats.org/officeDocument/2006/relationships/hyperlink" Target="https://docs.google.com/document/d/1xfmNXO2qYJAxKZsuNoRa6CC0lZ7sJ5T0uxHFmx18JbY/edit?usp=drivesdk" TargetMode="External"/><Relationship Id="rId1635" Type="http://schemas.openxmlformats.org/officeDocument/2006/relationships/hyperlink" Target="https://drive.google.com/uc?export=view&amp;id=112yvL5NITLupj10wvvIx3dqErYsMy75R" TargetMode="External"/><Relationship Id="rId2966" Type="http://schemas.openxmlformats.org/officeDocument/2006/relationships/hyperlink" Target="https://drive.google.com/open?id=1vckChUAGMbXFa8tOVERMWclrtCPPmr-H" TargetMode="External"/><Relationship Id="rId1636" Type="http://schemas.openxmlformats.org/officeDocument/2006/relationships/hyperlink" Target="https://docs.google.com/document/d/1IHjlgiuSTLAlZI7X6LHGYrHgixsVux0EOrqrBh27aXs/edit?usp=drivesdk" TargetMode="External"/><Relationship Id="rId2967" Type="http://schemas.openxmlformats.org/officeDocument/2006/relationships/hyperlink" Target="https://drive.google.com/uc?export=view&amp;id=1vckChUAGMbXFa8tOVERMWclrtCPPmr-H" TargetMode="External"/><Relationship Id="rId1637" Type="http://schemas.openxmlformats.org/officeDocument/2006/relationships/hyperlink" Target="https://drive.google.com/open?id=1PMlPtpHjD7mECBECfrFsKYHKbDUoHHAb" TargetMode="External"/><Relationship Id="rId2968" Type="http://schemas.openxmlformats.org/officeDocument/2006/relationships/hyperlink" Target="https://docs.google.com/document/d/1w20Yd6Y71n9feh5OGAUWj82OPDOoUJRiYrfEssp7L_U/edit?usp=drivesdk" TargetMode="External"/><Relationship Id="rId1638" Type="http://schemas.openxmlformats.org/officeDocument/2006/relationships/hyperlink" Target="https://drive.google.com/uc?export=view&amp;id=1PMlPtpHjD7mECBECfrFsKYHKbDUoHHAb" TargetMode="External"/><Relationship Id="rId2969" Type="http://schemas.openxmlformats.org/officeDocument/2006/relationships/hyperlink" Target="https://drive.google.com/open?id=1mZ4Xg-bh5pFHcaCyy64fkM25x3AbM-rV" TargetMode="External"/><Relationship Id="rId929" Type="http://schemas.openxmlformats.org/officeDocument/2006/relationships/hyperlink" Target="https://drive.google.com/open?id=1tYwi-LFxR1QetzHhahLvZX_BlGm1WCXW" TargetMode="External"/><Relationship Id="rId1639" Type="http://schemas.openxmlformats.org/officeDocument/2006/relationships/hyperlink" Target="https://docs.google.com/document/d/1crX2WdYLLmDGyLjyRTWF-cXLr9DLLst3QfbAmfjZ5EY/edit?usp=drivesdk" TargetMode="External"/><Relationship Id="rId928" Type="http://schemas.openxmlformats.org/officeDocument/2006/relationships/hyperlink" Target="https://docs.google.com/document/d/1m_CoDgCNcacKTVgWqUVF0d3Q3UCW-N-3RTapGuAgUs4/edit?usp=drivesdk" TargetMode="External"/><Relationship Id="rId927" Type="http://schemas.openxmlformats.org/officeDocument/2006/relationships/hyperlink" Target="https://drive.google.com/uc?export=view&amp;id=1yKYIpdpTk2Hkd4hrajLgf7OWkJ-Z5pRL" TargetMode="External"/><Relationship Id="rId926" Type="http://schemas.openxmlformats.org/officeDocument/2006/relationships/hyperlink" Target="https://drive.google.com/open?id=1yKYIpdpTk2Hkd4hrajLgf7OWkJ-Z5pRL" TargetMode="External"/><Relationship Id="rId921" Type="http://schemas.openxmlformats.org/officeDocument/2006/relationships/hyperlink" Target="https://drive.google.com/uc?export=view&amp;id=1NY270DhOtpxyGyhFNajy5XUidwpDJnxw" TargetMode="External"/><Relationship Id="rId920" Type="http://schemas.openxmlformats.org/officeDocument/2006/relationships/hyperlink" Target="https://drive.google.com/open?id=1NY270DhOtpxyGyhFNajy5XUidwpDJnxw" TargetMode="External"/><Relationship Id="rId925" Type="http://schemas.openxmlformats.org/officeDocument/2006/relationships/hyperlink" Target="https://docs.google.com/document/d/1Yz6ZnZH80rL74qUXxj4CB5HuY5_IxVcHsty7SkJ2G5k/edit?usp=drivesdk" TargetMode="External"/><Relationship Id="rId924" Type="http://schemas.openxmlformats.org/officeDocument/2006/relationships/hyperlink" Target="https://drive.google.com/uc?export=view&amp;id=1ma4Uv22MVOFMEiYL9jnymUuvbJ1keMYc" TargetMode="External"/><Relationship Id="rId923" Type="http://schemas.openxmlformats.org/officeDocument/2006/relationships/hyperlink" Target="https://drive.google.com/open?id=1ma4Uv22MVOFMEiYL9jnymUuvbJ1keMYc" TargetMode="External"/><Relationship Id="rId922" Type="http://schemas.openxmlformats.org/officeDocument/2006/relationships/hyperlink" Target="https://docs.google.com/document/d/1vo5y-PeEpf9vl7aKTdAUfo-FbYnd21b3XJq0K7iwyZ4/edit?usp=drivesdk" TargetMode="External"/><Relationship Id="rId2960" Type="http://schemas.openxmlformats.org/officeDocument/2006/relationships/hyperlink" Target="https://drive.google.com/open?id=1g-oBcYk6cv0KDtU_cKO-lmSnWLtB-DHI" TargetMode="External"/><Relationship Id="rId1630" Type="http://schemas.openxmlformats.org/officeDocument/2006/relationships/hyperlink" Target="https://docs.google.com/document/d/1sGjVX_8F2hTI3N3UBDRElk8tSJs2oseqTmWWVqp4vqg/edit?usp=drivesdk" TargetMode="External"/><Relationship Id="rId2961" Type="http://schemas.openxmlformats.org/officeDocument/2006/relationships/hyperlink" Target="https://drive.google.com/uc?export=view&amp;id=1g-oBcYk6cv0KDtU_cKO-lmSnWLtB-DHI" TargetMode="External"/><Relationship Id="rId1620" Type="http://schemas.openxmlformats.org/officeDocument/2006/relationships/hyperlink" Target="https://drive.google.com/uc?export=view&amp;id=1A5eG72JtymfreMD5Yu2eqjh_qnGQFcb4" TargetMode="External"/><Relationship Id="rId2951" Type="http://schemas.openxmlformats.org/officeDocument/2006/relationships/hyperlink" Target="https://drive.google.com/open?id=1jB2XzR1ORLQmZwm7Zm8yUb7bo0z903mJ" TargetMode="External"/><Relationship Id="rId1621" Type="http://schemas.openxmlformats.org/officeDocument/2006/relationships/hyperlink" Target="https://docs.google.com/document/d/1Ji8SVL63GGvKdzohQvSFknxw4CQ4OHe0JxClujdiDjw/edit?usp=drivesdk" TargetMode="External"/><Relationship Id="rId2952" Type="http://schemas.openxmlformats.org/officeDocument/2006/relationships/hyperlink" Target="https://drive.google.com/uc?export=view&amp;id=1jB2XzR1ORLQmZwm7Zm8yUb7bo0z903mJ" TargetMode="External"/><Relationship Id="rId1622" Type="http://schemas.openxmlformats.org/officeDocument/2006/relationships/hyperlink" Target="https://drive.google.com/open?id=1E2cTcCUA5ycztkaS9sD0R8S131gZ7jzG" TargetMode="External"/><Relationship Id="rId2953" Type="http://schemas.openxmlformats.org/officeDocument/2006/relationships/hyperlink" Target="https://docs.google.com/document/d/1OR3xhF_zm9LoX9I741dlmNYt7qm2QMm5lerkBuUFAM4/edit?usp=drivesdk" TargetMode="External"/><Relationship Id="rId1623" Type="http://schemas.openxmlformats.org/officeDocument/2006/relationships/hyperlink" Target="https://drive.google.com/uc?export=view&amp;id=1E2cTcCUA5ycztkaS9sD0R8S131gZ7jzG" TargetMode="External"/><Relationship Id="rId2954" Type="http://schemas.openxmlformats.org/officeDocument/2006/relationships/hyperlink" Target="https://drive.google.com/open?id=1a7eXJMVFH-pbHkX2lVU4FNvTuRVQP1cy" TargetMode="External"/><Relationship Id="rId1624" Type="http://schemas.openxmlformats.org/officeDocument/2006/relationships/hyperlink" Target="https://docs.google.com/document/d/1VXXN_-Q14DA7cuhBBs5N5tASofHnB33d8USf8IQMohc/edit?usp=drivesdk" TargetMode="External"/><Relationship Id="rId2955" Type="http://schemas.openxmlformats.org/officeDocument/2006/relationships/hyperlink" Target="https://drive.google.com/uc?export=view&amp;id=1a7eXJMVFH-pbHkX2lVU4FNvTuRVQP1cy" TargetMode="External"/><Relationship Id="rId1625" Type="http://schemas.openxmlformats.org/officeDocument/2006/relationships/hyperlink" Target="https://drive.google.com/open?id=16aNLKwDGTd65Ca5wpdvNoOzuDkHvbGbE" TargetMode="External"/><Relationship Id="rId2956" Type="http://schemas.openxmlformats.org/officeDocument/2006/relationships/hyperlink" Target="https://docs.google.com/document/d/1ia1sgM4775rxFlhsUS7Kf9ZvEw_LPIreN6C2pflUKQc/edit?usp=drivesdk" TargetMode="External"/><Relationship Id="rId1626" Type="http://schemas.openxmlformats.org/officeDocument/2006/relationships/hyperlink" Target="https://drive.google.com/uc?export=view&amp;id=16aNLKwDGTd65Ca5wpdvNoOzuDkHvbGbE" TargetMode="External"/><Relationship Id="rId2957" Type="http://schemas.openxmlformats.org/officeDocument/2006/relationships/hyperlink" Target="https://drive.google.com/open?id=1-o4_RzJ7oEXPGC-xA886QECdtUCrhBIF" TargetMode="External"/><Relationship Id="rId1627" Type="http://schemas.openxmlformats.org/officeDocument/2006/relationships/hyperlink" Target="https://docs.google.com/document/d/1ev6MGLkamzK3weZNi3M7qNMde9gXqGP63m6kTLKazb0/edit?usp=drivesdk" TargetMode="External"/><Relationship Id="rId2958" Type="http://schemas.openxmlformats.org/officeDocument/2006/relationships/hyperlink" Target="https://drive.google.com/uc?export=view&amp;id=1-o4_RzJ7oEXPGC-xA886QECdtUCrhBIF" TargetMode="External"/><Relationship Id="rId918" Type="http://schemas.openxmlformats.org/officeDocument/2006/relationships/hyperlink" Target="https://drive.google.com/uc?export=view&amp;id=1sBel_mgGb7z3q16_q30HHJLndopCVqVJ" TargetMode="External"/><Relationship Id="rId1628" Type="http://schemas.openxmlformats.org/officeDocument/2006/relationships/hyperlink" Target="https://drive.google.com/open?id=1C6ys40hDrpKLu1f2dN0T_K771V-onmiV" TargetMode="External"/><Relationship Id="rId2959" Type="http://schemas.openxmlformats.org/officeDocument/2006/relationships/hyperlink" Target="https://docs.google.com/document/d/1KnrgFvbub3PLFWmVBmTTZ_fMXN4YMnqr6C0aqvoXAHY/edit?usp=drivesdk" TargetMode="External"/><Relationship Id="rId917" Type="http://schemas.openxmlformats.org/officeDocument/2006/relationships/hyperlink" Target="https://drive.google.com/open?id=1sBel_mgGb7z3q16_q30HHJLndopCVqVJ" TargetMode="External"/><Relationship Id="rId1629" Type="http://schemas.openxmlformats.org/officeDocument/2006/relationships/hyperlink" Target="https://drive.google.com/uc?export=view&amp;id=1C6ys40hDrpKLu1f2dN0T_K771V-onmiV" TargetMode="External"/><Relationship Id="rId916" Type="http://schemas.openxmlformats.org/officeDocument/2006/relationships/hyperlink" Target="https://docs.google.com/document/d/1VCC3l8kUrtesd-tstRZ0-L-pcrQwdV5o_YaIO_x7rg0/edit?usp=drivesdk" TargetMode="External"/><Relationship Id="rId915" Type="http://schemas.openxmlformats.org/officeDocument/2006/relationships/hyperlink" Target="https://drive.google.com/uc?export=view&amp;id=1j155sVCsmvnIzwmOMCL_82WB_kFTjk1J" TargetMode="External"/><Relationship Id="rId919" Type="http://schemas.openxmlformats.org/officeDocument/2006/relationships/hyperlink" Target="https://docs.google.com/document/d/1cJCYtRv9hrHnwgbgCezlgteBuHLAbnavwmAPrtDqMyc/edit?usp=drivesdk" TargetMode="External"/><Relationship Id="rId910" Type="http://schemas.openxmlformats.org/officeDocument/2006/relationships/hyperlink" Target="https://docs.google.com/document/d/1hWFT5XeSE9pnPQHuXCrVhSmnKF4fWeQbAF5p7qh_Rsw/edit?usp=drivesdk" TargetMode="External"/><Relationship Id="rId914" Type="http://schemas.openxmlformats.org/officeDocument/2006/relationships/hyperlink" Target="https://drive.google.com/open?id=1j155sVCsmvnIzwmOMCL_82WB_kFTjk1J" TargetMode="External"/><Relationship Id="rId913" Type="http://schemas.openxmlformats.org/officeDocument/2006/relationships/hyperlink" Target="https://docs.google.com/document/d/1vx_tMDafIkJy4pwQjLei6oekRZGdpbOXUfrfGNEaVIo/edit?usp=drivesdk" TargetMode="External"/><Relationship Id="rId912" Type="http://schemas.openxmlformats.org/officeDocument/2006/relationships/hyperlink" Target="https://drive.google.com/uc?export=view&amp;id=1FsUEX8w5CAld7sP81Cv-PBN03yDnYfH7" TargetMode="External"/><Relationship Id="rId911" Type="http://schemas.openxmlformats.org/officeDocument/2006/relationships/hyperlink" Target="https://drive.google.com/open?id=1FsUEX8w5CAld7sP81Cv-PBN03yDnYfH7" TargetMode="External"/><Relationship Id="rId2950" Type="http://schemas.openxmlformats.org/officeDocument/2006/relationships/hyperlink" Target="https://docs.google.com/document/d/1-X4ozo_frdTYkoIJavwU9nA-BgGuWwaoiTlqyMvg0Ww/edit?usp=drivesdk" TargetMode="External"/><Relationship Id="rId2900" Type="http://schemas.openxmlformats.org/officeDocument/2006/relationships/hyperlink" Target="https://drive.google.com/open?id=1Bj7wAt6hyxyV8kOVCyU4CWaXJ2cXue0N" TargetMode="External"/><Relationship Id="rId2901" Type="http://schemas.openxmlformats.org/officeDocument/2006/relationships/hyperlink" Target="https://drive.google.com/uc?export=view&amp;id=1Bj7wAt6hyxyV8kOVCyU4CWaXJ2cXue0N" TargetMode="External"/><Relationship Id="rId2902" Type="http://schemas.openxmlformats.org/officeDocument/2006/relationships/hyperlink" Target="https://docs.google.com/document/d/1Zs-HUsh7whnXZV3RqNytz_sgS4kbMs2mpevyJprTg3I/edit?usp=drivesdk" TargetMode="External"/><Relationship Id="rId2903" Type="http://schemas.openxmlformats.org/officeDocument/2006/relationships/hyperlink" Target="https://drive.google.com/open?id=1TZbhWyP1cAlG1Dlh1_d8ezxPfuBfgFQs" TargetMode="External"/><Relationship Id="rId2904" Type="http://schemas.openxmlformats.org/officeDocument/2006/relationships/hyperlink" Target="https://drive.google.com/uc?export=view&amp;id=1TZbhWyP1cAlG1Dlh1_d8ezxPfuBfgFQs" TargetMode="External"/><Relationship Id="rId2905" Type="http://schemas.openxmlformats.org/officeDocument/2006/relationships/hyperlink" Target="https://docs.google.com/document/d/18avO51D3iJ6NuWyBRtE_h7nQg8_jva0dMRiV1hNZtmg/edit?usp=drivesdk" TargetMode="External"/><Relationship Id="rId2906" Type="http://schemas.openxmlformats.org/officeDocument/2006/relationships/hyperlink" Target="https://drive.google.com/open?id=1HgQb9Ncha6JBDBNPcdJs9mKVhdfOQuVs" TargetMode="External"/><Relationship Id="rId2907" Type="http://schemas.openxmlformats.org/officeDocument/2006/relationships/hyperlink" Target="https://drive.google.com/uc?export=view&amp;id=1HgQb9Ncha6JBDBNPcdJs9mKVhdfOQuVs" TargetMode="External"/><Relationship Id="rId2908" Type="http://schemas.openxmlformats.org/officeDocument/2006/relationships/hyperlink" Target="https://docs.google.com/document/d/1E8bWMc4OvuqhHpoOKYepO4Z1vB_br4L_Cu1gntm7www/edit?usp=drivesdk" TargetMode="External"/><Relationship Id="rId2909" Type="http://schemas.openxmlformats.org/officeDocument/2006/relationships/hyperlink" Target="https://drive.google.com/open?id=1Lw5PIGSmCLNbTPFLYFvS5ojGHMnUzzPV" TargetMode="External"/><Relationship Id="rId2920" Type="http://schemas.openxmlformats.org/officeDocument/2006/relationships/hyperlink" Target="https://docs.google.com/document/d/1HfqVU_l3852W0Kss3CxNhcy2Yc6sYH9Tm0224jhfQ90/edit?usp=drivesdk" TargetMode="External"/><Relationship Id="rId2921" Type="http://schemas.openxmlformats.org/officeDocument/2006/relationships/hyperlink" Target="https://drive.google.com/open?id=1d3ZAUBHXX8LFb4qF9PCiXEAdc_-CX1He" TargetMode="External"/><Relationship Id="rId2922" Type="http://schemas.openxmlformats.org/officeDocument/2006/relationships/hyperlink" Target="https://drive.google.com/uc?export=view&amp;id=1d3ZAUBHXX8LFb4qF9PCiXEAdc_-CX1He" TargetMode="External"/><Relationship Id="rId2923" Type="http://schemas.openxmlformats.org/officeDocument/2006/relationships/hyperlink" Target="https://docs.google.com/document/d/1tohkmtAbArteXOqUopCrn7Dz8NSuxjJHZjrqxr_CRi4/edit?usp=drivesdk" TargetMode="External"/><Relationship Id="rId2924" Type="http://schemas.openxmlformats.org/officeDocument/2006/relationships/hyperlink" Target="https://drive.google.com/open?id=1frMY-D7Vo_eJiD-4cMCzUeV7H9xPXpCF" TargetMode="External"/><Relationship Id="rId2925" Type="http://schemas.openxmlformats.org/officeDocument/2006/relationships/hyperlink" Target="https://drive.google.com/uc?export=view&amp;id=1frMY-D7Vo_eJiD-4cMCzUeV7H9xPXpCF" TargetMode="External"/><Relationship Id="rId2926" Type="http://schemas.openxmlformats.org/officeDocument/2006/relationships/hyperlink" Target="https://docs.google.com/document/d/1eXzbrDS81fg8bcLykM9-j9FlJ4vuxghxDJYsbYzOW_0/edit?usp=drivesdk" TargetMode="External"/><Relationship Id="rId2927" Type="http://schemas.openxmlformats.org/officeDocument/2006/relationships/hyperlink" Target="https://drive.google.com/open?id=1hbRXj2trttCBLHFUu_O9kKpX5ZninlQO" TargetMode="External"/><Relationship Id="rId2928" Type="http://schemas.openxmlformats.org/officeDocument/2006/relationships/hyperlink" Target="https://drive.google.com/uc?export=view&amp;id=1hbRXj2trttCBLHFUu_O9kKpX5ZninlQO" TargetMode="External"/><Relationship Id="rId2929" Type="http://schemas.openxmlformats.org/officeDocument/2006/relationships/hyperlink" Target="https://docs.google.com/document/d/1FnrvOp9GS6WBoVVM0ZAUh7UsYIvaqugdB0fs9mL6Jdc/edit?usp=drivesdk" TargetMode="External"/><Relationship Id="rId2910" Type="http://schemas.openxmlformats.org/officeDocument/2006/relationships/hyperlink" Target="https://drive.google.com/uc?export=view&amp;id=1Lw5PIGSmCLNbTPFLYFvS5ojGHMnUzzPV" TargetMode="External"/><Relationship Id="rId2911" Type="http://schemas.openxmlformats.org/officeDocument/2006/relationships/hyperlink" Target="https://docs.google.com/document/d/1Nn2TOwn7j8FIBUpaf7KR1_0vow7fZo1tfMJPNpd7fxA/edit?usp=drivesdk" TargetMode="External"/><Relationship Id="rId2912" Type="http://schemas.openxmlformats.org/officeDocument/2006/relationships/hyperlink" Target="https://drive.google.com/open?id=1sI2eI4_utpMWLgi3xyGpoy_FDYJDt1Dl" TargetMode="External"/><Relationship Id="rId2913" Type="http://schemas.openxmlformats.org/officeDocument/2006/relationships/hyperlink" Target="https://drive.google.com/uc?export=view&amp;id=1sI2eI4_utpMWLgi3xyGpoy_FDYJDt1Dl" TargetMode="External"/><Relationship Id="rId2914" Type="http://schemas.openxmlformats.org/officeDocument/2006/relationships/hyperlink" Target="https://docs.google.com/document/d/1yrNdasFggbKCndqQyUFn_80cwMXfkY7dtj-w61lIoJg/edit?usp=drivesdk" TargetMode="External"/><Relationship Id="rId2915" Type="http://schemas.openxmlformats.org/officeDocument/2006/relationships/hyperlink" Target="https://drive.google.com/open?id=1jIkwMRC8sZEH-evcE47DZZ31_p7oiuD4" TargetMode="External"/><Relationship Id="rId2916" Type="http://schemas.openxmlformats.org/officeDocument/2006/relationships/hyperlink" Target="https://drive.google.com/uc?export=view&amp;id=1jIkwMRC8sZEH-evcE47DZZ31_p7oiuD4" TargetMode="External"/><Relationship Id="rId2917" Type="http://schemas.openxmlformats.org/officeDocument/2006/relationships/hyperlink" Target="https://docs.google.com/document/d/1bN9CSNbqXIJP01tD2hgUsE57TKUyAaQ2AnMk6hs2ok8/edit?usp=drivesdk" TargetMode="External"/><Relationship Id="rId2918" Type="http://schemas.openxmlformats.org/officeDocument/2006/relationships/hyperlink" Target="https://drive.google.com/open?id=1SxOgL_UxYV3RtV64p07_h4Tk4Ed65NFJ" TargetMode="External"/><Relationship Id="rId2919" Type="http://schemas.openxmlformats.org/officeDocument/2006/relationships/hyperlink" Target="https://drive.google.com/uc?export=view&amp;id=1SxOgL_UxYV3RtV64p07_h4Tk4Ed65NFJ" TargetMode="External"/><Relationship Id="rId1697" Type="http://schemas.openxmlformats.org/officeDocument/2006/relationships/hyperlink" Target="https://drive.google.com/open?id=1oHYvoiFBlEKyBaqF4aYFbjMzFY5Iwpa9" TargetMode="External"/><Relationship Id="rId4723" Type="http://schemas.openxmlformats.org/officeDocument/2006/relationships/hyperlink" Target="https://docs.google.com/document/d/1q-CTzD-YPgQSkqYMKWSGDEemRykK76Hj0li4P9n1CzA/edit?usp=drivesdk" TargetMode="External"/><Relationship Id="rId1698" Type="http://schemas.openxmlformats.org/officeDocument/2006/relationships/hyperlink" Target="https://drive.google.com/uc?export=view&amp;id=1oHYvoiFBlEKyBaqF4aYFbjMzFY5Iwpa9" TargetMode="External"/><Relationship Id="rId4722" Type="http://schemas.openxmlformats.org/officeDocument/2006/relationships/hyperlink" Target="https://drive.google.com/uc?export=view&amp;id=1mFkEv8QBTxmOY5Ptfh4DLuvesT5KSRkq" TargetMode="External"/><Relationship Id="rId1699" Type="http://schemas.openxmlformats.org/officeDocument/2006/relationships/hyperlink" Target="https://docs.google.com/document/d/1ecApzvnPJTfD_4ZmcDPqqwcghQcKjxjYRCL1RJ4dA7Y/edit?usp=drivesdk" TargetMode="External"/><Relationship Id="rId4725" Type="http://schemas.openxmlformats.org/officeDocument/2006/relationships/hyperlink" Target="https://drive.google.com/uc?export=view&amp;id=1dKXlMsN_1DiPmw36KmYdTPcvvZg8tZ7N" TargetMode="External"/><Relationship Id="rId4724" Type="http://schemas.openxmlformats.org/officeDocument/2006/relationships/hyperlink" Target="https://drive.google.com/open?id=1dKXlMsN_1DiPmw36KmYdTPcvvZg8tZ7N" TargetMode="External"/><Relationship Id="rId4727" Type="http://schemas.openxmlformats.org/officeDocument/2006/relationships/hyperlink" Target="https://drive.google.com/open?id=1F-gWJu2C5bMJsI_b3GAsNOzpX8q-HA5J" TargetMode="External"/><Relationship Id="rId4726" Type="http://schemas.openxmlformats.org/officeDocument/2006/relationships/hyperlink" Target="https://docs.google.com/document/d/1GXUeYwAoQjDWOLhHmZ9XNkYnLgdymL8VrCGoRVt1-xM/edit?usp=drivesdk" TargetMode="External"/><Relationship Id="rId4729" Type="http://schemas.openxmlformats.org/officeDocument/2006/relationships/hyperlink" Target="https://docs.google.com/document/d/1s0Ip22XPwYvK1cngV8as0pkv3u2b86RdOFPkCrENed0/edit?usp=drivesdk" TargetMode="External"/><Relationship Id="rId4728" Type="http://schemas.openxmlformats.org/officeDocument/2006/relationships/hyperlink" Target="https://drive.google.com/uc?export=view&amp;id=1F-gWJu2C5bMJsI_b3GAsNOzpX8q-HA5J" TargetMode="External"/><Relationship Id="rId866" Type="http://schemas.openxmlformats.org/officeDocument/2006/relationships/hyperlink" Target="https://drive.google.com/open?id=1N5EM_cmmH96dRKaYNZScGP-ErY882oEO" TargetMode="External"/><Relationship Id="rId865" Type="http://schemas.openxmlformats.org/officeDocument/2006/relationships/hyperlink" Target="https://docs.google.com/document/d/1QOpwynkhm74O_FT2P7Pzhxi3PwDAGvGKwGgKUI3sD5Y/edit?usp=drivesdk" TargetMode="External"/><Relationship Id="rId864" Type="http://schemas.openxmlformats.org/officeDocument/2006/relationships/hyperlink" Target="https://drive.google.com/uc?export=view&amp;id=1BwhPmE2-ao3PFGYWJmQ7LVtUDKmGCuWa" TargetMode="External"/><Relationship Id="rId863" Type="http://schemas.openxmlformats.org/officeDocument/2006/relationships/hyperlink" Target="https://drive.google.com/open?id=1BwhPmE2-ao3PFGYWJmQ7LVtUDKmGCuWa" TargetMode="External"/><Relationship Id="rId869" Type="http://schemas.openxmlformats.org/officeDocument/2006/relationships/hyperlink" Target="https://drive.google.com/open?id=1GDHnUYAorDPFhdCUsLG9iKN92UDOTj82" TargetMode="External"/><Relationship Id="rId868" Type="http://schemas.openxmlformats.org/officeDocument/2006/relationships/hyperlink" Target="https://docs.google.com/document/d/1cq-UpJZ7EN_fjLos7EFv4y2cIu78Zxs_clKM-ew7WvI/edit?usp=drivesdk" TargetMode="External"/><Relationship Id="rId867" Type="http://schemas.openxmlformats.org/officeDocument/2006/relationships/hyperlink" Target="https://drive.google.com/uc?export=view&amp;id=1N5EM_cmmH96dRKaYNZScGP-ErY882oEO" TargetMode="External"/><Relationship Id="rId1690" Type="http://schemas.openxmlformats.org/officeDocument/2006/relationships/hyperlink" Target="https://docs.google.com/document/d/1ERMiQzC0Tx3P7mK9XoR42p_Q0QLAxdUZ0p8FgKA0-GA/edit?usp=drivesdk" TargetMode="External"/><Relationship Id="rId1691" Type="http://schemas.openxmlformats.org/officeDocument/2006/relationships/hyperlink" Target="https://drive.google.com/open?id=1_DnRyJYxuUrnmY8_24Hg2wK7lO9Lt3_S" TargetMode="External"/><Relationship Id="rId1692" Type="http://schemas.openxmlformats.org/officeDocument/2006/relationships/hyperlink" Target="https://drive.google.com/uc?export=view&amp;id=1_DnRyJYxuUrnmY8_24Hg2wK7lO9Lt3_S" TargetMode="External"/><Relationship Id="rId862" Type="http://schemas.openxmlformats.org/officeDocument/2006/relationships/hyperlink" Target="https://docs.google.com/document/d/1M12K_RZEdy3V-H0t7g34n4RkwfBKmyOkhldUctq9EZI/edit?usp=drivesdk" TargetMode="External"/><Relationship Id="rId1693" Type="http://schemas.openxmlformats.org/officeDocument/2006/relationships/hyperlink" Target="https://docs.google.com/document/d/1zUU-0bumtk0GCf6Iek9xseWWDBR9NpfJPyWSMbwDpT4/edit?usp=drivesdk" TargetMode="External"/><Relationship Id="rId861" Type="http://schemas.openxmlformats.org/officeDocument/2006/relationships/hyperlink" Target="https://drive.google.com/uc?export=view&amp;id=1ofjsX-hS15IBYUTgDEbgdORJzCsAKaMJ" TargetMode="External"/><Relationship Id="rId1694" Type="http://schemas.openxmlformats.org/officeDocument/2006/relationships/hyperlink" Target="https://drive.google.com/open?id=10snJ2FwCrdOFWDWf79OPyYwEzoaQJIkp" TargetMode="External"/><Relationship Id="rId860" Type="http://schemas.openxmlformats.org/officeDocument/2006/relationships/hyperlink" Target="https://drive.google.com/open?id=1ofjsX-hS15IBYUTgDEbgdORJzCsAKaMJ" TargetMode="External"/><Relationship Id="rId1695" Type="http://schemas.openxmlformats.org/officeDocument/2006/relationships/hyperlink" Target="https://drive.google.com/uc?export=view&amp;id=10snJ2FwCrdOFWDWf79OPyYwEzoaQJIkp" TargetMode="External"/><Relationship Id="rId4721" Type="http://schemas.openxmlformats.org/officeDocument/2006/relationships/hyperlink" Target="https://drive.google.com/open?id=1mFkEv8QBTxmOY5Ptfh4DLuvesT5KSRkq" TargetMode="External"/><Relationship Id="rId1696" Type="http://schemas.openxmlformats.org/officeDocument/2006/relationships/hyperlink" Target="https://docs.google.com/document/d/1IXV9REDmv0rotBoPMru3zD1I5AJyslyK1v-eVJqnpfU/edit?usp=drivesdk" TargetMode="External"/><Relationship Id="rId4720" Type="http://schemas.openxmlformats.org/officeDocument/2006/relationships/hyperlink" Target="https://docs.google.com/document/d/1EEpQFann8SuvpcyseWD4gWtTAQw7QGlxJGVGp9Fjeiw/edit?usp=drivesdk" TargetMode="External"/><Relationship Id="rId1686" Type="http://schemas.openxmlformats.org/officeDocument/2006/relationships/hyperlink" Target="https://drive.google.com/uc?export=view&amp;id=1Qh2k6UOZ-KnxS0j4H_XIRqQiUZQAehAL" TargetMode="External"/><Relationship Id="rId4712" Type="http://schemas.openxmlformats.org/officeDocument/2006/relationships/hyperlink" Target="https://drive.google.com/open?id=1Ji8T1Ffid_R7FMOiIgPP_H-d0pNAprs_" TargetMode="External"/><Relationship Id="rId1687" Type="http://schemas.openxmlformats.org/officeDocument/2006/relationships/hyperlink" Target="https://docs.google.com/document/d/1HG0G0qT-RMlrCeoeJ1EoVhS6dTQnM7-LL1upoJ3AOGM/edit?usp=drivesdk" TargetMode="External"/><Relationship Id="rId4711" Type="http://schemas.openxmlformats.org/officeDocument/2006/relationships/hyperlink" Target="https://docs.google.com/document/d/1P-oXtumbMOXztYXA5uZtzyecP9fC8JCJh_m8WGsouj8/edit?usp=drivesdk" TargetMode="External"/><Relationship Id="rId1688" Type="http://schemas.openxmlformats.org/officeDocument/2006/relationships/hyperlink" Target="https://drive.google.com/open?id=1uQy8dhM8Hs0dESrGzDX6wwLcrsqiCZQZ" TargetMode="External"/><Relationship Id="rId4714" Type="http://schemas.openxmlformats.org/officeDocument/2006/relationships/hyperlink" Target="https://docs.google.com/document/d/1RbagQfMbXNjT7-ByCHUuNWrQ3RkbmzDVC9WYhoj2Pjc/edit?usp=drivesdk" TargetMode="External"/><Relationship Id="rId1689" Type="http://schemas.openxmlformats.org/officeDocument/2006/relationships/hyperlink" Target="https://drive.google.com/uc?export=view&amp;id=1uQy8dhM8Hs0dESrGzDX6wwLcrsqiCZQZ" TargetMode="External"/><Relationship Id="rId4713" Type="http://schemas.openxmlformats.org/officeDocument/2006/relationships/hyperlink" Target="https://drive.google.com/uc?export=view&amp;id=1Ji8T1Ffid_R7FMOiIgPP_H-d0pNAprs_" TargetMode="External"/><Relationship Id="rId4716" Type="http://schemas.openxmlformats.org/officeDocument/2006/relationships/hyperlink" Target="https://drive.google.com/uc?export=view&amp;id=1FNlUY6HCHgcaVZGudedv2EuHFy4GFcck" TargetMode="External"/><Relationship Id="rId4715" Type="http://schemas.openxmlformats.org/officeDocument/2006/relationships/hyperlink" Target="https://drive.google.com/open?id=1FNlUY6HCHgcaVZGudedv2EuHFy4GFcck" TargetMode="External"/><Relationship Id="rId4718" Type="http://schemas.openxmlformats.org/officeDocument/2006/relationships/hyperlink" Target="https://drive.google.com/open?id=17w0vZJyc605ipp_SIDPEU2U99rOuMfo7" TargetMode="External"/><Relationship Id="rId4717" Type="http://schemas.openxmlformats.org/officeDocument/2006/relationships/hyperlink" Target="https://docs.google.com/document/d/1ee9disHViaxZFNbyNs7oT70t9XAEph7uUXua59iNT6Q/edit?usp=drivesdk" TargetMode="External"/><Relationship Id="rId4719" Type="http://schemas.openxmlformats.org/officeDocument/2006/relationships/hyperlink" Target="https://drive.google.com/uc?export=view&amp;id=17w0vZJyc605ipp_SIDPEU2U99rOuMfo7" TargetMode="External"/><Relationship Id="rId855" Type="http://schemas.openxmlformats.org/officeDocument/2006/relationships/hyperlink" Target="https://drive.google.com/uc?export=view&amp;id=1Zigwanl8_vUuf6FMD31-TioO8RlMpOaa" TargetMode="External"/><Relationship Id="rId854" Type="http://schemas.openxmlformats.org/officeDocument/2006/relationships/hyperlink" Target="https://drive.google.com/open?id=1Zigwanl8_vUuf6FMD31-TioO8RlMpOaa" TargetMode="External"/><Relationship Id="rId853" Type="http://schemas.openxmlformats.org/officeDocument/2006/relationships/hyperlink" Target="https://docs.google.com/document/d/16eNUbD8K39rOf81icESx1-WUy8RbWzI-ImUIceZCn7g/edit?usp=drivesdk" TargetMode="External"/><Relationship Id="rId852" Type="http://schemas.openxmlformats.org/officeDocument/2006/relationships/hyperlink" Target="http://syaifuddin.lc" TargetMode="External"/><Relationship Id="rId859" Type="http://schemas.openxmlformats.org/officeDocument/2006/relationships/hyperlink" Target="https://docs.google.com/document/d/1_BtTE32Ws8o5NbETRNtGgX_S3jgomQ0sZzGZGbwh-ZY/edit?usp=drivesdk" TargetMode="External"/><Relationship Id="rId858" Type="http://schemas.openxmlformats.org/officeDocument/2006/relationships/hyperlink" Target="https://drive.google.com/uc?export=view&amp;id=1id69zMwFrJL6TOoFlDlRsRFfVJPKqGMv" TargetMode="External"/><Relationship Id="rId857" Type="http://schemas.openxmlformats.org/officeDocument/2006/relationships/hyperlink" Target="https://drive.google.com/open?id=1id69zMwFrJL6TOoFlDlRsRFfVJPKqGMv" TargetMode="External"/><Relationship Id="rId856" Type="http://schemas.openxmlformats.org/officeDocument/2006/relationships/hyperlink" Target="https://docs.google.com/document/d/1gBnPWJ7fmuvDGeZG0BJ_g5gj5BdWvan8HLkc7fQWG_w/edit?usp=drivesdk" TargetMode="External"/><Relationship Id="rId1680" Type="http://schemas.openxmlformats.org/officeDocument/2006/relationships/hyperlink" Target="https://drive.google.com/uc?export=view&amp;id=1EHNHQ7Ny709ThjQ-nw01qIPr01Z5g7_k" TargetMode="External"/><Relationship Id="rId1681" Type="http://schemas.openxmlformats.org/officeDocument/2006/relationships/hyperlink" Target="https://docs.google.com/document/d/19a7KcyAcwd4huli2WvAxxYDoTntJ7NgeElfbNoh-WkE/edit?usp=drivesdk" TargetMode="External"/><Relationship Id="rId851" Type="http://schemas.openxmlformats.org/officeDocument/2006/relationships/hyperlink" Target="https://drive.google.com/uc?export=view&amp;id=1ozAf8sEdGecucVsEWdowJxefDSUAoPgL" TargetMode="External"/><Relationship Id="rId1682" Type="http://schemas.openxmlformats.org/officeDocument/2006/relationships/hyperlink" Target="https://drive.google.com/open?id=1zuYikBmRGriZLrlzxloJfDILga_ZfyLc" TargetMode="External"/><Relationship Id="rId850" Type="http://schemas.openxmlformats.org/officeDocument/2006/relationships/hyperlink" Target="https://drive.google.com/open?id=1ozAf8sEdGecucVsEWdowJxefDSUAoPgL" TargetMode="External"/><Relationship Id="rId1683" Type="http://schemas.openxmlformats.org/officeDocument/2006/relationships/hyperlink" Target="https://drive.google.com/uc?export=view&amp;id=1zuYikBmRGriZLrlzxloJfDILga_ZfyLc" TargetMode="External"/><Relationship Id="rId1684" Type="http://schemas.openxmlformats.org/officeDocument/2006/relationships/hyperlink" Target="https://docs.google.com/document/d/1EC3NRgSJiEpPxKLBiyJRWYwEu-ALmS_2bIwHSxGW1IM/edit?usp=drivesdk" TargetMode="External"/><Relationship Id="rId4710" Type="http://schemas.openxmlformats.org/officeDocument/2006/relationships/hyperlink" Target="https://drive.google.com/uc?export=view&amp;id=1DNzvZotuZ7nnHhEOityCWTnUbLUU2Pmn" TargetMode="External"/><Relationship Id="rId1685" Type="http://schemas.openxmlformats.org/officeDocument/2006/relationships/hyperlink" Target="https://drive.google.com/open?id=1Qh2k6UOZ-KnxS0j4H_XIRqQiUZQAehAL" TargetMode="External"/><Relationship Id="rId3414" Type="http://schemas.openxmlformats.org/officeDocument/2006/relationships/hyperlink" Target="https://drive.google.com/uc?export=view&amp;id=1_essIAY588iYgi4tAexJ3NZUfhmlLIxH" TargetMode="External"/><Relationship Id="rId4745" Type="http://schemas.openxmlformats.org/officeDocument/2006/relationships/hyperlink" Target="https://drive.google.com/open?id=1sxT3FtVy8H0mS869soofwgLZ_0cAJacY" TargetMode="External"/><Relationship Id="rId3413" Type="http://schemas.openxmlformats.org/officeDocument/2006/relationships/hyperlink" Target="https://drive.google.com/open?id=1_essIAY588iYgi4tAexJ3NZUfhmlLIxH" TargetMode="External"/><Relationship Id="rId4744" Type="http://schemas.openxmlformats.org/officeDocument/2006/relationships/hyperlink" Target="https://docs.google.com/document/d/1XBuq3ZrQXxK3a9NgWpLNMH6EjAtXlmPE_IRCS1rY9Vo/edit?usp=drivesdk" TargetMode="External"/><Relationship Id="rId3416" Type="http://schemas.openxmlformats.org/officeDocument/2006/relationships/hyperlink" Target="https://drive.google.com/open?id=1V6CuOdb0FH3xkzfcFsc9PT4bVZI3fXt4" TargetMode="External"/><Relationship Id="rId4747" Type="http://schemas.openxmlformats.org/officeDocument/2006/relationships/hyperlink" Target="https://docs.google.com/document/d/1opYuhnTL41Zx93nj-Zk_RYOI9uKj7FNVATKujPcMFGY/edit?usp=drivesdk" TargetMode="External"/><Relationship Id="rId3415" Type="http://schemas.openxmlformats.org/officeDocument/2006/relationships/hyperlink" Target="https://docs.google.com/document/d/1dtK42orBw0o3QAHkD0YBYZ5YzNaWgyNXsNcQo1WhJRs/edit?usp=drivesdk" TargetMode="External"/><Relationship Id="rId4746" Type="http://schemas.openxmlformats.org/officeDocument/2006/relationships/hyperlink" Target="https://drive.google.com/uc?export=view&amp;id=1sxT3FtVy8H0mS869soofwgLZ_0cAJacY" TargetMode="External"/><Relationship Id="rId3418" Type="http://schemas.openxmlformats.org/officeDocument/2006/relationships/hyperlink" Target="https://docs.google.com/document/d/1cA-hMQr6bRqmS9sQUKV3vT99Bv7WhMtP9A9Y0P2TV8s/edit?usp=drivesdk" TargetMode="External"/><Relationship Id="rId4749" Type="http://schemas.openxmlformats.org/officeDocument/2006/relationships/hyperlink" Target="https://drive.google.com/uc?export=view&amp;id=1xVtErc-2HCRhO9bH9hog7bXD-1sZD6rf" TargetMode="External"/><Relationship Id="rId3417" Type="http://schemas.openxmlformats.org/officeDocument/2006/relationships/hyperlink" Target="https://drive.google.com/uc?export=view&amp;id=1V6CuOdb0FH3xkzfcFsc9PT4bVZI3fXt4" TargetMode="External"/><Relationship Id="rId4748" Type="http://schemas.openxmlformats.org/officeDocument/2006/relationships/hyperlink" Target="https://drive.google.com/open?id=1xVtErc-2HCRhO9bH9hog7bXD-1sZD6rf" TargetMode="External"/><Relationship Id="rId3419" Type="http://schemas.openxmlformats.org/officeDocument/2006/relationships/hyperlink" Target="https://drive.google.com/open?id=1Z-rJWhUamw8giZUknQ79t4HD2XXhjSLi" TargetMode="External"/><Relationship Id="rId888" Type="http://schemas.openxmlformats.org/officeDocument/2006/relationships/hyperlink" Target="https://drive.google.com/uc?export=view&amp;id=1X1kWSRVriFIIiIqakiEAqm2lVLRyKfBG" TargetMode="External"/><Relationship Id="rId887" Type="http://schemas.openxmlformats.org/officeDocument/2006/relationships/hyperlink" Target="https://drive.google.com/open?id=1X1kWSRVriFIIiIqakiEAqm2lVLRyKfBG" TargetMode="External"/><Relationship Id="rId886" Type="http://schemas.openxmlformats.org/officeDocument/2006/relationships/hyperlink" Target="https://docs.google.com/document/d/1xCbwAhkk5mKeEk8oCv5lp71arHZgKtK2SsTxd6kNgSA/edit?usp=drivesdk" TargetMode="External"/><Relationship Id="rId885" Type="http://schemas.openxmlformats.org/officeDocument/2006/relationships/hyperlink" Target="https://drive.google.com/uc?export=view&amp;id=1-QxJJXRJRH3R3-jvD0-NGdgWP7BEFwTs" TargetMode="External"/><Relationship Id="rId889" Type="http://schemas.openxmlformats.org/officeDocument/2006/relationships/hyperlink" Target="https://docs.google.com/document/d/1xMcy-fHIjg_kdhtgfa-Mie4oRmvgUqE_v82S65hgkuc/edit?usp=drivesdk" TargetMode="External"/><Relationship Id="rId880" Type="http://schemas.openxmlformats.org/officeDocument/2006/relationships/hyperlink" Target="https://docs.google.com/document/d/1iJ6vaKqqIolSRfAsGCxtGKJVMEfRLr5ptKIKWjaYXE4/edit?usp=drivesdk" TargetMode="External"/><Relationship Id="rId884" Type="http://schemas.openxmlformats.org/officeDocument/2006/relationships/hyperlink" Target="https://drive.google.com/open?id=1-QxJJXRJRH3R3-jvD0-NGdgWP7BEFwTs" TargetMode="External"/><Relationship Id="rId3410" Type="http://schemas.openxmlformats.org/officeDocument/2006/relationships/hyperlink" Target="https://drive.google.com/open?id=1KvD6FhgXzvQPF2UMX07pTcX-b-R49m9J" TargetMode="External"/><Relationship Id="rId4741" Type="http://schemas.openxmlformats.org/officeDocument/2006/relationships/hyperlink" Target="https://docs.google.com/document/d/1N0gL_S03yFp4S5-T86prgCzgeMka8PIOKJzRZszY8L8/edit?usp=drivesdk" TargetMode="External"/><Relationship Id="rId883" Type="http://schemas.openxmlformats.org/officeDocument/2006/relationships/hyperlink" Target="https://docs.google.com/document/d/1p-n8bm8GwgC1MAzuzZy83wq7_u0zruF6Dqkxgl5mn30/edit?usp=drivesdk" TargetMode="External"/><Relationship Id="rId4740" Type="http://schemas.openxmlformats.org/officeDocument/2006/relationships/hyperlink" Target="https://drive.google.com/uc?export=view&amp;id=1ey3lHnzqp-Aq5za0m-GGzjoJqw4QGS87" TargetMode="External"/><Relationship Id="rId882" Type="http://schemas.openxmlformats.org/officeDocument/2006/relationships/hyperlink" Target="https://drive.google.com/uc?export=view&amp;id=1uGYbE49_vyXFZUHCpCvkLSy7wL1_6O2i" TargetMode="External"/><Relationship Id="rId3412" Type="http://schemas.openxmlformats.org/officeDocument/2006/relationships/hyperlink" Target="https://docs.google.com/document/d/1LEEVBimgLN23e21hLM-IRq2YLxg6Jxm8CcBEbWzdY6M/edit?usp=drivesdk" TargetMode="External"/><Relationship Id="rId4743" Type="http://schemas.openxmlformats.org/officeDocument/2006/relationships/hyperlink" Target="https://drive.google.com/uc?export=view&amp;id=1Q-dMnSDAunDvTQhjfMMWkBj250nWQ--U" TargetMode="External"/><Relationship Id="rId881" Type="http://schemas.openxmlformats.org/officeDocument/2006/relationships/hyperlink" Target="https://drive.google.com/open?id=1uGYbE49_vyXFZUHCpCvkLSy7wL1_6O2i" TargetMode="External"/><Relationship Id="rId3411" Type="http://schemas.openxmlformats.org/officeDocument/2006/relationships/hyperlink" Target="https://drive.google.com/uc?export=view&amp;id=1KvD6FhgXzvQPF2UMX07pTcX-b-R49m9J" TargetMode="External"/><Relationship Id="rId4742" Type="http://schemas.openxmlformats.org/officeDocument/2006/relationships/hyperlink" Target="https://drive.google.com/open?id=1Q-dMnSDAunDvTQhjfMMWkBj250nWQ--U" TargetMode="External"/><Relationship Id="rId3403" Type="http://schemas.openxmlformats.org/officeDocument/2006/relationships/hyperlink" Target="https://docs.google.com/document/d/1RCo3tTCAi_Kz7488EbtN9pIMrcqVED0GFU_eJo74cA4/edit?usp=drivesdk" TargetMode="External"/><Relationship Id="rId4734" Type="http://schemas.openxmlformats.org/officeDocument/2006/relationships/hyperlink" Target="https://drive.google.com/uc?export=view&amp;id=1pVPEERacZVyH1XN4_mbB7kH8-V95CSt7" TargetMode="External"/><Relationship Id="rId3402" Type="http://schemas.openxmlformats.org/officeDocument/2006/relationships/hyperlink" Target="https://drive.google.com/uc?export=view&amp;id=1i7iUekYaiowvYLz9jXBqDYl-dmqlFv0A" TargetMode="External"/><Relationship Id="rId4733" Type="http://schemas.openxmlformats.org/officeDocument/2006/relationships/hyperlink" Target="https://drive.google.com/open?id=1pVPEERacZVyH1XN4_mbB7kH8-V95CSt7" TargetMode="External"/><Relationship Id="rId3405" Type="http://schemas.openxmlformats.org/officeDocument/2006/relationships/hyperlink" Target="https://drive.google.com/uc?export=view&amp;id=1w2-W6X3_66nPYweK6lIDL6KWbeuPva2E" TargetMode="External"/><Relationship Id="rId4736" Type="http://schemas.openxmlformats.org/officeDocument/2006/relationships/hyperlink" Target="https://drive.google.com/open?id=1PEdjVxqLcH3HQ9CGdzWu8OLttKUqbU8r" TargetMode="External"/><Relationship Id="rId3404" Type="http://schemas.openxmlformats.org/officeDocument/2006/relationships/hyperlink" Target="https://drive.google.com/open?id=1w2-W6X3_66nPYweK6lIDL6KWbeuPva2E" TargetMode="External"/><Relationship Id="rId4735" Type="http://schemas.openxmlformats.org/officeDocument/2006/relationships/hyperlink" Target="https://docs.google.com/document/d/1jqY2aw99qZfEyEJXFpHqKUqnjGvrN-Y_HtA5FE7xrz8/edit?usp=drivesdk" TargetMode="External"/><Relationship Id="rId3407" Type="http://schemas.openxmlformats.org/officeDocument/2006/relationships/hyperlink" Target="https://drive.google.com/open?id=1jDjFXwTsld6lUEqDAAyD2PhMVy4bFtQ1" TargetMode="External"/><Relationship Id="rId4738" Type="http://schemas.openxmlformats.org/officeDocument/2006/relationships/hyperlink" Target="https://docs.google.com/document/d/114p-lPQ0dG03gUh8TWHuPzZwyZhwGiH-vJ_kD3xANWs/edit?usp=drivesdk" TargetMode="External"/><Relationship Id="rId3406" Type="http://schemas.openxmlformats.org/officeDocument/2006/relationships/hyperlink" Target="https://docs.google.com/document/d/166zYmkM9D_uaGsBzFpC_wATeudPEEeNO77dpH71coUA/edit?usp=drivesdk" TargetMode="External"/><Relationship Id="rId4737" Type="http://schemas.openxmlformats.org/officeDocument/2006/relationships/hyperlink" Target="https://drive.google.com/uc?export=view&amp;id=1PEdjVxqLcH3HQ9CGdzWu8OLttKUqbU8r" TargetMode="External"/><Relationship Id="rId3409" Type="http://schemas.openxmlformats.org/officeDocument/2006/relationships/hyperlink" Target="https://docs.google.com/document/d/1trBn7e5XXdByJIXpyT6UduapdLmW_z9F3n7htIn3YmM/edit?usp=drivesdk" TargetMode="External"/><Relationship Id="rId3408" Type="http://schemas.openxmlformats.org/officeDocument/2006/relationships/hyperlink" Target="https://drive.google.com/uc?export=view&amp;id=1jDjFXwTsld6lUEqDAAyD2PhMVy4bFtQ1" TargetMode="External"/><Relationship Id="rId4739" Type="http://schemas.openxmlformats.org/officeDocument/2006/relationships/hyperlink" Target="https://drive.google.com/open?id=1ey3lHnzqp-Aq5za0m-GGzjoJqw4QGS87" TargetMode="External"/><Relationship Id="rId877" Type="http://schemas.openxmlformats.org/officeDocument/2006/relationships/hyperlink" Target="https://docs.google.com/document/d/1bWYaTVxM2TKYs90ngt4tBsZRb8_u5FL6S_9pY-v7vh0/edit?usp=drivesdk" TargetMode="External"/><Relationship Id="rId876" Type="http://schemas.openxmlformats.org/officeDocument/2006/relationships/hyperlink" Target="https://drive.google.com/uc?export=view&amp;id=18IVysbJRhc7znSO4hr9m3f1jMTCaGmKI" TargetMode="External"/><Relationship Id="rId875" Type="http://schemas.openxmlformats.org/officeDocument/2006/relationships/hyperlink" Target="https://drive.google.com/open?id=18IVysbJRhc7znSO4hr9m3f1jMTCaGmKI" TargetMode="External"/><Relationship Id="rId874" Type="http://schemas.openxmlformats.org/officeDocument/2006/relationships/hyperlink" Target="https://docs.google.com/document/d/1noHjAItxnoQOoezULaVObZl6-TQBe3dW1lbHfFLo134/edit?usp=drivesdk" TargetMode="External"/><Relationship Id="rId879" Type="http://schemas.openxmlformats.org/officeDocument/2006/relationships/hyperlink" Target="https://drive.google.com/uc?export=view&amp;id=1ZzckcUlHAeH8JoeamL87n-Z5UuUwyljq" TargetMode="External"/><Relationship Id="rId878" Type="http://schemas.openxmlformats.org/officeDocument/2006/relationships/hyperlink" Target="https://drive.google.com/open?id=1ZzckcUlHAeH8JoeamL87n-Z5UuUwyljq" TargetMode="External"/><Relationship Id="rId873" Type="http://schemas.openxmlformats.org/officeDocument/2006/relationships/hyperlink" Target="https://drive.google.com/uc?export=view&amp;id=1SCFTiT5THUzzh_HZ76CqXioS7DRXtraQ" TargetMode="External"/><Relationship Id="rId4730" Type="http://schemas.openxmlformats.org/officeDocument/2006/relationships/hyperlink" Target="https://drive.google.com/open?id=146l7Ob33axIzF5BklXooqvT_hwCrgjjc" TargetMode="External"/><Relationship Id="rId872" Type="http://schemas.openxmlformats.org/officeDocument/2006/relationships/hyperlink" Target="https://drive.google.com/open?id=1SCFTiT5THUzzh_HZ76CqXioS7DRXtraQ" TargetMode="External"/><Relationship Id="rId871" Type="http://schemas.openxmlformats.org/officeDocument/2006/relationships/hyperlink" Target="https://docs.google.com/document/d/12ZdZ4CMF39zlQUs0xRxUulBP_H6EZxVcLrjgOen1gh8/edit?usp=drivesdk" TargetMode="External"/><Relationship Id="rId3401" Type="http://schemas.openxmlformats.org/officeDocument/2006/relationships/hyperlink" Target="https://drive.google.com/open?id=1i7iUekYaiowvYLz9jXBqDYl-dmqlFv0A" TargetMode="External"/><Relationship Id="rId4732" Type="http://schemas.openxmlformats.org/officeDocument/2006/relationships/hyperlink" Target="https://docs.google.com/document/d/1XulUstQRuLCik3KH5D2hoTxm0omDcn3me1js41kqv8A/edit?usp=drivesdk" TargetMode="External"/><Relationship Id="rId870" Type="http://schemas.openxmlformats.org/officeDocument/2006/relationships/hyperlink" Target="https://drive.google.com/uc?export=view&amp;id=1GDHnUYAorDPFhdCUsLG9iKN92UDOTj82" TargetMode="External"/><Relationship Id="rId3400" Type="http://schemas.openxmlformats.org/officeDocument/2006/relationships/hyperlink" Target="https://docs.google.com/document/d/18BDB9Iu8UwqgUxRz1Nyu6sA9q7yZaTw186vmw5s_1rg/edit?usp=drivesdk" TargetMode="External"/><Relationship Id="rId4731" Type="http://schemas.openxmlformats.org/officeDocument/2006/relationships/hyperlink" Target="https://drive.google.com/uc?export=view&amp;id=146l7Ob33axIzF5BklXooqvT_hwCrgjjc" TargetMode="External"/><Relationship Id="rId1653" Type="http://schemas.openxmlformats.org/officeDocument/2006/relationships/hyperlink" Target="https://drive.google.com/uc?export=view&amp;id=1gAEvOD56HROCYKYav3U-cBnQrL0NVsVA" TargetMode="External"/><Relationship Id="rId2984" Type="http://schemas.openxmlformats.org/officeDocument/2006/relationships/hyperlink" Target="https://drive.google.com/open?id=1SRnXencukZdZIrz7boQbp6e60_BArbSM" TargetMode="External"/><Relationship Id="rId1654" Type="http://schemas.openxmlformats.org/officeDocument/2006/relationships/hyperlink" Target="https://docs.google.com/document/d/1o5axTDCenThts2FNMv8PwWov301Jfq3K0W8N-Fkjhiw/edit?usp=drivesdk" TargetMode="External"/><Relationship Id="rId2985" Type="http://schemas.openxmlformats.org/officeDocument/2006/relationships/hyperlink" Target="https://drive.google.com/uc?export=view&amp;id=1SRnXencukZdZIrz7boQbp6e60_BArbSM" TargetMode="External"/><Relationship Id="rId1655" Type="http://schemas.openxmlformats.org/officeDocument/2006/relationships/hyperlink" Target="https://drive.google.com/open?id=1wygzdwrLtVWwZ8WIUx1PexZDsHDLc4kJ" TargetMode="External"/><Relationship Id="rId2986" Type="http://schemas.openxmlformats.org/officeDocument/2006/relationships/hyperlink" Target="https://docs.google.com/document/d/1d0Jkqtjy9KmjLfu6bbMC9SyLsHOyMQ6Cq5KZKUFZLtM/edit?usp=drivesdk" TargetMode="External"/><Relationship Id="rId1656" Type="http://schemas.openxmlformats.org/officeDocument/2006/relationships/hyperlink" Target="https://drive.google.com/uc?export=view&amp;id=1wygzdwrLtVWwZ8WIUx1PexZDsHDLc4kJ" TargetMode="External"/><Relationship Id="rId2987" Type="http://schemas.openxmlformats.org/officeDocument/2006/relationships/hyperlink" Target="https://drive.google.com/open?id=1b2xrhaK4uGlDU94no9D512x8waQpNsZT" TargetMode="External"/><Relationship Id="rId1657" Type="http://schemas.openxmlformats.org/officeDocument/2006/relationships/hyperlink" Target="https://docs.google.com/document/d/1uG4cj1E2yLc9kcoOAsmUTJdXGj20YebWwmwqwwVIjv0/edit?usp=drivesdk" TargetMode="External"/><Relationship Id="rId2988" Type="http://schemas.openxmlformats.org/officeDocument/2006/relationships/hyperlink" Target="https://drive.google.com/uc?export=view&amp;id=1b2xrhaK4uGlDU94no9D512x8waQpNsZT" TargetMode="External"/><Relationship Id="rId1658" Type="http://schemas.openxmlformats.org/officeDocument/2006/relationships/hyperlink" Target="https://drive.google.com/open?id=1pd1EqBF5CM4K1d5y0VNQpmU9cnEVLepi" TargetMode="External"/><Relationship Id="rId2989" Type="http://schemas.openxmlformats.org/officeDocument/2006/relationships/hyperlink" Target="https://docs.google.com/document/d/1hYCec-bOS8VuTN5OKBCUJz3YY45Hy7w9FSnZL4j0pyg/edit?usp=drivesdk" TargetMode="External"/><Relationship Id="rId1659" Type="http://schemas.openxmlformats.org/officeDocument/2006/relationships/hyperlink" Target="https://drive.google.com/uc?export=view&amp;id=1pd1EqBF5CM4K1d5y0VNQpmU9cnEVLepi" TargetMode="External"/><Relationship Id="rId829" Type="http://schemas.openxmlformats.org/officeDocument/2006/relationships/hyperlink" Target="https://drive.google.com/open?id=11EGhOIoOKFReX2Pc9d68tXLj0Ig85GxQ" TargetMode="External"/><Relationship Id="rId828" Type="http://schemas.openxmlformats.org/officeDocument/2006/relationships/hyperlink" Target="https://docs.google.com/document/d/1Ij7-8Y1-7ad5y9LgSilbpQ5JvSgheidIyezE-zlsNO8/edit?usp=drivesdk" TargetMode="External"/><Relationship Id="rId827" Type="http://schemas.openxmlformats.org/officeDocument/2006/relationships/hyperlink" Target="https://drive.google.com/uc?export=view&amp;id=1WjEfd70kPIuX4pFWdQEOQ1S1asPzTaTs" TargetMode="External"/><Relationship Id="rId822" Type="http://schemas.openxmlformats.org/officeDocument/2006/relationships/hyperlink" Target="https://docs.google.com/document/d/1fLRLd_RCrXR2Kd_11IxIiTHTxFb9mwSi9UtqzoqAeh8/edit?usp=drivesdk" TargetMode="External"/><Relationship Id="rId821" Type="http://schemas.openxmlformats.org/officeDocument/2006/relationships/hyperlink" Target="https://drive.google.com/uc?export=view&amp;id=1jxgeKNUe_PHVZwhSzBO5tUhbLbSCy581" TargetMode="External"/><Relationship Id="rId820" Type="http://schemas.openxmlformats.org/officeDocument/2006/relationships/hyperlink" Target="https://drive.google.com/open?id=1jxgeKNUe_PHVZwhSzBO5tUhbLbSCy581" TargetMode="External"/><Relationship Id="rId826" Type="http://schemas.openxmlformats.org/officeDocument/2006/relationships/hyperlink" Target="https://drive.google.com/open?id=1WjEfd70kPIuX4pFWdQEOQ1S1asPzTaTs" TargetMode="External"/><Relationship Id="rId825" Type="http://schemas.openxmlformats.org/officeDocument/2006/relationships/hyperlink" Target="https://docs.google.com/document/d/1odlMozNNBGfdL2K4gnB7plyKr7fFRXJg1p1E0hSauhs/edit?usp=drivesdk" TargetMode="External"/><Relationship Id="rId824" Type="http://schemas.openxmlformats.org/officeDocument/2006/relationships/hyperlink" Target="https://drive.google.com/uc?export=view&amp;id=111AgOgnsUxOIwASyoCeEH9YTd0MwHfzU" TargetMode="External"/><Relationship Id="rId823" Type="http://schemas.openxmlformats.org/officeDocument/2006/relationships/hyperlink" Target="https://drive.google.com/open?id=111AgOgnsUxOIwASyoCeEH9YTd0MwHfzU" TargetMode="External"/><Relationship Id="rId2980" Type="http://schemas.openxmlformats.org/officeDocument/2006/relationships/hyperlink" Target="https://docs.google.com/document/d/1d29k_fi_vBYN_Xm91JTqm_Irv5A6OPI0UPuXXtU66-g/edit?usp=drivesdk" TargetMode="External"/><Relationship Id="rId1650" Type="http://schemas.openxmlformats.org/officeDocument/2006/relationships/hyperlink" Target="https://drive.google.com/uc?export=view&amp;id=1-gYC8Hcr-So5cy6QjYQi1rM5qvwcOMRG" TargetMode="External"/><Relationship Id="rId2981" Type="http://schemas.openxmlformats.org/officeDocument/2006/relationships/hyperlink" Target="https://drive.google.com/open?id=17PITSsjc3ve9fiIaf_shW8ETliWYxW73" TargetMode="External"/><Relationship Id="rId1651" Type="http://schemas.openxmlformats.org/officeDocument/2006/relationships/hyperlink" Target="https://docs.google.com/document/d/1vW5Ubr6vwPUbcMfDHSg2qNKyIJzY7dI-Gc-1QnwvtF8/edit?usp=drivesdk" TargetMode="External"/><Relationship Id="rId2982" Type="http://schemas.openxmlformats.org/officeDocument/2006/relationships/hyperlink" Target="https://drive.google.com/uc?export=view&amp;id=17PITSsjc3ve9fiIaf_shW8ETliWYxW73" TargetMode="External"/><Relationship Id="rId1652" Type="http://schemas.openxmlformats.org/officeDocument/2006/relationships/hyperlink" Target="https://drive.google.com/open?id=1gAEvOD56HROCYKYav3U-cBnQrL0NVsVA" TargetMode="External"/><Relationship Id="rId2983" Type="http://schemas.openxmlformats.org/officeDocument/2006/relationships/hyperlink" Target="https://docs.google.com/document/d/1sPrBpheKjlo4rtEgqy6jxE4OT7S_QI1081M8Ll_5pTs/edit?usp=drivesdk" TargetMode="External"/><Relationship Id="rId1642" Type="http://schemas.openxmlformats.org/officeDocument/2006/relationships/hyperlink" Target="https://docs.google.com/document/d/1bh0_w51-KyNiVoLdAUtC22GoO2qBIanOEmp0mkLnlmM/edit?usp=drivesdk" TargetMode="External"/><Relationship Id="rId2973" Type="http://schemas.openxmlformats.org/officeDocument/2006/relationships/hyperlink" Target="https://drive.google.com/uc?export=view&amp;id=1NpCDxuyJPI_PR_EgwhW-yeKHfFVez6vl" TargetMode="External"/><Relationship Id="rId1643" Type="http://schemas.openxmlformats.org/officeDocument/2006/relationships/hyperlink" Target="https://drive.google.com/open?id=1me0G3odRm6sWvg5RdkLRan0EXLnD85-M" TargetMode="External"/><Relationship Id="rId2974" Type="http://schemas.openxmlformats.org/officeDocument/2006/relationships/hyperlink" Target="https://docs.google.com/document/d/1-NvdE5bnZe10MtS5vHpYcgbiRD2HMzk08MnxOoIc0Cw/edit?usp=drivesdk" TargetMode="External"/><Relationship Id="rId1644" Type="http://schemas.openxmlformats.org/officeDocument/2006/relationships/hyperlink" Target="https://drive.google.com/uc?export=view&amp;id=1me0G3odRm6sWvg5RdkLRan0EXLnD85-M" TargetMode="External"/><Relationship Id="rId2975" Type="http://schemas.openxmlformats.org/officeDocument/2006/relationships/hyperlink" Target="https://drive.google.com/open?id=1zvl3WNVlON4dVw6-j0VKvWF4xY9kTNVY" TargetMode="External"/><Relationship Id="rId1645" Type="http://schemas.openxmlformats.org/officeDocument/2006/relationships/hyperlink" Target="https://docs.google.com/document/d/14KoTMatRl-tkf3qtD59QsvYeuNjQQDsPb3EUXD9YG7k/edit?usp=drivesdk" TargetMode="External"/><Relationship Id="rId2976" Type="http://schemas.openxmlformats.org/officeDocument/2006/relationships/hyperlink" Target="https://drive.google.com/uc?export=view&amp;id=1zvl3WNVlON4dVw6-j0VKvWF4xY9kTNVY" TargetMode="External"/><Relationship Id="rId1646" Type="http://schemas.openxmlformats.org/officeDocument/2006/relationships/hyperlink" Target="https://drive.google.com/open?id=1n1UUWVYPMnW6IFlqFmsx65R8_lsK2voJ" TargetMode="External"/><Relationship Id="rId2977" Type="http://schemas.openxmlformats.org/officeDocument/2006/relationships/hyperlink" Target="https://docs.google.com/document/d/1ws7ZQvbCKq_8c8re33K1JZWkqpGoGQkwG5fqqiyjvPk/edit?usp=drivesdk" TargetMode="External"/><Relationship Id="rId1647" Type="http://schemas.openxmlformats.org/officeDocument/2006/relationships/hyperlink" Target="https://drive.google.com/uc?export=view&amp;id=1n1UUWVYPMnW6IFlqFmsx65R8_lsK2voJ" TargetMode="External"/><Relationship Id="rId2978" Type="http://schemas.openxmlformats.org/officeDocument/2006/relationships/hyperlink" Target="https://drive.google.com/open?id=10UGAArq4mwKHZre9XVfjVquDXIfVaZVE" TargetMode="External"/><Relationship Id="rId1648" Type="http://schemas.openxmlformats.org/officeDocument/2006/relationships/hyperlink" Target="https://docs.google.com/document/d/19x63tirurpXKeByuqVWEVc8apw9jqA6heou0nCviJ1I/edit?usp=drivesdk" TargetMode="External"/><Relationship Id="rId2979" Type="http://schemas.openxmlformats.org/officeDocument/2006/relationships/hyperlink" Target="https://drive.google.com/uc?export=view&amp;id=10UGAArq4mwKHZre9XVfjVquDXIfVaZVE" TargetMode="External"/><Relationship Id="rId1649" Type="http://schemas.openxmlformats.org/officeDocument/2006/relationships/hyperlink" Target="https://drive.google.com/open?id=1-gYC8Hcr-So5cy6QjYQi1rM5qvwcOMRG" TargetMode="External"/><Relationship Id="rId819" Type="http://schemas.openxmlformats.org/officeDocument/2006/relationships/hyperlink" Target="https://docs.google.com/document/d/16GKLsKjsHRmWfObfN6vOe_ViDxA3Yx3mD5bMD5-u2_8/edit?usp=drivesdk" TargetMode="External"/><Relationship Id="rId818" Type="http://schemas.openxmlformats.org/officeDocument/2006/relationships/hyperlink" Target="https://drive.google.com/uc?export=view&amp;id=1efpWHBbsk9CeUPBalKJjqOqGeFUHuiJM" TargetMode="External"/><Relationship Id="rId817" Type="http://schemas.openxmlformats.org/officeDocument/2006/relationships/hyperlink" Target="https://drive.google.com/open?id=1efpWHBbsk9CeUPBalKJjqOqGeFUHuiJM" TargetMode="External"/><Relationship Id="rId816" Type="http://schemas.openxmlformats.org/officeDocument/2006/relationships/hyperlink" Target="https://docs.google.com/document/d/1lPnbiW6OaBjj5hh-4i9johlMy28taTUxrmtd77bx2QM/edit?usp=drivesdk" TargetMode="External"/><Relationship Id="rId811" Type="http://schemas.openxmlformats.org/officeDocument/2006/relationships/hyperlink" Target="https://drive.google.com/open?id=1tAhh3dh2rv6rrGQc4zw-EvmOkYAr57iD" TargetMode="External"/><Relationship Id="rId810" Type="http://schemas.openxmlformats.org/officeDocument/2006/relationships/hyperlink" Target="https://docs.google.com/document/d/1PFzpZmQB-mKWkBWO5YVv_Mop0XsnG4HLYfSXwZ8ZrsU/edit?usp=drivesdk" TargetMode="External"/><Relationship Id="rId815" Type="http://schemas.openxmlformats.org/officeDocument/2006/relationships/hyperlink" Target="https://drive.google.com/uc?export=view&amp;id=1PoJMKtOX61bzp7SiXUKQ9fD4Dx8b6I4w" TargetMode="External"/><Relationship Id="rId814" Type="http://schemas.openxmlformats.org/officeDocument/2006/relationships/hyperlink" Target="https://drive.google.com/open?id=1PoJMKtOX61bzp7SiXUKQ9fD4Dx8b6I4w" TargetMode="External"/><Relationship Id="rId813" Type="http://schemas.openxmlformats.org/officeDocument/2006/relationships/hyperlink" Target="https://docs.google.com/document/d/1DfaoRxeDORcZcE3qe12AMnUDr-EEJro6FMxZM5j1UTw/edit?usp=drivesdk" TargetMode="External"/><Relationship Id="rId812" Type="http://schemas.openxmlformats.org/officeDocument/2006/relationships/hyperlink" Target="https://drive.google.com/uc?export=view&amp;id=1tAhh3dh2rv6rrGQc4zw-EvmOkYAr57iD" TargetMode="External"/><Relationship Id="rId2970" Type="http://schemas.openxmlformats.org/officeDocument/2006/relationships/hyperlink" Target="https://drive.google.com/uc?export=view&amp;id=1mZ4Xg-bh5pFHcaCyy64fkM25x3AbM-rV" TargetMode="External"/><Relationship Id="rId1640" Type="http://schemas.openxmlformats.org/officeDocument/2006/relationships/hyperlink" Target="https://drive.google.com/open?id=1YEibbqhVLhJKAnLsXx-K90SSP44ukT0r" TargetMode="External"/><Relationship Id="rId2971" Type="http://schemas.openxmlformats.org/officeDocument/2006/relationships/hyperlink" Target="https://docs.google.com/document/d/1IXHVY7dK-8QvAqiQOida2kUgqr-bApQiLU0LXLLbSuY/edit?usp=drivesdk" TargetMode="External"/><Relationship Id="rId1641" Type="http://schemas.openxmlformats.org/officeDocument/2006/relationships/hyperlink" Target="https://drive.google.com/uc?export=view&amp;id=1YEibbqhVLhJKAnLsXx-K90SSP44ukT0r" TargetMode="External"/><Relationship Id="rId2972" Type="http://schemas.openxmlformats.org/officeDocument/2006/relationships/hyperlink" Target="https://drive.google.com/open?id=1NpCDxuyJPI_PR_EgwhW-yeKHfFVez6vl" TargetMode="External"/><Relationship Id="rId1675" Type="http://schemas.openxmlformats.org/officeDocument/2006/relationships/hyperlink" Target="https://docs.google.com/document/d/1xlYT8KHUA23dhetgMlabh12x66dPoBtAF_j7Fu8vOaI/edit?usp=drivesdk" TargetMode="External"/><Relationship Id="rId4701" Type="http://schemas.openxmlformats.org/officeDocument/2006/relationships/hyperlink" Target="https://drive.google.com/uc?export=view&amp;id=1SdnNOJN35M20FTN28Gbf1iH-2iaye5bi" TargetMode="External"/><Relationship Id="rId1676" Type="http://schemas.openxmlformats.org/officeDocument/2006/relationships/hyperlink" Target="https://drive.google.com/open?id=1Lc9edG2zmFOlJppeTp4jA_pfJ1DfuDcI" TargetMode="External"/><Relationship Id="rId4700" Type="http://schemas.openxmlformats.org/officeDocument/2006/relationships/hyperlink" Target="https://drive.google.com/open?id=1SdnNOJN35M20FTN28Gbf1iH-2iaye5bi" TargetMode="External"/><Relationship Id="rId1677" Type="http://schemas.openxmlformats.org/officeDocument/2006/relationships/hyperlink" Target="https://drive.google.com/uc?export=view&amp;id=1Lc9edG2zmFOlJppeTp4jA_pfJ1DfuDcI" TargetMode="External"/><Relationship Id="rId4703" Type="http://schemas.openxmlformats.org/officeDocument/2006/relationships/hyperlink" Target="https://drive.google.com/open?id=1ow_ZCBTivCNn_m4qQd467wBJw85_4WMT" TargetMode="External"/><Relationship Id="rId1678" Type="http://schemas.openxmlformats.org/officeDocument/2006/relationships/hyperlink" Target="https://docs.google.com/document/d/1GGeE2Q3tJdBW3wtVtVDjs_COyFd8HD5h1w_oQlY3uSU/edit?usp=drivesdk" TargetMode="External"/><Relationship Id="rId4702" Type="http://schemas.openxmlformats.org/officeDocument/2006/relationships/hyperlink" Target="https://docs.google.com/document/d/14Rx0IAIjyN-zW9G8ozgr4x-kp-y0XK-SHOLPSTVZ5cI/edit?usp=drivesdk" TargetMode="External"/><Relationship Id="rId1679" Type="http://schemas.openxmlformats.org/officeDocument/2006/relationships/hyperlink" Target="https://drive.google.com/open?id=1EHNHQ7Ny709ThjQ-nw01qIPr01Z5g7_k" TargetMode="External"/><Relationship Id="rId4705" Type="http://schemas.openxmlformats.org/officeDocument/2006/relationships/hyperlink" Target="https://docs.google.com/document/d/14B4OqNkEmFVG3QTti6P-UKf7Dm0_kIvZ3HVVSI7z6HU/edit?usp=drivesdk" TargetMode="External"/><Relationship Id="rId4704" Type="http://schemas.openxmlformats.org/officeDocument/2006/relationships/hyperlink" Target="https://drive.google.com/uc?export=view&amp;id=1ow_ZCBTivCNn_m4qQd467wBJw85_4WMT" TargetMode="External"/><Relationship Id="rId4707" Type="http://schemas.openxmlformats.org/officeDocument/2006/relationships/hyperlink" Target="https://drive.google.com/uc?export=view&amp;id=1CHsRswM_R3Qhki3DwAFQD-5PWJmdzQ45" TargetMode="External"/><Relationship Id="rId4706" Type="http://schemas.openxmlformats.org/officeDocument/2006/relationships/hyperlink" Target="https://drive.google.com/open?id=1CHsRswM_R3Qhki3DwAFQD-5PWJmdzQ45" TargetMode="External"/><Relationship Id="rId4709" Type="http://schemas.openxmlformats.org/officeDocument/2006/relationships/hyperlink" Target="https://drive.google.com/open?id=1DNzvZotuZ7nnHhEOityCWTnUbLUU2Pmn" TargetMode="External"/><Relationship Id="rId4708" Type="http://schemas.openxmlformats.org/officeDocument/2006/relationships/hyperlink" Target="https://docs.google.com/document/d/1q7d-BZpp5Q0a6bRpSHvlaSeFp_9aD3juYq8wRhv0vi4/edit?usp=drivesdk" TargetMode="External"/><Relationship Id="rId849" Type="http://schemas.openxmlformats.org/officeDocument/2006/relationships/hyperlink" Target="https://docs.google.com/document/d/1yprtjI9fpMGvp6yP4Ezor3pptZaWxNgJqVNrPTS9dok/edit?usp=drivesdk" TargetMode="External"/><Relationship Id="rId844" Type="http://schemas.openxmlformats.org/officeDocument/2006/relationships/hyperlink" Target="https://drive.google.com/open?id=1ShoXAXGwkYsVZAnUOVQsLD_GVa46uDyh" TargetMode="External"/><Relationship Id="rId843" Type="http://schemas.openxmlformats.org/officeDocument/2006/relationships/hyperlink" Target="https://docs.google.com/document/d/1Sr9RjkL8RyDtNGgDoNnCVauSfIOSo9yQGGkTk7Gp0Ks/edit?usp=drivesdk" TargetMode="External"/><Relationship Id="rId842" Type="http://schemas.openxmlformats.org/officeDocument/2006/relationships/hyperlink" Target="https://drive.google.com/uc?export=view&amp;id=1qZs-XTkjxmc5hnmPbYF3kktJlkgnVTL-" TargetMode="External"/><Relationship Id="rId841" Type="http://schemas.openxmlformats.org/officeDocument/2006/relationships/hyperlink" Target="https://drive.google.com/open?id=1qZs-XTkjxmc5hnmPbYF3kktJlkgnVTL-" TargetMode="External"/><Relationship Id="rId848" Type="http://schemas.openxmlformats.org/officeDocument/2006/relationships/hyperlink" Target="https://drive.google.com/uc?export=view&amp;id=1C519l98vACugDN6jSZsjW-1MyquP-d3A" TargetMode="External"/><Relationship Id="rId847" Type="http://schemas.openxmlformats.org/officeDocument/2006/relationships/hyperlink" Target="https://drive.google.com/open?id=1C519l98vACugDN6jSZsjW-1MyquP-d3A" TargetMode="External"/><Relationship Id="rId846" Type="http://schemas.openxmlformats.org/officeDocument/2006/relationships/hyperlink" Target="https://docs.google.com/document/d/1QkddpbUPuAiCdGzmwjA_U5hExbIxGEdQKBWWXeXQix4/edit?usp=drivesdk" TargetMode="External"/><Relationship Id="rId845" Type="http://schemas.openxmlformats.org/officeDocument/2006/relationships/hyperlink" Target="https://drive.google.com/uc?export=view&amp;id=1ShoXAXGwkYsVZAnUOVQsLD_GVa46uDyh" TargetMode="External"/><Relationship Id="rId1670" Type="http://schemas.openxmlformats.org/officeDocument/2006/relationships/hyperlink" Target="https://drive.google.com/open?id=1Z-O1Dmpu0tDy4cg4x_wv46RGvW1_zhhq" TargetMode="External"/><Relationship Id="rId840" Type="http://schemas.openxmlformats.org/officeDocument/2006/relationships/hyperlink" Target="https://docs.google.com/document/d/1DInvM1ZnERpnVU7X3GBLSVrv6djswXUhOd9vUOMlHE8/edit?usp=drivesdk" TargetMode="External"/><Relationship Id="rId1671" Type="http://schemas.openxmlformats.org/officeDocument/2006/relationships/hyperlink" Target="https://drive.google.com/uc?export=view&amp;id=1Z-O1Dmpu0tDy4cg4x_wv46RGvW1_zhhq" TargetMode="External"/><Relationship Id="rId1672" Type="http://schemas.openxmlformats.org/officeDocument/2006/relationships/hyperlink" Target="https://docs.google.com/document/d/1rKDEqU-iYuxgCwZvybFo2GIWzJ-_YWlfQ5FWmtim5wE/edit?usp=drivesdk" TargetMode="External"/><Relationship Id="rId1673" Type="http://schemas.openxmlformats.org/officeDocument/2006/relationships/hyperlink" Target="https://drive.google.com/open?id=1776bPHqUVFLzF2__UwMEuFEeZNNk7Wso" TargetMode="External"/><Relationship Id="rId1674" Type="http://schemas.openxmlformats.org/officeDocument/2006/relationships/hyperlink" Target="https://drive.google.com/uc?export=view&amp;id=1776bPHqUVFLzF2__UwMEuFEeZNNk7Wso" TargetMode="External"/><Relationship Id="rId1664" Type="http://schemas.openxmlformats.org/officeDocument/2006/relationships/hyperlink" Target="https://drive.google.com/open?id=1onmZ_qMyuCX_v5lmz5849wmH4XXfCjwB" TargetMode="External"/><Relationship Id="rId2995" Type="http://schemas.openxmlformats.org/officeDocument/2006/relationships/hyperlink" Target="https://docs.google.com/document/d/16cfxf7_mPM07oqpeSVwtiSqBe5jCdVOFiIV3zuLE9QE/edit?usp=drivesdk" TargetMode="External"/><Relationship Id="rId1665" Type="http://schemas.openxmlformats.org/officeDocument/2006/relationships/hyperlink" Target="https://drive.google.com/uc?export=view&amp;id=1onmZ_qMyuCX_v5lmz5849wmH4XXfCjwB" TargetMode="External"/><Relationship Id="rId2996" Type="http://schemas.openxmlformats.org/officeDocument/2006/relationships/hyperlink" Target="https://drive.google.com/open?id=1s2Gkgjehjaw1lmDbmuonKTmHKyTyDwE5" TargetMode="External"/><Relationship Id="rId1666" Type="http://schemas.openxmlformats.org/officeDocument/2006/relationships/hyperlink" Target="https://docs.google.com/document/d/17zjDDJWXJpOugF9joV3xi1btGLa2ZjkcOVaoZcer2aY/edit?usp=drivesdk" TargetMode="External"/><Relationship Id="rId2997" Type="http://schemas.openxmlformats.org/officeDocument/2006/relationships/hyperlink" Target="https://drive.google.com/uc?export=view&amp;id=1s2Gkgjehjaw1lmDbmuonKTmHKyTyDwE5" TargetMode="External"/><Relationship Id="rId1667" Type="http://schemas.openxmlformats.org/officeDocument/2006/relationships/hyperlink" Target="https://drive.google.com/open?id=1lSiGYpEMHe0IZDBAPjzuWpuj1EOF0rkO" TargetMode="External"/><Relationship Id="rId2998" Type="http://schemas.openxmlformats.org/officeDocument/2006/relationships/hyperlink" Target="https://docs.google.com/document/d/1EluECZ8rUr012HFoDO4qXS9Q81MMR0zm5eYCeRIpLyU/edit?usp=drivesdk" TargetMode="External"/><Relationship Id="rId1668" Type="http://schemas.openxmlformats.org/officeDocument/2006/relationships/hyperlink" Target="https://drive.google.com/uc?export=view&amp;id=1lSiGYpEMHe0IZDBAPjzuWpuj1EOF0rkO" TargetMode="External"/><Relationship Id="rId2999" Type="http://schemas.openxmlformats.org/officeDocument/2006/relationships/hyperlink" Target="https://drive.google.com/open?id=17MOV2bZ5O6y80IWOfC59aoXmi32Hvu9V" TargetMode="External"/><Relationship Id="rId1669" Type="http://schemas.openxmlformats.org/officeDocument/2006/relationships/hyperlink" Target="https://docs.google.com/document/d/10GDek4Vu52LwmqeFSqjqwV-Ctd557c6BDQ9jbHluPK0/edit?usp=drivesdk" TargetMode="External"/><Relationship Id="rId839" Type="http://schemas.openxmlformats.org/officeDocument/2006/relationships/hyperlink" Target="https://drive.google.com/uc?export=view&amp;id=1b0VyRbtFZN7Voi00sdLsJNAmcbUSUhFl" TargetMode="External"/><Relationship Id="rId838" Type="http://schemas.openxmlformats.org/officeDocument/2006/relationships/hyperlink" Target="https://drive.google.com/open?id=1b0VyRbtFZN7Voi00sdLsJNAmcbUSUhFl" TargetMode="External"/><Relationship Id="rId833" Type="http://schemas.openxmlformats.org/officeDocument/2006/relationships/hyperlink" Target="https://drive.google.com/uc?export=view&amp;id=1TOU6T6-7jzlRxjdBM0WA9oQ4Br-I957M" TargetMode="External"/><Relationship Id="rId832" Type="http://schemas.openxmlformats.org/officeDocument/2006/relationships/hyperlink" Target="https://drive.google.com/open?id=1TOU6T6-7jzlRxjdBM0WA9oQ4Br-I957M" TargetMode="External"/><Relationship Id="rId831" Type="http://schemas.openxmlformats.org/officeDocument/2006/relationships/hyperlink" Target="https://docs.google.com/document/d/1fw1p2KTTYdhKsoekmLIKq5IpDL5d9djKPcaPapXA4_Y/edit?usp=drivesdk" TargetMode="External"/><Relationship Id="rId830" Type="http://schemas.openxmlformats.org/officeDocument/2006/relationships/hyperlink" Target="https://drive.google.com/uc?export=view&amp;id=11EGhOIoOKFReX2Pc9d68tXLj0Ig85GxQ" TargetMode="External"/><Relationship Id="rId837" Type="http://schemas.openxmlformats.org/officeDocument/2006/relationships/hyperlink" Target="https://docs.google.com/document/d/1Aa4H1kM0Vvch4jaU9PbtbQ2q1875aZ8w3eXqoVok1kY/edit?usp=drivesdk" TargetMode="External"/><Relationship Id="rId836" Type="http://schemas.openxmlformats.org/officeDocument/2006/relationships/hyperlink" Target="https://drive.google.com/uc?export=view&amp;id=1t6kTZSx-hAX_juZfdQnHdf5mELg7AjRu" TargetMode="External"/><Relationship Id="rId835" Type="http://schemas.openxmlformats.org/officeDocument/2006/relationships/hyperlink" Target="https://drive.google.com/open?id=1t6kTZSx-hAX_juZfdQnHdf5mELg7AjRu" TargetMode="External"/><Relationship Id="rId834" Type="http://schemas.openxmlformats.org/officeDocument/2006/relationships/hyperlink" Target="https://docs.google.com/document/d/1UQjVybVC4b0RtDJRWA-wMQuGWqOVXuuw488E9tp0aYk/edit?usp=drivesdk" TargetMode="External"/><Relationship Id="rId2990" Type="http://schemas.openxmlformats.org/officeDocument/2006/relationships/hyperlink" Target="https://drive.google.com/open?id=1UpmVV0BlrtYaBnZy8hqxSbx8Jht_dbvn" TargetMode="External"/><Relationship Id="rId1660" Type="http://schemas.openxmlformats.org/officeDocument/2006/relationships/hyperlink" Target="https://docs.google.com/document/d/1dASuzpuH36ZTDNCeA0g0KPl-X8ck3vFurmdGUeP483c/edit?usp=drivesdk" TargetMode="External"/><Relationship Id="rId2991" Type="http://schemas.openxmlformats.org/officeDocument/2006/relationships/hyperlink" Target="https://drive.google.com/uc?export=view&amp;id=1UpmVV0BlrtYaBnZy8hqxSbx8Jht_dbvn" TargetMode="External"/><Relationship Id="rId1661" Type="http://schemas.openxmlformats.org/officeDocument/2006/relationships/hyperlink" Target="https://drive.google.com/open?id=1kROagpwvw71DUKmF3lYKaNgSaWS9JjmD" TargetMode="External"/><Relationship Id="rId2992" Type="http://schemas.openxmlformats.org/officeDocument/2006/relationships/hyperlink" Target="https://docs.google.com/document/d/1GFnpAxy3162oOLv_LzD6JrTsDPvbcA26bPj8aCuqG3g/edit?usp=drivesdk" TargetMode="External"/><Relationship Id="rId1662" Type="http://schemas.openxmlformats.org/officeDocument/2006/relationships/hyperlink" Target="https://drive.google.com/uc?export=view&amp;id=1kROagpwvw71DUKmF3lYKaNgSaWS9JjmD" TargetMode="External"/><Relationship Id="rId2993" Type="http://schemas.openxmlformats.org/officeDocument/2006/relationships/hyperlink" Target="https://drive.google.com/open?id=1OC5aFfWUOk6FtZWglsmc0vRHTu9Zz5XU" TargetMode="External"/><Relationship Id="rId1663" Type="http://schemas.openxmlformats.org/officeDocument/2006/relationships/hyperlink" Target="https://docs.google.com/document/d/1FwJzaWPs9y1N-s7v_Us1idKcbV4TubWnrteDujp43rI/edit?usp=drivesdk" TargetMode="External"/><Relationship Id="rId2994" Type="http://schemas.openxmlformats.org/officeDocument/2006/relationships/hyperlink" Target="https://drive.google.com/uc?export=view&amp;id=1OC5aFfWUOk6FtZWglsmc0vRHTu9Zz5XU" TargetMode="External"/><Relationship Id="rId2148" Type="http://schemas.openxmlformats.org/officeDocument/2006/relationships/hyperlink" Target="https://drive.google.com/uc?export=view&amp;id=12Ovuz35IgJzfcwl9S6GQapwX6_fAheNO" TargetMode="External"/><Relationship Id="rId2149" Type="http://schemas.openxmlformats.org/officeDocument/2006/relationships/hyperlink" Target="https://docs.google.com/document/d/1KMonfiPOsD4pn0gKitDhO3_6nCkvuFGwk1LQLblwaBI/edit?usp=drivesdk" TargetMode="External"/><Relationship Id="rId3479" Type="http://schemas.openxmlformats.org/officeDocument/2006/relationships/hyperlink" Target="https://drive.google.com/open?id=1mvPN0Q3coeh9kSJXDaSUvL8mf9FpXnt7" TargetMode="External"/><Relationship Id="rId3470" Type="http://schemas.openxmlformats.org/officeDocument/2006/relationships/hyperlink" Target="https://drive.google.com/open?id=1Rhfq8opRj2hhCr8dD2OdGCU885kb0kb6" TargetMode="External"/><Relationship Id="rId2140" Type="http://schemas.openxmlformats.org/officeDocument/2006/relationships/hyperlink" Target="https://docs.google.com/document/d/13Hal9T14HTbZWE4Seat45KCDia_St-s-k1SJHhEuOso/edit?usp=drivesdk" TargetMode="External"/><Relationship Id="rId3472" Type="http://schemas.openxmlformats.org/officeDocument/2006/relationships/hyperlink" Target="https://docs.google.com/document/d/1us1hHn7YBaQofpLublHrVmPsRfEinQDwKvVZiZ2VmLA/edit?usp=drivesdk" TargetMode="External"/><Relationship Id="rId2141" Type="http://schemas.openxmlformats.org/officeDocument/2006/relationships/hyperlink" Target="https://drive.google.com/open?id=1wRgoyc6Up3f8BoiOx4fanwTJGJV7JKRe" TargetMode="External"/><Relationship Id="rId3471" Type="http://schemas.openxmlformats.org/officeDocument/2006/relationships/hyperlink" Target="https://drive.google.com/uc?export=view&amp;id=1Rhfq8opRj2hhCr8dD2OdGCU885kb0kb6" TargetMode="External"/><Relationship Id="rId2142" Type="http://schemas.openxmlformats.org/officeDocument/2006/relationships/hyperlink" Target="https://drive.google.com/uc?export=view&amp;id=1wRgoyc6Up3f8BoiOx4fanwTJGJV7JKRe" TargetMode="External"/><Relationship Id="rId3474" Type="http://schemas.openxmlformats.org/officeDocument/2006/relationships/hyperlink" Target="https://drive.google.com/uc?export=view&amp;id=1GGB4iY6DmnxGhg6AMrIIZLAH25oDAsZ6" TargetMode="External"/><Relationship Id="rId2143" Type="http://schemas.openxmlformats.org/officeDocument/2006/relationships/hyperlink" Target="https://docs.google.com/document/d/10WBj0Fv-H-zMVTMU8INGYBQOmJDcqFlBB-Ubh-XLtSA/edit?usp=drivesdk" TargetMode="External"/><Relationship Id="rId3473" Type="http://schemas.openxmlformats.org/officeDocument/2006/relationships/hyperlink" Target="https://drive.google.com/open?id=1GGB4iY6DmnxGhg6AMrIIZLAH25oDAsZ6" TargetMode="External"/><Relationship Id="rId2144" Type="http://schemas.openxmlformats.org/officeDocument/2006/relationships/hyperlink" Target="https://drive.google.com/open?id=1XhTjFF62ZdEojSfnjSXdrVvzDRAJzras" TargetMode="External"/><Relationship Id="rId3476" Type="http://schemas.openxmlformats.org/officeDocument/2006/relationships/hyperlink" Target="https://drive.google.com/open?id=1CZwfrtQegp6-2Lo41z5J3-ys6emlWpy-" TargetMode="External"/><Relationship Id="rId2145" Type="http://schemas.openxmlformats.org/officeDocument/2006/relationships/hyperlink" Target="https://drive.google.com/uc?export=view&amp;id=1XhTjFF62ZdEojSfnjSXdrVvzDRAJzras" TargetMode="External"/><Relationship Id="rId3475" Type="http://schemas.openxmlformats.org/officeDocument/2006/relationships/hyperlink" Target="https://docs.google.com/document/d/15yNU7lwxTRHPyXZJZ6xb9bHZO_qjX5qqh-4AUp3Pj8U/edit?usp=drivesdk" TargetMode="External"/><Relationship Id="rId2146" Type="http://schemas.openxmlformats.org/officeDocument/2006/relationships/hyperlink" Target="https://docs.google.com/document/d/1ezuNEgrV2eEmlsqgwluBIxZyEInj9GaEqvJYuGtif5c/edit?usp=drivesdk" TargetMode="External"/><Relationship Id="rId3478" Type="http://schemas.openxmlformats.org/officeDocument/2006/relationships/hyperlink" Target="https://docs.google.com/document/d/1PIAgZc_nlBgp30Ehdy3boibB6vmLnkWTBXmCWILZfT4/edit?usp=drivesdk" TargetMode="External"/><Relationship Id="rId2147" Type="http://schemas.openxmlformats.org/officeDocument/2006/relationships/hyperlink" Target="https://drive.google.com/open?id=12Ovuz35IgJzfcwl9S6GQapwX6_fAheNO" TargetMode="External"/><Relationship Id="rId3477" Type="http://schemas.openxmlformats.org/officeDocument/2006/relationships/hyperlink" Target="https://drive.google.com/uc?export=view&amp;id=1CZwfrtQegp6-2Lo41z5J3-ys6emlWpy-" TargetMode="External"/><Relationship Id="rId2137" Type="http://schemas.openxmlformats.org/officeDocument/2006/relationships/hyperlink" Target="https://docs.google.com/document/d/17dvIQxRlUNTEqN1X-Auidma9xPElPn9wEZ9ZSMJE0fs/edit?usp=drivesdk" TargetMode="External"/><Relationship Id="rId3469" Type="http://schemas.openxmlformats.org/officeDocument/2006/relationships/hyperlink" Target="https://docs.google.com/document/d/13Cm_P69YrTMIdN7rVU45CDMA739T5QHIMwE-e1Syxic/edit?usp=drivesdk" TargetMode="External"/><Relationship Id="rId2138" Type="http://schemas.openxmlformats.org/officeDocument/2006/relationships/hyperlink" Target="https://drive.google.com/open?id=1IUKrzOB84vTNADOgrEenx6hSB03iwfuj" TargetMode="External"/><Relationship Id="rId3468" Type="http://schemas.openxmlformats.org/officeDocument/2006/relationships/hyperlink" Target="https://drive.google.com/uc?export=view&amp;id=1mBJhK5rZwlyYnbl979fGWX_3pMeXWQCh" TargetMode="External"/><Relationship Id="rId4799" Type="http://schemas.openxmlformats.org/officeDocument/2006/relationships/drawing" Target="../drawings/drawing1.xml"/><Relationship Id="rId2139" Type="http://schemas.openxmlformats.org/officeDocument/2006/relationships/hyperlink" Target="https://drive.google.com/uc?export=view&amp;id=1IUKrzOB84vTNADOgrEenx6hSB03iwfuj" TargetMode="External"/><Relationship Id="rId4790" Type="http://schemas.openxmlformats.org/officeDocument/2006/relationships/hyperlink" Target="https://drive.google.com/open?id=1DqBn71y-dR7I_GCeJN3zAVXof6ZVck9b" TargetMode="External"/><Relationship Id="rId3461" Type="http://schemas.openxmlformats.org/officeDocument/2006/relationships/hyperlink" Target="https://drive.google.com/open?id=1UresWBsclsJFBp33cxI0BUiQtkCPezBU" TargetMode="External"/><Relationship Id="rId4792" Type="http://schemas.openxmlformats.org/officeDocument/2006/relationships/hyperlink" Target="https://docs.google.com/document/d/1laGt0LbeZ13j0Bh0_3JrT3shtTob2PC3uwEebrQz034/edit?usp=drivesdk" TargetMode="External"/><Relationship Id="rId2130" Type="http://schemas.openxmlformats.org/officeDocument/2006/relationships/hyperlink" Target="https://drive.google.com/uc?export=view&amp;id=1VpMK3gLRRifiLO_f339fqYFXoGRmWzfC" TargetMode="External"/><Relationship Id="rId3460" Type="http://schemas.openxmlformats.org/officeDocument/2006/relationships/hyperlink" Target="https://docs.google.com/document/d/1OwRfusm51G6v8unoxuQyO3kCSJuLwm0qpxxzO8q_gbM/edit?usp=drivesdk" TargetMode="External"/><Relationship Id="rId4791" Type="http://schemas.openxmlformats.org/officeDocument/2006/relationships/hyperlink" Target="https://drive.google.com/uc?export=view&amp;id=1DqBn71y-dR7I_GCeJN3zAVXof6ZVck9b" TargetMode="External"/><Relationship Id="rId2131" Type="http://schemas.openxmlformats.org/officeDocument/2006/relationships/hyperlink" Target="https://docs.google.com/document/d/1Ozmky4FCI5R4OeaAzvDrJJkSEYgr0RSy6oUDH3mYmNc/edit?usp=drivesdk" TargetMode="External"/><Relationship Id="rId3463" Type="http://schemas.openxmlformats.org/officeDocument/2006/relationships/hyperlink" Target="https://docs.google.com/document/d/1tmvceWZ6jTnZDIoQMzH7iAyIAWFY10YXhhIAYCkF1eY/edit?usp=drivesdk" TargetMode="External"/><Relationship Id="rId4794" Type="http://schemas.openxmlformats.org/officeDocument/2006/relationships/hyperlink" Target="https://drive.google.com/uc?export=view&amp;id=1El2H3u1oKegOH024Xy7Lm5kpD2hARMXg" TargetMode="External"/><Relationship Id="rId2132" Type="http://schemas.openxmlformats.org/officeDocument/2006/relationships/hyperlink" Target="https://drive.google.com/open?id=1F00mB45hGJnXwZQpgFIEgWiqikm9sCsO" TargetMode="External"/><Relationship Id="rId3462" Type="http://schemas.openxmlformats.org/officeDocument/2006/relationships/hyperlink" Target="https://drive.google.com/uc?export=view&amp;id=1UresWBsclsJFBp33cxI0BUiQtkCPezBU" TargetMode="External"/><Relationship Id="rId4793" Type="http://schemas.openxmlformats.org/officeDocument/2006/relationships/hyperlink" Target="https://drive.google.com/open?id=1El2H3u1oKegOH024Xy7Lm5kpD2hARMXg" TargetMode="External"/><Relationship Id="rId2133" Type="http://schemas.openxmlformats.org/officeDocument/2006/relationships/hyperlink" Target="https://drive.google.com/uc?export=view&amp;id=1F00mB45hGJnXwZQpgFIEgWiqikm9sCsO" TargetMode="External"/><Relationship Id="rId3465" Type="http://schemas.openxmlformats.org/officeDocument/2006/relationships/hyperlink" Target="https://drive.google.com/uc?export=view&amp;id=1NvJDBb0figd01xylH0dtRJGCC2N1XBRC" TargetMode="External"/><Relationship Id="rId4796" Type="http://schemas.openxmlformats.org/officeDocument/2006/relationships/hyperlink" Target="https://drive.google.com/open?id=1ohpkekBlcLDGGylRxZoAW23H8hjLDGeq" TargetMode="External"/><Relationship Id="rId2134" Type="http://schemas.openxmlformats.org/officeDocument/2006/relationships/hyperlink" Target="https://docs.google.com/document/d/1BEn_NHq79JnSBs9DJaCRo8dlYYFycaE9qADFCrnVFqI/edit?usp=drivesdk" TargetMode="External"/><Relationship Id="rId3464" Type="http://schemas.openxmlformats.org/officeDocument/2006/relationships/hyperlink" Target="https://drive.google.com/open?id=1NvJDBb0figd01xylH0dtRJGCC2N1XBRC" TargetMode="External"/><Relationship Id="rId4795" Type="http://schemas.openxmlformats.org/officeDocument/2006/relationships/hyperlink" Target="https://docs.google.com/document/d/1QZij4C5Vib2d_2le-xsRdhWqNdfSJqmkL8R6_-1zcwo/edit?usp=drivesdk" TargetMode="External"/><Relationship Id="rId2135" Type="http://schemas.openxmlformats.org/officeDocument/2006/relationships/hyperlink" Target="https://drive.google.com/open?id=1GiCZdVS7elNcV8AALfnZaG8c6D51MDyd" TargetMode="External"/><Relationship Id="rId3467" Type="http://schemas.openxmlformats.org/officeDocument/2006/relationships/hyperlink" Target="https://drive.google.com/open?id=1mBJhK5rZwlyYnbl979fGWX_3pMeXWQCh" TargetMode="External"/><Relationship Id="rId4798" Type="http://schemas.openxmlformats.org/officeDocument/2006/relationships/hyperlink" Target="https://docs.google.com/document/d/1x-sqxenIhv76FzaeatBfKnfaE2_br5ULtAZ7sBf_wLw/edit?usp=drivesdk" TargetMode="External"/><Relationship Id="rId2136" Type="http://schemas.openxmlformats.org/officeDocument/2006/relationships/hyperlink" Target="https://drive.google.com/uc?export=view&amp;id=1GiCZdVS7elNcV8AALfnZaG8c6D51MDyd" TargetMode="External"/><Relationship Id="rId3466" Type="http://schemas.openxmlformats.org/officeDocument/2006/relationships/hyperlink" Target="https://docs.google.com/document/d/1gpJC7xvnkO5P9ZPK3IkKs9EvJM4ou7JB5o6t1AiEnXo/edit?usp=drivesdk" TargetMode="External"/><Relationship Id="rId4797" Type="http://schemas.openxmlformats.org/officeDocument/2006/relationships/hyperlink" Target="https://drive.google.com/uc?export=view&amp;id=1ohpkekBlcLDGGylRxZoAW23H8hjLDGeq" TargetMode="External"/><Relationship Id="rId3490" Type="http://schemas.openxmlformats.org/officeDocument/2006/relationships/hyperlink" Target="https://docs.google.com/document/d/1nH01xjoeDOMgVfaZPuetZV9QLdZv834DojODTYfb08M/edit?usp=drivesdk" TargetMode="External"/><Relationship Id="rId2160" Type="http://schemas.openxmlformats.org/officeDocument/2006/relationships/hyperlink" Target="https://drive.google.com/uc?export=view&amp;id=1VW91_Fn9YySn1g6DBh2-gzmnvDqjakYm" TargetMode="External"/><Relationship Id="rId3492" Type="http://schemas.openxmlformats.org/officeDocument/2006/relationships/hyperlink" Target="https://drive.google.com/uc?export=view&amp;id=1E0MypVpkHydrlzTOJkUyaM3PDz1EnINJ" TargetMode="External"/><Relationship Id="rId2161" Type="http://schemas.openxmlformats.org/officeDocument/2006/relationships/hyperlink" Target="https://docs.google.com/document/d/17kSw5WbZ246LUy1t6Tuvidw156Mu4komvyx1cbF-7hc/edit?usp=drivesdk" TargetMode="External"/><Relationship Id="rId3491" Type="http://schemas.openxmlformats.org/officeDocument/2006/relationships/hyperlink" Target="https://drive.google.com/open?id=1E0MypVpkHydrlzTOJkUyaM3PDz1EnINJ" TargetMode="External"/><Relationship Id="rId2162" Type="http://schemas.openxmlformats.org/officeDocument/2006/relationships/hyperlink" Target="https://drive.google.com/open?id=1wajA2Cd84H1R7C62nJpFTnVvvyi5zmYO" TargetMode="External"/><Relationship Id="rId3494" Type="http://schemas.openxmlformats.org/officeDocument/2006/relationships/hyperlink" Target="https://drive.google.com/open?id=1JKhy2iCsEgOpTvfNxZYPctuUwTkFHgXy" TargetMode="External"/><Relationship Id="rId2163" Type="http://schemas.openxmlformats.org/officeDocument/2006/relationships/hyperlink" Target="https://drive.google.com/uc?export=view&amp;id=1wajA2Cd84H1R7C62nJpFTnVvvyi5zmYO" TargetMode="External"/><Relationship Id="rId3493" Type="http://schemas.openxmlformats.org/officeDocument/2006/relationships/hyperlink" Target="https://docs.google.com/document/d/16QbUmOBm4KXdS9ASSITqeJ9dx2V2lST86vIFZ1TMFr0/edit?usp=drivesdk" TargetMode="External"/><Relationship Id="rId2164" Type="http://schemas.openxmlformats.org/officeDocument/2006/relationships/hyperlink" Target="https://docs.google.com/document/d/1k_Hdmalj5eh50nZdOsfVWPqYhmIHCqqz5FWcCNftANc/edit?usp=drivesdk" TargetMode="External"/><Relationship Id="rId3496" Type="http://schemas.openxmlformats.org/officeDocument/2006/relationships/hyperlink" Target="https://docs.google.com/document/d/1obHzVmmqagq2MEG4XjPa0PZcGceLWEM8rbkRNZzLsi8/edit?usp=drivesdk" TargetMode="External"/><Relationship Id="rId2165" Type="http://schemas.openxmlformats.org/officeDocument/2006/relationships/hyperlink" Target="https://drive.google.com/open?id=1qtjGH2zQq6SjSxUEAQN4WNCfPVdBqFnv" TargetMode="External"/><Relationship Id="rId3495" Type="http://schemas.openxmlformats.org/officeDocument/2006/relationships/hyperlink" Target="https://drive.google.com/uc?export=view&amp;id=1JKhy2iCsEgOpTvfNxZYPctuUwTkFHgXy" TargetMode="External"/><Relationship Id="rId2166" Type="http://schemas.openxmlformats.org/officeDocument/2006/relationships/hyperlink" Target="https://drive.google.com/uc?export=view&amp;id=1qtjGH2zQq6SjSxUEAQN4WNCfPVdBqFnv" TargetMode="External"/><Relationship Id="rId3498" Type="http://schemas.openxmlformats.org/officeDocument/2006/relationships/hyperlink" Target="https://drive.google.com/uc?export=view&amp;id=1VHnUo9BwGxbT-TmjotOL_H9cTTfIySAS" TargetMode="External"/><Relationship Id="rId2167" Type="http://schemas.openxmlformats.org/officeDocument/2006/relationships/hyperlink" Target="https://docs.google.com/document/d/1MMz5Vymxf6MzoD2zs7wcXyHg3wNDxV3LbYxxnndmVP8/edit?usp=drivesdk" TargetMode="External"/><Relationship Id="rId3497" Type="http://schemas.openxmlformats.org/officeDocument/2006/relationships/hyperlink" Target="https://drive.google.com/open?id=1VHnUo9BwGxbT-TmjotOL_H9cTTfIySAS" TargetMode="External"/><Relationship Id="rId2168" Type="http://schemas.openxmlformats.org/officeDocument/2006/relationships/hyperlink" Target="https://drive.google.com/open?id=1T6EdUQNHz7XjHPR344u4__8ZLBOwFw-d" TargetMode="External"/><Relationship Id="rId2169" Type="http://schemas.openxmlformats.org/officeDocument/2006/relationships/hyperlink" Target="https://drive.google.com/uc?export=view&amp;id=1T6EdUQNHz7XjHPR344u4__8ZLBOwFw-d" TargetMode="External"/><Relationship Id="rId3499" Type="http://schemas.openxmlformats.org/officeDocument/2006/relationships/hyperlink" Target="https://docs.google.com/document/d/1GK8V_fCuip326z4C1WBSi2IPAMgNlvgpXS2BvARzVIE/edit?usp=drivesdk" TargetMode="External"/><Relationship Id="rId2159" Type="http://schemas.openxmlformats.org/officeDocument/2006/relationships/hyperlink" Target="https://drive.google.com/open?id=1VW91_Fn9YySn1g6DBh2-gzmnvDqjakYm" TargetMode="External"/><Relationship Id="rId3481" Type="http://schemas.openxmlformats.org/officeDocument/2006/relationships/hyperlink" Target="https://docs.google.com/document/d/11fqaD7ifw_jeKLxTCHagIXz4fDYz7C8_7PpAvSa1OMk/edit?usp=drivesdk" TargetMode="External"/><Relationship Id="rId2150" Type="http://schemas.openxmlformats.org/officeDocument/2006/relationships/hyperlink" Target="https://drive.google.com/open?id=1FL_AgHo9ZFbk7kiOIdlQJM9tItAJSHq4" TargetMode="External"/><Relationship Id="rId3480" Type="http://schemas.openxmlformats.org/officeDocument/2006/relationships/hyperlink" Target="https://drive.google.com/uc?export=view&amp;id=1mvPN0Q3coeh9kSJXDaSUvL8mf9FpXnt7" TargetMode="External"/><Relationship Id="rId2151" Type="http://schemas.openxmlformats.org/officeDocument/2006/relationships/hyperlink" Target="https://drive.google.com/uc?export=view&amp;id=1FL_AgHo9ZFbk7kiOIdlQJM9tItAJSHq4" TargetMode="External"/><Relationship Id="rId3483" Type="http://schemas.openxmlformats.org/officeDocument/2006/relationships/hyperlink" Target="https://drive.google.com/uc?export=view&amp;id=1qXWIuPIQQD8ffcwNg9H9-HEHAAq6ppHG" TargetMode="External"/><Relationship Id="rId2152" Type="http://schemas.openxmlformats.org/officeDocument/2006/relationships/hyperlink" Target="https://docs.google.com/document/d/1hTtpTvU1u47jI3EswE6LuG5es1ikUgqdlgqr3e3C_T8/edit?usp=drivesdk" TargetMode="External"/><Relationship Id="rId3482" Type="http://schemas.openxmlformats.org/officeDocument/2006/relationships/hyperlink" Target="https://drive.google.com/open?id=1qXWIuPIQQD8ffcwNg9H9-HEHAAq6ppHG" TargetMode="External"/><Relationship Id="rId2153" Type="http://schemas.openxmlformats.org/officeDocument/2006/relationships/hyperlink" Target="https://drive.google.com/open?id=1RAcS-ILKA5OD_q9LxNZjhpM-C3rzzxXR" TargetMode="External"/><Relationship Id="rId3485" Type="http://schemas.openxmlformats.org/officeDocument/2006/relationships/hyperlink" Target="https://drive.google.com/open?id=1s4fa_nDbFlyQeFsoCFGePPpS4DYkKjIN" TargetMode="External"/><Relationship Id="rId2154" Type="http://schemas.openxmlformats.org/officeDocument/2006/relationships/hyperlink" Target="https://drive.google.com/uc?export=view&amp;id=1RAcS-ILKA5OD_q9LxNZjhpM-C3rzzxXR" TargetMode="External"/><Relationship Id="rId3484" Type="http://schemas.openxmlformats.org/officeDocument/2006/relationships/hyperlink" Target="https://docs.google.com/document/d/1Up5ydZPlU5rNFTFZyHHqSrf041A16qZKMDeVaP3OV2w/edit?usp=drivesdk" TargetMode="External"/><Relationship Id="rId2155" Type="http://schemas.openxmlformats.org/officeDocument/2006/relationships/hyperlink" Target="https://docs.google.com/document/d/1lFWds_RZVhiYT9Db0t785u0EzmwrMhPJ_JWNVf-uZx8/edit?usp=drivesdk" TargetMode="External"/><Relationship Id="rId3487" Type="http://schemas.openxmlformats.org/officeDocument/2006/relationships/hyperlink" Target="https://docs.google.com/document/d/1VNhTchqeIEqAtuzImteFgnybFQrq7yToJRNwcbbnBes/edit?usp=drivesdk" TargetMode="External"/><Relationship Id="rId2156" Type="http://schemas.openxmlformats.org/officeDocument/2006/relationships/hyperlink" Target="https://drive.google.com/open?id=1G7_qnZ7dlXPv4mZSJY0sNQxGVKvpvBVE" TargetMode="External"/><Relationship Id="rId3486" Type="http://schemas.openxmlformats.org/officeDocument/2006/relationships/hyperlink" Target="https://drive.google.com/uc?export=view&amp;id=1s4fa_nDbFlyQeFsoCFGePPpS4DYkKjIN" TargetMode="External"/><Relationship Id="rId2157" Type="http://schemas.openxmlformats.org/officeDocument/2006/relationships/hyperlink" Target="https://drive.google.com/uc?export=view&amp;id=1G7_qnZ7dlXPv4mZSJY0sNQxGVKvpvBVE" TargetMode="External"/><Relationship Id="rId3489" Type="http://schemas.openxmlformats.org/officeDocument/2006/relationships/hyperlink" Target="https://drive.google.com/uc?export=view&amp;id=1gX0WLNiNlVKEIKRLahbnREuwBG12kUOY" TargetMode="External"/><Relationship Id="rId2158" Type="http://schemas.openxmlformats.org/officeDocument/2006/relationships/hyperlink" Target="https://docs.google.com/document/d/1oRz1KX_zW7CuxntjmEpxCI0VWu0Sbe4x-ciFf0KBV9k/edit?usp=drivesdk" TargetMode="External"/><Relationship Id="rId3488" Type="http://schemas.openxmlformats.org/officeDocument/2006/relationships/hyperlink" Target="https://drive.google.com/open?id=1gX0WLNiNlVKEIKRLahbnREuwBG12kUOY" TargetMode="External"/><Relationship Id="rId2104" Type="http://schemas.openxmlformats.org/officeDocument/2006/relationships/hyperlink" Target="https://docs.google.com/document/d/1Irv4Pgwj5UI5iZEJmW16UPHqA7gjsgb37WhmmIIboCU/edit?usp=drivesdk" TargetMode="External"/><Relationship Id="rId3436" Type="http://schemas.openxmlformats.org/officeDocument/2006/relationships/hyperlink" Target="https://docs.google.com/document/d/1m4GVliZGQMl2DY1kP_s74F6gRylxpp0ErBs1x4kS39g/edit?usp=drivesdk" TargetMode="External"/><Relationship Id="rId4767" Type="http://schemas.openxmlformats.org/officeDocument/2006/relationships/hyperlink" Target="https://drive.google.com/uc?export=view&amp;id=1h4tnY61F5167hl5EgF1iKtyMGEYEU0OO" TargetMode="External"/><Relationship Id="rId2105" Type="http://schemas.openxmlformats.org/officeDocument/2006/relationships/hyperlink" Target="https://drive.google.com/open?id=1ND5QvCorhtbnGEFeX_pFKMJu2-lGd4xz" TargetMode="External"/><Relationship Id="rId3435" Type="http://schemas.openxmlformats.org/officeDocument/2006/relationships/hyperlink" Target="https://drive.google.com/uc?export=view&amp;id=1phwpLZqoK0RBN7DJ4eXMrM3fNJ8mXpVo" TargetMode="External"/><Relationship Id="rId4766" Type="http://schemas.openxmlformats.org/officeDocument/2006/relationships/hyperlink" Target="https://drive.google.com/open?id=1h4tnY61F5167hl5EgF1iKtyMGEYEU0OO" TargetMode="External"/><Relationship Id="rId2106" Type="http://schemas.openxmlformats.org/officeDocument/2006/relationships/hyperlink" Target="https://drive.google.com/uc?export=view&amp;id=1ND5QvCorhtbnGEFeX_pFKMJu2-lGd4xz" TargetMode="External"/><Relationship Id="rId3438" Type="http://schemas.openxmlformats.org/officeDocument/2006/relationships/hyperlink" Target="https://drive.google.com/uc?export=view&amp;id=1z9RNBv3Pfxn-ccCoNg3Zr8o00vDFj4A5" TargetMode="External"/><Relationship Id="rId4769" Type="http://schemas.openxmlformats.org/officeDocument/2006/relationships/hyperlink" Target="https://drive.google.com/open?id=19O8PjlGuYvG5uPAGlWW8xaG6454FgjQS" TargetMode="External"/><Relationship Id="rId2107" Type="http://schemas.openxmlformats.org/officeDocument/2006/relationships/hyperlink" Target="https://docs.google.com/document/d/164AYyJsDZ6cvNsntSURDQyZty4ULjYKf75BfJkgcEsg/edit?usp=drivesdk" TargetMode="External"/><Relationship Id="rId3437" Type="http://schemas.openxmlformats.org/officeDocument/2006/relationships/hyperlink" Target="https://drive.google.com/open?id=1z9RNBv3Pfxn-ccCoNg3Zr8o00vDFj4A5" TargetMode="External"/><Relationship Id="rId4768" Type="http://schemas.openxmlformats.org/officeDocument/2006/relationships/hyperlink" Target="https://docs.google.com/document/d/1N7ycZvgtha9EyM_M3E9WBj6uxbRYKJcjCd-RD58FRMw/edit?usp=drivesdk" TargetMode="External"/><Relationship Id="rId2108" Type="http://schemas.openxmlformats.org/officeDocument/2006/relationships/hyperlink" Target="https://drive.google.com/open?id=1SnKpZYcYgrp6clKFN4AF2L0Bf9D68V0_" TargetMode="External"/><Relationship Id="rId2109" Type="http://schemas.openxmlformats.org/officeDocument/2006/relationships/hyperlink" Target="https://drive.google.com/uc?export=view&amp;id=1SnKpZYcYgrp6clKFN4AF2L0Bf9D68V0_" TargetMode="External"/><Relationship Id="rId3439" Type="http://schemas.openxmlformats.org/officeDocument/2006/relationships/hyperlink" Target="https://docs.google.com/document/d/1Izt6US7euRzIewFXOY73cH-PkG77jgAiBncnK6EIVKs/edit?usp=drivesdk" TargetMode="External"/><Relationship Id="rId3430" Type="http://schemas.openxmlformats.org/officeDocument/2006/relationships/hyperlink" Target="https://docs.google.com/document/d/1EkPywKnnbkoyfOhpAKflFXmERhchWYSxbElmsDgijzI/edit?usp=drivesdk" TargetMode="External"/><Relationship Id="rId4761" Type="http://schemas.openxmlformats.org/officeDocument/2006/relationships/hyperlink" Target="https://drive.google.com/uc?export=view&amp;id=1RFdE2YzZJLRb9jHN9yrPxJHP4xw4_7gx" TargetMode="External"/><Relationship Id="rId4760" Type="http://schemas.openxmlformats.org/officeDocument/2006/relationships/hyperlink" Target="https://drive.google.com/open?id=1RFdE2YzZJLRb9jHN9yrPxJHP4xw4_7gx" TargetMode="External"/><Relationship Id="rId2100" Type="http://schemas.openxmlformats.org/officeDocument/2006/relationships/hyperlink" Target="https://drive.google.com/uc?export=view&amp;id=1m85_rOlSLvlLEy_Fvk1YFEmU7dz2Z_Di" TargetMode="External"/><Relationship Id="rId3432" Type="http://schemas.openxmlformats.org/officeDocument/2006/relationships/hyperlink" Target="https://drive.google.com/uc?export=view&amp;id=1YdljxJYR9AX7PWlOpygfWc1Z1qVX_2Ct" TargetMode="External"/><Relationship Id="rId4763" Type="http://schemas.openxmlformats.org/officeDocument/2006/relationships/hyperlink" Target="https://drive.google.com/open?id=1dZXeklV4oKtweZ7xR66y2mwZMmsk8n7a" TargetMode="External"/><Relationship Id="rId2101" Type="http://schemas.openxmlformats.org/officeDocument/2006/relationships/hyperlink" Target="https://docs.google.com/document/d/1DtFm0RPxdY5kELXJARfCyQJ2dPUnHI3dcVOtma7ruNc/edit?usp=drivesdk" TargetMode="External"/><Relationship Id="rId3431" Type="http://schemas.openxmlformats.org/officeDocument/2006/relationships/hyperlink" Target="https://drive.google.com/open?id=1YdljxJYR9AX7PWlOpygfWc1Z1qVX_2Ct" TargetMode="External"/><Relationship Id="rId4762" Type="http://schemas.openxmlformats.org/officeDocument/2006/relationships/hyperlink" Target="https://docs.google.com/document/d/1_xmUQEHM9N6MybRzaCV2rG21cOr8PKT6ZxNXsjOkK2I/edit?usp=drivesdk" TargetMode="External"/><Relationship Id="rId2102" Type="http://schemas.openxmlformats.org/officeDocument/2006/relationships/hyperlink" Target="https://drive.google.com/open?id=1FdIE28Dc5WKEM28ljjBIXnSXxSFzeZQv" TargetMode="External"/><Relationship Id="rId3434" Type="http://schemas.openxmlformats.org/officeDocument/2006/relationships/hyperlink" Target="https://drive.google.com/open?id=1phwpLZqoK0RBN7DJ4eXMrM3fNJ8mXpVo" TargetMode="External"/><Relationship Id="rId4765" Type="http://schemas.openxmlformats.org/officeDocument/2006/relationships/hyperlink" Target="https://docs.google.com/document/d/1fdcJGzYmypl9sH_POIE79GmiJTWrwCO-e2yhLzcVQok/edit?usp=drivesdk" TargetMode="External"/><Relationship Id="rId2103" Type="http://schemas.openxmlformats.org/officeDocument/2006/relationships/hyperlink" Target="https://drive.google.com/uc?export=view&amp;id=1FdIE28Dc5WKEM28ljjBIXnSXxSFzeZQv" TargetMode="External"/><Relationship Id="rId3433" Type="http://schemas.openxmlformats.org/officeDocument/2006/relationships/hyperlink" Target="https://docs.google.com/document/d/1IYA6dpnYuP6Aqgqf5QG9IAOrXSzl8W3VR1dbt2uMx5E/edit?usp=drivesdk" TargetMode="External"/><Relationship Id="rId4764" Type="http://schemas.openxmlformats.org/officeDocument/2006/relationships/hyperlink" Target="https://drive.google.com/uc?export=view&amp;id=1dZXeklV4oKtweZ7xR66y2mwZMmsk8n7a" TargetMode="External"/><Relationship Id="rId3425" Type="http://schemas.openxmlformats.org/officeDocument/2006/relationships/hyperlink" Target="https://drive.google.com/open?id=1OPPMiijcBYN3C0k7k9UHi27SERRjvkYt" TargetMode="External"/><Relationship Id="rId4756" Type="http://schemas.openxmlformats.org/officeDocument/2006/relationships/hyperlink" Target="https://docs.google.com/document/d/1RYotSfAEKP8me3gGL-pX4BijzNPeDpkQnbgzbZ_R1sI/edit?usp=drivesdk" TargetMode="External"/><Relationship Id="rId3424" Type="http://schemas.openxmlformats.org/officeDocument/2006/relationships/hyperlink" Target="https://docs.google.com/document/d/1Mz7mxIEW4suaB3xcovqD0RBquXMKRCMwVvPhP5WJwig/edit?usp=drivesdk" TargetMode="External"/><Relationship Id="rId4755" Type="http://schemas.openxmlformats.org/officeDocument/2006/relationships/hyperlink" Target="https://drive.google.com/uc?export=view&amp;id=13A9zP9tnfSq95d2uxt2wGL4xCqYGK1ue" TargetMode="External"/><Relationship Id="rId3427" Type="http://schemas.openxmlformats.org/officeDocument/2006/relationships/hyperlink" Target="https://docs.google.com/document/d/1XDQfVjKLmr3QwMX9prm7oWdNKTHsFhJn4D6hd77kh1s/edit?usp=drivesdk" TargetMode="External"/><Relationship Id="rId4758" Type="http://schemas.openxmlformats.org/officeDocument/2006/relationships/hyperlink" Target="https://drive.google.com/uc?export=view&amp;id=12sen-T9IdlqIcoCBiBBTEegw1ONPyD2_" TargetMode="External"/><Relationship Id="rId3426" Type="http://schemas.openxmlformats.org/officeDocument/2006/relationships/hyperlink" Target="https://drive.google.com/uc?export=view&amp;id=1OPPMiijcBYN3C0k7k9UHi27SERRjvkYt" TargetMode="External"/><Relationship Id="rId4757" Type="http://schemas.openxmlformats.org/officeDocument/2006/relationships/hyperlink" Target="https://drive.google.com/open?id=12sen-T9IdlqIcoCBiBBTEegw1ONPyD2_" TargetMode="External"/><Relationship Id="rId3429" Type="http://schemas.openxmlformats.org/officeDocument/2006/relationships/hyperlink" Target="https://drive.google.com/uc?export=view&amp;id=1NZaP0BZgkN-1plbLbA58lXMPKhnVQBp6" TargetMode="External"/><Relationship Id="rId3428" Type="http://schemas.openxmlformats.org/officeDocument/2006/relationships/hyperlink" Target="https://drive.google.com/open?id=1NZaP0BZgkN-1plbLbA58lXMPKhnVQBp6" TargetMode="External"/><Relationship Id="rId4759" Type="http://schemas.openxmlformats.org/officeDocument/2006/relationships/hyperlink" Target="https://docs.google.com/document/d/1SKuGwXusTnR9AkG3XG58TJ2tCprqfXUSUhOl-Ka7FFA/edit?usp=drivesdk" TargetMode="External"/><Relationship Id="rId899" Type="http://schemas.openxmlformats.org/officeDocument/2006/relationships/hyperlink" Target="https://drive.google.com/open?id=1K9g5uqPFHlx7dB9kQgnSrpDiLJVeThbn" TargetMode="External"/><Relationship Id="rId898" Type="http://schemas.openxmlformats.org/officeDocument/2006/relationships/hyperlink" Target="https://docs.google.com/document/d/1zcNerjTe2_PYeyIqk0m2YiKLWIpd8WmoSihiSlWmjQo/edit?usp=drivesdk" TargetMode="External"/><Relationship Id="rId897" Type="http://schemas.openxmlformats.org/officeDocument/2006/relationships/hyperlink" Target="https://drive.google.com/uc?export=view&amp;id=1w3jIk_FV2MUkgGHEvyLAuD4ZIQO7J2by" TargetMode="External"/><Relationship Id="rId896" Type="http://schemas.openxmlformats.org/officeDocument/2006/relationships/hyperlink" Target="https://drive.google.com/open?id=1w3jIk_FV2MUkgGHEvyLAuD4ZIQO7J2by" TargetMode="External"/><Relationship Id="rId891" Type="http://schemas.openxmlformats.org/officeDocument/2006/relationships/hyperlink" Target="https://drive.google.com/uc?export=view&amp;id=1RS1Ab8fZclIpHvw8o_l_Hic3H4ASFe0t" TargetMode="External"/><Relationship Id="rId890" Type="http://schemas.openxmlformats.org/officeDocument/2006/relationships/hyperlink" Target="https://drive.google.com/open?id=1RS1Ab8fZclIpHvw8o_l_Hic3H4ASFe0t" TargetMode="External"/><Relationship Id="rId4750" Type="http://schemas.openxmlformats.org/officeDocument/2006/relationships/hyperlink" Target="https://docs.google.com/document/d/1AHelAiImBEwcOwfHbAYi-0F109hhnj7Yn9xtXFOxjas/edit?usp=drivesdk" TargetMode="External"/><Relationship Id="rId895" Type="http://schemas.openxmlformats.org/officeDocument/2006/relationships/hyperlink" Target="https://docs.google.com/document/d/11qr_FUe2wKhmfhPvA6-Wlx50nKsFgFUCjsMp-12EAJE/edit?usp=drivesdk" TargetMode="External"/><Relationship Id="rId3421" Type="http://schemas.openxmlformats.org/officeDocument/2006/relationships/hyperlink" Target="https://docs.google.com/document/d/1CWMtEXEWq7iXVJa67GBf5MkvE0CHbiF-p4O-cN4f13s/edit?usp=drivesdk" TargetMode="External"/><Relationship Id="rId4752" Type="http://schemas.openxmlformats.org/officeDocument/2006/relationships/hyperlink" Target="https://drive.google.com/uc?export=view&amp;id=10SMErNvVRt9b0OpwD3pYnKH2QEK10thT" TargetMode="External"/><Relationship Id="rId894" Type="http://schemas.openxmlformats.org/officeDocument/2006/relationships/hyperlink" Target="https://drive.google.com/uc?export=view&amp;id=1L43sLWZDQFoDRPst33uOVHGUtB9kRcxX" TargetMode="External"/><Relationship Id="rId3420" Type="http://schemas.openxmlformats.org/officeDocument/2006/relationships/hyperlink" Target="https://drive.google.com/uc?export=view&amp;id=1Z-rJWhUamw8giZUknQ79t4HD2XXhjSLi" TargetMode="External"/><Relationship Id="rId4751" Type="http://schemas.openxmlformats.org/officeDocument/2006/relationships/hyperlink" Target="https://drive.google.com/open?id=10SMErNvVRt9b0OpwD3pYnKH2QEK10thT" TargetMode="External"/><Relationship Id="rId893" Type="http://schemas.openxmlformats.org/officeDocument/2006/relationships/hyperlink" Target="https://drive.google.com/open?id=1L43sLWZDQFoDRPst33uOVHGUtB9kRcxX" TargetMode="External"/><Relationship Id="rId3423" Type="http://schemas.openxmlformats.org/officeDocument/2006/relationships/hyperlink" Target="https://drive.google.com/uc?export=view&amp;id=100zPHKTtnxHs-lReTyTxMPM2LLGJBoKU" TargetMode="External"/><Relationship Id="rId4754" Type="http://schemas.openxmlformats.org/officeDocument/2006/relationships/hyperlink" Target="https://drive.google.com/open?id=13A9zP9tnfSq95d2uxt2wGL4xCqYGK1ue" TargetMode="External"/><Relationship Id="rId892" Type="http://schemas.openxmlformats.org/officeDocument/2006/relationships/hyperlink" Target="https://docs.google.com/document/d/1h-Gow7vHSEea2WJLeFXqVQAU12EVPG_LijpwGDbj8L0/edit?usp=drivesdk" TargetMode="External"/><Relationship Id="rId3422" Type="http://schemas.openxmlformats.org/officeDocument/2006/relationships/hyperlink" Target="https://drive.google.com/open?id=100zPHKTtnxHs-lReTyTxMPM2LLGJBoKU" TargetMode="External"/><Relationship Id="rId4753" Type="http://schemas.openxmlformats.org/officeDocument/2006/relationships/hyperlink" Target="https://docs.google.com/document/d/1zsS7nfe_fZehuy47NGh0YyqTSqjimZKiiTJ2crh3tWI/edit?usp=drivesdk" TargetMode="External"/><Relationship Id="rId2126" Type="http://schemas.openxmlformats.org/officeDocument/2006/relationships/hyperlink" Target="https://drive.google.com/open?id=1-Fv-Dka_ocOdkLHmxX3mGyD9rA44S1b6" TargetMode="External"/><Relationship Id="rId3458" Type="http://schemas.openxmlformats.org/officeDocument/2006/relationships/hyperlink" Target="https://drive.google.com/open?id=1GLlQ0kiFPaRp_vFmlWQmQAznAn_3cEkN" TargetMode="External"/><Relationship Id="rId4789" Type="http://schemas.openxmlformats.org/officeDocument/2006/relationships/hyperlink" Target="https://docs.google.com/document/d/1WqGzoLs3SYg0DSMsU-rRJXL1ZVxFEmG1pWIs74sUw2o/edit?usp=drivesdk" TargetMode="External"/><Relationship Id="rId2127" Type="http://schemas.openxmlformats.org/officeDocument/2006/relationships/hyperlink" Target="https://drive.google.com/uc?export=view&amp;id=1-Fv-Dka_ocOdkLHmxX3mGyD9rA44S1b6" TargetMode="External"/><Relationship Id="rId3457" Type="http://schemas.openxmlformats.org/officeDocument/2006/relationships/hyperlink" Target="https://docs.google.com/document/d/10mK00DeZfgquqrUx9pZ1tWqNy8L8xHDshxaz9nxBJB8/edit?usp=drivesdk" TargetMode="External"/><Relationship Id="rId4788" Type="http://schemas.openxmlformats.org/officeDocument/2006/relationships/hyperlink" Target="https://drive.google.com/uc?export=view&amp;id=18aP6Q3ZGieZVJj94lr42F47Ois06otpp" TargetMode="External"/><Relationship Id="rId2128" Type="http://schemas.openxmlformats.org/officeDocument/2006/relationships/hyperlink" Target="https://docs.google.com/document/d/1lHJR6pQLlEbg1TRg8TdcR1oZxYLBsD0LsKYMH0PUCsw/edit?usp=drivesdk" TargetMode="External"/><Relationship Id="rId2129" Type="http://schemas.openxmlformats.org/officeDocument/2006/relationships/hyperlink" Target="https://drive.google.com/open?id=1VpMK3gLRRifiLO_f339fqYFXoGRmWzfC" TargetMode="External"/><Relationship Id="rId3459" Type="http://schemas.openxmlformats.org/officeDocument/2006/relationships/hyperlink" Target="https://drive.google.com/uc?export=view&amp;id=1GLlQ0kiFPaRp_vFmlWQmQAznAn_3cEkN" TargetMode="External"/><Relationship Id="rId3450" Type="http://schemas.openxmlformats.org/officeDocument/2006/relationships/hyperlink" Target="https://drive.google.com/uc?export=view&amp;id=1WhlNykcHAjqTkP6XhWu3kJwo5fVlfZGp" TargetMode="External"/><Relationship Id="rId4781" Type="http://schemas.openxmlformats.org/officeDocument/2006/relationships/hyperlink" Target="https://drive.google.com/open?id=1fdwLCaWrrL9pJ9QS4X8JhwuN0iKDUew7" TargetMode="External"/><Relationship Id="rId4780" Type="http://schemas.openxmlformats.org/officeDocument/2006/relationships/hyperlink" Target="https://docs.google.com/document/d/145_g0ptrQHYsz_iFYVTBGk2hTR1qdFUXpSLzbu4G-t0/edit?usp=drivesdk" TargetMode="External"/><Relationship Id="rId2120" Type="http://schemas.openxmlformats.org/officeDocument/2006/relationships/hyperlink" Target="https://drive.google.com/open?id=1Gd5apNXSHlOVwQLX5A1-9MYxyS7eJpz8" TargetMode="External"/><Relationship Id="rId3452" Type="http://schemas.openxmlformats.org/officeDocument/2006/relationships/hyperlink" Target="https://drive.google.com/open?id=1c5_l6yCQUy2b6TZqZC1PP7TCnsHkj4TS" TargetMode="External"/><Relationship Id="rId4783" Type="http://schemas.openxmlformats.org/officeDocument/2006/relationships/hyperlink" Target="https://docs.google.com/document/d/1RPdtYPPgejNEevztjjOZoF9nWch76kX5RYaRRU8KLcA/edit?usp=drivesdk" TargetMode="External"/><Relationship Id="rId2121" Type="http://schemas.openxmlformats.org/officeDocument/2006/relationships/hyperlink" Target="https://drive.google.com/uc?export=view&amp;id=1Gd5apNXSHlOVwQLX5A1-9MYxyS7eJpz8" TargetMode="External"/><Relationship Id="rId3451" Type="http://schemas.openxmlformats.org/officeDocument/2006/relationships/hyperlink" Target="https://docs.google.com/document/d/1IeQ6a4wGAMyid852NE6kXGTlbS8deaVozUM-n4gwE4k/edit?usp=drivesdk" TargetMode="External"/><Relationship Id="rId4782" Type="http://schemas.openxmlformats.org/officeDocument/2006/relationships/hyperlink" Target="https://drive.google.com/uc?export=view&amp;id=1fdwLCaWrrL9pJ9QS4X8JhwuN0iKDUew7" TargetMode="External"/><Relationship Id="rId2122" Type="http://schemas.openxmlformats.org/officeDocument/2006/relationships/hyperlink" Target="https://docs.google.com/document/d/1nFO7Ypp5hPMoZ0c-VTuz1QcZ-QJAu22ARQLz_Kr-85o/edit?usp=drivesdk" TargetMode="External"/><Relationship Id="rId3454" Type="http://schemas.openxmlformats.org/officeDocument/2006/relationships/hyperlink" Target="https://docs.google.com/document/d/11JS09IO0xLUa0Ze_aZsUE6i2us5nF78y4K8SNJB0eBo/edit?usp=drivesdk" TargetMode="External"/><Relationship Id="rId4785" Type="http://schemas.openxmlformats.org/officeDocument/2006/relationships/hyperlink" Target="https://drive.google.com/uc?export=view&amp;id=14ZV78BJN-Pk-O_RcejZ3qEevcrOnTzMG" TargetMode="External"/><Relationship Id="rId2123" Type="http://schemas.openxmlformats.org/officeDocument/2006/relationships/hyperlink" Target="https://drive.google.com/open?id=1DoVc5Jk9NKbsjmQKC0hXw_SHYrYXU35R" TargetMode="External"/><Relationship Id="rId3453" Type="http://schemas.openxmlformats.org/officeDocument/2006/relationships/hyperlink" Target="https://drive.google.com/uc?export=view&amp;id=1c5_l6yCQUy2b6TZqZC1PP7TCnsHkj4TS" TargetMode="External"/><Relationship Id="rId4784" Type="http://schemas.openxmlformats.org/officeDocument/2006/relationships/hyperlink" Target="https://drive.google.com/open?id=14ZV78BJN-Pk-O_RcejZ3qEevcrOnTzMG" TargetMode="External"/><Relationship Id="rId2124" Type="http://schemas.openxmlformats.org/officeDocument/2006/relationships/hyperlink" Target="https://drive.google.com/uc?export=view&amp;id=1DoVc5Jk9NKbsjmQKC0hXw_SHYrYXU35R" TargetMode="External"/><Relationship Id="rId3456" Type="http://schemas.openxmlformats.org/officeDocument/2006/relationships/hyperlink" Target="https://drive.google.com/uc?export=view&amp;id=1Vd7Ymxo12UU-dX3WrQaJmzwVysHmVd6X" TargetMode="External"/><Relationship Id="rId4787" Type="http://schemas.openxmlformats.org/officeDocument/2006/relationships/hyperlink" Target="https://drive.google.com/open?id=18aP6Q3ZGieZVJj94lr42F47Ois06otpp" TargetMode="External"/><Relationship Id="rId2125" Type="http://schemas.openxmlformats.org/officeDocument/2006/relationships/hyperlink" Target="https://docs.google.com/document/d/1Zo3VB4genmsIacAhQ-6zIhxsOZVp08xZ8hEOQHExEQE/edit?usp=drivesdk" TargetMode="External"/><Relationship Id="rId3455" Type="http://schemas.openxmlformats.org/officeDocument/2006/relationships/hyperlink" Target="https://drive.google.com/open?id=1Vd7Ymxo12UU-dX3WrQaJmzwVysHmVd6X" TargetMode="External"/><Relationship Id="rId4786" Type="http://schemas.openxmlformats.org/officeDocument/2006/relationships/hyperlink" Target="https://docs.google.com/document/d/1KDE95FQxz_ZC1gywGbEB_eL93pt4U0ueJyg8x7qGXA4/edit?usp=drivesdk" TargetMode="External"/><Relationship Id="rId2115" Type="http://schemas.openxmlformats.org/officeDocument/2006/relationships/hyperlink" Target="https://drive.google.com/uc?export=view&amp;id=12sAUxFm6MgcjS2oPkAuqV0Uc8LAopBFS" TargetMode="External"/><Relationship Id="rId3447" Type="http://schemas.openxmlformats.org/officeDocument/2006/relationships/hyperlink" Target="https://drive.google.com/uc?export=view&amp;id=1dFh0x6VjlOFmsN9L9AcmRhglfTLiUWL5" TargetMode="External"/><Relationship Id="rId4778" Type="http://schemas.openxmlformats.org/officeDocument/2006/relationships/hyperlink" Target="https://drive.google.com/open?id=1YRNUhHUAcm8QrNAEJDZ7Y_dVI4XGhr3N" TargetMode="External"/><Relationship Id="rId2116" Type="http://schemas.openxmlformats.org/officeDocument/2006/relationships/hyperlink" Target="https://docs.google.com/document/d/1BDdAYzHlqaTzsb6O2ZQkdvcNMx-VZ0JQUvrh46pfd0g/edit?usp=drivesdk" TargetMode="External"/><Relationship Id="rId3446" Type="http://schemas.openxmlformats.org/officeDocument/2006/relationships/hyperlink" Target="https://drive.google.com/open?id=1dFh0x6VjlOFmsN9L9AcmRhglfTLiUWL5" TargetMode="External"/><Relationship Id="rId4777" Type="http://schemas.openxmlformats.org/officeDocument/2006/relationships/hyperlink" Target="https://docs.google.com/document/d/1aw38N26gL5C5SRSfjsOvoE72XRSmBkO0eSFSsXac66M/edit?usp=drivesdk" TargetMode="External"/><Relationship Id="rId2117" Type="http://schemas.openxmlformats.org/officeDocument/2006/relationships/hyperlink" Target="https://drive.google.com/open?id=1ZtENaiWjpCQVmdnr6uB7_Frih_5Sl_JZ" TargetMode="External"/><Relationship Id="rId3449" Type="http://schemas.openxmlformats.org/officeDocument/2006/relationships/hyperlink" Target="https://drive.google.com/open?id=1WhlNykcHAjqTkP6XhWu3kJwo5fVlfZGp" TargetMode="External"/><Relationship Id="rId2118" Type="http://schemas.openxmlformats.org/officeDocument/2006/relationships/hyperlink" Target="https://drive.google.com/uc?export=view&amp;id=1ZtENaiWjpCQVmdnr6uB7_Frih_5Sl_JZ" TargetMode="External"/><Relationship Id="rId3448" Type="http://schemas.openxmlformats.org/officeDocument/2006/relationships/hyperlink" Target="https://docs.google.com/document/d/1pSVXwLmUaYAoRYI6roMG_OkYB6PWrz6n4ny_UiVP8oo/edit?usp=drivesdk" TargetMode="External"/><Relationship Id="rId4779" Type="http://schemas.openxmlformats.org/officeDocument/2006/relationships/hyperlink" Target="https://drive.google.com/uc?export=view&amp;id=1YRNUhHUAcm8QrNAEJDZ7Y_dVI4XGhr3N" TargetMode="External"/><Relationship Id="rId2119" Type="http://schemas.openxmlformats.org/officeDocument/2006/relationships/hyperlink" Target="https://docs.google.com/document/d/1a8qPe195DKRWn-e5DnJwSOhDfuPUkTR6rvKrNHa5nPU/edit?usp=drivesdk" TargetMode="External"/><Relationship Id="rId4770" Type="http://schemas.openxmlformats.org/officeDocument/2006/relationships/hyperlink" Target="https://drive.google.com/uc?export=view&amp;id=19O8PjlGuYvG5uPAGlWW8xaG6454FgjQS" TargetMode="External"/><Relationship Id="rId3441" Type="http://schemas.openxmlformats.org/officeDocument/2006/relationships/hyperlink" Target="https://drive.google.com/uc?export=view&amp;id=1Xz08AYrBFgUiKYx1brNqG9z2jNWficYl" TargetMode="External"/><Relationship Id="rId4772" Type="http://schemas.openxmlformats.org/officeDocument/2006/relationships/hyperlink" Target="https://drive.google.com/open?id=1vhhEkgFEZGkmsTr6PDKHihlEhWIgjHpG" TargetMode="External"/><Relationship Id="rId2110" Type="http://schemas.openxmlformats.org/officeDocument/2006/relationships/hyperlink" Target="https://docs.google.com/document/d/1U7A22Vd_WFifxQTy0N226WR824hPZenjHj_5-SZWI40/edit?usp=drivesdk" TargetMode="External"/><Relationship Id="rId3440" Type="http://schemas.openxmlformats.org/officeDocument/2006/relationships/hyperlink" Target="https://drive.google.com/open?id=1Xz08AYrBFgUiKYx1brNqG9z2jNWficYl" TargetMode="External"/><Relationship Id="rId4771" Type="http://schemas.openxmlformats.org/officeDocument/2006/relationships/hyperlink" Target="https://docs.google.com/document/d/1MsO9mWscFTaZAvriybEUt0trAH2YZvSEPiJ7yEquDNA/edit?usp=drivesdk" TargetMode="External"/><Relationship Id="rId2111" Type="http://schemas.openxmlformats.org/officeDocument/2006/relationships/hyperlink" Target="https://drive.google.com/open?id=18JQ6ZPUD8d48Fm_ER5HNTS7ql5mijihZ" TargetMode="External"/><Relationship Id="rId3443" Type="http://schemas.openxmlformats.org/officeDocument/2006/relationships/hyperlink" Target="https://drive.google.com/open?id=1nII0sJJIzS7vKhahcbu29OpAwsMQCQrv" TargetMode="External"/><Relationship Id="rId4774" Type="http://schemas.openxmlformats.org/officeDocument/2006/relationships/hyperlink" Target="https://docs.google.com/document/d/18Qd_2FGszbjEkGUmf1U6zFN5_aw11lXe7bFaZU4bedE/edit?usp=drivesdk" TargetMode="External"/><Relationship Id="rId2112" Type="http://schemas.openxmlformats.org/officeDocument/2006/relationships/hyperlink" Target="https://drive.google.com/uc?export=view&amp;id=18JQ6ZPUD8d48Fm_ER5HNTS7ql5mijihZ" TargetMode="External"/><Relationship Id="rId3442" Type="http://schemas.openxmlformats.org/officeDocument/2006/relationships/hyperlink" Target="https://docs.google.com/document/d/1ymVkLwQu7DaDM0bsa1LcRbntjUKg3GbO7aCHC_ijKd8/edit?usp=drivesdk" TargetMode="External"/><Relationship Id="rId4773" Type="http://schemas.openxmlformats.org/officeDocument/2006/relationships/hyperlink" Target="https://drive.google.com/uc?export=view&amp;id=1vhhEkgFEZGkmsTr6PDKHihlEhWIgjHpG" TargetMode="External"/><Relationship Id="rId2113" Type="http://schemas.openxmlformats.org/officeDocument/2006/relationships/hyperlink" Target="https://docs.google.com/document/d/1sMII6v3ix5Ch2fgj1u0NtnfezevFT_QV-Xq_M5FzHds/edit?usp=drivesdk" TargetMode="External"/><Relationship Id="rId3445" Type="http://schemas.openxmlformats.org/officeDocument/2006/relationships/hyperlink" Target="https://docs.google.com/document/d/19PFz-vXH82SomCFcFRQj2qjeSw4pdoW7JBgmH0mbe5s/edit?usp=drivesdk" TargetMode="External"/><Relationship Id="rId4776" Type="http://schemas.openxmlformats.org/officeDocument/2006/relationships/hyperlink" Target="https://drive.google.com/uc?export=view&amp;id=1SyyZWwGN6dmqssHbyhUtSWDiUjbNx64l" TargetMode="External"/><Relationship Id="rId2114" Type="http://schemas.openxmlformats.org/officeDocument/2006/relationships/hyperlink" Target="https://drive.google.com/open?id=12sAUxFm6MgcjS2oPkAuqV0Uc8LAopBFS" TargetMode="External"/><Relationship Id="rId3444" Type="http://schemas.openxmlformats.org/officeDocument/2006/relationships/hyperlink" Target="https://drive.google.com/uc?export=view&amp;id=1nII0sJJIzS7vKhahcbu29OpAwsMQCQrv" TargetMode="External"/><Relationship Id="rId4775" Type="http://schemas.openxmlformats.org/officeDocument/2006/relationships/hyperlink" Target="https://drive.google.com/open?id=1SyyZWwGN6dmqssHbyhUtSWDiUjbNx64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63"/>
    <col customWidth="1" min="3" max="3" width="26.0"/>
    <col customWidth="1" min="4" max="4" width="30.38"/>
    <col customWidth="1" min="5" max="41" width="18.88"/>
    <col customWidth="1" min="42" max="42" width="208.25"/>
    <col customWidth="1" min="43" max="44" width="18.88"/>
  </cols>
  <sheetData>
    <row r="1">
      <c r="A1" s="2" t="s">
        <v>2</v>
      </c>
      <c r="B1" s="1" t="s">
        <v>34</v>
      </c>
      <c r="C1" s="2" t="str">
        <f t="array" ref="C1:C1698">IF(ROW(D:D)=1, "Photo URL",SUBSTITUTE(B:B, "open?", "uc?export=view&amp;"))</f>
        <v>Photo URL</v>
      </c>
      <c r="D1" s="2" t="s">
        <v>55</v>
      </c>
      <c r="E1" s="2" t="s">
        <v>56</v>
      </c>
      <c r="F1" s="1" t="s">
        <v>57</v>
      </c>
      <c r="G1" s="2" t="s">
        <v>58</v>
      </c>
      <c r="H1" s="2" t="s">
        <v>59</v>
      </c>
      <c r="I1" s="2" t="s">
        <v>60</v>
      </c>
      <c r="J1" s="2" t="s">
        <v>61</v>
      </c>
      <c r="K1" s="2" t="s">
        <v>62</v>
      </c>
      <c r="L1" s="2" t="s">
        <v>63</v>
      </c>
      <c r="M1" s="1" t="s">
        <v>64</v>
      </c>
      <c r="N1" s="2" t="s">
        <v>65</v>
      </c>
      <c r="O1" s="2" t="s">
        <v>66</v>
      </c>
      <c r="P1" s="1" t="s">
        <v>67</v>
      </c>
      <c r="Q1" s="1" t="s">
        <v>68</v>
      </c>
      <c r="R1" s="2" t="s">
        <v>69</v>
      </c>
      <c r="S1" s="2" t="s">
        <v>70</v>
      </c>
      <c r="T1" s="1" t="s">
        <v>71</v>
      </c>
      <c r="U1" s="2" t="s">
        <v>72</v>
      </c>
      <c r="V1" s="2" t="s">
        <v>73</v>
      </c>
      <c r="W1" s="1" t="s">
        <v>74</v>
      </c>
      <c r="X1" s="2" t="s">
        <v>75</v>
      </c>
      <c r="Y1" s="2" t="s">
        <v>76</v>
      </c>
      <c r="Z1" s="2" t="s">
        <v>77</v>
      </c>
      <c r="AA1" s="2" t="s">
        <v>78</v>
      </c>
      <c r="AB1" s="2" t="s">
        <v>79</v>
      </c>
      <c r="AC1" s="2" t="s">
        <v>80</v>
      </c>
      <c r="AD1" s="2" t="s">
        <v>81</v>
      </c>
      <c r="AE1" s="2" t="s">
        <v>82</v>
      </c>
      <c r="AF1" s="2" t="s">
        <v>83</v>
      </c>
      <c r="AG1" s="1" t="s">
        <v>84</v>
      </c>
      <c r="AH1" s="1" t="s">
        <v>85</v>
      </c>
      <c r="AI1" s="1" t="s">
        <v>86</v>
      </c>
      <c r="AJ1" s="1" t="s">
        <v>87</v>
      </c>
      <c r="AK1" s="1" t="s">
        <v>88</v>
      </c>
      <c r="AL1" s="1" t="s">
        <v>89</v>
      </c>
      <c r="AM1" s="5" t="s">
        <v>90</v>
      </c>
      <c r="AN1" s="5" t="s">
        <v>91</v>
      </c>
      <c r="AO1" s="5" t="s">
        <v>92</v>
      </c>
      <c r="AP1" s="5" t="s">
        <v>93</v>
      </c>
    </row>
    <row r="2">
      <c r="A2" s="6">
        <v>44010.401509386575</v>
      </c>
      <c r="B2" s="7" t="s">
        <v>94</v>
      </c>
      <c r="C2" s="8" t="s">
        <v>95</v>
      </c>
      <c r="D2" s="1" t="s">
        <v>96</v>
      </c>
      <c r="E2" s="9" t="s">
        <v>97</v>
      </c>
      <c r="F2" s="1">
        <v>3.60322440692006E14</v>
      </c>
      <c r="G2" s="1" t="s">
        <v>98</v>
      </c>
      <c r="H2" s="1" t="s">
        <v>99</v>
      </c>
      <c r="I2" s="1" t="s">
        <v>100</v>
      </c>
      <c r="J2" s="1" t="s">
        <v>101</v>
      </c>
      <c r="K2" s="1" t="s">
        <v>102</v>
      </c>
      <c r="L2" s="1" t="s">
        <v>103</v>
      </c>
      <c r="M2" s="1" t="s">
        <v>104</v>
      </c>
      <c r="N2" s="1" t="s">
        <v>105</v>
      </c>
      <c r="O2" s="1" t="s">
        <v>106</v>
      </c>
      <c r="P2" s="1" t="s">
        <v>107</v>
      </c>
      <c r="Q2" s="1" t="s">
        <v>108</v>
      </c>
      <c r="R2" s="1" t="s">
        <v>109</v>
      </c>
      <c r="S2" s="1" t="s">
        <v>110</v>
      </c>
      <c r="Z2" s="1" t="s">
        <v>111</v>
      </c>
      <c r="AA2" s="10">
        <v>5300000.0</v>
      </c>
      <c r="AB2" s="1" t="s">
        <v>112</v>
      </c>
      <c r="AC2" s="10">
        <v>3200000.0</v>
      </c>
      <c r="AD2" s="1" t="s">
        <v>113</v>
      </c>
      <c r="AE2" s="10">
        <v>3500000.0</v>
      </c>
      <c r="AF2" s="10">
        <v>5000000.0</v>
      </c>
      <c r="AG2" s="9" t="s">
        <v>114</v>
      </c>
      <c r="AM2" s="1" t="s">
        <v>115</v>
      </c>
      <c r="AN2" s="7" t="s">
        <v>116</v>
      </c>
      <c r="AO2" s="8" t="str">
        <f>HYPERLINK("https://drive.google.com/file/d/1VLCR9RE8UQfa-7DdLQA0fhBaMuJu3CP4/view?usp=drivesdk","Siti Hajrul Jamilah, S.Pd.")</f>
        <v>Siti Hajrul Jamilah, S.Pd.</v>
      </c>
      <c r="AP2" s="1" t="s">
        <v>117</v>
      </c>
    </row>
    <row r="3">
      <c r="A3" s="6">
        <v>44010.423494930554</v>
      </c>
      <c r="B3" s="7" t="s">
        <v>118</v>
      </c>
      <c r="C3" s="8" t="s">
        <v>119</v>
      </c>
      <c r="D3" s="1" t="s">
        <v>120</v>
      </c>
      <c r="E3" s="9" t="s">
        <v>121</v>
      </c>
      <c r="F3" s="1" t="s">
        <v>122</v>
      </c>
      <c r="G3" s="1" t="s">
        <v>123</v>
      </c>
      <c r="H3" s="1" t="s">
        <v>124</v>
      </c>
      <c r="I3" s="9" t="s">
        <v>125</v>
      </c>
      <c r="J3" s="1">
        <v>30.0</v>
      </c>
      <c r="K3" s="1" t="s">
        <v>102</v>
      </c>
      <c r="L3" s="1" t="s">
        <v>103</v>
      </c>
      <c r="M3" s="1" t="s">
        <v>104</v>
      </c>
      <c r="N3" s="1" t="s">
        <v>126</v>
      </c>
      <c r="O3" s="1" t="s">
        <v>127</v>
      </c>
      <c r="P3" s="1" t="s">
        <v>128</v>
      </c>
      <c r="Q3" s="1" t="s">
        <v>129</v>
      </c>
      <c r="R3" s="1" t="s">
        <v>130</v>
      </c>
      <c r="S3" s="1" t="s">
        <v>131</v>
      </c>
      <c r="T3" s="1" t="s">
        <v>132</v>
      </c>
      <c r="U3" s="1" t="s">
        <v>133</v>
      </c>
      <c r="V3" s="1" t="s">
        <v>134</v>
      </c>
      <c r="Z3" s="1" t="s">
        <v>135</v>
      </c>
      <c r="AA3" s="10">
        <v>4000000.0</v>
      </c>
      <c r="AB3" s="1" t="s">
        <v>136</v>
      </c>
      <c r="AC3" s="1" t="s">
        <v>137</v>
      </c>
      <c r="AF3" s="1" t="s">
        <v>138</v>
      </c>
      <c r="AH3" s="1">
        <v>8.830744445E9</v>
      </c>
      <c r="AI3" s="3"/>
      <c r="AJ3" s="3"/>
      <c r="AK3" s="3"/>
      <c r="AL3" s="3"/>
      <c r="AM3" s="1" t="s">
        <v>139</v>
      </c>
      <c r="AN3" s="7" t="s">
        <v>140</v>
      </c>
      <c r="AO3" s="8" t="str">
        <f>HYPERLINK("https://drive.google.com/file/d/14HDTZiKFFpf-s6RG3RfVrW8bmRJFPzXk/view?usp=drivesdk","Efu Aldria Putra, S.Pd.")</f>
        <v>Efu Aldria Putra, S.Pd.</v>
      </c>
      <c r="AP3" s="1" t="s">
        <v>141</v>
      </c>
    </row>
    <row r="4">
      <c r="A4" s="6">
        <v>44010.469384386575</v>
      </c>
      <c r="B4" s="7" t="s">
        <v>142</v>
      </c>
      <c r="C4" s="8" t="s">
        <v>143</v>
      </c>
      <c r="D4" s="1" t="s">
        <v>144</v>
      </c>
      <c r="E4" s="9" t="s">
        <v>145</v>
      </c>
      <c r="F4" s="1" t="s">
        <v>146</v>
      </c>
      <c r="G4" s="1" t="s">
        <v>147</v>
      </c>
      <c r="H4" s="1" t="s">
        <v>148</v>
      </c>
      <c r="I4" s="9" t="s">
        <v>149</v>
      </c>
      <c r="J4" s="1" t="s">
        <v>150</v>
      </c>
      <c r="K4" s="1" t="s">
        <v>151</v>
      </c>
      <c r="L4" s="1" t="s">
        <v>103</v>
      </c>
      <c r="M4" s="1" t="s">
        <v>104</v>
      </c>
      <c r="N4" s="1" t="s">
        <v>152</v>
      </c>
      <c r="O4" s="1" t="s">
        <v>127</v>
      </c>
      <c r="P4" s="1" t="s">
        <v>107</v>
      </c>
      <c r="Q4" s="1" t="s">
        <v>153</v>
      </c>
      <c r="R4" s="1" t="s">
        <v>154</v>
      </c>
      <c r="S4" s="1" t="s">
        <v>155</v>
      </c>
      <c r="Z4" s="1" t="s">
        <v>156</v>
      </c>
      <c r="AA4" s="1">
        <v>3460000.0</v>
      </c>
      <c r="AB4" s="1" t="s">
        <v>157</v>
      </c>
      <c r="AC4" s="1">
        <v>4590000.0</v>
      </c>
      <c r="AF4" s="1">
        <v>4500000.0</v>
      </c>
      <c r="AG4" s="9" t="s">
        <v>158</v>
      </c>
      <c r="AI4" s="1" t="s">
        <v>159</v>
      </c>
      <c r="AJ4" s="3"/>
      <c r="AK4" s="3"/>
      <c r="AL4" s="3"/>
      <c r="AM4" s="1" t="s">
        <v>160</v>
      </c>
      <c r="AN4" s="7" t="s">
        <v>161</v>
      </c>
      <c r="AO4" s="8" t="str">
        <f>HYPERLINK("https://docs.google.com/document/d/1L9a9-WeYwiNdCrpG5CWzGV_R4jpOMHLU1D_ZPOj2Xjs/edit?usp=drivesdk","Teja Komara, S.S.")</f>
        <v>Teja Komara, S.S.</v>
      </c>
      <c r="AP4" s="1" t="s">
        <v>162</v>
      </c>
    </row>
    <row r="5">
      <c r="A5" s="6">
        <v>44010.56611133102</v>
      </c>
      <c r="B5" s="7" t="s">
        <v>163</v>
      </c>
      <c r="C5" s="8" t="s">
        <v>164</v>
      </c>
      <c r="D5" s="1" t="s">
        <v>165</v>
      </c>
      <c r="E5" s="9" t="s">
        <v>166</v>
      </c>
      <c r="F5" s="1" t="s">
        <v>167</v>
      </c>
      <c r="G5" s="1" t="s">
        <v>168</v>
      </c>
      <c r="H5" s="1" t="s">
        <v>169</v>
      </c>
      <c r="I5" s="1">
        <v>1.7121987E7</v>
      </c>
      <c r="J5" s="1" t="s">
        <v>170</v>
      </c>
      <c r="K5" s="1" t="s">
        <v>102</v>
      </c>
      <c r="L5" s="1" t="s">
        <v>103</v>
      </c>
      <c r="M5" s="1" t="s">
        <v>104</v>
      </c>
      <c r="N5" s="1" t="s">
        <v>152</v>
      </c>
      <c r="O5" s="1" t="s">
        <v>127</v>
      </c>
      <c r="P5" s="1" t="s">
        <v>128</v>
      </c>
      <c r="Q5" s="1" t="s">
        <v>171</v>
      </c>
      <c r="R5" s="1" t="s">
        <v>172</v>
      </c>
      <c r="S5" s="1" t="s">
        <v>173</v>
      </c>
      <c r="Z5" s="1" t="s">
        <v>174</v>
      </c>
      <c r="AA5" s="10">
        <v>4500000.0</v>
      </c>
      <c r="AB5" s="1" t="s">
        <v>175</v>
      </c>
      <c r="AC5" s="1" t="s">
        <v>176</v>
      </c>
      <c r="AF5" s="1" t="s">
        <v>177</v>
      </c>
      <c r="AG5" s="1">
        <v>5.73108092E8</v>
      </c>
      <c r="AI5" s="1" t="s">
        <v>178</v>
      </c>
      <c r="AJ5" s="3"/>
      <c r="AK5" s="3"/>
      <c r="AL5" s="3"/>
      <c r="AM5" s="1" t="s">
        <v>179</v>
      </c>
      <c r="AN5" s="7" t="s">
        <v>180</v>
      </c>
      <c r="AO5" s="8" t="str">
        <f>HYPERLINK("https://docs.google.com/document/d/1ClqYj9NS_ZHuEtCbdFoih_E5uosYUc-WWURCSQZbi1M/edit?usp=drivesdk","Krisna Wicaksono Sumargo, A.Md.")</f>
        <v>Krisna Wicaksono Sumargo, A.Md.</v>
      </c>
      <c r="AP5" s="1" t="s">
        <v>181</v>
      </c>
    </row>
    <row r="6">
      <c r="A6" s="6">
        <v>44010.60915689815</v>
      </c>
      <c r="B6" s="7" t="s">
        <v>182</v>
      </c>
      <c r="C6" s="8" t="s">
        <v>183</v>
      </c>
      <c r="D6" s="1" t="s">
        <v>184</v>
      </c>
      <c r="E6" s="9" t="s">
        <v>185</v>
      </c>
      <c r="F6" s="1" t="s">
        <v>186</v>
      </c>
      <c r="G6" s="1" t="s">
        <v>187</v>
      </c>
      <c r="H6" s="1" t="s">
        <v>188</v>
      </c>
      <c r="I6" s="9" t="s">
        <v>189</v>
      </c>
      <c r="J6" s="1" t="s">
        <v>190</v>
      </c>
      <c r="K6" s="1" t="s">
        <v>102</v>
      </c>
      <c r="L6" s="1" t="s">
        <v>103</v>
      </c>
      <c r="M6" s="1" t="s">
        <v>104</v>
      </c>
      <c r="N6" s="1" t="s">
        <v>191</v>
      </c>
      <c r="O6" s="1" t="s">
        <v>106</v>
      </c>
      <c r="P6" s="1" t="s">
        <v>128</v>
      </c>
      <c r="Q6" s="1" t="s">
        <v>192</v>
      </c>
      <c r="R6" s="1" t="s">
        <v>193</v>
      </c>
      <c r="S6" s="1" t="s">
        <v>155</v>
      </c>
      <c r="Z6" s="1" t="s">
        <v>194</v>
      </c>
      <c r="AA6" s="1" t="s">
        <v>195</v>
      </c>
      <c r="AB6" s="1" t="s">
        <v>196</v>
      </c>
      <c r="AC6" s="1" t="s">
        <v>197</v>
      </c>
      <c r="AD6" s="1" t="s">
        <v>198</v>
      </c>
      <c r="AE6" s="1" t="s">
        <v>199</v>
      </c>
      <c r="AF6" s="1" t="s">
        <v>200</v>
      </c>
      <c r="AG6" s="9" t="s">
        <v>201</v>
      </c>
      <c r="AI6" s="1" t="s">
        <v>178</v>
      </c>
      <c r="AJ6" s="3"/>
      <c r="AK6" s="3"/>
      <c r="AL6" s="3"/>
      <c r="AM6" s="1" t="s">
        <v>202</v>
      </c>
      <c r="AN6" s="7" t="s">
        <v>203</v>
      </c>
      <c r="AO6" s="8" t="str">
        <f>HYPERLINK("https://docs.google.com/document/d/1IDdtK6y8J1eu5vjsfwAQ_g0GT7_LigcXxGajYOrzeto/edit?usp=drivesdk","Moh Nur Nugraha")</f>
        <v>Moh Nur Nugraha</v>
      </c>
      <c r="AP6" s="1" t="s">
        <v>204</v>
      </c>
    </row>
    <row r="7">
      <c r="A7" s="6">
        <v>44010.61216921297</v>
      </c>
      <c r="B7" s="7" t="s">
        <v>205</v>
      </c>
      <c r="C7" s="8" t="s">
        <v>206</v>
      </c>
      <c r="D7" s="1" t="s">
        <v>207</v>
      </c>
      <c r="E7" s="9" t="s">
        <v>208</v>
      </c>
      <c r="F7" s="1" t="s">
        <v>209</v>
      </c>
      <c r="G7" s="1" t="s">
        <v>210</v>
      </c>
      <c r="H7" s="1" t="s">
        <v>99</v>
      </c>
      <c r="I7" s="9" t="s">
        <v>211</v>
      </c>
      <c r="J7" s="1" t="s">
        <v>212</v>
      </c>
      <c r="K7" s="1" t="s">
        <v>102</v>
      </c>
      <c r="L7" s="1" t="s">
        <v>103</v>
      </c>
      <c r="M7" s="1" t="s">
        <v>213</v>
      </c>
      <c r="O7" s="1" t="s">
        <v>127</v>
      </c>
      <c r="P7" s="1" t="s">
        <v>128</v>
      </c>
      <c r="Q7" s="1" t="s">
        <v>214</v>
      </c>
      <c r="R7" s="1" t="s">
        <v>215</v>
      </c>
      <c r="S7" s="1" t="s">
        <v>216</v>
      </c>
      <c r="T7" s="1" t="s">
        <v>217</v>
      </c>
      <c r="U7" s="1" t="s">
        <v>217</v>
      </c>
      <c r="V7" s="1" t="s">
        <v>217</v>
      </c>
      <c r="W7" s="1" t="s">
        <v>217</v>
      </c>
      <c r="X7" s="1" t="s">
        <v>217</v>
      </c>
      <c r="Z7" s="1" t="s">
        <v>218</v>
      </c>
      <c r="AA7" s="10">
        <v>4160000.0</v>
      </c>
      <c r="AB7" s="1" t="s">
        <v>219</v>
      </c>
      <c r="AC7" s="10">
        <v>4200000.0</v>
      </c>
      <c r="AD7" s="1" t="s">
        <v>220</v>
      </c>
      <c r="AE7" s="10">
        <v>4500000.0</v>
      </c>
      <c r="AF7" s="10">
        <v>6000000.0</v>
      </c>
      <c r="AG7" s="9" t="s">
        <v>221</v>
      </c>
      <c r="AH7" s="1">
        <v>7.640784266E9</v>
      </c>
      <c r="AI7" s="1" t="s">
        <v>222</v>
      </c>
      <c r="AJ7" s="3"/>
      <c r="AK7" s="3"/>
      <c r="AL7" s="3"/>
      <c r="AM7" s="1" t="s">
        <v>223</v>
      </c>
      <c r="AN7" s="7" t="s">
        <v>224</v>
      </c>
      <c r="AO7" s="8" t="str">
        <f>HYPERLINK("https://docs.google.com/document/d/1lljHNYVQ8qU2zbDRLBcByoUnTtLjZMMkK4bZwgWKUmU/edit?usp=drivesdk","Yusril Maulana, S.E")</f>
        <v>Yusril Maulana, S.E</v>
      </c>
      <c r="AP7" s="1" t="s">
        <v>225</v>
      </c>
    </row>
    <row r="8">
      <c r="A8" s="6">
        <v>44010.63651930555</v>
      </c>
      <c r="B8" s="7" t="s">
        <v>226</v>
      </c>
      <c r="C8" s="8" t="s">
        <v>227</v>
      </c>
      <c r="D8" s="1" t="s">
        <v>228</v>
      </c>
      <c r="E8" s="9" t="s">
        <v>229</v>
      </c>
      <c r="F8" s="1" t="s">
        <v>230</v>
      </c>
      <c r="G8" s="1" t="s">
        <v>231</v>
      </c>
      <c r="H8" s="1" t="s">
        <v>232</v>
      </c>
      <c r="I8" s="1" t="s">
        <v>233</v>
      </c>
      <c r="J8" s="1" t="s">
        <v>234</v>
      </c>
      <c r="K8" s="1" t="s">
        <v>102</v>
      </c>
      <c r="L8" s="1" t="s">
        <v>103</v>
      </c>
      <c r="M8" s="1" t="s">
        <v>104</v>
      </c>
      <c r="N8" s="1" t="s">
        <v>235</v>
      </c>
      <c r="O8" s="1" t="s">
        <v>236</v>
      </c>
      <c r="P8" s="1" t="s">
        <v>237</v>
      </c>
      <c r="Q8" s="1" t="s">
        <v>238</v>
      </c>
      <c r="R8" s="1" t="s">
        <v>239</v>
      </c>
      <c r="S8" s="1" t="s">
        <v>240</v>
      </c>
      <c r="Z8" s="1" t="s">
        <v>241</v>
      </c>
      <c r="AA8" s="10">
        <v>4000000.0</v>
      </c>
      <c r="AF8" s="1" t="s">
        <v>242</v>
      </c>
      <c r="AG8" s="9" t="s">
        <v>243</v>
      </c>
      <c r="AI8" s="1" t="s">
        <v>178</v>
      </c>
      <c r="AJ8" s="3"/>
      <c r="AK8" s="3"/>
      <c r="AL8" s="3"/>
      <c r="AM8" s="1" t="s">
        <v>244</v>
      </c>
      <c r="AN8" s="7" t="s">
        <v>245</v>
      </c>
      <c r="AO8" s="8" t="str">
        <f>HYPERLINK("https://docs.google.com/document/d/1ViHyE4JGxDWZupHdUk4zAt49i7smMwFbTh1Z6OkpPwQ/edit?usp=drivesdk","Safruddin Baderan S.pd")</f>
        <v>Safruddin Baderan S.pd</v>
      </c>
      <c r="AP8" s="1" t="s">
        <v>246</v>
      </c>
    </row>
    <row r="9">
      <c r="A9" s="6">
        <v>44010.69784782408</v>
      </c>
      <c r="B9" s="7" t="s">
        <v>247</v>
      </c>
      <c r="C9" s="8" t="s">
        <v>248</v>
      </c>
      <c r="D9" s="1" t="s">
        <v>249</v>
      </c>
      <c r="E9" s="9" t="s">
        <v>250</v>
      </c>
      <c r="F9" s="1" t="s">
        <v>251</v>
      </c>
      <c r="G9" s="1" t="s">
        <v>252</v>
      </c>
      <c r="H9" s="1" t="s">
        <v>253</v>
      </c>
      <c r="I9" s="9" t="s">
        <v>254</v>
      </c>
      <c r="J9" s="1" t="s">
        <v>255</v>
      </c>
      <c r="K9" s="1" t="s">
        <v>102</v>
      </c>
      <c r="L9" s="1" t="s">
        <v>256</v>
      </c>
      <c r="M9" s="1" t="s">
        <v>104</v>
      </c>
      <c r="N9" s="1" t="s">
        <v>257</v>
      </c>
      <c r="O9" s="1" t="s">
        <v>106</v>
      </c>
      <c r="P9" s="1" t="s">
        <v>237</v>
      </c>
      <c r="Q9" s="1" t="s">
        <v>258</v>
      </c>
      <c r="R9" s="1" t="s">
        <v>259</v>
      </c>
      <c r="S9" s="1">
        <v>3.49</v>
      </c>
      <c r="Z9" s="1" t="s">
        <v>260</v>
      </c>
      <c r="AA9" s="10">
        <v>3000000.0</v>
      </c>
      <c r="AB9" s="1" t="s">
        <v>261</v>
      </c>
      <c r="AC9" s="10">
        <v>4000000.0</v>
      </c>
      <c r="AF9" s="10">
        <v>5000000.0</v>
      </c>
      <c r="AG9" s="9" t="s">
        <v>262</v>
      </c>
      <c r="AM9" s="1" t="s">
        <v>263</v>
      </c>
      <c r="AN9" s="7" t="s">
        <v>264</v>
      </c>
      <c r="AO9" s="8" t="str">
        <f>HYPERLINK("https://docs.google.com/document/d/1X-orkqKk3fbi9_gK7KYFV4yxYUTJVb4yHi10hKKhnfw/edit?usp=drivesdk","Martin Daniel S.Pd A.H")</f>
        <v>Martin Daniel S.Pd A.H</v>
      </c>
      <c r="AP9" s="1" t="s">
        <v>265</v>
      </c>
    </row>
    <row r="10">
      <c r="A10" s="6">
        <v>44010.732022384254</v>
      </c>
      <c r="B10" s="7" t="s">
        <v>266</v>
      </c>
      <c r="C10" s="8" t="s">
        <v>267</v>
      </c>
      <c r="D10" s="1" t="s">
        <v>268</v>
      </c>
      <c r="E10" s="9" t="s">
        <v>269</v>
      </c>
      <c r="F10" s="1" t="s">
        <v>270</v>
      </c>
      <c r="G10" s="1" t="s">
        <v>271</v>
      </c>
      <c r="H10" s="1" t="s">
        <v>169</v>
      </c>
      <c r="I10" s="9" t="s">
        <v>272</v>
      </c>
      <c r="J10" s="1" t="s">
        <v>273</v>
      </c>
      <c r="K10" s="1" t="s">
        <v>151</v>
      </c>
      <c r="L10" s="1" t="s">
        <v>103</v>
      </c>
      <c r="M10" s="1" t="s">
        <v>104</v>
      </c>
      <c r="N10" s="1" t="s">
        <v>274</v>
      </c>
      <c r="O10" s="1" t="s">
        <v>127</v>
      </c>
      <c r="P10" s="1" t="s">
        <v>107</v>
      </c>
      <c r="Q10" s="1" t="s">
        <v>275</v>
      </c>
      <c r="R10" s="1" t="s">
        <v>276</v>
      </c>
      <c r="S10" s="1" t="s">
        <v>277</v>
      </c>
      <c r="AF10" s="10">
        <v>3000000.0</v>
      </c>
      <c r="AG10" s="1">
        <v>7.112247372E9</v>
      </c>
      <c r="AI10" s="1" t="s">
        <v>278</v>
      </c>
      <c r="AJ10" s="3"/>
      <c r="AK10" s="3"/>
      <c r="AL10" s="3"/>
      <c r="AM10" s="1" t="s">
        <v>279</v>
      </c>
      <c r="AN10" s="7" t="s">
        <v>280</v>
      </c>
      <c r="AO10" s="8" t="str">
        <f>HYPERLINK("https://docs.google.com/document/d/1F_HFneLnfBsxygIVvuCY_bdYs6aR-c_jLITKH90wJYg/edit?usp=drivesdk","Diana Fajrin Mardhiyyah S.Hum.")</f>
        <v>Diana Fajrin Mardhiyyah S.Hum.</v>
      </c>
      <c r="AP10" s="1" t="s">
        <v>281</v>
      </c>
    </row>
    <row r="11">
      <c r="A11" s="6">
        <v>44010.881418530094</v>
      </c>
      <c r="B11" s="7" t="s">
        <v>282</v>
      </c>
      <c r="C11" s="8" t="s">
        <v>283</v>
      </c>
      <c r="D11" s="1" t="s">
        <v>284</v>
      </c>
      <c r="E11" s="9" t="s">
        <v>285</v>
      </c>
      <c r="F11" s="1" t="s">
        <v>286</v>
      </c>
      <c r="G11" s="1" t="s">
        <v>287</v>
      </c>
      <c r="H11" s="1" t="s">
        <v>288</v>
      </c>
      <c r="I11" s="9" t="s">
        <v>289</v>
      </c>
      <c r="J11" s="1" t="s">
        <v>290</v>
      </c>
      <c r="K11" s="1" t="s">
        <v>151</v>
      </c>
      <c r="L11" s="1" t="s">
        <v>103</v>
      </c>
      <c r="M11" s="1" t="s">
        <v>104</v>
      </c>
      <c r="N11" s="1" t="s">
        <v>126</v>
      </c>
      <c r="O11" s="1" t="s">
        <v>127</v>
      </c>
      <c r="P11" s="1" t="s">
        <v>107</v>
      </c>
      <c r="Q11" s="1" t="s">
        <v>291</v>
      </c>
      <c r="R11" s="1" t="s">
        <v>130</v>
      </c>
      <c r="S11" s="1" t="s">
        <v>292</v>
      </c>
      <c r="T11" s="1" t="s">
        <v>153</v>
      </c>
      <c r="U11" s="1" t="s">
        <v>130</v>
      </c>
      <c r="V11" s="1" t="s">
        <v>293</v>
      </c>
      <c r="W11" s="1" t="s">
        <v>217</v>
      </c>
      <c r="X11" s="1" t="s">
        <v>217</v>
      </c>
      <c r="Y11" s="1">
        <v>0.0</v>
      </c>
      <c r="Z11" s="1" t="s">
        <v>294</v>
      </c>
      <c r="AA11" s="10">
        <v>5500000.0</v>
      </c>
      <c r="AB11" s="1" t="s">
        <v>295</v>
      </c>
      <c r="AC11" s="10">
        <v>2500000.0</v>
      </c>
      <c r="AD11" s="1" t="s">
        <v>296</v>
      </c>
      <c r="AE11" s="10">
        <v>1000000.0</v>
      </c>
      <c r="AF11" s="10">
        <v>6500000.0</v>
      </c>
      <c r="AG11" s="9" t="s">
        <v>297</v>
      </c>
      <c r="AH11" s="1">
        <v>3.030074347E9</v>
      </c>
      <c r="AI11" s="1" t="s">
        <v>298</v>
      </c>
      <c r="AJ11" s="3"/>
      <c r="AK11" s="3"/>
      <c r="AL11" s="3"/>
      <c r="AM11" s="1" t="s">
        <v>299</v>
      </c>
      <c r="AN11" s="7" t="s">
        <v>300</v>
      </c>
      <c r="AO11" s="8" t="str">
        <f>HYPERLINK("https://docs.google.com/document/d/1ys3KVIjbfI_yCNHbszPtcM4z5I1ulNJjeEt12-WBdps/edit?usp=drivesdk","Wieka Septiyana, M.Pd")</f>
        <v>Wieka Septiyana, M.Pd</v>
      </c>
      <c r="AP11" s="1" t="s">
        <v>301</v>
      </c>
    </row>
    <row r="12">
      <c r="A12" s="6">
        <v>44011.86685309028</v>
      </c>
      <c r="B12" s="7" t="s">
        <v>302</v>
      </c>
      <c r="C12" s="8" t="s">
        <v>303</v>
      </c>
      <c r="D12" s="1" t="s">
        <v>304</v>
      </c>
      <c r="E12" s="9" t="s">
        <v>305</v>
      </c>
      <c r="F12" s="1" t="s">
        <v>306</v>
      </c>
      <c r="G12" s="1" t="s">
        <v>307</v>
      </c>
      <c r="H12" s="1" t="s">
        <v>308</v>
      </c>
      <c r="I12" s="1">
        <v>2.3071994E7</v>
      </c>
      <c r="J12" s="1" t="s">
        <v>309</v>
      </c>
      <c r="K12" s="1" t="s">
        <v>102</v>
      </c>
      <c r="L12" s="1" t="s">
        <v>310</v>
      </c>
      <c r="M12" s="1" t="s">
        <v>104</v>
      </c>
      <c r="N12" s="1" t="s">
        <v>311</v>
      </c>
      <c r="O12" s="1" t="s">
        <v>312</v>
      </c>
      <c r="P12" s="1" t="s">
        <v>107</v>
      </c>
      <c r="Q12" s="1" t="s">
        <v>313</v>
      </c>
      <c r="R12" s="1" t="s">
        <v>314</v>
      </c>
      <c r="S12" s="1" t="s">
        <v>315</v>
      </c>
      <c r="Z12" s="1" t="s">
        <v>316</v>
      </c>
      <c r="AA12" s="10">
        <v>3000000.0</v>
      </c>
      <c r="AF12" s="10">
        <v>4500000.0</v>
      </c>
      <c r="AG12" s="9" t="s">
        <v>317</v>
      </c>
      <c r="AI12" s="1" t="s">
        <v>318</v>
      </c>
      <c r="AJ12" s="3"/>
      <c r="AK12" s="3"/>
      <c r="AL12" s="3"/>
      <c r="AM12" s="1" t="s">
        <v>319</v>
      </c>
      <c r="AN12" s="7" t="s">
        <v>320</v>
      </c>
      <c r="AO12" s="8" t="str">
        <f>HYPERLINK("https://docs.google.com/document/d/1dzNrjNLB5gxAYW5txTV_xlLhNuFqF8BgX5L-toYHe2s/edit?usp=drivesdk","Syamsiah, S.Pd")</f>
        <v>Syamsiah, S.Pd</v>
      </c>
      <c r="AP12" s="1" t="s">
        <v>321</v>
      </c>
    </row>
    <row r="13">
      <c r="A13" s="6">
        <v>44011.89723398148</v>
      </c>
      <c r="B13" s="7" t="s">
        <v>322</v>
      </c>
      <c r="C13" s="8" t="s">
        <v>323</v>
      </c>
      <c r="D13" s="1" t="s">
        <v>324</v>
      </c>
      <c r="E13" s="9" t="s">
        <v>325</v>
      </c>
      <c r="F13" s="1" t="s">
        <v>326</v>
      </c>
      <c r="G13" s="1" t="s">
        <v>99</v>
      </c>
      <c r="H13" s="1" t="s">
        <v>327</v>
      </c>
      <c r="I13" s="9" t="s">
        <v>328</v>
      </c>
      <c r="J13" s="1">
        <v>23.0</v>
      </c>
      <c r="K13" s="1" t="s">
        <v>151</v>
      </c>
      <c r="L13" s="1" t="s">
        <v>329</v>
      </c>
      <c r="M13" s="1" t="s">
        <v>104</v>
      </c>
      <c r="N13" s="1" t="s">
        <v>330</v>
      </c>
      <c r="O13" s="1" t="s">
        <v>312</v>
      </c>
      <c r="P13" s="1" t="s">
        <v>107</v>
      </c>
      <c r="Q13" s="1" t="s">
        <v>331</v>
      </c>
      <c r="R13" s="1" t="s">
        <v>332</v>
      </c>
      <c r="S13" s="1" t="s">
        <v>333</v>
      </c>
      <c r="Z13" s="1" t="s">
        <v>334</v>
      </c>
      <c r="AA13" s="10">
        <v>2000000.0</v>
      </c>
      <c r="AF13" s="10">
        <v>3500000.0</v>
      </c>
      <c r="AG13" s="9" t="s">
        <v>335</v>
      </c>
      <c r="AH13" s="9" t="s">
        <v>335</v>
      </c>
      <c r="AI13" s="1" t="s">
        <v>178</v>
      </c>
      <c r="AJ13" s="3"/>
      <c r="AK13" s="3"/>
      <c r="AL13" s="3"/>
      <c r="AM13" s="1" t="s">
        <v>336</v>
      </c>
      <c r="AN13" s="7" t="s">
        <v>337</v>
      </c>
      <c r="AO13" s="8" t="str">
        <f>HYPERLINK("https://docs.google.com/document/d/1Q3uQI_zjGqT62R9nc8h4JK0ZDhTBjJ5dpUoxEuOtxS8/edit?usp=drivesdk","Nuriel Hakiki S.Pd")</f>
        <v>Nuriel Hakiki S.Pd</v>
      </c>
      <c r="AP13" s="1" t="s">
        <v>338</v>
      </c>
    </row>
    <row r="14">
      <c r="A14" s="6">
        <v>44012.384873055555</v>
      </c>
      <c r="B14" s="7" t="s">
        <v>339</v>
      </c>
      <c r="C14" s="8" t="s">
        <v>340</v>
      </c>
      <c r="D14" s="1" t="s">
        <v>341</v>
      </c>
      <c r="E14" s="9" t="s">
        <v>342</v>
      </c>
      <c r="F14" s="1" t="s">
        <v>343</v>
      </c>
      <c r="G14" s="1" t="s">
        <v>344</v>
      </c>
      <c r="H14" s="1" t="s">
        <v>169</v>
      </c>
      <c r="I14" s="9" t="s">
        <v>345</v>
      </c>
      <c r="J14" s="1" t="s">
        <v>346</v>
      </c>
      <c r="K14" s="1" t="s">
        <v>151</v>
      </c>
      <c r="L14" s="1" t="s">
        <v>103</v>
      </c>
      <c r="M14" s="1" t="s">
        <v>104</v>
      </c>
      <c r="N14" s="1" t="s">
        <v>152</v>
      </c>
      <c r="O14" s="1" t="s">
        <v>312</v>
      </c>
      <c r="P14" s="1" t="s">
        <v>237</v>
      </c>
      <c r="Q14" s="1" t="s">
        <v>347</v>
      </c>
      <c r="R14" s="1" t="s">
        <v>172</v>
      </c>
      <c r="S14" s="1">
        <v>3.65</v>
      </c>
      <c r="Z14" s="1" t="s">
        <v>348</v>
      </c>
      <c r="AA14" s="10">
        <v>3500000.0</v>
      </c>
      <c r="AF14" s="10">
        <v>5000000.0</v>
      </c>
      <c r="AG14" s="9" t="s">
        <v>349</v>
      </c>
      <c r="AI14" s="1" t="s">
        <v>178</v>
      </c>
      <c r="AJ14" s="3"/>
      <c r="AK14" s="3"/>
      <c r="AL14" s="3"/>
      <c r="AM14" s="1" t="s">
        <v>350</v>
      </c>
      <c r="AN14" s="7" t="s">
        <v>351</v>
      </c>
      <c r="AO14" s="8" t="str">
        <f>HYPERLINK("https://docs.google.com/document/d/18kMIxLzmpUtmMhN--b2WCavSxrqCk6yUjvdl-0GlJU8/edit?usp=drivesdk","Nur Listiana, S.Pd.")</f>
        <v>Nur Listiana, S.Pd.</v>
      </c>
      <c r="AP14" s="1" t="s">
        <v>352</v>
      </c>
    </row>
    <row r="15">
      <c r="A15" s="6">
        <v>44012.39955393519</v>
      </c>
      <c r="B15" s="7" t="s">
        <v>353</v>
      </c>
      <c r="C15" s="8" t="s">
        <v>354</v>
      </c>
      <c r="D15" s="1" t="s">
        <v>355</v>
      </c>
      <c r="E15" s="9" t="s">
        <v>356</v>
      </c>
      <c r="F15" s="1" t="s">
        <v>357</v>
      </c>
      <c r="G15" s="1" t="s">
        <v>358</v>
      </c>
      <c r="H15" s="1" t="s">
        <v>359</v>
      </c>
      <c r="I15" s="9" t="s">
        <v>360</v>
      </c>
      <c r="J15" s="1" t="s">
        <v>309</v>
      </c>
      <c r="K15" s="1" t="s">
        <v>151</v>
      </c>
      <c r="L15" s="1" t="s">
        <v>256</v>
      </c>
      <c r="M15" s="1" t="s">
        <v>104</v>
      </c>
      <c r="N15" s="1" t="s">
        <v>126</v>
      </c>
      <c r="O15" s="1" t="s">
        <v>127</v>
      </c>
      <c r="P15" s="1" t="s">
        <v>237</v>
      </c>
      <c r="Q15" s="1" t="s">
        <v>361</v>
      </c>
      <c r="R15" s="1" t="s">
        <v>362</v>
      </c>
      <c r="S15" s="1" t="s">
        <v>363</v>
      </c>
      <c r="Z15" s="1" t="s">
        <v>364</v>
      </c>
      <c r="AA15" s="10">
        <v>4200000.0</v>
      </c>
      <c r="AE15" s="10">
        <v>5000000.0</v>
      </c>
      <c r="AG15" s="9" t="s">
        <v>365</v>
      </c>
      <c r="AM15" s="1" t="s">
        <v>366</v>
      </c>
      <c r="AN15" s="7" t="s">
        <v>367</v>
      </c>
      <c r="AO15" s="8" t="str">
        <f>HYPERLINK("https://docs.google.com/document/d/1dna-YAGCes6SW1gXOYesbvpbbbtAX5QmBllqvZXAUnU/edit?usp=drivesdk","Akhmad Khairil Alam, S.Pd.")</f>
        <v>Akhmad Khairil Alam, S.Pd.</v>
      </c>
      <c r="AP15" s="1" t="s">
        <v>368</v>
      </c>
    </row>
    <row r="16">
      <c r="A16" s="6">
        <v>44014.31265465278</v>
      </c>
      <c r="B16" s="7" t="s">
        <v>369</v>
      </c>
      <c r="C16" s="8" t="s">
        <v>370</v>
      </c>
      <c r="D16" s="1" t="s">
        <v>371</v>
      </c>
      <c r="E16" s="9" t="s">
        <v>372</v>
      </c>
      <c r="F16" s="1" t="s">
        <v>373</v>
      </c>
      <c r="G16" s="1" t="s">
        <v>374</v>
      </c>
      <c r="H16" s="1" t="s">
        <v>99</v>
      </c>
      <c r="I16" s="9" t="s">
        <v>375</v>
      </c>
      <c r="J16" s="1" t="s">
        <v>376</v>
      </c>
      <c r="K16" s="1" t="s">
        <v>102</v>
      </c>
      <c r="L16" s="1" t="s">
        <v>103</v>
      </c>
      <c r="M16" s="1" t="s">
        <v>377</v>
      </c>
      <c r="O16" s="1" t="s">
        <v>127</v>
      </c>
      <c r="P16" s="1" t="s">
        <v>107</v>
      </c>
      <c r="Q16" s="1" t="s">
        <v>238</v>
      </c>
      <c r="R16" s="1" t="s">
        <v>378</v>
      </c>
      <c r="S16" s="1" t="s">
        <v>379</v>
      </c>
      <c r="AF16" s="10">
        <v>3500000.0</v>
      </c>
      <c r="AH16" s="1">
        <v>3.85401019383536E14</v>
      </c>
      <c r="AI16" s="1" t="s">
        <v>380</v>
      </c>
      <c r="AJ16" s="3"/>
      <c r="AK16" s="3"/>
      <c r="AL16" s="3"/>
      <c r="AM16" s="1" t="s">
        <v>381</v>
      </c>
      <c r="AN16" s="7" t="s">
        <v>382</v>
      </c>
      <c r="AO16" s="8" t="str">
        <f>HYPERLINK("https://docs.google.com/document/d/1ZtKTnvW6YMhGpYDkNGhkohED73w0zsVgEihhgI1Gcew/edit?usp=drivesdk","Abdul Basir, SE")</f>
        <v>Abdul Basir, SE</v>
      </c>
      <c r="AP16" s="1" t="s">
        <v>383</v>
      </c>
    </row>
    <row r="17">
      <c r="A17" s="6">
        <v>44014.415277106484</v>
      </c>
      <c r="B17" s="7" t="s">
        <v>384</v>
      </c>
      <c r="C17" s="8" t="s">
        <v>385</v>
      </c>
      <c r="D17" s="1" t="s">
        <v>386</v>
      </c>
      <c r="E17" s="9" t="s">
        <v>387</v>
      </c>
      <c r="F17" s="1" t="s">
        <v>388</v>
      </c>
      <c r="G17" s="1" t="s">
        <v>389</v>
      </c>
      <c r="H17" s="1" t="s">
        <v>390</v>
      </c>
      <c r="I17" s="9" t="s">
        <v>391</v>
      </c>
      <c r="J17" s="1" t="s">
        <v>392</v>
      </c>
      <c r="K17" s="1" t="s">
        <v>151</v>
      </c>
      <c r="L17" s="1" t="s">
        <v>103</v>
      </c>
      <c r="M17" s="1" t="s">
        <v>104</v>
      </c>
      <c r="N17" s="1" t="s">
        <v>235</v>
      </c>
      <c r="O17" s="1" t="s">
        <v>127</v>
      </c>
      <c r="P17" s="1" t="s">
        <v>128</v>
      </c>
      <c r="Q17" s="1" t="s">
        <v>393</v>
      </c>
      <c r="R17" s="1" t="s">
        <v>394</v>
      </c>
      <c r="S17" s="1">
        <v>3.7</v>
      </c>
      <c r="Z17" s="1" t="s">
        <v>395</v>
      </c>
      <c r="AA17" s="10">
        <v>4000000.0</v>
      </c>
      <c r="AF17" s="10">
        <v>5000000.0</v>
      </c>
      <c r="AG17" s="9" t="s">
        <v>396</v>
      </c>
      <c r="AI17" s="1" t="s">
        <v>178</v>
      </c>
      <c r="AJ17" s="3"/>
      <c r="AK17" s="3"/>
      <c r="AL17" s="3"/>
      <c r="AM17" s="1" t="s">
        <v>397</v>
      </c>
      <c r="AN17" s="7" t="s">
        <v>398</v>
      </c>
      <c r="AO17" s="8" t="str">
        <f>HYPERLINK("https://docs.google.com/document/d/1yY9EFzUGnB7iFzL4PQB58khv8CCQmS2GBON2G_vC6Ys/edit?usp=drivesdk","Salman Abu Alkhair, S.Pd")</f>
        <v>Salman Abu Alkhair, S.Pd</v>
      </c>
      <c r="AP17" s="1" t="s">
        <v>399</v>
      </c>
    </row>
    <row r="18">
      <c r="A18" s="6">
        <v>44015.477435486115</v>
      </c>
      <c r="B18" s="7" t="s">
        <v>400</v>
      </c>
      <c r="C18" s="8" t="s">
        <v>401</v>
      </c>
      <c r="D18" s="1" t="s">
        <v>402</v>
      </c>
      <c r="E18" s="9" t="s">
        <v>403</v>
      </c>
      <c r="F18" s="1" t="s">
        <v>404</v>
      </c>
      <c r="G18" s="1" t="s">
        <v>405</v>
      </c>
      <c r="H18" s="1" t="s">
        <v>169</v>
      </c>
      <c r="I18" s="9" t="s">
        <v>406</v>
      </c>
      <c r="J18" s="1" t="s">
        <v>407</v>
      </c>
      <c r="K18" s="1" t="s">
        <v>151</v>
      </c>
      <c r="L18" s="1" t="s">
        <v>103</v>
      </c>
      <c r="M18" s="1" t="s">
        <v>104</v>
      </c>
      <c r="N18" s="1" t="s">
        <v>408</v>
      </c>
      <c r="O18" s="1" t="s">
        <v>127</v>
      </c>
      <c r="P18" s="1" t="s">
        <v>107</v>
      </c>
      <c r="Q18" s="1" t="s">
        <v>409</v>
      </c>
      <c r="R18" s="1" t="s">
        <v>410</v>
      </c>
      <c r="S18" s="1" t="s">
        <v>411</v>
      </c>
      <c r="Z18" s="1" t="s">
        <v>412</v>
      </c>
      <c r="AA18" s="10">
        <v>3250000.0</v>
      </c>
      <c r="AF18" s="10">
        <v>4000000.0</v>
      </c>
      <c r="AG18" s="9" t="s">
        <v>413</v>
      </c>
      <c r="AI18" s="1" t="s">
        <v>178</v>
      </c>
      <c r="AJ18" s="3"/>
      <c r="AK18" s="3"/>
      <c r="AL18" s="3"/>
      <c r="AM18" s="1" t="s">
        <v>414</v>
      </c>
      <c r="AN18" s="7" t="s">
        <v>415</v>
      </c>
      <c r="AO18" s="8" t="str">
        <f>HYPERLINK("https://docs.google.com/document/d/19XiP4h2FkWKkCmgzICJgWj-nUCL-tIYcTHl_AiJtEH0/edit?usp=drivesdk","Al-Wildan 1 Gading Serpong_Hari Agusasi Pramesti, S.Pd_Fisika dan matematika SMP")</f>
        <v>Al-Wildan 1 Gading Serpong_Hari Agusasi Pramesti, S.Pd_Fisika dan matematika SMP</v>
      </c>
      <c r="AP18" s="1" t="s">
        <v>416</v>
      </c>
    </row>
    <row r="19">
      <c r="A19" s="6">
        <v>44015.49676858797</v>
      </c>
      <c r="B19" s="7" t="s">
        <v>417</v>
      </c>
      <c r="C19" s="8" t="s">
        <v>418</v>
      </c>
      <c r="D19" s="1" t="s">
        <v>419</v>
      </c>
      <c r="E19" s="9" t="s">
        <v>420</v>
      </c>
      <c r="F19" s="1">
        <v>3.17103610996001E15</v>
      </c>
      <c r="G19" s="1" t="s">
        <v>421</v>
      </c>
      <c r="H19" s="1" t="s">
        <v>169</v>
      </c>
      <c r="I19" s="9" t="s">
        <v>422</v>
      </c>
      <c r="J19" s="1" t="s">
        <v>423</v>
      </c>
      <c r="K19" s="1" t="s">
        <v>151</v>
      </c>
      <c r="L19" s="1" t="s">
        <v>103</v>
      </c>
      <c r="M19" s="1" t="s">
        <v>424</v>
      </c>
      <c r="N19" s="1" t="s">
        <v>425</v>
      </c>
      <c r="O19" s="1" t="s">
        <v>127</v>
      </c>
      <c r="P19" s="1" t="s">
        <v>107</v>
      </c>
      <c r="Q19" s="1" t="s">
        <v>108</v>
      </c>
      <c r="R19" s="1" t="s">
        <v>425</v>
      </c>
      <c r="S19" s="1" t="s">
        <v>426</v>
      </c>
      <c r="Z19" s="1" t="s">
        <v>427</v>
      </c>
      <c r="AA19" s="10">
        <v>4500000.0</v>
      </c>
      <c r="AF19" s="10">
        <v>4500000.0</v>
      </c>
      <c r="AG19" s="9" t="s">
        <v>428</v>
      </c>
      <c r="AI19" s="1" t="s">
        <v>178</v>
      </c>
      <c r="AJ19" s="3"/>
      <c r="AK19" s="3"/>
      <c r="AL19" s="3"/>
      <c r="AM19" s="1" t="s">
        <v>429</v>
      </c>
      <c r="AN19" s="7" t="s">
        <v>430</v>
      </c>
      <c r="AO19" s="8" t="str">
        <f>HYPERLINK("https://docs.google.com/document/d/1Syel5sSRmz_TSqrItN2DXr3b2B0Lh3H_d2fgj6iTBmM/edit?usp=drivesdk","Al-Wildan 1 Gading Serpong_Janatan Nisa, S.Pd_Bimbingan dan Konseling")</f>
        <v>Al-Wildan 1 Gading Serpong_Janatan Nisa, S.Pd_Bimbingan dan Konseling</v>
      </c>
      <c r="AP19" s="1" t="s">
        <v>431</v>
      </c>
    </row>
    <row r="20">
      <c r="A20" s="6">
        <v>44015.500259849534</v>
      </c>
      <c r="B20" s="7" t="s">
        <v>432</v>
      </c>
      <c r="C20" s="8" t="s">
        <v>433</v>
      </c>
      <c r="D20" s="1" t="s">
        <v>434</v>
      </c>
      <c r="E20" s="9" t="s">
        <v>435</v>
      </c>
      <c r="F20" s="1" t="s">
        <v>436</v>
      </c>
      <c r="G20" s="1" t="s">
        <v>437</v>
      </c>
      <c r="H20" s="1" t="s">
        <v>99</v>
      </c>
      <c r="I20" s="1">
        <v>2.8051995E7</v>
      </c>
      <c r="J20" s="1" t="s">
        <v>438</v>
      </c>
      <c r="K20" s="1" t="s">
        <v>151</v>
      </c>
      <c r="L20" s="1" t="s">
        <v>103</v>
      </c>
      <c r="M20" s="1" t="s">
        <v>104</v>
      </c>
      <c r="N20" s="1" t="s">
        <v>439</v>
      </c>
      <c r="O20" s="1" t="s">
        <v>236</v>
      </c>
      <c r="P20" s="1" t="s">
        <v>107</v>
      </c>
      <c r="Q20" s="1" t="s">
        <v>440</v>
      </c>
      <c r="R20" s="1" t="s">
        <v>441</v>
      </c>
      <c r="S20" s="1" t="s">
        <v>442</v>
      </c>
      <c r="Z20" s="1" t="s">
        <v>443</v>
      </c>
      <c r="AA20" s="10">
        <v>3500000.0</v>
      </c>
      <c r="AF20" s="10">
        <v>4500000.0</v>
      </c>
      <c r="AG20" s="9" t="s">
        <v>444</v>
      </c>
      <c r="AI20" s="1" t="s">
        <v>445</v>
      </c>
      <c r="AJ20" s="3"/>
      <c r="AK20" s="3"/>
      <c r="AL20" s="3"/>
      <c r="AM20" s="1" t="s">
        <v>446</v>
      </c>
      <c r="AN20" s="7" t="s">
        <v>447</v>
      </c>
      <c r="AO20" s="8" t="str">
        <f>HYPERLINK("https://docs.google.com/document/d/1l1-kkTzHZohz27dnwo3rhEH9kzUGJBdvsT4wmMjrJ7M/edit?usp=drivesdk","Al-Wildan 1 Gading Serpong_Anna Fitriana, S.Pd_Sosiologi")</f>
        <v>Al-Wildan 1 Gading Serpong_Anna Fitriana, S.Pd_Sosiologi</v>
      </c>
      <c r="AP20" s="1" t="s">
        <v>448</v>
      </c>
    </row>
    <row r="21">
      <c r="A21" s="6">
        <v>44015.50322068287</v>
      </c>
      <c r="B21" s="7" t="s">
        <v>449</v>
      </c>
      <c r="C21" s="8" t="s">
        <v>450</v>
      </c>
      <c r="D21" s="1" t="s">
        <v>451</v>
      </c>
      <c r="E21" s="9" t="s">
        <v>452</v>
      </c>
      <c r="F21" s="1" t="s">
        <v>453</v>
      </c>
      <c r="G21" s="1" t="s">
        <v>454</v>
      </c>
      <c r="H21" s="1" t="s">
        <v>455</v>
      </c>
      <c r="I21" s="9" t="s">
        <v>456</v>
      </c>
      <c r="J21" s="1" t="s">
        <v>457</v>
      </c>
      <c r="K21" s="1" t="s">
        <v>151</v>
      </c>
      <c r="L21" s="1" t="s">
        <v>329</v>
      </c>
      <c r="M21" s="1" t="s">
        <v>104</v>
      </c>
      <c r="N21" s="1" t="s">
        <v>458</v>
      </c>
      <c r="O21" s="1" t="s">
        <v>236</v>
      </c>
      <c r="P21" s="1" t="s">
        <v>107</v>
      </c>
      <c r="Q21" s="1" t="s">
        <v>153</v>
      </c>
      <c r="R21" s="1" t="s">
        <v>459</v>
      </c>
      <c r="S21" s="1" t="s">
        <v>426</v>
      </c>
      <c r="Z21" s="1" t="s">
        <v>460</v>
      </c>
      <c r="AA21" s="1" t="s">
        <v>461</v>
      </c>
      <c r="AB21" s="1" t="s">
        <v>462</v>
      </c>
      <c r="AC21" s="1" t="s">
        <v>463</v>
      </c>
      <c r="AD21" s="1" t="s">
        <v>464</v>
      </c>
      <c r="AE21" s="1" t="s">
        <v>465</v>
      </c>
      <c r="AF21" s="1" t="s">
        <v>466</v>
      </c>
      <c r="AG21" s="9" t="s">
        <v>467</v>
      </c>
      <c r="AI21" s="1" t="s">
        <v>178</v>
      </c>
      <c r="AJ21" s="3"/>
      <c r="AK21" s="3"/>
      <c r="AL21" s="3"/>
      <c r="AM21" s="1" t="s">
        <v>468</v>
      </c>
      <c r="AN21" s="7" t="s">
        <v>469</v>
      </c>
      <c r="AO21" s="8" t="str">
        <f>HYPERLINK("https://docs.google.com/document/d/12SzgPtpVSPkt0_BwlFKLtSXMMuDD9bIpJPHK_oRI6RU/edit?usp=drivesdk","Al-Wildan 1 Gading Serpong_Yeni Fitriani, S. Pd., Gr_Ekonomi ")</f>
        <v>Al-Wildan 1 Gading Serpong_Yeni Fitriani, S. Pd., Gr_Ekonomi </v>
      </c>
      <c r="AP21" s="1" t="s">
        <v>470</v>
      </c>
    </row>
    <row r="22">
      <c r="A22" s="6">
        <v>44015.508508935185</v>
      </c>
      <c r="B22" s="7" t="s">
        <v>471</v>
      </c>
      <c r="C22" s="8" t="s">
        <v>472</v>
      </c>
      <c r="D22" s="1" t="s">
        <v>473</v>
      </c>
      <c r="E22" s="1">
        <v>8.77717542E10</v>
      </c>
      <c r="F22" s="1" t="s">
        <v>474</v>
      </c>
      <c r="G22" s="1" t="s">
        <v>475</v>
      </c>
      <c r="H22" s="1" t="s">
        <v>169</v>
      </c>
      <c r="I22" s="9" t="s">
        <v>476</v>
      </c>
      <c r="J22" s="1">
        <v>37.0</v>
      </c>
      <c r="K22" s="1" t="s">
        <v>102</v>
      </c>
      <c r="L22" s="1" t="s">
        <v>256</v>
      </c>
      <c r="M22" s="1" t="s">
        <v>104</v>
      </c>
      <c r="N22" s="1" t="s">
        <v>152</v>
      </c>
      <c r="O22" s="1" t="s">
        <v>127</v>
      </c>
      <c r="P22" s="1" t="s">
        <v>107</v>
      </c>
      <c r="Q22" s="1" t="s">
        <v>477</v>
      </c>
      <c r="R22" s="1" t="s">
        <v>478</v>
      </c>
      <c r="S22" s="1" t="s">
        <v>479</v>
      </c>
      <c r="T22" s="1" t="s">
        <v>480</v>
      </c>
      <c r="U22" s="1" t="s">
        <v>172</v>
      </c>
      <c r="V22" s="1" t="s">
        <v>155</v>
      </c>
      <c r="Z22" s="1" t="s">
        <v>481</v>
      </c>
      <c r="AA22" s="10">
        <v>2000000.0</v>
      </c>
      <c r="AB22" s="1" t="s">
        <v>482</v>
      </c>
      <c r="AC22" s="10">
        <v>3000000.0</v>
      </c>
      <c r="AD22" s="1" t="s">
        <v>483</v>
      </c>
      <c r="AE22" s="10">
        <v>3500000.0</v>
      </c>
      <c r="AF22" s="10">
        <v>6500000.0</v>
      </c>
      <c r="AG22" s="9" t="s">
        <v>484</v>
      </c>
      <c r="AI22" s="1" t="s">
        <v>178</v>
      </c>
      <c r="AJ22" s="3"/>
      <c r="AK22" s="3"/>
      <c r="AL22" s="3"/>
      <c r="AM22" s="1" t="s">
        <v>485</v>
      </c>
      <c r="AN22" s="7" t="s">
        <v>486</v>
      </c>
      <c r="AO22" s="8" t="str">
        <f>HYPERLINK("https://docs.google.com/document/d/1ayWApseGgiEgejT5oMl4bV6OAxiD6x697d7CTfWQwYw/edit?usp=drivesdk","Al-Wildan 1 Gading Serpong_Yulia Safitri, M. Pd._Bahasa Inggris")</f>
        <v>Al-Wildan 1 Gading Serpong_Yulia Safitri, M. Pd._Bahasa Inggris</v>
      </c>
      <c r="AP22" s="1" t="s">
        <v>487</v>
      </c>
    </row>
    <row r="23">
      <c r="A23" s="6">
        <v>44015.523696006945</v>
      </c>
      <c r="B23" s="7" t="s">
        <v>488</v>
      </c>
      <c r="C23" s="8" t="s">
        <v>489</v>
      </c>
      <c r="D23" s="1" t="s">
        <v>490</v>
      </c>
      <c r="E23" s="9" t="s">
        <v>491</v>
      </c>
      <c r="F23" s="1" t="s">
        <v>492</v>
      </c>
      <c r="G23" s="1" t="s">
        <v>493</v>
      </c>
      <c r="H23" s="1" t="s">
        <v>169</v>
      </c>
      <c r="I23" s="1" t="s">
        <v>494</v>
      </c>
      <c r="J23" s="1" t="s">
        <v>495</v>
      </c>
      <c r="K23" s="1" t="s">
        <v>151</v>
      </c>
      <c r="L23" s="1" t="s">
        <v>496</v>
      </c>
      <c r="M23" s="1" t="s">
        <v>104</v>
      </c>
      <c r="N23" s="1" t="s">
        <v>497</v>
      </c>
      <c r="O23" s="1" t="s">
        <v>127</v>
      </c>
      <c r="P23" s="1" t="s">
        <v>107</v>
      </c>
      <c r="Q23" s="1" t="s">
        <v>498</v>
      </c>
      <c r="R23" s="1" t="s">
        <v>499</v>
      </c>
      <c r="S23" s="1" t="s">
        <v>217</v>
      </c>
      <c r="T23" s="1" t="s">
        <v>217</v>
      </c>
      <c r="U23" s="1" t="s">
        <v>217</v>
      </c>
      <c r="V23" s="1" t="s">
        <v>217</v>
      </c>
      <c r="W23" s="1" t="s">
        <v>217</v>
      </c>
      <c r="X23" s="1" t="s">
        <v>217</v>
      </c>
      <c r="Z23" s="1" t="s">
        <v>500</v>
      </c>
      <c r="AA23" s="10">
        <v>500000.0</v>
      </c>
      <c r="AB23" s="1" t="s">
        <v>501</v>
      </c>
      <c r="AC23" s="10">
        <v>1000000.0</v>
      </c>
      <c r="AD23" s="1" t="s">
        <v>502</v>
      </c>
      <c r="AE23" s="10">
        <v>500000.0</v>
      </c>
      <c r="AF23" s="10">
        <v>4800000.0</v>
      </c>
      <c r="AG23" s="1">
        <v>4.46668119E8</v>
      </c>
      <c r="AI23" s="1" t="s">
        <v>159</v>
      </c>
      <c r="AJ23" s="3"/>
      <c r="AK23" s="3"/>
      <c r="AL23" s="3"/>
      <c r="AM23" s="1" t="s">
        <v>503</v>
      </c>
      <c r="AN23" s="7" t="s">
        <v>504</v>
      </c>
      <c r="AO23" s="8" t="str">
        <f>HYPERLINK("https://docs.google.com/document/d/10P9ka2eiRCH6ZZkMv6NRqp0ChmkOXjUJKRnuSAxPbDM/edit?usp=drivesdk","Al-Wildan 1 Gading Serpong_Qathrun Nada_Arabic, Al Qur'an, Diniyyah")</f>
        <v>Al-Wildan 1 Gading Serpong_Qathrun Nada_Arabic, Al Qur'an, Diniyyah</v>
      </c>
      <c r="AP23" s="1" t="s">
        <v>505</v>
      </c>
    </row>
    <row r="24">
      <c r="A24" s="6">
        <v>44015.52706846065</v>
      </c>
      <c r="B24" s="7" t="s">
        <v>506</v>
      </c>
      <c r="C24" s="8" t="s">
        <v>507</v>
      </c>
      <c r="D24" s="1" t="s">
        <v>508</v>
      </c>
      <c r="E24" s="9" t="s">
        <v>509</v>
      </c>
      <c r="F24" s="1" t="s">
        <v>510</v>
      </c>
      <c r="G24" s="1" t="s">
        <v>511</v>
      </c>
      <c r="H24" s="1" t="s">
        <v>169</v>
      </c>
      <c r="I24" s="9" t="s">
        <v>512</v>
      </c>
      <c r="J24" s="1">
        <v>35.0</v>
      </c>
      <c r="K24" s="1" t="s">
        <v>102</v>
      </c>
      <c r="L24" s="1" t="s">
        <v>103</v>
      </c>
      <c r="M24" s="1" t="s">
        <v>104</v>
      </c>
      <c r="N24" s="1" t="s">
        <v>513</v>
      </c>
      <c r="O24" s="1" t="s">
        <v>127</v>
      </c>
      <c r="P24" s="1" t="s">
        <v>107</v>
      </c>
      <c r="Q24" s="1" t="s">
        <v>514</v>
      </c>
      <c r="R24" s="1" t="s">
        <v>515</v>
      </c>
      <c r="S24" s="1" t="s">
        <v>516</v>
      </c>
      <c r="Z24" s="1" t="s">
        <v>517</v>
      </c>
      <c r="AA24" s="10">
        <v>3800000.0</v>
      </c>
      <c r="AB24" s="1" t="s">
        <v>518</v>
      </c>
      <c r="AC24" s="10">
        <v>3800000.0</v>
      </c>
      <c r="AD24" s="1" t="s">
        <v>519</v>
      </c>
      <c r="AE24" s="1" t="s">
        <v>520</v>
      </c>
      <c r="AF24" s="10">
        <v>5000000.0</v>
      </c>
      <c r="AG24" s="9" t="s">
        <v>521</v>
      </c>
      <c r="AI24" s="1" t="s">
        <v>178</v>
      </c>
      <c r="AJ24" s="3"/>
      <c r="AK24" s="3"/>
      <c r="AL24" s="3"/>
      <c r="AM24" s="1" t="s">
        <v>522</v>
      </c>
      <c r="AN24" s="7" t="s">
        <v>523</v>
      </c>
      <c r="AO24" s="8" t="str">
        <f>HYPERLINK("https://docs.google.com/document/d/1S0_PmWhjN2z5c_tFKwMAypBaSUjotyEGowKBdTiXRd4/edit?usp=drivesdk","Al-Wildan 1 Gading Serpong_Meyta Rahmadaniati, S.Ikom_English SMP &amp; PE SMP SMA")</f>
        <v>Al-Wildan 1 Gading Serpong_Meyta Rahmadaniati, S.Ikom_English SMP &amp; PE SMP SMA</v>
      </c>
      <c r="AP24" s="1" t="s">
        <v>524</v>
      </c>
    </row>
    <row r="25">
      <c r="A25" s="6">
        <v>44015.52837824074</v>
      </c>
      <c r="B25" s="7" t="s">
        <v>525</v>
      </c>
      <c r="C25" s="8" t="s">
        <v>526</v>
      </c>
      <c r="D25" s="1" t="s">
        <v>527</v>
      </c>
      <c r="E25" s="9" t="s">
        <v>528</v>
      </c>
      <c r="F25" s="1" t="s">
        <v>529</v>
      </c>
      <c r="G25" s="1" t="s">
        <v>530</v>
      </c>
      <c r="H25" s="1" t="s">
        <v>531</v>
      </c>
      <c r="I25" s="9" t="s">
        <v>532</v>
      </c>
      <c r="J25" s="1" t="s">
        <v>533</v>
      </c>
      <c r="K25" s="1" t="s">
        <v>102</v>
      </c>
      <c r="L25" s="1" t="s">
        <v>103</v>
      </c>
      <c r="M25" s="1" t="s">
        <v>104</v>
      </c>
      <c r="N25" s="1" t="s">
        <v>534</v>
      </c>
      <c r="O25" s="1" t="s">
        <v>236</v>
      </c>
      <c r="P25" s="1" t="s">
        <v>107</v>
      </c>
      <c r="Q25" s="1" t="s">
        <v>535</v>
      </c>
      <c r="R25" s="1" t="s">
        <v>536</v>
      </c>
      <c r="S25" s="1" t="s">
        <v>537</v>
      </c>
      <c r="Z25" s="1" t="s">
        <v>538</v>
      </c>
      <c r="AA25" s="10">
        <v>4800000.0</v>
      </c>
      <c r="AB25" s="1" t="s">
        <v>539</v>
      </c>
      <c r="AC25" s="10">
        <v>6452000.0</v>
      </c>
      <c r="AF25" s="10">
        <v>6975000.0</v>
      </c>
      <c r="AG25" s="9" t="s">
        <v>540</v>
      </c>
      <c r="AM25" s="1" t="s">
        <v>541</v>
      </c>
      <c r="AN25" s="7" t="s">
        <v>542</v>
      </c>
      <c r="AO25" s="8" t="str">
        <f>HYPERLINK("https://docs.google.com/document/d/1Ajktr0ge7vFepV9V0q3IITFc8ka2AIXNjQ0wBnBw5E8/edit?usp=drivesdk","Al-Wildan 1 Gading Serpong_FITRIA NUR ANNISA, S.Pd_GEOGRAFI")</f>
        <v>Al-Wildan 1 Gading Serpong_FITRIA NUR ANNISA, S.Pd_GEOGRAFI</v>
      </c>
      <c r="AP25" s="1" t="s">
        <v>543</v>
      </c>
    </row>
    <row r="26">
      <c r="A26" s="6">
        <v>44015.532109004635</v>
      </c>
      <c r="B26" s="7" t="s">
        <v>544</v>
      </c>
      <c r="C26" s="8" t="s">
        <v>545</v>
      </c>
      <c r="D26" s="1" t="s">
        <v>546</v>
      </c>
      <c r="E26" s="9" t="s">
        <v>547</v>
      </c>
      <c r="F26" s="1" t="s">
        <v>548</v>
      </c>
      <c r="G26" s="1" t="s">
        <v>549</v>
      </c>
      <c r="H26" s="1" t="s">
        <v>550</v>
      </c>
      <c r="I26" s="9" t="s">
        <v>551</v>
      </c>
      <c r="J26" s="1">
        <v>30.0</v>
      </c>
      <c r="K26" s="1" t="s">
        <v>151</v>
      </c>
      <c r="L26" s="1" t="s">
        <v>329</v>
      </c>
      <c r="M26" s="1" t="s">
        <v>104</v>
      </c>
      <c r="N26" s="1" t="s">
        <v>552</v>
      </c>
      <c r="O26" s="1" t="s">
        <v>127</v>
      </c>
      <c r="P26" s="1" t="s">
        <v>107</v>
      </c>
      <c r="Q26" s="1" t="s">
        <v>553</v>
      </c>
      <c r="R26" s="1" t="s">
        <v>554</v>
      </c>
      <c r="S26" s="1">
        <v>3.05</v>
      </c>
      <c r="T26" s="1" t="s">
        <v>555</v>
      </c>
      <c r="U26" s="1" t="s">
        <v>556</v>
      </c>
      <c r="V26" s="1">
        <v>3.65</v>
      </c>
      <c r="X26" s="1" t="s">
        <v>552</v>
      </c>
      <c r="Z26" s="1" t="s">
        <v>557</v>
      </c>
      <c r="AA26" s="10">
        <v>2500000.0</v>
      </c>
      <c r="AF26" s="10">
        <v>7000000.0</v>
      </c>
      <c r="AG26" s="9" t="s">
        <v>558</v>
      </c>
      <c r="AM26" s="1" t="s">
        <v>559</v>
      </c>
      <c r="AN26" s="7" t="s">
        <v>560</v>
      </c>
      <c r="AO26" s="8" t="str">
        <f>HYPERLINK("https://docs.google.com/document/d/1BOzDABVh6swVu0ru5g3i9sXOXy0voHSBDXFmoTirv90/edit?usp=drivesdk","Al-Wildan 1 Gading Serpong_Ayu melisa putri, S.Pd, M.Si_Fisika")</f>
        <v>Al-Wildan 1 Gading Serpong_Ayu melisa putri, S.Pd, M.Si_Fisika</v>
      </c>
      <c r="AP26" s="1" t="s">
        <v>561</v>
      </c>
    </row>
    <row r="27">
      <c r="A27" s="6">
        <v>44015.53276248842</v>
      </c>
      <c r="B27" s="7" t="s">
        <v>562</v>
      </c>
      <c r="C27" s="8" t="s">
        <v>563</v>
      </c>
      <c r="D27" s="1" t="s">
        <v>564</v>
      </c>
      <c r="E27" s="9" t="s">
        <v>565</v>
      </c>
      <c r="F27" s="1">
        <v>3.20926590999001E15</v>
      </c>
      <c r="G27" s="1" t="s">
        <v>566</v>
      </c>
      <c r="H27" s="1" t="s">
        <v>567</v>
      </c>
      <c r="I27" s="9" t="s">
        <v>568</v>
      </c>
      <c r="J27" s="1" t="s">
        <v>569</v>
      </c>
      <c r="K27" s="1" t="s">
        <v>151</v>
      </c>
      <c r="L27" s="1" t="s">
        <v>329</v>
      </c>
      <c r="M27" s="1" t="s">
        <v>104</v>
      </c>
      <c r="N27" s="1" t="s">
        <v>570</v>
      </c>
      <c r="O27" s="1" t="s">
        <v>127</v>
      </c>
      <c r="P27" s="1" t="s">
        <v>107</v>
      </c>
      <c r="Q27" s="1" t="s">
        <v>571</v>
      </c>
      <c r="R27" s="1" t="s">
        <v>572</v>
      </c>
      <c r="S27" s="1" t="s">
        <v>573</v>
      </c>
      <c r="T27" s="1" t="s">
        <v>573</v>
      </c>
      <c r="Z27" s="1" t="s">
        <v>574</v>
      </c>
      <c r="AA27" s="10">
        <v>1500000.0</v>
      </c>
      <c r="AB27" s="1" t="s">
        <v>575</v>
      </c>
      <c r="AC27" s="10">
        <v>2500000.0</v>
      </c>
      <c r="AF27" s="10">
        <v>4000000.0</v>
      </c>
      <c r="AG27" s="9" t="s">
        <v>576</v>
      </c>
      <c r="AI27" s="1" t="s">
        <v>159</v>
      </c>
      <c r="AJ27" s="3"/>
      <c r="AK27" s="3"/>
      <c r="AL27" s="3"/>
      <c r="AM27" s="1" t="s">
        <v>577</v>
      </c>
      <c r="AN27" s="7" t="s">
        <v>578</v>
      </c>
      <c r="AO27" s="8" t="str">
        <f>HYPERLINK("https://docs.google.com/document/d/1NEpdE1zXbt9PXC8muwY-k4hxQYD6sH9Zub3wbWDprYk/edit?usp=drivesdk","Al-Wildan 1 Gading Serpong_Indah Dwi Cahyani_Guru Al Qur'an")</f>
        <v>Al-Wildan 1 Gading Serpong_Indah Dwi Cahyani_Guru Al Qur'an</v>
      </c>
      <c r="AP27" s="1" t="s">
        <v>579</v>
      </c>
    </row>
    <row r="28">
      <c r="A28" s="6">
        <v>44015.54003200232</v>
      </c>
      <c r="B28" s="7" t="s">
        <v>580</v>
      </c>
      <c r="C28" s="8" t="s">
        <v>581</v>
      </c>
      <c r="D28" s="1" t="s">
        <v>582</v>
      </c>
      <c r="E28" s="9" t="s">
        <v>583</v>
      </c>
      <c r="F28" s="1" t="s">
        <v>584</v>
      </c>
      <c r="G28" s="1" t="s">
        <v>585</v>
      </c>
      <c r="H28" s="1" t="s">
        <v>586</v>
      </c>
      <c r="I28" s="9" t="s">
        <v>587</v>
      </c>
      <c r="J28" s="1" t="s">
        <v>588</v>
      </c>
      <c r="K28" s="1" t="s">
        <v>102</v>
      </c>
      <c r="L28" s="1" t="s">
        <v>310</v>
      </c>
      <c r="M28" s="1" t="s">
        <v>589</v>
      </c>
      <c r="O28" s="1" t="s">
        <v>106</v>
      </c>
      <c r="P28" s="1" t="s">
        <v>128</v>
      </c>
      <c r="Q28" s="1" t="s">
        <v>590</v>
      </c>
      <c r="R28" s="1" t="s">
        <v>591</v>
      </c>
      <c r="S28" s="1" t="s">
        <v>592</v>
      </c>
      <c r="T28" s="1" t="s">
        <v>593</v>
      </c>
      <c r="U28" s="1" t="s">
        <v>594</v>
      </c>
      <c r="V28" s="1" t="s">
        <v>595</v>
      </c>
      <c r="Z28" s="1" t="s">
        <v>596</v>
      </c>
      <c r="AA28" s="10">
        <v>3000000.0</v>
      </c>
      <c r="AB28" s="1" t="s">
        <v>597</v>
      </c>
      <c r="AC28" s="10">
        <v>3400000.0</v>
      </c>
      <c r="AD28" s="1" t="s">
        <v>598</v>
      </c>
      <c r="AE28" s="1" t="s">
        <v>599</v>
      </c>
      <c r="AF28" s="10">
        <v>1.5E7</v>
      </c>
      <c r="AG28" s="9" t="s">
        <v>600</v>
      </c>
      <c r="AM28" s="1" t="s">
        <v>601</v>
      </c>
      <c r="AN28" s="7" t="s">
        <v>602</v>
      </c>
      <c r="AO28" s="8" t="str">
        <f>HYPERLINK("https://docs.google.com/document/d/1E7KRz1v-LeCu8gefZkbBmdks0DgR0p6H23DKKLHGawA/edit?usp=drivesdk","Al-Wildan 3 BSD_Abdul Muthalib,M.Pd._")</f>
        <v>Al-Wildan 3 BSD_Abdul Muthalib,M.Pd._</v>
      </c>
      <c r="AP28" s="1" t="s">
        <v>603</v>
      </c>
    </row>
    <row r="29">
      <c r="A29" s="6">
        <v>44015.59582611111</v>
      </c>
      <c r="B29" s="7" t="s">
        <v>604</v>
      </c>
      <c r="C29" s="8" t="s">
        <v>605</v>
      </c>
      <c r="D29" s="1" t="s">
        <v>606</v>
      </c>
      <c r="E29" s="1">
        <v>8.1318756882E10</v>
      </c>
      <c r="F29" s="1" t="s">
        <v>607</v>
      </c>
      <c r="G29" s="1" t="s">
        <v>608</v>
      </c>
      <c r="H29" s="1" t="s">
        <v>169</v>
      </c>
      <c r="I29" s="9" t="s">
        <v>609</v>
      </c>
      <c r="J29" s="1" t="s">
        <v>610</v>
      </c>
      <c r="K29" s="1" t="s">
        <v>102</v>
      </c>
      <c r="L29" s="1" t="s">
        <v>329</v>
      </c>
      <c r="M29" s="1" t="s">
        <v>104</v>
      </c>
      <c r="N29" s="1" t="s">
        <v>235</v>
      </c>
      <c r="O29" s="1" t="s">
        <v>127</v>
      </c>
      <c r="P29" s="1" t="s">
        <v>107</v>
      </c>
      <c r="Q29" s="1" t="s">
        <v>611</v>
      </c>
      <c r="R29" s="1" t="s">
        <v>612</v>
      </c>
      <c r="S29" s="1">
        <v>3.57</v>
      </c>
      <c r="Z29" s="1" t="s">
        <v>613</v>
      </c>
      <c r="AA29" s="10">
        <v>1600000.0</v>
      </c>
      <c r="AB29" s="1" t="s">
        <v>614</v>
      </c>
      <c r="AC29" s="10">
        <v>4000000.0</v>
      </c>
      <c r="AD29" s="1" t="s">
        <v>615</v>
      </c>
      <c r="AE29" s="10">
        <v>4500000.0</v>
      </c>
      <c r="AF29" s="10">
        <v>5500000.0</v>
      </c>
      <c r="AG29" s="9" t="s">
        <v>616</v>
      </c>
      <c r="AM29" s="1" t="s">
        <v>617</v>
      </c>
      <c r="AN29" s="7" t="s">
        <v>618</v>
      </c>
      <c r="AO29" s="8" t="str">
        <f>HYPERLINK("https://docs.google.com/document/d/1lXGXKA3aYQpVYJQfyV4zps6JX1GK1v-Vnc0a216KCKU/edit?usp=drivesdk","Al-Wildan 1 Gading Serpong_Insan Taris Aufar, S.Pd.I. _Bahasa Arab")</f>
        <v>Al-Wildan 1 Gading Serpong_Insan Taris Aufar, S.Pd.I. _Bahasa Arab</v>
      </c>
      <c r="AP29" s="1" t="s">
        <v>619</v>
      </c>
    </row>
    <row r="30">
      <c r="A30" s="6">
        <v>44015.63448796296</v>
      </c>
      <c r="B30" s="7" t="s">
        <v>620</v>
      </c>
      <c r="C30" s="8" t="s">
        <v>621</v>
      </c>
      <c r="D30" s="1" t="s">
        <v>622</v>
      </c>
      <c r="E30" s="9" t="s">
        <v>623</v>
      </c>
      <c r="F30" s="1" t="s">
        <v>624</v>
      </c>
      <c r="G30" s="1" t="s">
        <v>625</v>
      </c>
      <c r="H30" s="1" t="s">
        <v>626</v>
      </c>
      <c r="I30" s="9" t="s">
        <v>627</v>
      </c>
      <c r="J30" s="1" t="s">
        <v>628</v>
      </c>
      <c r="K30" s="1" t="s">
        <v>102</v>
      </c>
      <c r="L30" s="1" t="s">
        <v>103</v>
      </c>
      <c r="M30" s="1" t="s">
        <v>629</v>
      </c>
      <c r="N30" s="1" t="s">
        <v>630</v>
      </c>
      <c r="O30" s="1" t="s">
        <v>312</v>
      </c>
      <c r="P30" s="1" t="s">
        <v>237</v>
      </c>
      <c r="Q30" s="1" t="s">
        <v>590</v>
      </c>
      <c r="R30" s="1" t="s">
        <v>172</v>
      </c>
      <c r="S30" s="1" t="s">
        <v>426</v>
      </c>
      <c r="T30" s="1" t="s">
        <v>217</v>
      </c>
      <c r="U30" s="1" t="s">
        <v>217</v>
      </c>
      <c r="V30" s="1" t="s">
        <v>217</v>
      </c>
      <c r="W30" s="1" t="s">
        <v>217</v>
      </c>
      <c r="X30" s="1" t="s">
        <v>217</v>
      </c>
      <c r="Y30" s="1">
        <v>0.0</v>
      </c>
      <c r="Z30" s="1" t="s">
        <v>631</v>
      </c>
      <c r="AA30" s="10">
        <v>4000000.0</v>
      </c>
      <c r="AB30" s="1" t="s">
        <v>632</v>
      </c>
      <c r="AC30" s="10">
        <v>1000000.0</v>
      </c>
      <c r="AD30" s="1" t="s">
        <v>217</v>
      </c>
      <c r="AE30" s="1" t="s">
        <v>217</v>
      </c>
      <c r="AF30" s="10">
        <v>1.0E7</v>
      </c>
      <c r="AG30" s="9" t="s">
        <v>633</v>
      </c>
      <c r="AH30" s="1">
        <v>0.0</v>
      </c>
      <c r="AI30" s="1" t="s">
        <v>217</v>
      </c>
      <c r="AJ30" s="3"/>
      <c r="AK30" s="3"/>
      <c r="AL30" s="3"/>
      <c r="AM30" s="1" t="s">
        <v>634</v>
      </c>
      <c r="AN30" s="7" t="s">
        <v>635</v>
      </c>
      <c r="AO30" s="8" t="str">
        <f>HYPERLINK("https://docs.google.com/document/d/12iOaWgfe8ika1E4k8LWiUrnDRoSyuDiapHEheb1ZPbQ/edit?usp=drivesdk","Al-Wildan 4 Lebak Bulus_Galuh Pramananda, S.Pd._English dan rumpunnya (Math, Science)")</f>
        <v>Al-Wildan 4 Lebak Bulus_Galuh Pramananda, S.Pd._English dan rumpunnya (Math, Science)</v>
      </c>
      <c r="AP30" s="1" t="s">
        <v>636</v>
      </c>
    </row>
    <row r="31">
      <c r="A31" s="6">
        <v>44015.67570630787</v>
      </c>
      <c r="B31" s="7" t="s">
        <v>637</v>
      </c>
      <c r="C31" s="8" t="s">
        <v>638</v>
      </c>
      <c r="D31" s="1" t="s">
        <v>639</v>
      </c>
      <c r="E31" s="9" t="s">
        <v>640</v>
      </c>
      <c r="F31" s="1" t="s">
        <v>641</v>
      </c>
      <c r="G31" s="1" t="s">
        <v>642</v>
      </c>
      <c r="H31" s="1" t="s">
        <v>643</v>
      </c>
      <c r="I31" s="9" t="s">
        <v>644</v>
      </c>
      <c r="J31" s="1" t="s">
        <v>645</v>
      </c>
      <c r="K31" s="1" t="s">
        <v>102</v>
      </c>
      <c r="L31" s="1" t="s">
        <v>310</v>
      </c>
      <c r="M31" s="1" t="s">
        <v>213</v>
      </c>
      <c r="O31" s="1" t="s">
        <v>127</v>
      </c>
      <c r="P31" s="1" t="s">
        <v>107</v>
      </c>
      <c r="Q31" s="1" t="s">
        <v>646</v>
      </c>
      <c r="R31" s="1" t="s">
        <v>647</v>
      </c>
      <c r="S31" s="1" t="s">
        <v>648</v>
      </c>
      <c r="T31" s="1" t="s">
        <v>649</v>
      </c>
      <c r="U31" s="1" t="s">
        <v>650</v>
      </c>
      <c r="V31" s="1" t="s">
        <v>651</v>
      </c>
      <c r="Z31" s="1" t="s">
        <v>652</v>
      </c>
      <c r="AA31" s="1" t="s">
        <v>653</v>
      </c>
      <c r="AF31" s="10">
        <v>1.0E7</v>
      </c>
      <c r="AG31" s="9" t="s">
        <v>654</v>
      </c>
      <c r="AI31" s="1" t="s">
        <v>655</v>
      </c>
      <c r="AJ31" s="3"/>
      <c r="AK31" s="3"/>
      <c r="AL31" s="3"/>
      <c r="AM31" s="1" t="s">
        <v>656</v>
      </c>
      <c r="AN31" s="7" t="s">
        <v>657</v>
      </c>
      <c r="AO31" s="8" t="str">
        <f>HYPERLINK("https://docs.google.com/document/d/1ZRAI8LC2llMYO0apwSGwaqO5n-0TWcTdQF7RbsDhHcI/edit?usp=drivesdk","Al-Wildan 1 Gading Serpong_Syafiq Muhammad Al Khatieb, Lc., M.A_")</f>
        <v>Al-Wildan 1 Gading Serpong_Syafiq Muhammad Al Khatieb, Lc., M.A_</v>
      </c>
      <c r="AP31" s="1" t="s">
        <v>658</v>
      </c>
    </row>
    <row r="32">
      <c r="A32" s="6">
        <v>44015.76646712963</v>
      </c>
      <c r="B32" s="7" t="s">
        <v>659</v>
      </c>
      <c r="C32" s="8" t="s">
        <v>660</v>
      </c>
      <c r="D32" s="1" t="s">
        <v>661</v>
      </c>
      <c r="E32" s="9" t="s">
        <v>662</v>
      </c>
      <c r="F32" s="1" t="s">
        <v>663</v>
      </c>
      <c r="G32" s="1" t="s">
        <v>664</v>
      </c>
      <c r="H32" s="1" t="s">
        <v>665</v>
      </c>
      <c r="I32" s="9" t="s">
        <v>666</v>
      </c>
      <c r="J32" s="1" t="s">
        <v>667</v>
      </c>
      <c r="K32" s="1" t="s">
        <v>102</v>
      </c>
      <c r="L32" s="1" t="s">
        <v>103</v>
      </c>
      <c r="M32" s="1" t="s">
        <v>104</v>
      </c>
      <c r="N32" s="1" t="s">
        <v>274</v>
      </c>
      <c r="O32" s="1" t="s">
        <v>127</v>
      </c>
      <c r="P32" s="1" t="s">
        <v>128</v>
      </c>
      <c r="Q32" s="1" t="s">
        <v>668</v>
      </c>
      <c r="R32" s="1" t="s">
        <v>193</v>
      </c>
      <c r="S32" s="1" t="s">
        <v>669</v>
      </c>
      <c r="Z32" s="1" t="s">
        <v>670</v>
      </c>
      <c r="AA32" s="1" t="s">
        <v>671</v>
      </c>
      <c r="AB32" s="1" t="s">
        <v>672</v>
      </c>
      <c r="AC32" s="1" t="s">
        <v>673</v>
      </c>
      <c r="AF32" s="1" t="s">
        <v>674</v>
      </c>
      <c r="AG32" s="9" t="s">
        <v>675</v>
      </c>
      <c r="AM32" s="1" t="s">
        <v>676</v>
      </c>
      <c r="AN32" s="7" t="s">
        <v>677</v>
      </c>
      <c r="AO32" s="8" t="str">
        <f>HYPERLINK("https://docs.google.com/document/d/1zMD0V9RAmIjMHPRBBJczSyWijZTvEIiNGSaFdqhnVg8/edit?usp=drivesdk","Al-Wildan 3 BSD_Yundi Haikal Aziz LC/BA_Diniyyah")</f>
        <v>Al-Wildan 3 BSD_Yundi Haikal Aziz LC/BA_Diniyyah</v>
      </c>
      <c r="AP32" s="1" t="s">
        <v>678</v>
      </c>
    </row>
    <row r="33">
      <c r="A33" s="6">
        <v>44015.7682685301</v>
      </c>
      <c r="B33" s="7" t="s">
        <v>679</v>
      </c>
      <c r="C33" s="8" t="s">
        <v>680</v>
      </c>
      <c r="D33" s="1" t="s">
        <v>681</v>
      </c>
      <c r="E33" s="9" t="s">
        <v>682</v>
      </c>
      <c r="F33" s="1" t="s">
        <v>683</v>
      </c>
      <c r="G33" s="1" t="s">
        <v>684</v>
      </c>
      <c r="H33" s="1" t="s">
        <v>685</v>
      </c>
      <c r="I33" s="9" t="s">
        <v>686</v>
      </c>
      <c r="J33" s="1" t="s">
        <v>687</v>
      </c>
      <c r="K33" s="1" t="s">
        <v>151</v>
      </c>
      <c r="L33" s="1" t="s">
        <v>103</v>
      </c>
      <c r="M33" s="1" t="s">
        <v>104</v>
      </c>
      <c r="N33" s="1" t="s">
        <v>311</v>
      </c>
      <c r="O33" s="1" t="s">
        <v>127</v>
      </c>
      <c r="P33" s="1" t="s">
        <v>107</v>
      </c>
      <c r="Q33" s="1" t="s">
        <v>688</v>
      </c>
      <c r="R33" s="1" t="s">
        <v>689</v>
      </c>
      <c r="S33" s="1" t="s">
        <v>217</v>
      </c>
      <c r="Z33" s="1" t="s">
        <v>690</v>
      </c>
      <c r="AA33" s="10">
        <v>1000000.0</v>
      </c>
      <c r="AB33" s="1" t="s">
        <v>691</v>
      </c>
      <c r="AC33" s="10">
        <v>1000000.0</v>
      </c>
      <c r="AD33" s="1" t="s">
        <v>692</v>
      </c>
      <c r="AE33" s="10">
        <v>2000000.0</v>
      </c>
      <c r="AF33" s="10">
        <v>4500000.0</v>
      </c>
      <c r="AG33" s="9" t="s">
        <v>693</v>
      </c>
      <c r="AI33" s="1" t="s">
        <v>178</v>
      </c>
      <c r="AJ33" s="3"/>
      <c r="AK33" s="3"/>
      <c r="AL33" s="3"/>
      <c r="AM33" s="1" t="s">
        <v>694</v>
      </c>
      <c r="AN33" s="7" t="s">
        <v>695</v>
      </c>
      <c r="AO33" s="8" t="str">
        <f>HYPERLINK("https://docs.google.com/document/d/1-bQioHCbVK45dp52tLoGplqH46M7RKo1pLhCa7HElMo/edit?usp=drivesdk","Al-Wildan 1 Gading Serpong_Azizah Ayu Zahra_Al Qur'an")</f>
        <v>Al-Wildan 1 Gading Serpong_Azizah Ayu Zahra_Al Qur'an</v>
      </c>
      <c r="AP33" s="1" t="s">
        <v>696</v>
      </c>
    </row>
    <row r="34">
      <c r="A34" s="6">
        <v>44015.79427039352</v>
      </c>
      <c r="B34" s="7" t="s">
        <v>697</v>
      </c>
      <c r="C34" s="8" t="s">
        <v>698</v>
      </c>
      <c r="D34" s="1" t="s">
        <v>699</v>
      </c>
      <c r="E34" s="9" t="s">
        <v>700</v>
      </c>
      <c r="F34" s="1" t="s">
        <v>701</v>
      </c>
      <c r="G34" s="1" t="s">
        <v>702</v>
      </c>
      <c r="H34" s="1" t="s">
        <v>703</v>
      </c>
      <c r="I34" s="9" t="s">
        <v>704</v>
      </c>
      <c r="J34" s="1" t="s">
        <v>705</v>
      </c>
      <c r="K34" s="1" t="s">
        <v>102</v>
      </c>
      <c r="L34" s="1" t="s">
        <v>103</v>
      </c>
      <c r="M34" s="1" t="s">
        <v>213</v>
      </c>
      <c r="O34" s="1" t="s">
        <v>127</v>
      </c>
      <c r="P34" s="1" t="s">
        <v>128</v>
      </c>
      <c r="Q34" s="1" t="s">
        <v>706</v>
      </c>
      <c r="R34" s="1" t="s">
        <v>707</v>
      </c>
      <c r="S34" s="1" t="s">
        <v>708</v>
      </c>
      <c r="Z34" s="1" t="s">
        <v>709</v>
      </c>
      <c r="AA34" s="10">
        <v>5000000.0</v>
      </c>
      <c r="AB34" s="1" t="s">
        <v>710</v>
      </c>
      <c r="AC34" s="10">
        <v>1.2E7</v>
      </c>
      <c r="AF34" s="10">
        <v>8000000.0</v>
      </c>
      <c r="AG34" s="9" t="s">
        <v>711</v>
      </c>
      <c r="AI34" s="1" t="s">
        <v>712</v>
      </c>
      <c r="AJ34" s="3"/>
      <c r="AK34" s="3"/>
      <c r="AL34" s="3"/>
      <c r="AM34" s="1" t="s">
        <v>713</v>
      </c>
      <c r="AN34" s="7" t="s">
        <v>714</v>
      </c>
      <c r="AO34" s="8" t="str">
        <f>HYPERLINK("https://docs.google.com/document/d/16etZwwX-QZTbi7W8WdwrZ3OBrnwDJxHU3P9_tGuZ2D0/edit?usp=drivesdk","Al-Wildan 3 BSD_Muksin, Lc_")</f>
        <v>Al-Wildan 3 BSD_Muksin, Lc_</v>
      </c>
      <c r="AP34" s="1" t="s">
        <v>715</v>
      </c>
    </row>
    <row r="35">
      <c r="A35" s="6">
        <v>44016.02190766204</v>
      </c>
      <c r="B35" s="7" t="s">
        <v>716</v>
      </c>
      <c r="C35" s="8" t="s">
        <v>717</v>
      </c>
      <c r="D35" s="1" t="s">
        <v>718</v>
      </c>
      <c r="E35" s="9" t="s">
        <v>719</v>
      </c>
      <c r="F35" s="1" t="s">
        <v>720</v>
      </c>
      <c r="G35" s="1" t="s">
        <v>721</v>
      </c>
      <c r="H35" s="1" t="s">
        <v>722</v>
      </c>
      <c r="I35" s="9" t="s">
        <v>723</v>
      </c>
      <c r="J35" s="1" t="s">
        <v>724</v>
      </c>
      <c r="K35" s="1" t="s">
        <v>102</v>
      </c>
      <c r="L35" s="1" t="s">
        <v>256</v>
      </c>
      <c r="M35" s="1" t="s">
        <v>104</v>
      </c>
      <c r="N35" s="1" t="s">
        <v>126</v>
      </c>
      <c r="O35" s="1" t="s">
        <v>236</v>
      </c>
      <c r="P35" s="1" t="s">
        <v>107</v>
      </c>
      <c r="Q35" s="1" t="s">
        <v>725</v>
      </c>
      <c r="R35" s="1" t="s">
        <v>126</v>
      </c>
      <c r="S35" s="1" t="s">
        <v>726</v>
      </c>
      <c r="T35" s="1" t="s">
        <v>725</v>
      </c>
      <c r="U35" s="1" t="s">
        <v>130</v>
      </c>
      <c r="V35" s="1" t="s">
        <v>277</v>
      </c>
      <c r="Z35" s="1" t="s">
        <v>727</v>
      </c>
      <c r="AA35" s="10">
        <v>5650000.0</v>
      </c>
      <c r="AF35" s="10">
        <v>7000000.0</v>
      </c>
      <c r="AG35" s="9" t="s">
        <v>728</v>
      </c>
      <c r="AM35" s="1" t="s">
        <v>729</v>
      </c>
      <c r="AN35" s="7" t="s">
        <v>730</v>
      </c>
      <c r="AO35" s="8" t="str">
        <f>HYPERLINK("https://docs.google.com/document/d/1tb9thzuovWsXqmCeIM2jPFFg1Hj7Pxu4RuFHHSKy2n4/edit?usp=drivesdk","Al-Wildan 1 Gading Serpong_Mutia Dwi Haryanti, S.Mat., M.Pd._Matematika")</f>
        <v>Al-Wildan 1 Gading Serpong_Mutia Dwi Haryanti, S.Mat., M.Pd._Matematika</v>
      </c>
      <c r="AP35" s="1" t="s">
        <v>731</v>
      </c>
    </row>
    <row r="36">
      <c r="A36" s="6">
        <v>44016.246271516204</v>
      </c>
      <c r="B36" s="7" t="s">
        <v>732</v>
      </c>
      <c r="C36" s="8" t="s">
        <v>733</v>
      </c>
      <c r="D36" s="1" t="s">
        <v>734</v>
      </c>
      <c r="E36" s="9" t="s">
        <v>735</v>
      </c>
      <c r="F36" s="1" t="s">
        <v>736</v>
      </c>
      <c r="G36" s="1" t="s">
        <v>737</v>
      </c>
      <c r="H36" s="1" t="s">
        <v>169</v>
      </c>
      <c r="I36" s="9" t="s">
        <v>738</v>
      </c>
      <c r="J36" s="1" t="s">
        <v>346</v>
      </c>
      <c r="K36" s="1" t="s">
        <v>151</v>
      </c>
      <c r="L36" s="1" t="s">
        <v>103</v>
      </c>
      <c r="M36" s="1" t="s">
        <v>104</v>
      </c>
      <c r="N36" s="1" t="s">
        <v>552</v>
      </c>
      <c r="O36" s="1" t="s">
        <v>106</v>
      </c>
      <c r="P36" s="1" t="s">
        <v>128</v>
      </c>
      <c r="Q36" s="1" t="s">
        <v>739</v>
      </c>
      <c r="R36" s="1" t="s">
        <v>552</v>
      </c>
      <c r="S36" s="1" t="s">
        <v>740</v>
      </c>
      <c r="AF36" s="10">
        <v>5000000.0</v>
      </c>
      <c r="AG36" s="9" t="s">
        <v>741</v>
      </c>
      <c r="AI36" s="1" t="s">
        <v>178</v>
      </c>
      <c r="AJ36" s="3"/>
      <c r="AK36" s="3"/>
      <c r="AL36" s="3"/>
      <c r="AM36" s="1" t="s">
        <v>742</v>
      </c>
      <c r="AN36" s="7" t="s">
        <v>743</v>
      </c>
      <c r="AO36" s="8" t="str">
        <f>HYPERLINK("https://docs.google.com/document/d/1HzT4frt4znf-r5sA3IjN7b-q1RGxPo6NW5WAK32ImsM/edit?usp=drivesdk","Al-Wildan 3 BSD_Adib Meiditha Wibowo, S.Si._Fisika")</f>
        <v>Al-Wildan 3 BSD_Adib Meiditha Wibowo, S.Si._Fisika</v>
      </c>
      <c r="AP36" s="1" t="s">
        <v>744</v>
      </c>
    </row>
    <row r="37">
      <c r="A37" s="6">
        <v>44016.485041493055</v>
      </c>
      <c r="B37" s="7" t="s">
        <v>745</v>
      </c>
      <c r="C37" s="8" t="s">
        <v>746</v>
      </c>
      <c r="D37" s="1" t="s">
        <v>747</v>
      </c>
      <c r="E37" s="9" t="s">
        <v>748</v>
      </c>
      <c r="F37" s="1" t="s">
        <v>749</v>
      </c>
      <c r="G37" s="1" t="s">
        <v>750</v>
      </c>
      <c r="H37" s="1" t="s">
        <v>751</v>
      </c>
      <c r="I37" s="1">
        <v>2.9111989E7</v>
      </c>
      <c r="J37" s="1" t="s">
        <v>752</v>
      </c>
      <c r="K37" s="1" t="s">
        <v>102</v>
      </c>
      <c r="L37" s="1" t="s">
        <v>256</v>
      </c>
      <c r="M37" s="1" t="s">
        <v>104</v>
      </c>
      <c r="N37" s="1" t="s">
        <v>126</v>
      </c>
      <c r="O37" s="1" t="s">
        <v>127</v>
      </c>
      <c r="P37" s="1" t="s">
        <v>107</v>
      </c>
      <c r="Q37" s="1" t="s">
        <v>129</v>
      </c>
      <c r="R37" s="1" t="s">
        <v>130</v>
      </c>
      <c r="S37" s="1" t="s">
        <v>753</v>
      </c>
      <c r="T37" s="1" t="s">
        <v>754</v>
      </c>
      <c r="U37" s="1" t="s">
        <v>130</v>
      </c>
      <c r="V37" s="1" t="s">
        <v>755</v>
      </c>
      <c r="Z37" s="1" t="s">
        <v>756</v>
      </c>
      <c r="AF37" s="1" t="s">
        <v>757</v>
      </c>
      <c r="AG37" s="9" t="s">
        <v>758</v>
      </c>
      <c r="AM37" s="1" t="s">
        <v>759</v>
      </c>
      <c r="AN37" s="7" t="s">
        <v>760</v>
      </c>
      <c r="AO37" s="8" t="str">
        <f>HYPERLINK("https://docs.google.com/document/d/1POOPqa9-45OmUHCOFavJRhDAWXV5TiTcNliiPfJviHI/edit?usp=drivesdk","Al-Wildan 1 Gading Serpong_Rani Puspita Rahayu, M.Pd_Matematika")</f>
        <v>Al-Wildan 1 Gading Serpong_Rani Puspita Rahayu, M.Pd_Matematika</v>
      </c>
      <c r="AP37" s="1" t="s">
        <v>761</v>
      </c>
    </row>
    <row r="38">
      <c r="A38" s="6">
        <v>44016.4959940625</v>
      </c>
      <c r="B38" s="7" t="s">
        <v>762</v>
      </c>
      <c r="C38" s="8" t="s">
        <v>763</v>
      </c>
      <c r="D38" s="1" t="s">
        <v>764</v>
      </c>
      <c r="E38" s="9" t="s">
        <v>765</v>
      </c>
      <c r="F38" s="1" t="s">
        <v>766</v>
      </c>
      <c r="G38" s="1" t="s">
        <v>767</v>
      </c>
      <c r="H38" s="1" t="s">
        <v>768</v>
      </c>
      <c r="I38" s="9" t="s">
        <v>769</v>
      </c>
      <c r="J38" s="1" t="s">
        <v>770</v>
      </c>
      <c r="K38" s="1" t="s">
        <v>102</v>
      </c>
      <c r="L38" s="1" t="s">
        <v>103</v>
      </c>
      <c r="M38" s="1" t="s">
        <v>104</v>
      </c>
      <c r="N38" s="1" t="s">
        <v>771</v>
      </c>
      <c r="O38" s="1" t="s">
        <v>127</v>
      </c>
      <c r="P38" s="1" t="s">
        <v>128</v>
      </c>
      <c r="Q38" s="1" t="s">
        <v>772</v>
      </c>
      <c r="R38" s="1" t="s">
        <v>172</v>
      </c>
      <c r="S38" s="1">
        <v>3.21</v>
      </c>
      <c r="T38" s="1" t="s">
        <v>773</v>
      </c>
      <c r="U38" s="1" t="s">
        <v>172</v>
      </c>
      <c r="V38" s="1" t="s">
        <v>774</v>
      </c>
      <c r="Z38" s="1" t="s">
        <v>775</v>
      </c>
      <c r="AA38" s="1" t="s">
        <v>776</v>
      </c>
      <c r="AB38" s="1" t="s">
        <v>777</v>
      </c>
      <c r="AC38" s="1" t="s">
        <v>778</v>
      </c>
      <c r="AD38" s="1" t="s">
        <v>779</v>
      </c>
      <c r="AE38" s="1" t="s">
        <v>780</v>
      </c>
      <c r="AF38" s="1" t="s">
        <v>781</v>
      </c>
      <c r="AG38" s="1">
        <v>8.35839195E8</v>
      </c>
      <c r="AI38" s="1" t="s">
        <v>782</v>
      </c>
      <c r="AJ38" s="3"/>
      <c r="AK38" s="3"/>
      <c r="AL38" s="3"/>
      <c r="AM38" s="1" t="s">
        <v>783</v>
      </c>
      <c r="AN38" s="7" t="s">
        <v>784</v>
      </c>
      <c r="AO38" s="8" t="str">
        <f>HYPERLINK("https://docs.google.com/document/d/1Ma5NFbP4XZoHg7UItMpjDopvgeUPNIERpRXRoZTlrW8/edit?usp=drivesdk","Al-Wildan 3 BSD_Dian Mukti Primasari, S.Pd., Gr_English")</f>
        <v>Al-Wildan 3 BSD_Dian Mukti Primasari, S.Pd., Gr_English</v>
      </c>
      <c r="AP38" s="1" t="s">
        <v>785</v>
      </c>
    </row>
    <row r="39">
      <c r="A39" s="6">
        <v>44016.49993155093</v>
      </c>
      <c r="B39" s="7" t="s">
        <v>786</v>
      </c>
      <c r="C39" s="8" t="s">
        <v>787</v>
      </c>
      <c r="D39" s="1" t="s">
        <v>788</v>
      </c>
      <c r="E39" s="9" t="s">
        <v>789</v>
      </c>
      <c r="F39" s="1">
        <v>3.17502260870001E15</v>
      </c>
      <c r="G39" s="1" t="s">
        <v>790</v>
      </c>
      <c r="H39" s="1" t="s">
        <v>169</v>
      </c>
      <c r="I39" s="9" t="s">
        <v>791</v>
      </c>
      <c r="J39" s="1" t="s">
        <v>792</v>
      </c>
      <c r="K39" s="1" t="s">
        <v>102</v>
      </c>
      <c r="L39" s="1" t="s">
        <v>256</v>
      </c>
      <c r="M39" s="1" t="s">
        <v>793</v>
      </c>
      <c r="N39" s="1" t="s">
        <v>126</v>
      </c>
      <c r="O39" s="1" t="s">
        <v>127</v>
      </c>
      <c r="P39" s="1" t="s">
        <v>128</v>
      </c>
      <c r="Q39" s="1" t="s">
        <v>794</v>
      </c>
      <c r="R39" s="1" t="s">
        <v>795</v>
      </c>
      <c r="S39" s="9" t="s">
        <v>796</v>
      </c>
      <c r="Z39" s="1" t="s">
        <v>797</v>
      </c>
      <c r="AA39" s="1">
        <v>7.0E7</v>
      </c>
      <c r="AF39" s="1">
        <v>1.6E7</v>
      </c>
      <c r="AG39" s="9" t="s">
        <v>798</v>
      </c>
      <c r="AI39" s="1" t="s">
        <v>178</v>
      </c>
      <c r="AJ39" s="3"/>
      <c r="AK39" s="3"/>
      <c r="AL39" s="3"/>
      <c r="AM39" s="1" t="s">
        <v>799</v>
      </c>
      <c r="AN39" s="7" t="s">
        <v>800</v>
      </c>
      <c r="AO39" s="8" t="str">
        <f>HYPERLINK("https://docs.google.com/document/d/1-ki1oZTSSq3eLlhrg3AkHi_GZSoJuaHVUncYDDeP-n8/edit?usp=drivesdk","Al-Wildan 3 BSD_Arya Indrajana, ST_Matematika")</f>
        <v>Al-Wildan 3 BSD_Arya Indrajana, ST_Matematika</v>
      </c>
      <c r="AP39" s="1" t="s">
        <v>801</v>
      </c>
    </row>
    <row r="40">
      <c r="A40" s="6">
        <v>44016.504200474534</v>
      </c>
      <c r="B40" s="7" t="s">
        <v>802</v>
      </c>
      <c r="C40" s="8" t="s">
        <v>803</v>
      </c>
      <c r="D40" s="1" t="s">
        <v>804</v>
      </c>
      <c r="E40" s="9" t="s">
        <v>805</v>
      </c>
      <c r="F40" s="1" t="s">
        <v>806</v>
      </c>
      <c r="G40" s="1" t="s">
        <v>807</v>
      </c>
      <c r="H40" s="1" t="s">
        <v>808</v>
      </c>
      <c r="I40" s="9" t="s">
        <v>809</v>
      </c>
      <c r="J40" s="1">
        <v>27.0</v>
      </c>
      <c r="K40" s="1" t="s">
        <v>102</v>
      </c>
      <c r="L40" s="1" t="s">
        <v>329</v>
      </c>
      <c r="M40" s="1" t="s">
        <v>104</v>
      </c>
      <c r="N40" s="1" t="s">
        <v>810</v>
      </c>
      <c r="O40" s="1" t="s">
        <v>127</v>
      </c>
      <c r="P40" s="1" t="s">
        <v>107</v>
      </c>
      <c r="Q40" s="1" t="s">
        <v>811</v>
      </c>
      <c r="R40" s="1" t="s">
        <v>812</v>
      </c>
      <c r="S40" s="1" t="s">
        <v>813</v>
      </c>
      <c r="Z40" s="1" t="s">
        <v>814</v>
      </c>
      <c r="AA40" s="10">
        <v>4750000.0</v>
      </c>
      <c r="AF40" s="10">
        <v>6000000.0</v>
      </c>
      <c r="AG40" s="9" t="s">
        <v>815</v>
      </c>
      <c r="AM40" s="1" t="s">
        <v>816</v>
      </c>
      <c r="AN40" s="7" t="s">
        <v>817</v>
      </c>
      <c r="AO40" s="8" t="str">
        <f>HYPERLINK("https://docs.google.com/document/d/1O4VcelY5NIYwAzYzzRqdviTXSB2CWm8jynah3joRxAM/edit?usp=drivesdk","Al-Wildan 1 Gading Serpong_Ulya Himmawati,Lc_Diniyah dan Quran ")</f>
        <v>Al-Wildan 1 Gading Serpong_Ulya Himmawati,Lc_Diniyah dan Quran </v>
      </c>
      <c r="AP40" s="1" t="s">
        <v>818</v>
      </c>
    </row>
    <row r="41">
      <c r="A41" s="6">
        <v>44016.5046225463</v>
      </c>
      <c r="B41" s="7" t="s">
        <v>819</v>
      </c>
      <c r="C41" s="8" t="s">
        <v>820</v>
      </c>
      <c r="D41" s="1" t="s">
        <v>821</v>
      </c>
      <c r="E41" s="9" t="s">
        <v>822</v>
      </c>
      <c r="F41" s="1" t="s">
        <v>823</v>
      </c>
      <c r="G41" s="1" t="s">
        <v>824</v>
      </c>
      <c r="H41" s="1" t="s">
        <v>169</v>
      </c>
      <c r="I41" s="9" t="s">
        <v>825</v>
      </c>
      <c r="J41" s="1" t="s">
        <v>826</v>
      </c>
      <c r="K41" s="1" t="s">
        <v>102</v>
      </c>
      <c r="L41" s="1" t="s">
        <v>827</v>
      </c>
      <c r="M41" s="1" t="s">
        <v>104</v>
      </c>
      <c r="N41" s="1" t="s">
        <v>828</v>
      </c>
      <c r="O41" s="1" t="s">
        <v>312</v>
      </c>
      <c r="P41" s="1" t="s">
        <v>107</v>
      </c>
      <c r="Q41" s="1" t="s">
        <v>829</v>
      </c>
      <c r="R41" s="1" t="s">
        <v>830</v>
      </c>
      <c r="S41" s="1" t="s">
        <v>831</v>
      </c>
      <c r="T41" s="1" t="s">
        <v>832</v>
      </c>
      <c r="U41" s="1" t="s">
        <v>833</v>
      </c>
      <c r="V41" s="1" t="s">
        <v>411</v>
      </c>
      <c r="Z41" s="1" t="s">
        <v>834</v>
      </c>
      <c r="AA41" s="1" t="s">
        <v>835</v>
      </c>
      <c r="AB41" s="1" t="s">
        <v>836</v>
      </c>
      <c r="AC41" s="10">
        <v>3500000.0</v>
      </c>
      <c r="AD41" s="1" t="s">
        <v>837</v>
      </c>
      <c r="AE41" s="10">
        <v>4000000.0</v>
      </c>
      <c r="AF41" s="10">
        <v>6000000.0</v>
      </c>
      <c r="AG41" s="9" t="s">
        <v>838</v>
      </c>
      <c r="AI41" s="1" t="s">
        <v>159</v>
      </c>
      <c r="AJ41" s="3"/>
      <c r="AK41" s="3"/>
      <c r="AL41" s="3"/>
      <c r="AM41" s="1" t="s">
        <v>839</v>
      </c>
      <c r="AN41" s="7" t="s">
        <v>840</v>
      </c>
      <c r="AO41" s="8" t="str">
        <f>HYPERLINK("https://docs.google.com/document/d/1K-UNYcL3mRAc743yXbdNtQ6GoshlVvKLh_xXMIdNdgk/edit?usp=drivesdk","Al-Wildan 1 Gading Serpong_Nurul Azizah, Lc, MH_Arabic dan SKI")</f>
        <v>Al-Wildan 1 Gading Serpong_Nurul Azizah, Lc, MH_Arabic dan SKI</v>
      </c>
      <c r="AP41" s="1" t="s">
        <v>818</v>
      </c>
    </row>
    <row r="42">
      <c r="A42" s="6">
        <v>44016.5294922801</v>
      </c>
      <c r="B42" s="7" t="s">
        <v>841</v>
      </c>
      <c r="C42" s="8" t="s">
        <v>842</v>
      </c>
      <c r="D42" s="1" t="s">
        <v>843</v>
      </c>
      <c r="E42" s="9" t="s">
        <v>844</v>
      </c>
      <c r="F42" s="1" t="s">
        <v>845</v>
      </c>
      <c r="G42" s="1" t="s">
        <v>846</v>
      </c>
      <c r="H42" s="1" t="s">
        <v>847</v>
      </c>
      <c r="I42" s="9" t="s">
        <v>848</v>
      </c>
      <c r="J42" s="1" t="s">
        <v>849</v>
      </c>
      <c r="K42" s="1" t="s">
        <v>850</v>
      </c>
      <c r="L42" s="1" t="s">
        <v>103</v>
      </c>
      <c r="M42" s="1" t="s">
        <v>104</v>
      </c>
      <c r="N42" s="1" t="s">
        <v>851</v>
      </c>
      <c r="O42" s="1" t="s">
        <v>106</v>
      </c>
      <c r="P42" s="1" t="s">
        <v>107</v>
      </c>
      <c r="Q42" s="1" t="s">
        <v>192</v>
      </c>
      <c r="R42" s="1" t="s">
        <v>193</v>
      </c>
      <c r="S42" s="1">
        <v>3.39</v>
      </c>
      <c r="Z42" s="1" t="s">
        <v>852</v>
      </c>
      <c r="AA42" s="10">
        <v>6500000.0</v>
      </c>
      <c r="AF42" s="10">
        <v>1.0E7</v>
      </c>
      <c r="AG42" s="9" t="s">
        <v>853</v>
      </c>
      <c r="AM42" s="1" t="s">
        <v>854</v>
      </c>
      <c r="AN42" s="7" t="s">
        <v>855</v>
      </c>
      <c r="AO42" s="8" t="str">
        <f>HYPERLINK("https://docs.google.com/document/d/1B9svvASczwQBfyayu9lZPsejy1BVsJDaONa6GpxjZZA/edit?usp=drivesdk","Al-Wildan 1 Gading Serpong_Abdillah Bahannan, BA_Akidah, Akhlak")</f>
        <v>Al-Wildan 1 Gading Serpong_Abdillah Bahannan, BA_Akidah, Akhlak</v>
      </c>
      <c r="AP42" s="1" t="s">
        <v>856</v>
      </c>
    </row>
    <row r="43">
      <c r="A43" s="6">
        <v>44016.53875877315</v>
      </c>
      <c r="B43" s="7" t="s">
        <v>857</v>
      </c>
      <c r="C43" s="8" t="s">
        <v>858</v>
      </c>
      <c r="D43" s="1" t="s">
        <v>859</v>
      </c>
      <c r="E43" s="9" t="s">
        <v>860</v>
      </c>
      <c r="F43" s="1" t="s">
        <v>861</v>
      </c>
      <c r="G43" s="1" t="s">
        <v>862</v>
      </c>
      <c r="H43" s="1" t="s">
        <v>863</v>
      </c>
      <c r="I43" s="9" t="s">
        <v>864</v>
      </c>
      <c r="J43" s="1" t="s">
        <v>865</v>
      </c>
      <c r="K43" s="1" t="s">
        <v>102</v>
      </c>
      <c r="L43" s="1" t="s">
        <v>103</v>
      </c>
      <c r="M43" s="1" t="s">
        <v>104</v>
      </c>
      <c r="N43" s="1" t="s">
        <v>866</v>
      </c>
      <c r="O43" s="1" t="s">
        <v>312</v>
      </c>
      <c r="P43" s="1" t="s">
        <v>107</v>
      </c>
      <c r="Q43" s="1" t="s">
        <v>811</v>
      </c>
      <c r="R43" s="1" t="s">
        <v>867</v>
      </c>
      <c r="S43" s="1" t="s">
        <v>868</v>
      </c>
      <c r="Z43" s="1" t="s">
        <v>869</v>
      </c>
      <c r="AA43" s="1" t="s">
        <v>870</v>
      </c>
      <c r="AB43" s="1" t="s">
        <v>869</v>
      </c>
      <c r="AC43" s="10">
        <v>4500000.0</v>
      </c>
      <c r="AD43" s="1" t="s">
        <v>869</v>
      </c>
      <c r="AE43" s="10">
        <v>4500000.0</v>
      </c>
      <c r="AF43" s="10">
        <v>5000000.0</v>
      </c>
      <c r="AG43" s="9" t="s">
        <v>871</v>
      </c>
      <c r="AI43" s="1" t="s">
        <v>782</v>
      </c>
      <c r="AJ43" s="3"/>
      <c r="AK43" s="3"/>
      <c r="AL43" s="3"/>
      <c r="AM43" s="1" t="s">
        <v>872</v>
      </c>
      <c r="AN43" s="7" t="s">
        <v>873</v>
      </c>
      <c r="AO43" s="8" t="str">
        <f>HYPERLINK("https://docs.google.com/document/d/1Bznh-YSZbLy1KRmVJfCRQgxolq0715zgJO4-MBEwA2g/edit?usp=drivesdk","Al-Wildan 1 Gading Serpong_M. FAHRURROZI KHATOMI_ARABIC, FIKIH, AKIDAH DAN AKHLAQ, SKI")</f>
        <v>Al-Wildan 1 Gading Serpong_M. FAHRURROZI KHATOMI_ARABIC, FIKIH, AKIDAH DAN AKHLAQ, SKI</v>
      </c>
      <c r="AP43" s="1" t="s">
        <v>874</v>
      </c>
    </row>
    <row r="44">
      <c r="A44" s="6">
        <v>44016.54506989583</v>
      </c>
      <c r="B44" s="7" t="s">
        <v>875</v>
      </c>
      <c r="C44" s="8" t="s">
        <v>876</v>
      </c>
      <c r="D44" s="1" t="s">
        <v>877</v>
      </c>
      <c r="E44" s="9" t="s">
        <v>878</v>
      </c>
      <c r="F44" s="1" t="s">
        <v>879</v>
      </c>
      <c r="G44" s="1" t="s">
        <v>880</v>
      </c>
      <c r="H44" s="1" t="s">
        <v>881</v>
      </c>
      <c r="I44" s="1" t="s">
        <v>882</v>
      </c>
      <c r="J44" s="1">
        <v>35.0</v>
      </c>
      <c r="K44" s="1" t="s">
        <v>102</v>
      </c>
      <c r="L44" s="1" t="s">
        <v>103</v>
      </c>
      <c r="M44" s="1" t="s">
        <v>629</v>
      </c>
      <c r="O44" s="1" t="s">
        <v>312</v>
      </c>
      <c r="P44" s="1" t="s">
        <v>107</v>
      </c>
      <c r="Q44" s="1" t="s">
        <v>883</v>
      </c>
      <c r="R44" s="1" t="s">
        <v>884</v>
      </c>
      <c r="S44" s="1" t="s">
        <v>885</v>
      </c>
      <c r="T44" s="1" t="s">
        <v>886</v>
      </c>
      <c r="U44" s="1" t="s">
        <v>887</v>
      </c>
      <c r="V44" s="1" t="s">
        <v>240</v>
      </c>
      <c r="W44" s="1" t="s">
        <v>888</v>
      </c>
      <c r="X44" s="1" t="s">
        <v>889</v>
      </c>
      <c r="Z44" s="1" t="s">
        <v>890</v>
      </c>
      <c r="AA44" s="10">
        <v>4800000.0</v>
      </c>
      <c r="AD44" s="1" t="s">
        <v>217</v>
      </c>
      <c r="AE44" s="1" t="s">
        <v>217</v>
      </c>
      <c r="AF44" s="1" t="s">
        <v>891</v>
      </c>
      <c r="AG44" s="1">
        <v>3.04168302E8</v>
      </c>
      <c r="AH44" s="1">
        <v>7.117774567E9</v>
      </c>
      <c r="AI44" s="1" t="s">
        <v>892</v>
      </c>
      <c r="AJ44" s="3"/>
      <c r="AK44" s="3"/>
      <c r="AL44" s="3"/>
      <c r="AM44" s="1" t="s">
        <v>893</v>
      </c>
      <c r="AN44" s="7" t="s">
        <v>894</v>
      </c>
      <c r="AO44" s="8" t="str">
        <f>HYPERLINK("https://docs.google.com/document/d/1qzCBlTm1XmCExG24JuEZocy9WqVcrSwM4rT-D-PvqqE/edit?usp=drivesdk","Al-Wildan 1 Gading Serpong_ANGGI RIVANA_")</f>
        <v>Al-Wildan 1 Gading Serpong_ANGGI RIVANA_</v>
      </c>
      <c r="AP44" s="1" t="s">
        <v>895</v>
      </c>
    </row>
    <row r="45">
      <c r="A45" s="6">
        <v>44016.5485453588</v>
      </c>
      <c r="B45" s="7" t="s">
        <v>896</v>
      </c>
      <c r="C45" s="8" t="s">
        <v>897</v>
      </c>
      <c r="D45" s="1" t="s">
        <v>898</v>
      </c>
      <c r="E45" s="9" t="s">
        <v>899</v>
      </c>
      <c r="F45" s="1" t="s">
        <v>900</v>
      </c>
      <c r="G45" s="1" t="s">
        <v>901</v>
      </c>
      <c r="H45" s="1" t="s">
        <v>902</v>
      </c>
      <c r="I45" s="9" t="s">
        <v>903</v>
      </c>
      <c r="J45" s="1" t="s">
        <v>904</v>
      </c>
      <c r="K45" s="1" t="s">
        <v>102</v>
      </c>
      <c r="L45" s="1" t="s">
        <v>103</v>
      </c>
      <c r="M45" s="1" t="s">
        <v>104</v>
      </c>
      <c r="N45" s="1" t="s">
        <v>105</v>
      </c>
      <c r="O45" s="1" t="s">
        <v>127</v>
      </c>
      <c r="P45" s="1" t="s">
        <v>107</v>
      </c>
      <c r="Q45" s="1" t="s">
        <v>905</v>
      </c>
      <c r="R45" s="1" t="s">
        <v>906</v>
      </c>
      <c r="S45" s="1" t="s">
        <v>595</v>
      </c>
      <c r="T45" s="1" t="s">
        <v>907</v>
      </c>
      <c r="U45" s="1" t="s">
        <v>378</v>
      </c>
      <c r="V45" s="1" t="s">
        <v>908</v>
      </c>
      <c r="Z45" s="1" t="s">
        <v>909</v>
      </c>
      <c r="AA45" s="10">
        <v>4000000.0</v>
      </c>
      <c r="AF45" s="10">
        <v>5000000.0</v>
      </c>
      <c r="AG45" s="9" t="s">
        <v>910</v>
      </c>
      <c r="AI45" s="1" t="s">
        <v>178</v>
      </c>
      <c r="AJ45" s="3"/>
      <c r="AK45" s="3"/>
      <c r="AL45" s="3"/>
      <c r="AM45" s="1" t="s">
        <v>911</v>
      </c>
      <c r="AN45" s="7" t="s">
        <v>912</v>
      </c>
      <c r="AO45" s="8" t="str">
        <f>HYPERLINK("https://docs.google.com/document/d/1s1UXneVniuzkr_lSxP7P4PxLw-liJcXEw9GC2AwEWFs/edit?usp=drivesdk","Al-Wildan 1 Gading Serpong_Idi Darma, S.Pd., M.M._Bahasa Indonesia")</f>
        <v>Al-Wildan 1 Gading Serpong_Idi Darma, S.Pd., M.M._Bahasa Indonesia</v>
      </c>
      <c r="AP45" s="1" t="s">
        <v>913</v>
      </c>
    </row>
    <row r="46">
      <c r="A46" s="6">
        <v>44016.54877606481</v>
      </c>
      <c r="B46" s="7" t="s">
        <v>914</v>
      </c>
      <c r="C46" s="8" t="s">
        <v>915</v>
      </c>
      <c r="D46" s="1" t="s">
        <v>718</v>
      </c>
      <c r="E46" s="9" t="s">
        <v>719</v>
      </c>
      <c r="F46" s="1" t="s">
        <v>720</v>
      </c>
      <c r="G46" s="1" t="s">
        <v>721</v>
      </c>
      <c r="H46" s="1" t="s">
        <v>722</v>
      </c>
      <c r="I46" s="9" t="s">
        <v>723</v>
      </c>
      <c r="J46" s="1" t="s">
        <v>724</v>
      </c>
      <c r="K46" s="1" t="s">
        <v>102</v>
      </c>
      <c r="L46" s="1" t="s">
        <v>256</v>
      </c>
      <c r="M46" s="1" t="s">
        <v>104</v>
      </c>
      <c r="N46" s="1" t="s">
        <v>126</v>
      </c>
      <c r="O46" s="1" t="s">
        <v>236</v>
      </c>
      <c r="P46" s="1" t="s">
        <v>107</v>
      </c>
      <c r="Q46" s="1" t="s">
        <v>725</v>
      </c>
      <c r="R46" s="1" t="s">
        <v>126</v>
      </c>
      <c r="S46" s="1" t="s">
        <v>726</v>
      </c>
      <c r="T46" s="1" t="s">
        <v>725</v>
      </c>
      <c r="U46" s="1" t="s">
        <v>130</v>
      </c>
      <c r="V46" s="1" t="s">
        <v>277</v>
      </c>
      <c r="Z46" s="1" t="s">
        <v>916</v>
      </c>
      <c r="AA46" s="10">
        <v>5650000.0</v>
      </c>
      <c r="AB46" s="1" t="s">
        <v>917</v>
      </c>
      <c r="AC46" s="10">
        <v>6000000.0</v>
      </c>
      <c r="AF46" s="10">
        <v>7000000.0</v>
      </c>
      <c r="AG46" s="9" t="s">
        <v>728</v>
      </c>
      <c r="AM46" s="1" t="s">
        <v>918</v>
      </c>
      <c r="AN46" s="7" t="s">
        <v>919</v>
      </c>
      <c r="AO46" s="8" t="str">
        <f>HYPERLINK("https://docs.google.com/document/d/1KLQ1gChFOt9yGqg9rhlg3cKim4kkWyezvsuOphdDV88/edit?usp=drivesdk","Al-Wildan 1 Gading Serpong_Mutia Dwi Haryanti, S.Mat., M.Pd._Matematika")</f>
        <v>Al-Wildan 1 Gading Serpong_Mutia Dwi Haryanti, S.Mat., M.Pd._Matematika</v>
      </c>
      <c r="AP46" s="1" t="s">
        <v>913</v>
      </c>
    </row>
    <row r="47">
      <c r="A47" s="6">
        <v>44016.549787083335</v>
      </c>
      <c r="B47" s="7" t="s">
        <v>920</v>
      </c>
      <c r="C47" s="8" t="s">
        <v>921</v>
      </c>
      <c r="D47" s="1" t="s">
        <v>922</v>
      </c>
      <c r="E47" s="9" t="s">
        <v>923</v>
      </c>
      <c r="F47" s="1" t="s">
        <v>924</v>
      </c>
      <c r="G47" s="1" t="s">
        <v>925</v>
      </c>
      <c r="H47" s="1" t="s">
        <v>169</v>
      </c>
      <c r="I47" s="9" t="s">
        <v>926</v>
      </c>
      <c r="J47" s="1" t="s">
        <v>927</v>
      </c>
      <c r="K47" s="1" t="s">
        <v>102</v>
      </c>
      <c r="L47" s="1" t="s">
        <v>329</v>
      </c>
      <c r="M47" s="1" t="s">
        <v>104</v>
      </c>
      <c r="N47" s="1" t="s">
        <v>928</v>
      </c>
      <c r="O47" s="1" t="s">
        <v>312</v>
      </c>
      <c r="P47" s="1" t="s">
        <v>107</v>
      </c>
      <c r="Q47" s="1" t="s">
        <v>929</v>
      </c>
      <c r="R47" s="1" t="s">
        <v>930</v>
      </c>
      <c r="S47" s="1" t="s">
        <v>931</v>
      </c>
      <c r="Z47" s="1" t="s">
        <v>932</v>
      </c>
      <c r="AA47" s="10">
        <v>9800000.0</v>
      </c>
      <c r="AB47" s="1" t="s">
        <v>933</v>
      </c>
      <c r="AC47" s="10">
        <v>3060000.0</v>
      </c>
      <c r="AD47" s="1" t="s">
        <v>934</v>
      </c>
      <c r="AE47" s="10">
        <v>4500000.0</v>
      </c>
      <c r="AF47" s="10">
        <v>5000000.0</v>
      </c>
      <c r="AG47" s="9" t="s">
        <v>935</v>
      </c>
      <c r="AM47" s="1" t="s">
        <v>936</v>
      </c>
      <c r="AN47" s="7" t="s">
        <v>937</v>
      </c>
      <c r="AO47" s="8" t="str">
        <f>HYPERLINK("https://docs.google.com/document/d/1Dxx89MPh2zfEVyno2N_whGkj9Rh3qJjGhpNLQD2KV0E/edit?usp=drivesdk","Al-Wildan 1 Gading Serpong_Marliza, S.T._Math English Science")</f>
        <v>Al-Wildan 1 Gading Serpong_Marliza, S.T._Math English Science</v>
      </c>
      <c r="AP47" s="1" t="s">
        <v>938</v>
      </c>
    </row>
    <row r="48">
      <c r="A48" s="6">
        <v>44016.54981751158</v>
      </c>
      <c r="B48" s="7" t="s">
        <v>939</v>
      </c>
      <c r="C48" s="8" t="s">
        <v>940</v>
      </c>
      <c r="D48" s="1" t="s">
        <v>941</v>
      </c>
      <c r="E48" s="9" t="s">
        <v>942</v>
      </c>
      <c r="F48" s="1">
        <v>3.20430010921001E14</v>
      </c>
      <c r="G48" s="1" t="s">
        <v>943</v>
      </c>
      <c r="H48" s="1" t="s">
        <v>944</v>
      </c>
      <c r="I48" s="9" t="s">
        <v>945</v>
      </c>
      <c r="J48" s="1" t="s">
        <v>946</v>
      </c>
      <c r="K48" s="1" t="s">
        <v>102</v>
      </c>
      <c r="L48" s="1" t="s">
        <v>103</v>
      </c>
      <c r="M48" s="1" t="s">
        <v>104</v>
      </c>
      <c r="N48" s="1" t="s">
        <v>947</v>
      </c>
      <c r="O48" s="1" t="s">
        <v>312</v>
      </c>
      <c r="P48" s="1" t="s">
        <v>107</v>
      </c>
      <c r="Q48" s="1" t="s">
        <v>948</v>
      </c>
      <c r="R48" s="11" t="s">
        <v>949</v>
      </c>
      <c r="S48" s="1">
        <v>3.36</v>
      </c>
      <c r="T48" s="1" t="s">
        <v>217</v>
      </c>
      <c r="U48" s="1" t="s">
        <v>217</v>
      </c>
      <c r="V48" s="1" t="s">
        <v>217</v>
      </c>
      <c r="W48" s="1" t="s">
        <v>217</v>
      </c>
      <c r="X48" s="1" t="s">
        <v>217</v>
      </c>
      <c r="Y48" s="1">
        <v>0.0</v>
      </c>
      <c r="Z48" s="1" t="s">
        <v>950</v>
      </c>
      <c r="AA48" s="10">
        <v>1000000.0</v>
      </c>
      <c r="AB48" s="1" t="s">
        <v>951</v>
      </c>
      <c r="AC48" s="10">
        <v>3500000.0</v>
      </c>
      <c r="AD48" s="1" t="s">
        <v>217</v>
      </c>
      <c r="AE48" s="1" t="s">
        <v>217</v>
      </c>
      <c r="AF48" s="1" t="s">
        <v>952</v>
      </c>
      <c r="AG48" s="9" t="s">
        <v>953</v>
      </c>
      <c r="AH48" s="1">
        <v>0.0</v>
      </c>
      <c r="AI48" s="1" t="s">
        <v>954</v>
      </c>
      <c r="AJ48" s="3"/>
      <c r="AK48" s="3"/>
      <c r="AL48" s="3"/>
      <c r="AM48" s="1" t="s">
        <v>955</v>
      </c>
      <c r="AN48" s="7" t="s">
        <v>956</v>
      </c>
      <c r="AO48" s="8" t="str">
        <f>HYPERLINK("https://docs.google.com/document/d/1wss0mkS9gYm04PbSyuCimu3QP-E-tQliGrcGSDm8ME8/edit?usp=drivesdk","Al-Wildan 1 Gading Serpong_Husni Mubarok_Al-Qur'an dan PAI")</f>
        <v>Al-Wildan 1 Gading Serpong_Husni Mubarok_Al-Qur'an dan PAI</v>
      </c>
      <c r="AP48" s="1" t="s">
        <v>957</v>
      </c>
    </row>
    <row r="49">
      <c r="A49" s="6">
        <v>44016.553031979165</v>
      </c>
      <c r="B49" s="7" t="s">
        <v>958</v>
      </c>
      <c r="C49" s="8" t="s">
        <v>959</v>
      </c>
      <c r="D49" s="1" t="s">
        <v>960</v>
      </c>
      <c r="E49" s="9" t="s">
        <v>961</v>
      </c>
      <c r="F49" s="1" t="s">
        <v>962</v>
      </c>
      <c r="G49" s="1" t="s">
        <v>963</v>
      </c>
      <c r="H49" s="1" t="s">
        <v>169</v>
      </c>
      <c r="I49" s="9" t="s">
        <v>964</v>
      </c>
      <c r="J49" s="1" t="s">
        <v>965</v>
      </c>
      <c r="K49" s="1" t="s">
        <v>102</v>
      </c>
      <c r="L49" s="1" t="s">
        <v>329</v>
      </c>
      <c r="M49" s="1" t="s">
        <v>104</v>
      </c>
      <c r="N49" s="1" t="s">
        <v>966</v>
      </c>
      <c r="O49" s="1" t="s">
        <v>312</v>
      </c>
      <c r="P49" s="1" t="s">
        <v>107</v>
      </c>
      <c r="Q49" s="1" t="s">
        <v>967</v>
      </c>
      <c r="R49" s="1" t="s">
        <v>968</v>
      </c>
      <c r="S49" s="1" t="s">
        <v>969</v>
      </c>
      <c r="T49" s="1" t="s">
        <v>967</v>
      </c>
      <c r="U49" s="1" t="s">
        <v>970</v>
      </c>
      <c r="V49" s="1" t="s">
        <v>971</v>
      </c>
      <c r="W49" s="1" t="s">
        <v>217</v>
      </c>
      <c r="X49" s="1" t="s">
        <v>217</v>
      </c>
      <c r="Z49" s="1" t="s">
        <v>972</v>
      </c>
      <c r="AA49" s="10">
        <v>1800000.0</v>
      </c>
      <c r="AB49" s="1" t="s">
        <v>973</v>
      </c>
      <c r="AC49" s="10">
        <v>1500000.0</v>
      </c>
      <c r="AD49" s="1" t="s">
        <v>974</v>
      </c>
      <c r="AE49" s="10">
        <v>3400000.0</v>
      </c>
      <c r="AF49" s="10">
        <v>5000000.0</v>
      </c>
      <c r="AG49" s="9" t="s">
        <v>975</v>
      </c>
      <c r="AM49" s="1" t="s">
        <v>976</v>
      </c>
      <c r="AN49" s="7" t="s">
        <v>977</v>
      </c>
      <c r="AO49" s="8" t="str">
        <f>HYPERLINK("https://docs.google.com/document/d/1c7nH-j3w3lirVMZ6EX8fKCFayAiebw8oWze89xYnvaA/edit?usp=drivesdk","Al-Wildan 1 Gading Serpong_Dinar Pusparini, S. Pd. I_Alquran, Arabic")</f>
        <v>Al-Wildan 1 Gading Serpong_Dinar Pusparini, S. Pd. I_Alquran, Arabic</v>
      </c>
      <c r="AP49" s="1" t="s">
        <v>978</v>
      </c>
    </row>
    <row r="50">
      <c r="A50" s="6">
        <v>44016.5886945949</v>
      </c>
      <c r="B50" s="7" t="s">
        <v>979</v>
      </c>
      <c r="C50" s="8" t="s">
        <v>980</v>
      </c>
      <c r="D50" s="1" t="s">
        <v>981</v>
      </c>
      <c r="E50" s="9" t="s">
        <v>982</v>
      </c>
      <c r="F50" s="1" t="s">
        <v>983</v>
      </c>
      <c r="G50" s="1" t="s">
        <v>984</v>
      </c>
      <c r="H50" s="1" t="s">
        <v>188</v>
      </c>
      <c r="I50" s="9" t="s">
        <v>985</v>
      </c>
      <c r="J50" s="1" t="s">
        <v>986</v>
      </c>
      <c r="K50" s="1" t="s">
        <v>151</v>
      </c>
      <c r="L50" s="1" t="s">
        <v>103</v>
      </c>
      <c r="M50" s="1" t="s">
        <v>104</v>
      </c>
      <c r="N50" s="1" t="s">
        <v>987</v>
      </c>
      <c r="O50" s="1" t="s">
        <v>127</v>
      </c>
      <c r="P50" s="1" t="s">
        <v>107</v>
      </c>
      <c r="Q50" s="1" t="s">
        <v>988</v>
      </c>
      <c r="R50" s="1" t="s">
        <v>989</v>
      </c>
      <c r="S50" s="1" t="s">
        <v>990</v>
      </c>
      <c r="T50" s="1" t="s">
        <v>108</v>
      </c>
      <c r="U50" s="1" t="s">
        <v>989</v>
      </c>
      <c r="V50" s="1" t="s">
        <v>110</v>
      </c>
      <c r="Z50" s="1" t="s">
        <v>991</v>
      </c>
      <c r="AA50" s="10">
        <v>6500000.0</v>
      </c>
      <c r="AF50" s="10">
        <v>8000000.0</v>
      </c>
      <c r="AG50" s="9" t="s">
        <v>992</v>
      </c>
      <c r="AI50" s="1" t="s">
        <v>993</v>
      </c>
      <c r="AJ50" s="3"/>
      <c r="AK50" s="3"/>
      <c r="AL50" s="3"/>
      <c r="AM50" s="1" t="s">
        <v>994</v>
      </c>
      <c r="AN50" s="7" t="s">
        <v>995</v>
      </c>
      <c r="AO50" s="8" t="str">
        <f>HYPERLINK("https://docs.google.com/document/d/1eW5knXYxrHbiOI1jeUWxDNVq6kFSosKWgRdLs5lvW_0/edit?usp=drivesdk","Al-Wildan 1 Gading Serpong_Riska Dian Pratiwi, M.Pd._Biology")</f>
        <v>Al-Wildan 1 Gading Serpong_Riska Dian Pratiwi, M.Pd._Biology</v>
      </c>
      <c r="AP50" s="1" t="s">
        <v>996</v>
      </c>
    </row>
    <row r="51">
      <c r="A51" s="6">
        <v>44016.60546853009</v>
      </c>
      <c r="B51" s="7" t="s">
        <v>997</v>
      </c>
      <c r="C51" s="8" t="s">
        <v>998</v>
      </c>
      <c r="D51" s="1" t="s">
        <v>999</v>
      </c>
      <c r="E51" s="9" t="s">
        <v>1000</v>
      </c>
      <c r="F51" s="1" t="s">
        <v>1001</v>
      </c>
      <c r="G51" s="1" t="s">
        <v>1002</v>
      </c>
      <c r="H51" s="1" t="s">
        <v>1003</v>
      </c>
      <c r="I51" s="9" t="s">
        <v>1004</v>
      </c>
      <c r="J51" s="1" t="s">
        <v>1005</v>
      </c>
      <c r="K51" s="1" t="s">
        <v>151</v>
      </c>
      <c r="L51" s="1" t="s">
        <v>329</v>
      </c>
      <c r="M51" s="1" t="s">
        <v>104</v>
      </c>
      <c r="N51" s="1" t="s">
        <v>1006</v>
      </c>
      <c r="O51" s="1" t="s">
        <v>312</v>
      </c>
      <c r="P51" s="1" t="s">
        <v>107</v>
      </c>
      <c r="Q51" s="1" t="s">
        <v>1007</v>
      </c>
      <c r="R51" s="1" t="s">
        <v>217</v>
      </c>
      <c r="S51" s="1" t="s">
        <v>217</v>
      </c>
      <c r="Z51" s="1" t="s">
        <v>570</v>
      </c>
      <c r="AA51" s="10">
        <v>2500000.0</v>
      </c>
      <c r="AF51" s="10">
        <v>2500000.0</v>
      </c>
      <c r="AG51" s="9" t="s">
        <v>1008</v>
      </c>
      <c r="AI51" s="1" t="s">
        <v>655</v>
      </c>
      <c r="AJ51" s="3"/>
      <c r="AK51" s="3"/>
      <c r="AL51" s="3"/>
      <c r="AM51" s="1" t="s">
        <v>1009</v>
      </c>
      <c r="AN51" s="7" t="s">
        <v>1010</v>
      </c>
      <c r="AO51" s="8" t="str">
        <f>HYPERLINK("https://docs.google.com/document/d/1AKKeKwYZ7s2QG4Y0XxShPilfQdB4Zm-AQBskSqhqa1s/edit?usp=drivesdk","Al-Wildan 1 Gading Serpong_Afra Nayla_Al qur'an")</f>
        <v>Al-Wildan 1 Gading Serpong_Afra Nayla_Al qur'an</v>
      </c>
      <c r="AP51" s="1" t="s">
        <v>1011</v>
      </c>
    </row>
    <row r="52">
      <c r="A52" s="6">
        <v>44016.61069203704</v>
      </c>
      <c r="B52" s="7" t="s">
        <v>1012</v>
      </c>
      <c r="C52" s="8" t="s">
        <v>1013</v>
      </c>
      <c r="D52" s="1" t="s">
        <v>1014</v>
      </c>
      <c r="E52" s="9" t="s">
        <v>1015</v>
      </c>
      <c r="F52" s="1" t="s">
        <v>1016</v>
      </c>
      <c r="G52" s="1" t="s">
        <v>1017</v>
      </c>
      <c r="H52" s="1" t="s">
        <v>1018</v>
      </c>
      <c r="I52" s="9" t="s">
        <v>1019</v>
      </c>
      <c r="J52" s="1" t="s">
        <v>1020</v>
      </c>
      <c r="K52" s="1" t="s">
        <v>151</v>
      </c>
      <c r="L52" s="1" t="s">
        <v>103</v>
      </c>
      <c r="M52" s="1" t="s">
        <v>104</v>
      </c>
      <c r="N52" s="1" t="s">
        <v>1021</v>
      </c>
      <c r="O52" s="1" t="s">
        <v>106</v>
      </c>
      <c r="P52" s="1" t="s">
        <v>128</v>
      </c>
      <c r="Q52" s="1" t="s">
        <v>1022</v>
      </c>
      <c r="R52" s="1" t="s">
        <v>193</v>
      </c>
      <c r="S52" s="1" t="s">
        <v>1023</v>
      </c>
      <c r="T52" s="1" t="s">
        <v>217</v>
      </c>
      <c r="U52" s="1" t="s">
        <v>217</v>
      </c>
      <c r="V52" s="1" t="s">
        <v>217</v>
      </c>
      <c r="W52" s="1" t="s">
        <v>217</v>
      </c>
      <c r="X52" s="1" t="s">
        <v>217</v>
      </c>
      <c r="Y52" s="1">
        <v>0.0</v>
      </c>
      <c r="Z52" s="1" t="s">
        <v>1024</v>
      </c>
      <c r="AA52" s="10">
        <v>5000000.0</v>
      </c>
      <c r="AB52" s="1" t="s">
        <v>217</v>
      </c>
      <c r="AC52" s="1" t="s">
        <v>217</v>
      </c>
      <c r="AD52" s="1" t="s">
        <v>217</v>
      </c>
      <c r="AE52" s="1" t="s">
        <v>217</v>
      </c>
      <c r="AF52" s="10">
        <v>6000000.0</v>
      </c>
      <c r="AG52" s="9" t="s">
        <v>1025</v>
      </c>
      <c r="AM52" s="1" t="s">
        <v>1026</v>
      </c>
      <c r="AN52" s="7" t="s">
        <v>1027</v>
      </c>
      <c r="AO52" s="8" t="str">
        <f>HYPERLINK("https://docs.google.com/document/d/1IfZqwDs19jPPfdUmZjo5cSBr3Mnmvwb_wmVNRGZG7DY/edit?usp=drivesdk","Al-Wildan 3 BSD_Muhammad Ibadurrohman, Lc._Arabic dan Diniyyah")</f>
        <v>Al-Wildan 3 BSD_Muhammad Ibadurrohman, Lc._Arabic dan Diniyyah</v>
      </c>
      <c r="AP52" s="1" t="s">
        <v>1028</v>
      </c>
    </row>
    <row r="53">
      <c r="A53" s="6">
        <v>44016.624929259255</v>
      </c>
      <c r="B53" s="7" t="s">
        <v>1029</v>
      </c>
      <c r="C53" s="8" t="s">
        <v>1030</v>
      </c>
      <c r="D53" s="1" t="s">
        <v>1031</v>
      </c>
      <c r="E53" s="9" t="s">
        <v>1032</v>
      </c>
      <c r="F53" s="1" t="s">
        <v>1033</v>
      </c>
      <c r="G53" s="1" t="s">
        <v>99</v>
      </c>
      <c r="H53" s="1" t="s">
        <v>99</v>
      </c>
      <c r="I53" s="9" t="s">
        <v>1034</v>
      </c>
      <c r="J53" s="1" t="s">
        <v>1035</v>
      </c>
      <c r="K53" s="1" t="s">
        <v>102</v>
      </c>
      <c r="L53" s="1" t="s">
        <v>103</v>
      </c>
      <c r="M53" s="1" t="s">
        <v>104</v>
      </c>
      <c r="N53" s="1" t="s">
        <v>771</v>
      </c>
      <c r="O53" s="1" t="s">
        <v>312</v>
      </c>
      <c r="P53" s="1" t="s">
        <v>107</v>
      </c>
      <c r="Q53" s="1" t="s">
        <v>1036</v>
      </c>
      <c r="R53" s="1" t="s">
        <v>1037</v>
      </c>
      <c r="S53" s="1" t="s">
        <v>292</v>
      </c>
      <c r="Z53" s="1" t="s">
        <v>1038</v>
      </c>
      <c r="AA53" s="10">
        <v>4500000.0</v>
      </c>
      <c r="AB53" s="1" t="s">
        <v>1039</v>
      </c>
      <c r="AC53" s="1" t="s">
        <v>1040</v>
      </c>
      <c r="AD53" s="1" t="s">
        <v>1041</v>
      </c>
      <c r="AE53" s="10">
        <v>4000000.0</v>
      </c>
      <c r="AF53" s="10">
        <v>5000000.0</v>
      </c>
      <c r="AG53" s="9" t="s">
        <v>1042</v>
      </c>
      <c r="AI53" s="1" t="s">
        <v>178</v>
      </c>
      <c r="AJ53" s="3"/>
      <c r="AK53" s="3"/>
      <c r="AL53" s="3"/>
      <c r="AM53" s="1" t="s">
        <v>1043</v>
      </c>
      <c r="AN53" s="7" t="s">
        <v>1044</v>
      </c>
      <c r="AO53" s="8" t="str">
        <f>HYPERLINK("https://docs.google.com/document/d/1jm9BXaJxOcUsXXoz1edURuFk0Y3B6oXN5g4P8StthxQ/edit?usp=drivesdk","Al-Wildan 1 Gading Serpong_Uswatun Khasanah_English")</f>
        <v>Al-Wildan 1 Gading Serpong_Uswatun Khasanah_English</v>
      </c>
      <c r="AP53" s="1" t="s">
        <v>1045</v>
      </c>
    </row>
    <row r="54">
      <c r="A54" s="6">
        <v>44016.657212199076</v>
      </c>
      <c r="B54" s="7" t="s">
        <v>1046</v>
      </c>
      <c r="C54" s="8" t="s">
        <v>1047</v>
      </c>
      <c r="D54" s="1" t="s">
        <v>1048</v>
      </c>
      <c r="E54" s="9" t="s">
        <v>1049</v>
      </c>
      <c r="F54" s="1" t="s">
        <v>1050</v>
      </c>
      <c r="G54" s="1" t="s">
        <v>1051</v>
      </c>
      <c r="H54" s="1" t="s">
        <v>169</v>
      </c>
      <c r="I54" s="9" t="s">
        <v>1052</v>
      </c>
      <c r="J54" s="1" t="s">
        <v>1053</v>
      </c>
      <c r="K54" s="1" t="s">
        <v>102</v>
      </c>
      <c r="L54" s="1" t="s">
        <v>256</v>
      </c>
      <c r="M54" s="1" t="s">
        <v>1054</v>
      </c>
      <c r="N54" s="1" t="s">
        <v>1055</v>
      </c>
      <c r="O54" s="1" t="s">
        <v>127</v>
      </c>
      <c r="P54" s="1" t="s">
        <v>107</v>
      </c>
      <c r="Q54" s="1" t="s">
        <v>1056</v>
      </c>
      <c r="R54" s="1" t="s">
        <v>1057</v>
      </c>
      <c r="S54" s="1" t="s">
        <v>740</v>
      </c>
      <c r="T54" s="1" t="s">
        <v>1058</v>
      </c>
      <c r="U54" s="1" t="s">
        <v>1059</v>
      </c>
      <c r="V54" s="1" t="s">
        <v>1060</v>
      </c>
      <c r="Z54" s="1" t="s">
        <v>1061</v>
      </c>
      <c r="AA54" s="1" t="s">
        <v>1062</v>
      </c>
      <c r="AB54" s="1" t="s">
        <v>1063</v>
      </c>
      <c r="AC54" s="10">
        <v>5000000.0</v>
      </c>
      <c r="AD54" s="1" t="s">
        <v>1064</v>
      </c>
      <c r="AE54" s="1" t="s">
        <v>1065</v>
      </c>
      <c r="AF54" s="1" t="s">
        <v>1066</v>
      </c>
      <c r="AG54" s="9" t="s">
        <v>1067</v>
      </c>
      <c r="AI54" s="1" t="s">
        <v>1068</v>
      </c>
      <c r="AJ54" s="3"/>
      <c r="AK54" s="3"/>
      <c r="AL54" s="3"/>
      <c r="AM54" s="1" t="s">
        <v>1069</v>
      </c>
      <c r="AN54" s="7" t="s">
        <v>1070</v>
      </c>
      <c r="AO54" s="8" t="str">
        <f>HYPERLINK("https://docs.google.com/document/d/1lbKFLAVr4ZMRH7iDQPx8TnI_ObGAulUfGrt_tA5Po4s/edit?usp=drivesdk","Al-Wildan 1 Gading Serpong_Riska Amelia, M.Si_Bimbingan Konseling (SMP-SMA), English, Phonics, Life Skills, Math, Reading (Kindergarten)")</f>
        <v>Al-Wildan 1 Gading Serpong_Riska Amelia, M.Si_Bimbingan Konseling (SMP-SMA), English, Phonics, Life Skills, Math, Reading (Kindergarten)</v>
      </c>
      <c r="AP54" s="1" t="s">
        <v>1071</v>
      </c>
    </row>
    <row r="55">
      <c r="A55" s="6">
        <v>44016.734851030094</v>
      </c>
      <c r="B55" s="7" t="s">
        <v>1072</v>
      </c>
      <c r="C55" s="8" t="s">
        <v>1073</v>
      </c>
      <c r="D55" s="1" t="s">
        <v>1074</v>
      </c>
      <c r="E55" s="9" t="s">
        <v>1075</v>
      </c>
      <c r="F55" s="1" t="s">
        <v>1076</v>
      </c>
      <c r="G55" s="1" t="s">
        <v>1077</v>
      </c>
      <c r="H55" s="1" t="s">
        <v>1078</v>
      </c>
      <c r="I55" s="9" t="s">
        <v>1079</v>
      </c>
      <c r="J55" s="1" t="s">
        <v>1080</v>
      </c>
      <c r="K55" s="1" t="s">
        <v>102</v>
      </c>
      <c r="L55" s="1" t="s">
        <v>103</v>
      </c>
      <c r="M55" s="1" t="s">
        <v>104</v>
      </c>
      <c r="N55" s="1" t="s">
        <v>1081</v>
      </c>
      <c r="O55" s="1" t="s">
        <v>127</v>
      </c>
      <c r="P55" s="1" t="s">
        <v>107</v>
      </c>
      <c r="Q55" s="1" t="s">
        <v>1082</v>
      </c>
      <c r="R55" s="1" t="s">
        <v>1083</v>
      </c>
      <c r="S55" s="1" t="s">
        <v>1084</v>
      </c>
      <c r="T55" s="1" t="s">
        <v>1085</v>
      </c>
      <c r="U55" s="1" t="s">
        <v>1086</v>
      </c>
      <c r="V55" s="1" t="s">
        <v>1087</v>
      </c>
      <c r="W55" s="1" t="s">
        <v>1088</v>
      </c>
      <c r="X55" s="1" t="s">
        <v>1086</v>
      </c>
      <c r="AF55" s="10">
        <v>1.1E7</v>
      </c>
      <c r="AG55" s="9" t="s">
        <v>1089</v>
      </c>
      <c r="AI55" s="1" t="s">
        <v>178</v>
      </c>
      <c r="AJ55" s="3"/>
      <c r="AK55" s="3"/>
      <c r="AL55" s="3"/>
      <c r="AM55" s="1" t="s">
        <v>1090</v>
      </c>
      <c r="AN55" s="7" t="s">
        <v>1091</v>
      </c>
      <c r="AO55" s="8" t="str">
        <f>HYPERLINK("https://docs.google.com/document/d/1dScuRo631_GiVEAumN59dfG3rU0Ln2YOx8u9MjZA3nQ/edit?usp=drivesdk","Al-Wildan 1 Gading Serpong_Eko Tri Budi Raharjo Ph.D_Aqidah, Akhlaq, Fiqih, Arabic")</f>
        <v>Al-Wildan 1 Gading Serpong_Eko Tri Budi Raharjo Ph.D_Aqidah, Akhlaq, Fiqih, Arabic</v>
      </c>
      <c r="AP55" s="1" t="s">
        <v>1092</v>
      </c>
    </row>
    <row r="56">
      <c r="A56" s="6">
        <v>44016.746778333334</v>
      </c>
      <c r="B56" s="7" t="s">
        <v>1093</v>
      </c>
      <c r="C56" s="8" t="s">
        <v>1094</v>
      </c>
      <c r="D56" s="1" t="s">
        <v>1095</v>
      </c>
      <c r="E56" s="9" t="s">
        <v>1096</v>
      </c>
      <c r="F56" s="1" t="s">
        <v>1097</v>
      </c>
      <c r="G56" s="1" t="s">
        <v>1098</v>
      </c>
      <c r="H56" s="1" t="s">
        <v>99</v>
      </c>
      <c r="I56" s="9" t="s">
        <v>1099</v>
      </c>
      <c r="J56" s="1" t="s">
        <v>1100</v>
      </c>
      <c r="K56" s="1" t="s">
        <v>102</v>
      </c>
      <c r="L56" s="1" t="s">
        <v>103</v>
      </c>
      <c r="M56" s="1" t="s">
        <v>104</v>
      </c>
      <c r="N56" s="1" t="s">
        <v>1101</v>
      </c>
      <c r="O56" s="1" t="s">
        <v>312</v>
      </c>
      <c r="P56" s="1" t="s">
        <v>107</v>
      </c>
      <c r="Q56" s="1" t="s">
        <v>192</v>
      </c>
      <c r="R56" s="1" t="s">
        <v>1102</v>
      </c>
      <c r="S56" s="1">
        <v>3.08</v>
      </c>
      <c r="Z56" s="1" t="s">
        <v>1103</v>
      </c>
      <c r="AA56" s="10">
        <v>5000000.0</v>
      </c>
      <c r="AF56" s="10">
        <v>6000000.0</v>
      </c>
      <c r="AG56" s="9" t="s">
        <v>1104</v>
      </c>
      <c r="AI56" s="1" t="s">
        <v>178</v>
      </c>
      <c r="AJ56" s="3"/>
      <c r="AK56" s="3"/>
      <c r="AL56" s="3"/>
      <c r="AM56" s="1" t="s">
        <v>1105</v>
      </c>
      <c r="AN56" s="7" t="s">
        <v>1106</v>
      </c>
      <c r="AO56" s="8" t="str">
        <f>HYPERLINK("https://docs.google.com/document/d/1WE2uL7xnyOycvXYGZ4cMRTP65nHnUbpbHdIFRqiMaWs/edit?usp=drivesdk","Al-Wildan 1 Gading Serpong_Dadang Suherman lc_Al-Qur'an, Arabic,Ski")</f>
        <v>Al-Wildan 1 Gading Serpong_Dadang Suherman lc_Al-Qur'an, Arabic,Ski</v>
      </c>
      <c r="AP56" s="1" t="s">
        <v>1107</v>
      </c>
    </row>
    <row r="57">
      <c r="A57" s="6">
        <v>44016.77942049768</v>
      </c>
      <c r="B57" s="7" t="s">
        <v>1108</v>
      </c>
      <c r="C57" s="8" t="s">
        <v>1109</v>
      </c>
      <c r="D57" s="1" t="s">
        <v>1110</v>
      </c>
      <c r="E57" s="9" t="s">
        <v>1111</v>
      </c>
      <c r="F57" s="1" t="s">
        <v>1112</v>
      </c>
      <c r="G57" s="1" t="s">
        <v>1113</v>
      </c>
      <c r="H57" s="1" t="s">
        <v>288</v>
      </c>
      <c r="I57" s="9" t="s">
        <v>1114</v>
      </c>
      <c r="J57" s="1">
        <v>33.0</v>
      </c>
      <c r="K57" s="1" t="s">
        <v>102</v>
      </c>
      <c r="L57" s="1" t="s">
        <v>103</v>
      </c>
      <c r="M57" s="1" t="s">
        <v>589</v>
      </c>
      <c r="O57" s="1" t="s">
        <v>312</v>
      </c>
      <c r="P57" s="1" t="s">
        <v>107</v>
      </c>
      <c r="Q57" s="1" t="s">
        <v>192</v>
      </c>
      <c r="R57" s="1" t="s">
        <v>193</v>
      </c>
      <c r="S57" s="1" t="s">
        <v>753</v>
      </c>
      <c r="T57" s="1" t="s">
        <v>1115</v>
      </c>
      <c r="U57" s="1" t="s">
        <v>833</v>
      </c>
      <c r="Z57" s="1" t="s">
        <v>1116</v>
      </c>
      <c r="AA57" s="10">
        <v>4500000.0</v>
      </c>
      <c r="AB57" s="1" t="s">
        <v>1117</v>
      </c>
      <c r="AC57" s="10">
        <v>5500000.0</v>
      </c>
      <c r="AD57" s="1" t="s">
        <v>1118</v>
      </c>
      <c r="AE57" s="10">
        <v>7500000.0</v>
      </c>
      <c r="AF57" s="1" t="s">
        <v>1119</v>
      </c>
      <c r="AG57" s="9" t="s">
        <v>1120</v>
      </c>
      <c r="AI57" s="1" t="s">
        <v>782</v>
      </c>
      <c r="AJ57" s="3"/>
      <c r="AK57" s="3"/>
      <c r="AL57" s="3"/>
      <c r="AM57" s="1" t="s">
        <v>1121</v>
      </c>
      <c r="AN57" s="7" t="s">
        <v>1122</v>
      </c>
      <c r="AO57" s="8" t="str">
        <f>HYPERLINK("https://docs.google.com/document/d/1ZT2IR0Ep8hEjTPhKmXCn2amhKL2HJN-ukjYZXOU9zBg/edit?usp=drivesdk","Al-Wildan 1 Gading Serpong_Sahid Abdullah_")</f>
        <v>Al-Wildan 1 Gading Serpong_Sahid Abdullah_</v>
      </c>
      <c r="AP57" s="1" t="s">
        <v>1123</v>
      </c>
    </row>
    <row r="58">
      <c r="A58" s="6">
        <v>44016.79337854167</v>
      </c>
      <c r="B58" s="7" t="s">
        <v>1124</v>
      </c>
      <c r="C58" s="8" t="s">
        <v>1125</v>
      </c>
      <c r="D58" s="1" t="s">
        <v>1126</v>
      </c>
      <c r="E58" s="9" t="s">
        <v>1127</v>
      </c>
      <c r="F58" s="1" t="s">
        <v>1128</v>
      </c>
      <c r="G58" s="1" t="s">
        <v>1129</v>
      </c>
      <c r="H58" s="1" t="s">
        <v>1130</v>
      </c>
      <c r="I58" s="9" t="s">
        <v>1131</v>
      </c>
      <c r="J58" s="1" t="s">
        <v>1132</v>
      </c>
      <c r="K58" s="1" t="s">
        <v>102</v>
      </c>
      <c r="L58" s="1" t="s">
        <v>256</v>
      </c>
      <c r="M58" s="1" t="s">
        <v>104</v>
      </c>
      <c r="N58" s="1" t="s">
        <v>1133</v>
      </c>
      <c r="O58" s="1" t="s">
        <v>236</v>
      </c>
      <c r="P58" s="1" t="s">
        <v>107</v>
      </c>
      <c r="Q58" s="1" t="s">
        <v>1134</v>
      </c>
      <c r="R58" s="1" t="s">
        <v>1135</v>
      </c>
      <c r="S58" s="1">
        <v>2.97</v>
      </c>
      <c r="T58" s="1" t="s">
        <v>1136</v>
      </c>
      <c r="U58" s="1" t="s">
        <v>1137</v>
      </c>
      <c r="V58" s="1">
        <v>3.45</v>
      </c>
      <c r="Z58" s="1" t="s">
        <v>1138</v>
      </c>
      <c r="AA58" s="10">
        <v>5000000.0</v>
      </c>
      <c r="AB58" s="1" t="s">
        <v>1139</v>
      </c>
      <c r="AC58" s="10">
        <v>3500000.0</v>
      </c>
      <c r="AF58" s="10">
        <v>5000000.0</v>
      </c>
      <c r="AG58" s="9" t="s">
        <v>1140</v>
      </c>
      <c r="AM58" s="1" t="s">
        <v>1141</v>
      </c>
      <c r="AN58" s="7" t="s">
        <v>1142</v>
      </c>
      <c r="AO58" s="8" t="str">
        <f>HYPERLINK("https://docs.google.com/document/d/1u7GZsdNQsWXHJSndTwIigE7l7wOTPKlk7mOntM82lgc/edit?usp=drivesdk","Al-Wildan 1 Gading Serpong_BAYU TRI HASTUTI, S.S, M.M_ENGLISH")</f>
        <v>Al-Wildan 1 Gading Serpong_BAYU TRI HASTUTI, S.S, M.M_ENGLISH</v>
      </c>
      <c r="AP58" s="1" t="s">
        <v>1143</v>
      </c>
    </row>
    <row r="59">
      <c r="A59" s="6">
        <v>44016.85845385416</v>
      </c>
      <c r="B59" s="7" t="s">
        <v>1144</v>
      </c>
      <c r="C59" s="8" t="s">
        <v>1145</v>
      </c>
      <c r="D59" s="1" t="s">
        <v>1146</v>
      </c>
      <c r="E59" s="9" t="s">
        <v>1147</v>
      </c>
      <c r="F59" s="1" t="s">
        <v>1148</v>
      </c>
      <c r="G59" s="1" t="s">
        <v>1149</v>
      </c>
      <c r="H59" s="1" t="s">
        <v>1150</v>
      </c>
      <c r="I59" s="9" t="s">
        <v>1151</v>
      </c>
      <c r="J59" s="1" t="s">
        <v>1152</v>
      </c>
      <c r="K59" s="1" t="s">
        <v>102</v>
      </c>
      <c r="L59" s="1" t="s">
        <v>103</v>
      </c>
      <c r="M59" s="1" t="s">
        <v>104</v>
      </c>
      <c r="N59" s="1" t="s">
        <v>1153</v>
      </c>
      <c r="O59" s="1" t="s">
        <v>312</v>
      </c>
      <c r="P59" s="1" t="s">
        <v>107</v>
      </c>
      <c r="Q59" s="1" t="s">
        <v>1154</v>
      </c>
      <c r="R59" s="1" t="s">
        <v>1155</v>
      </c>
      <c r="S59" s="1" t="s">
        <v>315</v>
      </c>
      <c r="Z59" s="1" t="s">
        <v>1156</v>
      </c>
      <c r="AA59" s="10">
        <v>3000000.0</v>
      </c>
      <c r="AB59" s="1" t="s">
        <v>1157</v>
      </c>
      <c r="AC59" s="10">
        <v>2000000.0</v>
      </c>
      <c r="AD59" s="1" t="s">
        <v>1158</v>
      </c>
      <c r="AE59" s="10">
        <v>1000000.0</v>
      </c>
      <c r="AF59" s="10">
        <v>6000000.0</v>
      </c>
      <c r="AG59" s="9" t="s">
        <v>1159</v>
      </c>
      <c r="AI59" s="1" t="s">
        <v>159</v>
      </c>
      <c r="AJ59" s="3"/>
      <c r="AK59" s="3"/>
      <c r="AL59" s="3"/>
      <c r="AM59" s="1" t="s">
        <v>1160</v>
      </c>
      <c r="AN59" s="7" t="s">
        <v>1161</v>
      </c>
      <c r="AO59" s="8" t="str">
        <f>HYPERLINK("https://docs.google.com/document/d/1Loq9ADq7Oa7ANkhYEs5nwOobGIZbmlQ_Cx5MBvpKf3w/edit?usp=drivesdk","Al-Wildan 1 Gading Serpong_umar nur, lc_Alquran dan Arabic")</f>
        <v>Al-Wildan 1 Gading Serpong_umar nur, lc_Alquran dan Arabic</v>
      </c>
      <c r="AP59" s="1" t="s">
        <v>1162</v>
      </c>
    </row>
    <row r="60">
      <c r="A60" s="6">
        <v>44016.89647270834</v>
      </c>
      <c r="B60" s="7" t="s">
        <v>1163</v>
      </c>
      <c r="C60" s="8" t="s">
        <v>1164</v>
      </c>
      <c r="D60" s="1" t="s">
        <v>1165</v>
      </c>
      <c r="E60" s="9" t="s">
        <v>1166</v>
      </c>
      <c r="F60" s="1" t="s">
        <v>1167</v>
      </c>
      <c r="G60" s="1" t="s">
        <v>1168</v>
      </c>
      <c r="H60" s="1" t="s">
        <v>390</v>
      </c>
      <c r="I60" s="9" t="s">
        <v>1169</v>
      </c>
      <c r="J60" s="1" t="s">
        <v>1170</v>
      </c>
      <c r="K60" s="1" t="s">
        <v>151</v>
      </c>
      <c r="L60" s="1" t="s">
        <v>496</v>
      </c>
      <c r="M60" s="1" t="s">
        <v>1171</v>
      </c>
      <c r="N60" s="1" t="s">
        <v>311</v>
      </c>
      <c r="O60" s="1" t="s">
        <v>106</v>
      </c>
      <c r="P60" s="1" t="s">
        <v>128</v>
      </c>
      <c r="Q60" s="1" t="s">
        <v>1172</v>
      </c>
      <c r="R60" s="1" t="s">
        <v>311</v>
      </c>
      <c r="S60" s="1" t="s">
        <v>217</v>
      </c>
      <c r="T60" s="1" t="s">
        <v>217</v>
      </c>
      <c r="U60" s="1" t="s">
        <v>217</v>
      </c>
      <c r="V60" s="1" t="s">
        <v>217</v>
      </c>
      <c r="W60" s="1" t="s">
        <v>217</v>
      </c>
      <c r="X60" s="1" t="s">
        <v>217</v>
      </c>
      <c r="Z60" s="1" t="s">
        <v>1173</v>
      </c>
      <c r="AF60" s="10">
        <v>3000000.0</v>
      </c>
      <c r="AG60" s="9" t="s">
        <v>1174</v>
      </c>
      <c r="AM60" s="1" t="s">
        <v>1175</v>
      </c>
      <c r="AN60" s="7" t="s">
        <v>1176</v>
      </c>
      <c r="AO60" s="8" t="str">
        <f>HYPERLINK("https://docs.google.com/document/d/1cLUGPcBNm6Gdq59C1NqzrD5jsVpoAvjFCITI4MQxUVw/edit?usp=drivesdk","Al-Wildan 3 BSD_Alfian Nurdin_Al Qur'an")</f>
        <v>Al-Wildan 3 BSD_Alfian Nurdin_Al Qur'an</v>
      </c>
      <c r="AP60" s="1" t="s">
        <v>1177</v>
      </c>
    </row>
    <row r="61">
      <c r="A61" s="6">
        <v>44016.89905586805</v>
      </c>
      <c r="B61" s="7" t="s">
        <v>1178</v>
      </c>
      <c r="C61" s="8" t="s">
        <v>1179</v>
      </c>
      <c r="D61" s="1" t="s">
        <v>1180</v>
      </c>
      <c r="E61" s="9" t="s">
        <v>1181</v>
      </c>
      <c r="F61" s="1" t="s">
        <v>1182</v>
      </c>
      <c r="G61" s="1" t="s">
        <v>1183</v>
      </c>
      <c r="H61" s="1" t="s">
        <v>1184</v>
      </c>
      <c r="I61" s="9" t="s">
        <v>1185</v>
      </c>
      <c r="J61" s="1" t="s">
        <v>1186</v>
      </c>
      <c r="K61" s="1" t="s">
        <v>151</v>
      </c>
      <c r="L61" s="1" t="s">
        <v>496</v>
      </c>
      <c r="M61" s="1" t="s">
        <v>1171</v>
      </c>
      <c r="N61" s="1" t="s">
        <v>311</v>
      </c>
      <c r="O61" s="1" t="s">
        <v>106</v>
      </c>
      <c r="P61" s="1" t="s">
        <v>128</v>
      </c>
      <c r="Q61" s="1" t="s">
        <v>1187</v>
      </c>
      <c r="R61" s="1" t="s">
        <v>311</v>
      </c>
      <c r="S61" s="1" t="s">
        <v>217</v>
      </c>
      <c r="Z61" s="1" t="s">
        <v>1188</v>
      </c>
      <c r="AA61" s="10">
        <v>2000000.0</v>
      </c>
      <c r="AB61" s="1" t="s">
        <v>1189</v>
      </c>
      <c r="AC61" s="10">
        <v>2000000.0</v>
      </c>
      <c r="AF61" s="10">
        <v>3000000.0</v>
      </c>
      <c r="AG61" s="9" t="s">
        <v>1190</v>
      </c>
      <c r="AM61" s="1" t="s">
        <v>1191</v>
      </c>
      <c r="AN61" s="7" t="s">
        <v>1192</v>
      </c>
      <c r="AO61" s="8" t="str">
        <f>HYPERLINK("https://docs.google.com/document/d/1zUeMMlJTVZrHH8q9Pf_EtV4yMfTzjhKFQg0mmWFacgs/edit?usp=drivesdk","Al-Wildan 3 BSD_Firdaus_Al Qur'an")</f>
        <v>Al-Wildan 3 BSD_Firdaus_Al Qur'an</v>
      </c>
      <c r="AP61" s="1" t="s">
        <v>1193</v>
      </c>
    </row>
    <row r="62">
      <c r="A62" s="6">
        <v>44016.97687150463</v>
      </c>
      <c r="B62" s="7" t="s">
        <v>1194</v>
      </c>
      <c r="C62" s="8" t="s">
        <v>1195</v>
      </c>
      <c r="D62" s="1" t="s">
        <v>1196</v>
      </c>
      <c r="E62" s="9" t="s">
        <v>1197</v>
      </c>
      <c r="F62" s="1" t="s">
        <v>1198</v>
      </c>
      <c r="G62" s="1" t="s">
        <v>1199</v>
      </c>
      <c r="H62" s="1" t="s">
        <v>169</v>
      </c>
      <c r="I62" s="1" t="s">
        <v>1200</v>
      </c>
      <c r="J62" s="1" t="s">
        <v>1201</v>
      </c>
      <c r="K62" s="1" t="s">
        <v>102</v>
      </c>
      <c r="L62" s="1" t="s">
        <v>103</v>
      </c>
      <c r="M62" s="1" t="s">
        <v>104</v>
      </c>
      <c r="N62" s="1" t="s">
        <v>771</v>
      </c>
      <c r="O62" s="1" t="s">
        <v>1202</v>
      </c>
      <c r="P62" s="1" t="s">
        <v>107</v>
      </c>
      <c r="Q62" s="1" t="s">
        <v>1203</v>
      </c>
      <c r="R62" s="1" t="s">
        <v>152</v>
      </c>
      <c r="S62" s="1" t="s">
        <v>315</v>
      </c>
      <c r="Z62" s="1" t="s">
        <v>1204</v>
      </c>
      <c r="AA62" s="10">
        <v>2500000.0</v>
      </c>
      <c r="AB62" s="1" t="s">
        <v>1205</v>
      </c>
      <c r="AC62" s="10">
        <v>3000000.0</v>
      </c>
      <c r="AD62" s="1" t="s">
        <v>1206</v>
      </c>
      <c r="AE62" s="10">
        <v>4500000.0</v>
      </c>
      <c r="AF62" s="10">
        <v>4500000.0</v>
      </c>
      <c r="AG62" s="9" t="s">
        <v>1207</v>
      </c>
      <c r="AI62" s="1" t="s">
        <v>178</v>
      </c>
      <c r="AJ62" s="3"/>
      <c r="AK62" s="3"/>
      <c r="AL62" s="3"/>
      <c r="AM62" s="1" t="s">
        <v>1208</v>
      </c>
      <c r="AN62" s="7" t="s">
        <v>1209</v>
      </c>
      <c r="AO62" s="8" t="str">
        <f>HYPERLINK("https://docs.google.com/document/d/11A3gHuLhP8SLgSmzN8WgPmIGQWaP8_iHZ_45AjLewGU/edit?usp=drivesdk","Al-Wildan 1 Gading Serpong_Irma Yulriani A.Md_English")</f>
        <v>Al-Wildan 1 Gading Serpong_Irma Yulriani A.Md_English</v>
      </c>
      <c r="AP62" s="1" t="s">
        <v>1210</v>
      </c>
    </row>
    <row r="63">
      <c r="A63" s="6">
        <v>44017.796481944446</v>
      </c>
      <c r="B63" s="7" t="s">
        <v>1211</v>
      </c>
      <c r="C63" s="8" t="s">
        <v>1212</v>
      </c>
      <c r="D63" s="1" t="s">
        <v>1213</v>
      </c>
      <c r="E63" s="9" t="s">
        <v>1214</v>
      </c>
      <c r="F63" s="1" t="s">
        <v>1215</v>
      </c>
      <c r="G63" s="1" t="s">
        <v>1216</v>
      </c>
      <c r="H63" s="1" t="s">
        <v>1217</v>
      </c>
      <c r="I63" s="9" t="s">
        <v>1218</v>
      </c>
      <c r="J63" s="1">
        <v>21.0</v>
      </c>
      <c r="K63" s="1" t="s">
        <v>151</v>
      </c>
      <c r="L63" s="1" t="s">
        <v>496</v>
      </c>
      <c r="M63" s="1" t="s">
        <v>104</v>
      </c>
      <c r="N63" s="1" t="s">
        <v>311</v>
      </c>
      <c r="O63" s="1" t="s">
        <v>127</v>
      </c>
      <c r="P63" s="1" t="s">
        <v>128</v>
      </c>
      <c r="Q63" s="1" t="s">
        <v>1219</v>
      </c>
      <c r="R63" s="1" t="s">
        <v>1220</v>
      </c>
      <c r="S63" s="1" t="s">
        <v>1221</v>
      </c>
      <c r="Z63" s="1" t="s">
        <v>1222</v>
      </c>
      <c r="AA63" s="10">
        <v>2700000.0</v>
      </c>
      <c r="AB63" s="1" t="s">
        <v>1223</v>
      </c>
      <c r="AC63" s="10">
        <v>1750000.0</v>
      </c>
      <c r="AF63" s="10">
        <v>3000000.0</v>
      </c>
      <c r="AG63" s="9" t="s">
        <v>1224</v>
      </c>
      <c r="AI63" s="1" t="s">
        <v>178</v>
      </c>
      <c r="AJ63" s="3"/>
      <c r="AK63" s="3"/>
      <c r="AL63" s="3"/>
      <c r="AM63" s="1" t="s">
        <v>1225</v>
      </c>
      <c r="AN63" s="7" t="s">
        <v>1226</v>
      </c>
      <c r="AO63" s="8" t="str">
        <f>HYPERLINK("https://docs.google.com/document/d/1LqhOpIBvGkNGIqxCeAJPi64srd-RByGiJXQoHBP3EQQ/edit?usp=drivesdk","Al-Wildan 3 BSD_Musa Syahrijal Munadi_Al Qur'an")</f>
        <v>Al-Wildan 3 BSD_Musa Syahrijal Munadi_Al Qur'an</v>
      </c>
      <c r="AP63" s="1" t="s">
        <v>1227</v>
      </c>
    </row>
    <row r="64">
      <c r="A64" s="6">
        <v>44017.90581332176</v>
      </c>
      <c r="B64" s="7" t="s">
        <v>1228</v>
      </c>
      <c r="C64" s="8" t="s">
        <v>1229</v>
      </c>
      <c r="D64" s="1" t="s">
        <v>1230</v>
      </c>
      <c r="E64" s="9" t="s">
        <v>1231</v>
      </c>
      <c r="F64" s="1">
        <v>3.60328520980006E14</v>
      </c>
      <c r="G64" s="1" t="s">
        <v>1232</v>
      </c>
      <c r="H64" s="1" t="s">
        <v>169</v>
      </c>
      <c r="I64" s="9" t="s">
        <v>1233</v>
      </c>
      <c r="J64" s="1" t="s">
        <v>1234</v>
      </c>
      <c r="K64" s="1" t="s">
        <v>1235</v>
      </c>
      <c r="L64" s="1" t="s">
        <v>256</v>
      </c>
      <c r="M64" s="1" t="s">
        <v>104</v>
      </c>
      <c r="N64" s="1" t="s">
        <v>1236</v>
      </c>
      <c r="O64" s="1" t="s">
        <v>1202</v>
      </c>
      <c r="P64" s="1" t="s">
        <v>107</v>
      </c>
      <c r="Q64" s="1" t="s">
        <v>1237</v>
      </c>
      <c r="R64" s="1" t="s">
        <v>1238</v>
      </c>
      <c r="S64" s="1">
        <v>3.0</v>
      </c>
      <c r="Z64" s="1" t="s">
        <v>1239</v>
      </c>
      <c r="AA64" s="1" t="s">
        <v>1240</v>
      </c>
      <c r="AB64" s="1" t="s">
        <v>1241</v>
      </c>
      <c r="AC64" s="1" t="s">
        <v>1242</v>
      </c>
      <c r="AD64" s="1" t="s">
        <v>1243</v>
      </c>
      <c r="AE64" s="1" t="s">
        <v>1244</v>
      </c>
      <c r="AF64" s="1">
        <v>4000000.0</v>
      </c>
      <c r="AG64" s="9" t="s">
        <v>1245</v>
      </c>
      <c r="AI64" s="1" t="s">
        <v>1246</v>
      </c>
      <c r="AJ64" s="3"/>
      <c r="AK64" s="3"/>
      <c r="AL64" s="3"/>
      <c r="AM64" s="1" t="s">
        <v>1247</v>
      </c>
      <c r="AN64" s="7" t="s">
        <v>1248</v>
      </c>
      <c r="AO64" s="8" t="str">
        <f>HYPERLINK("https://docs.google.com/document/d/1PlFdReoLHtny3Zp9DHF5dKZHe_ArjRlur3P2oAeOJF8/edit?usp=drivesdk","Al-Wildan 1 Gading Serpong_Ully amri jamhur_English for kinder")</f>
        <v>Al-Wildan 1 Gading Serpong_Ully amri jamhur_English for kinder</v>
      </c>
      <c r="AP64" s="1" t="s">
        <v>1249</v>
      </c>
    </row>
    <row r="65">
      <c r="A65" s="6">
        <v>44017.9088155787</v>
      </c>
      <c r="B65" s="7" t="s">
        <v>1250</v>
      </c>
      <c r="C65" s="8" t="s">
        <v>1251</v>
      </c>
      <c r="D65" s="1" t="s">
        <v>1252</v>
      </c>
      <c r="E65" s="1">
        <v>8.2291361575E10</v>
      </c>
      <c r="F65" s="1" t="s">
        <v>1253</v>
      </c>
      <c r="G65" s="1" t="s">
        <v>1254</v>
      </c>
      <c r="H65" s="1" t="s">
        <v>1255</v>
      </c>
      <c r="I65" s="9" t="s">
        <v>1256</v>
      </c>
      <c r="J65" s="1" t="s">
        <v>1257</v>
      </c>
      <c r="K65" s="1" t="s">
        <v>102</v>
      </c>
      <c r="L65" s="1" t="s">
        <v>103</v>
      </c>
      <c r="M65" s="1" t="s">
        <v>104</v>
      </c>
      <c r="N65" s="1" t="s">
        <v>1258</v>
      </c>
      <c r="O65" s="1" t="s">
        <v>127</v>
      </c>
      <c r="P65" s="1" t="s">
        <v>107</v>
      </c>
      <c r="Q65" s="1" t="s">
        <v>1259</v>
      </c>
      <c r="R65" s="1" t="s">
        <v>193</v>
      </c>
      <c r="S65" s="1">
        <v>2.84</v>
      </c>
      <c r="Z65" s="1" t="s">
        <v>1260</v>
      </c>
      <c r="AA65" s="10">
        <v>4000000.0</v>
      </c>
      <c r="AB65" s="1" t="s">
        <v>1261</v>
      </c>
      <c r="AC65" s="10">
        <v>5200000.0</v>
      </c>
      <c r="AF65" s="10">
        <v>7000000.0</v>
      </c>
      <c r="AG65" s="9" t="s">
        <v>1262</v>
      </c>
      <c r="AM65" s="1" t="s">
        <v>1263</v>
      </c>
      <c r="AN65" s="7" t="s">
        <v>1264</v>
      </c>
      <c r="AO65" s="8" t="str">
        <f>HYPERLINK("https://docs.google.com/document/d/1t_nJzl_vO9UrJ6xpJwO5ZN8AfF_pEpZjS9AJfNXUnIs/edit?usp=drivesdk","Al-Wildan 1 Gading Serpong_Nur Fauziyah L.c_Diniyah, Bahasa Arab dan Al-Qur'an")</f>
        <v>Al-Wildan 1 Gading Serpong_Nur Fauziyah L.c_Diniyah, Bahasa Arab dan Al-Qur'an</v>
      </c>
      <c r="AP65" s="1" t="s">
        <v>1265</v>
      </c>
    </row>
    <row r="66">
      <c r="A66" s="6">
        <v>44017.923792974536</v>
      </c>
      <c r="B66" s="7" t="s">
        <v>1266</v>
      </c>
      <c r="C66" s="8" t="s">
        <v>1267</v>
      </c>
      <c r="D66" s="1" t="s">
        <v>1268</v>
      </c>
      <c r="E66" s="9" t="s">
        <v>1269</v>
      </c>
      <c r="F66" s="1" t="s">
        <v>1270</v>
      </c>
      <c r="G66" s="1" t="s">
        <v>1271</v>
      </c>
      <c r="H66" s="1" t="s">
        <v>1272</v>
      </c>
      <c r="I66" s="9" t="s">
        <v>1273</v>
      </c>
      <c r="J66" s="1" t="s">
        <v>1274</v>
      </c>
      <c r="K66" s="1" t="s">
        <v>102</v>
      </c>
      <c r="L66" s="1" t="s">
        <v>256</v>
      </c>
      <c r="M66" s="1" t="s">
        <v>104</v>
      </c>
      <c r="N66" s="1" t="s">
        <v>1275</v>
      </c>
      <c r="O66" s="1" t="s">
        <v>127</v>
      </c>
      <c r="P66" s="1" t="s">
        <v>128</v>
      </c>
      <c r="Q66" s="1" t="s">
        <v>1276</v>
      </c>
      <c r="R66" s="1" t="s">
        <v>1277</v>
      </c>
      <c r="S66" s="1" t="s">
        <v>740</v>
      </c>
      <c r="T66" s="1" t="s">
        <v>1278</v>
      </c>
      <c r="U66" s="1" t="s">
        <v>989</v>
      </c>
      <c r="V66" s="1" t="s">
        <v>1279</v>
      </c>
      <c r="Z66" s="1" t="s">
        <v>1280</v>
      </c>
      <c r="AA66" s="10">
        <v>1200000.0</v>
      </c>
      <c r="AB66" s="1" t="s">
        <v>1281</v>
      </c>
      <c r="AC66" s="10">
        <v>4.0E7</v>
      </c>
      <c r="AD66" s="1" t="s">
        <v>1282</v>
      </c>
      <c r="AE66" s="10">
        <v>4500000.0</v>
      </c>
      <c r="AF66" s="1" t="s">
        <v>1283</v>
      </c>
      <c r="AG66" s="9" t="s">
        <v>1284</v>
      </c>
      <c r="AM66" s="1" t="s">
        <v>1285</v>
      </c>
      <c r="AN66" s="7" t="s">
        <v>1286</v>
      </c>
      <c r="AO66" s="8" t="str">
        <f>HYPERLINK("https://docs.google.com/document/d/1wPyTMv-b6LXBQC8vSzWFF46aopiHvVvdMM1ARu5qX1U/edit?usp=drivesdk","Al-Wildan 3 BSD_Aisah Isnaeni, S.Pd, M. Pd _Biologi")</f>
        <v>Al-Wildan 3 BSD_Aisah Isnaeni, S.Pd, M. Pd _Biologi</v>
      </c>
      <c r="AP66" s="1" t="s">
        <v>1287</v>
      </c>
    </row>
    <row r="67">
      <c r="A67" s="6">
        <v>44017.9643506713</v>
      </c>
      <c r="B67" s="7" t="s">
        <v>1288</v>
      </c>
      <c r="C67" s="8" t="s">
        <v>1289</v>
      </c>
      <c r="D67" s="1" t="s">
        <v>1290</v>
      </c>
      <c r="E67" s="9" t="s">
        <v>1291</v>
      </c>
      <c r="F67" s="1" t="s">
        <v>1292</v>
      </c>
      <c r="G67" s="1" t="s">
        <v>1293</v>
      </c>
      <c r="H67" s="1" t="s">
        <v>169</v>
      </c>
      <c r="I67" s="1" t="s">
        <v>1294</v>
      </c>
      <c r="J67" s="1" t="s">
        <v>1295</v>
      </c>
      <c r="K67" s="1" t="s">
        <v>151</v>
      </c>
      <c r="L67" s="1" t="s">
        <v>329</v>
      </c>
      <c r="M67" s="1" t="s">
        <v>104</v>
      </c>
      <c r="N67" s="1" t="s">
        <v>1296</v>
      </c>
      <c r="O67" s="1" t="s">
        <v>127</v>
      </c>
      <c r="P67" s="1" t="s">
        <v>107</v>
      </c>
      <c r="Q67" s="1" t="s">
        <v>217</v>
      </c>
      <c r="R67" s="1" t="s">
        <v>217</v>
      </c>
      <c r="S67" s="1" t="s">
        <v>217</v>
      </c>
      <c r="Z67" s="1" t="s">
        <v>1297</v>
      </c>
      <c r="AA67" s="10">
        <v>900000.0</v>
      </c>
      <c r="AB67" s="1" t="s">
        <v>1298</v>
      </c>
      <c r="AC67" s="10">
        <v>2200000.0</v>
      </c>
      <c r="AD67" s="1" t="s">
        <v>1299</v>
      </c>
      <c r="AE67" s="10">
        <v>2500000.0</v>
      </c>
      <c r="AG67" s="9" t="s">
        <v>1300</v>
      </c>
      <c r="AM67" s="1" t="s">
        <v>1301</v>
      </c>
      <c r="AN67" s="7" t="s">
        <v>1302</v>
      </c>
      <c r="AO67" s="8" t="str">
        <f>HYPERLINK("https://docs.google.com/document/d/1FJPOZUEiKeq6xh24XSKHY4TdjcVk1zAB43o3Dnrsra8/edit?usp=drivesdk","Al-Wildan 1 Gading Serpong_Adipa  Firyal_Al Quran markaz")</f>
        <v>Al-Wildan 1 Gading Serpong_Adipa  Firyal_Al Quran markaz</v>
      </c>
      <c r="AP67" s="1" t="s">
        <v>1303</v>
      </c>
    </row>
    <row r="68">
      <c r="A68" s="6">
        <v>44017.97842753472</v>
      </c>
      <c r="B68" s="7" t="s">
        <v>1304</v>
      </c>
      <c r="C68" s="8" t="s">
        <v>1305</v>
      </c>
      <c r="D68" s="1" t="s">
        <v>1306</v>
      </c>
      <c r="E68" s="9" t="s">
        <v>1307</v>
      </c>
      <c r="F68" s="1" t="s">
        <v>1308</v>
      </c>
      <c r="G68" s="1" t="s">
        <v>1309</v>
      </c>
      <c r="H68" s="1" t="s">
        <v>1310</v>
      </c>
      <c r="I68" s="9" t="s">
        <v>1311</v>
      </c>
      <c r="J68" s="1">
        <v>21.0</v>
      </c>
      <c r="K68" s="1" t="s">
        <v>151</v>
      </c>
      <c r="L68" s="1" t="s">
        <v>329</v>
      </c>
      <c r="M68" s="1" t="s">
        <v>104</v>
      </c>
      <c r="N68" s="1" t="s">
        <v>311</v>
      </c>
      <c r="O68" s="1" t="s">
        <v>127</v>
      </c>
      <c r="P68" s="1" t="s">
        <v>107</v>
      </c>
      <c r="Q68" s="1" t="s">
        <v>217</v>
      </c>
      <c r="R68" s="1" t="s">
        <v>217</v>
      </c>
      <c r="S68" s="1" t="s">
        <v>217</v>
      </c>
      <c r="Z68" s="1" t="s">
        <v>1312</v>
      </c>
      <c r="AA68" s="10">
        <v>500000.0</v>
      </c>
      <c r="AB68" s="1" t="s">
        <v>1313</v>
      </c>
      <c r="AC68" s="10">
        <v>2500000.0</v>
      </c>
      <c r="AG68" s="9" t="s">
        <v>1314</v>
      </c>
      <c r="AI68" s="1" t="s">
        <v>1315</v>
      </c>
      <c r="AJ68" s="3"/>
      <c r="AK68" s="3"/>
      <c r="AL68" s="3"/>
      <c r="AM68" s="1" t="s">
        <v>1316</v>
      </c>
      <c r="AN68" s="7" t="s">
        <v>1317</v>
      </c>
      <c r="AO68" s="8" t="str">
        <f>HYPERLINK("https://docs.google.com/document/d/1Z8tb-gUGuTXWb27chyP8JtsJFnE8ANQCdHRJtKDwrr0/edit?usp=drivesdk","Al-Wildan 1 Gading Serpong_Vera Noviani_Al Qur'an")</f>
        <v>Al-Wildan 1 Gading Serpong_Vera Noviani_Al Qur'an</v>
      </c>
      <c r="AP68" s="1" t="s">
        <v>1318</v>
      </c>
    </row>
    <row r="69">
      <c r="A69" s="6">
        <v>44017.97901123842</v>
      </c>
      <c r="B69" s="7" t="s">
        <v>1319</v>
      </c>
      <c r="C69" s="8" t="s">
        <v>1320</v>
      </c>
      <c r="D69" s="1" t="s">
        <v>1321</v>
      </c>
      <c r="E69" s="9" t="s">
        <v>1322</v>
      </c>
      <c r="F69" s="1" t="s">
        <v>1323</v>
      </c>
      <c r="G69" s="1" t="s">
        <v>1324</v>
      </c>
      <c r="H69" s="1" t="s">
        <v>1325</v>
      </c>
      <c r="I69" s="9" t="s">
        <v>1326</v>
      </c>
      <c r="J69" s="1" t="s">
        <v>1327</v>
      </c>
      <c r="K69" s="1" t="s">
        <v>151</v>
      </c>
      <c r="L69" s="1" t="s">
        <v>329</v>
      </c>
      <c r="M69" s="1" t="s">
        <v>104</v>
      </c>
      <c r="N69" s="1" t="s">
        <v>1328</v>
      </c>
      <c r="O69" s="1" t="s">
        <v>127</v>
      </c>
      <c r="P69" s="1" t="s">
        <v>107</v>
      </c>
      <c r="Q69" s="1" t="s">
        <v>217</v>
      </c>
      <c r="R69" s="1" t="s">
        <v>217</v>
      </c>
      <c r="S69" s="1" t="s">
        <v>217</v>
      </c>
      <c r="Z69" s="1" t="s">
        <v>1329</v>
      </c>
      <c r="AA69" s="10">
        <v>1000000.0</v>
      </c>
      <c r="AB69" s="1" t="s">
        <v>1330</v>
      </c>
      <c r="AC69" s="10">
        <v>2500000.0</v>
      </c>
      <c r="AG69" s="9" t="s">
        <v>1331</v>
      </c>
      <c r="AI69" s="1" t="s">
        <v>178</v>
      </c>
      <c r="AJ69" s="3"/>
      <c r="AK69" s="3"/>
      <c r="AL69" s="3"/>
      <c r="AM69" s="1" t="s">
        <v>1332</v>
      </c>
      <c r="AN69" s="7" t="s">
        <v>1333</v>
      </c>
      <c r="AO69" s="8" t="str">
        <f>HYPERLINK("https://docs.google.com/document/d/1maOw8WGQ0-XBO-7DyRLi11rV5JLeV7DDigEIFtvWqfw/edit?usp=drivesdk","Al-Wildan 1 Gading Serpong_Septi Amalia Nugroho_Alqur'an")</f>
        <v>Al-Wildan 1 Gading Serpong_Septi Amalia Nugroho_Alqur'an</v>
      </c>
      <c r="AP69" s="1" t="s">
        <v>1334</v>
      </c>
    </row>
    <row r="70">
      <c r="A70" s="6">
        <v>44018.343842939816</v>
      </c>
      <c r="B70" s="7" t="s">
        <v>1335</v>
      </c>
      <c r="C70" s="8" t="s">
        <v>1336</v>
      </c>
      <c r="D70" s="1" t="s">
        <v>1337</v>
      </c>
      <c r="E70" s="9" t="s">
        <v>1338</v>
      </c>
      <c r="F70" s="1" t="s">
        <v>1339</v>
      </c>
      <c r="G70" s="1" t="s">
        <v>1340</v>
      </c>
      <c r="H70" s="1" t="s">
        <v>1341</v>
      </c>
      <c r="I70" s="9" t="s">
        <v>1342</v>
      </c>
      <c r="J70" s="1" t="s">
        <v>1343</v>
      </c>
      <c r="K70" s="1" t="s">
        <v>151</v>
      </c>
      <c r="L70" s="1" t="s">
        <v>103</v>
      </c>
      <c r="M70" s="1" t="s">
        <v>104</v>
      </c>
      <c r="N70" s="1" t="s">
        <v>771</v>
      </c>
      <c r="O70" s="1" t="s">
        <v>127</v>
      </c>
      <c r="P70" s="1" t="s">
        <v>107</v>
      </c>
      <c r="Q70" s="1" t="s">
        <v>1344</v>
      </c>
      <c r="R70" s="1" t="s">
        <v>172</v>
      </c>
      <c r="S70" s="9" t="s">
        <v>796</v>
      </c>
      <c r="T70" s="1" t="s">
        <v>1345</v>
      </c>
      <c r="U70" s="1" t="s">
        <v>172</v>
      </c>
      <c r="V70" s="1" t="s">
        <v>831</v>
      </c>
      <c r="Z70" s="1" t="s">
        <v>1346</v>
      </c>
      <c r="AA70" s="1">
        <v>5000000.0</v>
      </c>
      <c r="AB70" s="1" t="s">
        <v>1347</v>
      </c>
      <c r="AC70" s="1">
        <v>5300000.0</v>
      </c>
      <c r="AF70" s="1">
        <v>6000000.0</v>
      </c>
      <c r="AG70" s="9" t="s">
        <v>1348</v>
      </c>
      <c r="AI70" s="1" t="s">
        <v>178</v>
      </c>
      <c r="AJ70" s="3"/>
      <c r="AK70" s="3"/>
      <c r="AL70" s="3"/>
      <c r="AM70" s="1" t="s">
        <v>1349</v>
      </c>
      <c r="AN70" s="7" t="s">
        <v>1350</v>
      </c>
      <c r="AO70" s="8" t="str">
        <f>HYPERLINK("https://docs.google.com/document/d/1JwQU6nwazaxgS6bEdn3gye9QuikHDUsX3If_fmh9fvk/edit?usp=drivesdk","Al-Wildan 1 Gading Serpong_Suseno Apriadi, M.Pd._English")</f>
        <v>Al-Wildan 1 Gading Serpong_Suseno Apriadi, M.Pd._English</v>
      </c>
      <c r="AP70" s="1" t="s">
        <v>1351</v>
      </c>
    </row>
    <row r="71">
      <c r="A71" s="6">
        <v>44018.38546497685</v>
      </c>
      <c r="B71" s="7" t="s">
        <v>1352</v>
      </c>
      <c r="C71" s="8" t="s">
        <v>1353</v>
      </c>
      <c r="D71" s="1" t="s">
        <v>1354</v>
      </c>
      <c r="E71" s="9" t="s">
        <v>1355</v>
      </c>
      <c r="F71" s="1" t="s">
        <v>1356</v>
      </c>
      <c r="G71" s="1" t="s">
        <v>1357</v>
      </c>
      <c r="H71" s="1" t="s">
        <v>1358</v>
      </c>
      <c r="I71" s="9" t="s">
        <v>1359</v>
      </c>
      <c r="J71" s="1" t="s">
        <v>1360</v>
      </c>
      <c r="K71" s="1" t="s">
        <v>151</v>
      </c>
      <c r="L71" s="1" t="s">
        <v>103</v>
      </c>
      <c r="M71" s="1" t="s">
        <v>104</v>
      </c>
      <c r="N71" s="1" t="s">
        <v>1361</v>
      </c>
      <c r="O71" s="1" t="s">
        <v>312</v>
      </c>
      <c r="P71" s="1" t="s">
        <v>107</v>
      </c>
      <c r="Q71" s="1" t="s">
        <v>1362</v>
      </c>
      <c r="R71" s="1" t="s">
        <v>1363</v>
      </c>
      <c r="S71" s="1" t="s">
        <v>1364</v>
      </c>
      <c r="T71" s="1" t="s">
        <v>1362</v>
      </c>
      <c r="U71" s="1" t="s">
        <v>1365</v>
      </c>
      <c r="V71" s="1" t="s">
        <v>1366</v>
      </c>
      <c r="Z71" s="1" t="s">
        <v>1367</v>
      </c>
      <c r="AA71" s="10">
        <v>7000000.0</v>
      </c>
      <c r="AB71" s="1" t="s">
        <v>1368</v>
      </c>
      <c r="AC71" s="10">
        <v>5000000.0</v>
      </c>
      <c r="AF71" s="10">
        <v>6000000.0</v>
      </c>
      <c r="AG71" s="1">
        <v>8.36119336E8</v>
      </c>
      <c r="AI71" s="1" t="s">
        <v>178</v>
      </c>
      <c r="AJ71" s="3"/>
      <c r="AK71" s="3"/>
      <c r="AL71" s="3"/>
      <c r="AM71" s="1" t="s">
        <v>1369</v>
      </c>
      <c r="AN71" s="7" t="s">
        <v>1370</v>
      </c>
      <c r="AO71" s="8" t="str">
        <f>HYPERLINK("https://docs.google.com/document/d/1-jt55P32dKENrES7bSiDzeorQh0C-x2K06p2beIwTls/edit?usp=drivesdk","Al-Wildan 1 Gading Serpong_Mia Clarissa Dewi., SE., M.Si_IPA")</f>
        <v>Al-Wildan 1 Gading Serpong_Mia Clarissa Dewi., SE., M.Si_IPA</v>
      </c>
      <c r="AP71" s="1" t="s">
        <v>1371</v>
      </c>
    </row>
    <row r="72">
      <c r="A72" s="6">
        <v>44018.39722186343</v>
      </c>
      <c r="B72" s="7" t="s">
        <v>1372</v>
      </c>
      <c r="C72" s="8" t="s">
        <v>1373</v>
      </c>
      <c r="D72" s="1" t="s">
        <v>1374</v>
      </c>
      <c r="E72" s="9" t="s">
        <v>1375</v>
      </c>
      <c r="F72" s="1" t="s">
        <v>1376</v>
      </c>
      <c r="G72" s="1" t="s">
        <v>1377</v>
      </c>
      <c r="H72" s="1" t="s">
        <v>1378</v>
      </c>
      <c r="I72" s="9" t="s">
        <v>1379</v>
      </c>
      <c r="J72" s="1" t="s">
        <v>1380</v>
      </c>
      <c r="K72" s="1" t="s">
        <v>102</v>
      </c>
      <c r="L72" s="1" t="s">
        <v>329</v>
      </c>
      <c r="M72" s="1" t="s">
        <v>104</v>
      </c>
      <c r="N72" s="1" t="s">
        <v>1381</v>
      </c>
      <c r="O72" s="1" t="s">
        <v>312</v>
      </c>
      <c r="P72" s="1" t="s">
        <v>107</v>
      </c>
      <c r="Q72" s="1" t="s">
        <v>1382</v>
      </c>
      <c r="R72" s="1" t="s">
        <v>238</v>
      </c>
      <c r="S72" s="1">
        <v>3.2</v>
      </c>
      <c r="T72" s="1" t="s">
        <v>217</v>
      </c>
      <c r="U72" s="1" t="s">
        <v>217</v>
      </c>
      <c r="V72" s="1" t="s">
        <v>217</v>
      </c>
      <c r="W72" s="1" t="s">
        <v>217</v>
      </c>
      <c r="X72" s="1" t="s">
        <v>217</v>
      </c>
      <c r="Z72" s="1" t="s">
        <v>1383</v>
      </c>
      <c r="AA72" s="10">
        <v>6000000.0</v>
      </c>
      <c r="AB72" s="1" t="s">
        <v>1383</v>
      </c>
      <c r="AC72" s="10">
        <v>6000000.0</v>
      </c>
      <c r="AD72" s="1" t="s">
        <v>1383</v>
      </c>
      <c r="AE72" s="10">
        <v>6000000.0</v>
      </c>
      <c r="AF72" s="10">
        <v>1.0E7</v>
      </c>
      <c r="AG72" s="9" t="s">
        <v>1384</v>
      </c>
      <c r="AI72" s="1" t="s">
        <v>178</v>
      </c>
      <c r="AJ72" s="3"/>
      <c r="AK72" s="3"/>
      <c r="AL72" s="3"/>
      <c r="AM72" s="1" t="s">
        <v>1385</v>
      </c>
      <c r="AN72" s="7" t="s">
        <v>1386</v>
      </c>
      <c r="AO72" s="8" t="str">
        <f>HYPERLINK("https://docs.google.com/document/d/16HOF0nke_u8Vv2xdTT_Yt65oZgo-7A1YH2HjBqur07s/edit?usp=drivesdk","Al-Wildan 1 Gading Serpong_irunawati, S. Pd_Al Qur'an, Arabic, PAI")</f>
        <v>Al-Wildan 1 Gading Serpong_irunawati, S. Pd_Al Qur'an, Arabic, PAI</v>
      </c>
      <c r="AP72" s="1" t="s">
        <v>1387</v>
      </c>
    </row>
    <row r="73">
      <c r="A73" s="6">
        <v>44018.40878712963</v>
      </c>
      <c r="B73" s="7" t="s">
        <v>1388</v>
      </c>
      <c r="C73" s="8" t="s">
        <v>1389</v>
      </c>
      <c r="D73" s="1" t="s">
        <v>1390</v>
      </c>
      <c r="E73" s="9" t="s">
        <v>1391</v>
      </c>
      <c r="F73" s="1" t="s">
        <v>1392</v>
      </c>
      <c r="G73" s="1" t="s">
        <v>1393</v>
      </c>
      <c r="H73" s="1" t="s">
        <v>722</v>
      </c>
      <c r="I73" s="9" t="s">
        <v>1394</v>
      </c>
      <c r="J73" s="1">
        <v>33.0</v>
      </c>
      <c r="K73" s="1" t="s">
        <v>102</v>
      </c>
      <c r="L73" s="1" t="s">
        <v>310</v>
      </c>
      <c r="M73" s="1" t="s">
        <v>104</v>
      </c>
      <c r="N73" s="1" t="s">
        <v>1395</v>
      </c>
      <c r="O73" s="1" t="s">
        <v>312</v>
      </c>
      <c r="P73" s="1" t="s">
        <v>107</v>
      </c>
      <c r="Q73" s="1" t="s">
        <v>1396</v>
      </c>
      <c r="R73" s="1" t="s">
        <v>1397</v>
      </c>
      <c r="S73" s="1" t="s">
        <v>1084</v>
      </c>
      <c r="T73" s="1" t="s">
        <v>1398</v>
      </c>
      <c r="U73" s="1" t="s">
        <v>1399</v>
      </c>
      <c r="Z73" s="1" t="s">
        <v>1400</v>
      </c>
      <c r="AA73" s="10">
        <v>5000000.0</v>
      </c>
      <c r="AF73" s="10">
        <v>6500000.0</v>
      </c>
      <c r="AG73" s="9" t="s">
        <v>1401</v>
      </c>
      <c r="AI73" s="1" t="s">
        <v>1402</v>
      </c>
      <c r="AJ73" s="3"/>
      <c r="AK73" s="3"/>
      <c r="AL73" s="3"/>
      <c r="AM73" s="1" t="s">
        <v>1403</v>
      </c>
      <c r="AN73" s="7" t="s">
        <v>1404</v>
      </c>
      <c r="AO73" s="8" t="str">
        <f>HYPERLINK("https://docs.google.com/document/d/1TStGA1rxyjrF0IzapCm1Y83Rj8RE1uH2wg67eCjTisk/edit?usp=drivesdk","Al-Wildan 1 Gading Serpong_Rahmat Hidayat _Arabic, Al-Qur'an dan Diniyah")</f>
        <v>Al-Wildan 1 Gading Serpong_Rahmat Hidayat _Arabic, Al-Qur'an dan Diniyah</v>
      </c>
      <c r="AP73" s="1" t="s">
        <v>1405</v>
      </c>
    </row>
    <row r="74">
      <c r="A74" s="6">
        <v>44018.413562800924</v>
      </c>
      <c r="B74" s="7" t="s">
        <v>1406</v>
      </c>
      <c r="C74" s="8" t="s">
        <v>1407</v>
      </c>
      <c r="D74" s="1" t="s">
        <v>1408</v>
      </c>
      <c r="E74" s="1">
        <v>8.5311206652E10</v>
      </c>
      <c r="F74" s="1" t="s">
        <v>1409</v>
      </c>
      <c r="G74" s="1" t="s">
        <v>1410</v>
      </c>
      <c r="H74" s="1" t="s">
        <v>1411</v>
      </c>
      <c r="I74" s="9" t="s">
        <v>1412</v>
      </c>
      <c r="J74" s="1" t="s">
        <v>1413</v>
      </c>
      <c r="K74" s="1" t="s">
        <v>102</v>
      </c>
      <c r="L74" s="1" t="s">
        <v>103</v>
      </c>
      <c r="M74" s="1" t="s">
        <v>104</v>
      </c>
      <c r="N74" s="1" t="s">
        <v>1414</v>
      </c>
      <c r="O74" s="1" t="s">
        <v>312</v>
      </c>
      <c r="P74" s="1" t="s">
        <v>107</v>
      </c>
      <c r="Q74" s="1" t="s">
        <v>1415</v>
      </c>
      <c r="R74" s="1" t="s">
        <v>1416</v>
      </c>
      <c r="S74" s="1" t="s">
        <v>740</v>
      </c>
      <c r="Z74" s="1" t="s">
        <v>1417</v>
      </c>
      <c r="AA74" s="10">
        <v>3500000.0</v>
      </c>
      <c r="AF74" s="10">
        <v>6500000.0</v>
      </c>
      <c r="AG74" s="1">
        <v>5.84585981E8</v>
      </c>
      <c r="AI74" s="1" t="s">
        <v>782</v>
      </c>
      <c r="AJ74" s="3"/>
      <c r="AK74" s="3"/>
      <c r="AL74" s="3"/>
      <c r="AM74" s="1" t="s">
        <v>1418</v>
      </c>
      <c r="AN74" s="7" t="s">
        <v>1419</v>
      </c>
      <c r="AO74" s="8" t="str">
        <f>HYPERLINK("https://docs.google.com/document/d/1m75oDUTeoiHoopzC850Lm5dOADjypDPpamJ1WG20SNI/edit?usp=drivesdk","Al-Wildan 1 Gading Serpong_NASRIYATI, SKom_Math ")</f>
        <v>Al-Wildan 1 Gading Serpong_NASRIYATI, SKom_Math </v>
      </c>
      <c r="AP74" s="1" t="s">
        <v>1420</v>
      </c>
    </row>
    <row r="75">
      <c r="A75" s="6">
        <v>44018.440376099534</v>
      </c>
      <c r="B75" s="7" t="s">
        <v>1421</v>
      </c>
      <c r="C75" s="8" t="s">
        <v>1422</v>
      </c>
      <c r="D75" s="1" t="s">
        <v>1423</v>
      </c>
      <c r="E75" s="9" t="s">
        <v>1424</v>
      </c>
      <c r="F75" s="1" t="s">
        <v>1425</v>
      </c>
      <c r="G75" s="1" t="s">
        <v>1426</v>
      </c>
      <c r="H75" s="1" t="s">
        <v>169</v>
      </c>
      <c r="I75" s="1">
        <v>2.0051978E7</v>
      </c>
      <c r="J75" s="1" t="s">
        <v>1427</v>
      </c>
      <c r="K75" s="1" t="s">
        <v>102</v>
      </c>
      <c r="L75" s="1" t="s">
        <v>256</v>
      </c>
      <c r="M75" s="1" t="s">
        <v>377</v>
      </c>
      <c r="O75" s="1" t="s">
        <v>1202</v>
      </c>
      <c r="P75" s="1" t="s">
        <v>107</v>
      </c>
      <c r="Q75" s="1" t="s">
        <v>1428</v>
      </c>
      <c r="R75" s="1" t="s">
        <v>1429</v>
      </c>
      <c r="S75" s="1" t="s">
        <v>1430</v>
      </c>
      <c r="Z75" s="1" t="s">
        <v>1431</v>
      </c>
      <c r="AA75" s="1">
        <v>3000000.0</v>
      </c>
      <c r="AB75" s="1" t="s">
        <v>1432</v>
      </c>
      <c r="AC75" s="1">
        <v>5000000.0</v>
      </c>
      <c r="AD75" s="1" t="s">
        <v>1433</v>
      </c>
      <c r="AE75" s="1">
        <v>4000000.0</v>
      </c>
      <c r="AF75" s="1">
        <v>4000000.0</v>
      </c>
      <c r="AG75" s="9" t="s">
        <v>1434</v>
      </c>
      <c r="AI75" s="1" t="s">
        <v>178</v>
      </c>
      <c r="AJ75" s="3"/>
      <c r="AK75" s="3"/>
      <c r="AL75" s="3"/>
      <c r="AM75" s="1" t="s">
        <v>1435</v>
      </c>
      <c r="AN75" s="7" t="s">
        <v>1436</v>
      </c>
      <c r="AO75" s="8" t="str">
        <f>HYPERLINK("https://docs.google.com/document/d/1oLIx51TX-SQZbKNycqDENY7xi705wAkyqDBspU5I0gs/edit?usp=drivesdk","Al-Wildan 1 Gading Serpong_Shinta Dian Permatasari_")</f>
        <v>Al-Wildan 1 Gading Serpong_Shinta Dian Permatasari_</v>
      </c>
      <c r="AP75" s="1" t="s">
        <v>1437</v>
      </c>
    </row>
    <row r="76">
      <c r="A76" s="6">
        <v>44018.44662480324</v>
      </c>
      <c r="B76" s="7" t="s">
        <v>1438</v>
      </c>
      <c r="C76" s="8" t="s">
        <v>1439</v>
      </c>
      <c r="D76" s="1" t="s">
        <v>1440</v>
      </c>
      <c r="E76" s="9" t="s">
        <v>1441</v>
      </c>
      <c r="F76" s="1" t="s">
        <v>1442</v>
      </c>
      <c r="G76" s="1" t="s">
        <v>1443</v>
      </c>
      <c r="H76" s="1" t="s">
        <v>327</v>
      </c>
      <c r="I76" s="9" t="s">
        <v>1444</v>
      </c>
      <c r="J76" s="1" t="s">
        <v>1445</v>
      </c>
      <c r="K76" s="1" t="s">
        <v>102</v>
      </c>
      <c r="L76" s="1" t="s">
        <v>329</v>
      </c>
      <c r="M76" s="1" t="s">
        <v>104</v>
      </c>
      <c r="N76" s="1" t="s">
        <v>1446</v>
      </c>
      <c r="O76" s="1" t="s">
        <v>312</v>
      </c>
      <c r="P76" s="1" t="s">
        <v>107</v>
      </c>
      <c r="Q76" s="1" t="s">
        <v>1447</v>
      </c>
      <c r="R76" s="1" t="s">
        <v>1448</v>
      </c>
      <c r="S76" s="1" t="s">
        <v>1084</v>
      </c>
      <c r="T76" s="1" t="s">
        <v>1007</v>
      </c>
      <c r="U76" s="1" t="s">
        <v>1007</v>
      </c>
      <c r="V76" s="1" t="s">
        <v>1449</v>
      </c>
      <c r="W76" s="1" t="s">
        <v>1450</v>
      </c>
      <c r="X76" s="1" t="s">
        <v>1450</v>
      </c>
      <c r="Z76" s="1" t="s">
        <v>1451</v>
      </c>
      <c r="AA76" s="1" t="s">
        <v>1452</v>
      </c>
      <c r="AB76" s="1" t="s">
        <v>217</v>
      </c>
      <c r="AC76" s="1" t="s">
        <v>217</v>
      </c>
      <c r="AD76" s="1" t="s">
        <v>217</v>
      </c>
      <c r="AE76" s="1" t="s">
        <v>217</v>
      </c>
      <c r="AF76" s="1" t="s">
        <v>1453</v>
      </c>
      <c r="AG76" s="9" t="s">
        <v>1454</v>
      </c>
      <c r="AI76" s="1" t="s">
        <v>712</v>
      </c>
      <c r="AJ76" s="3"/>
      <c r="AK76" s="3"/>
      <c r="AL76" s="3"/>
      <c r="AM76" s="1" t="s">
        <v>1455</v>
      </c>
      <c r="AN76" s="7" t="s">
        <v>1456</v>
      </c>
      <c r="AO76" s="8" t="str">
        <f>HYPERLINK("https://docs.google.com/document/d/1KT_PsC2Kl3nwTNPN9jW2vnXHD0gnDTU9dZ3ofsDoVE8/edit?usp=drivesdk","Al-Wildan 1 Gading Serpong_Bung Tomo, A.Md._Al Quran, Arabic &amp; PAI")</f>
        <v>Al-Wildan 1 Gading Serpong_Bung Tomo, A.Md._Al Quran, Arabic &amp; PAI</v>
      </c>
      <c r="AP76" s="1" t="s">
        <v>1457</v>
      </c>
    </row>
    <row r="77">
      <c r="A77" s="6">
        <v>44018.453096446756</v>
      </c>
      <c r="B77" s="7" t="s">
        <v>1458</v>
      </c>
      <c r="C77" s="8" t="s">
        <v>1459</v>
      </c>
      <c r="D77" s="1" t="s">
        <v>1460</v>
      </c>
      <c r="E77" s="9" t="s">
        <v>1461</v>
      </c>
      <c r="F77" s="1" t="s">
        <v>1462</v>
      </c>
      <c r="G77" s="1" t="s">
        <v>1463</v>
      </c>
      <c r="H77" s="1" t="s">
        <v>1464</v>
      </c>
      <c r="I77" s="9" t="s">
        <v>1465</v>
      </c>
      <c r="J77" s="1" t="s">
        <v>1466</v>
      </c>
      <c r="K77" s="1" t="s">
        <v>151</v>
      </c>
      <c r="L77" s="1" t="s">
        <v>256</v>
      </c>
      <c r="M77" s="1" t="s">
        <v>104</v>
      </c>
      <c r="N77" s="1" t="s">
        <v>1467</v>
      </c>
      <c r="O77" s="1" t="s">
        <v>127</v>
      </c>
      <c r="P77" s="1" t="s">
        <v>107</v>
      </c>
      <c r="Q77" s="1" t="s">
        <v>217</v>
      </c>
      <c r="R77" s="1" t="s">
        <v>217</v>
      </c>
      <c r="S77" s="1" t="s">
        <v>217</v>
      </c>
      <c r="Z77" s="1" t="s">
        <v>1468</v>
      </c>
      <c r="AA77" s="10">
        <v>450009.0</v>
      </c>
      <c r="AB77" s="1" t="s">
        <v>1469</v>
      </c>
      <c r="AC77" s="10">
        <v>750000.0</v>
      </c>
      <c r="AD77" s="1" t="s">
        <v>1470</v>
      </c>
      <c r="AE77" s="10">
        <v>2000000.0</v>
      </c>
      <c r="AG77" s="9" t="s">
        <v>1471</v>
      </c>
      <c r="AM77" s="1" t="s">
        <v>1472</v>
      </c>
      <c r="AN77" s="7" t="s">
        <v>1473</v>
      </c>
      <c r="AO77" s="8" t="str">
        <f>HYPERLINK("https://docs.google.com/document/d/1zlRpKHQfi_dBABXea2c0ZGfjZzpsMcwlgZLBZ2nVOX8/edit?usp=drivesdk","Al-Wildan 1 Gading Serpong_Atikah _Al quran SMP SMA")</f>
        <v>Al-Wildan 1 Gading Serpong_Atikah _Al quran SMP SMA</v>
      </c>
      <c r="AP77" s="1" t="s">
        <v>1474</v>
      </c>
    </row>
    <row r="78">
      <c r="A78" s="6">
        <v>44018.45752166667</v>
      </c>
      <c r="B78" s="7" t="s">
        <v>1475</v>
      </c>
      <c r="C78" s="8" t="s">
        <v>1476</v>
      </c>
      <c r="D78" s="1" t="s">
        <v>1477</v>
      </c>
      <c r="E78" s="9" t="s">
        <v>1478</v>
      </c>
      <c r="F78" s="1" t="s">
        <v>1479</v>
      </c>
      <c r="G78" s="1" t="s">
        <v>1480</v>
      </c>
      <c r="H78" s="1" t="s">
        <v>1481</v>
      </c>
      <c r="I78" s="9" t="s">
        <v>1482</v>
      </c>
      <c r="J78" s="1" t="s">
        <v>1483</v>
      </c>
      <c r="K78" s="1" t="s">
        <v>102</v>
      </c>
      <c r="L78" s="1" t="s">
        <v>103</v>
      </c>
      <c r="M78" s="1" t="s">
        <v>104</v>
      </c>
      <c r="N78" s="1" t="s">
        <v>1484</v>
      </c>
      <c r="O78" s="1" t="s">
        <v>312</v>
      </c>
      <c r="P78" s="1" t="s">
        <v>107</v>
      </c>
      <c r="Q78" s="1" t="s">
        <v>1485</v>
      </c>
      <c r="R78" s="1" t="s">
        <v>1486</v>
      </c>
      <c r="S78" s="1" t="s">
        <v>755</v>
      </c>
      <c r="T78" s="1" t="s">
        <v>1487</v>
      </c>
      <c r="U78" s="1" t="s">
        <v>1488</v>
      </c>
      <c r="V78" s="1" t="s">
        <v>110</v>
      </c>
      <c r="Z78" s="1" t="s">
        <v>1489</v>
      </c>
      <c r="AA78" s="10">
        <v>3000000.0</v>
      </c>
      <c r="AB78" s="1" t="s">
        <v>1490</v>
      </c>
      <c r="AC78" s="10">
        <v>5500000.0</v>
      </c>
      <c r="AD78" s="1" t="s">
        <v>1491</v>
      </c>
      <c r="AE78" s="10">
        <v>8000000.0</v>
      </c>
      <c r="AF78" s="10">
        <v>5500000.0</v>
      </c>
      <c r="AG78" s="9" t="s">
        <v>1492</v>
      </c>
      <c r="AH78" s="1">
        <v>1.390021142546E12</v>
      </c>
      <c r="AI78" s="1" t="s">
        <v>1493</v>
      </c>
      <c r="AJ78" s="3"/>
      <c r="AK78" s="3"/>
      <c r="AL78" s="3"/>
      <c r="AM78" s="1" t="s">
        <v>1494</v>
      </c>
      <c r="AN78" s="7" t="s">
        <v>1495</v>
      </c>
      <c r="AO78" s="8" t="str">
        <f>HYPERLINK("https://docs.google.com/document/d/1E4JiYZrY2trVI15VjCLjCD98W41zVEqcxJsTU1J2404/edit?usp=drivesdk","Al-Wildan 1 Gading Serpong_YHANA DWI AVIAN, M.Pd_IPA, SCIENCE, MATH")</f>
        <v>Al-Wildan 1 Gading Serpong_YHANA DWI AVIAN, M.Pd_IPA, SCIENCE, MATH</v>
      </c>
      <c r="AP78" s="1" t="s">
        <v>1496</v>
      </c>
    </row>
    <row r="79">
      <c r="A79" s="6">
        <v>44018.47125534722</v>
      </c>
      <c r="B79" s="7" t="s">
        <v>1497</v>
      </c>
      <c r="C79" s="8" t="s">
        <v>1498</v>
      </c>
      <c r="D79" s="1" t="s">
        <v>1499</v>
      </c>
      <c r="E79" s="9" t="s">
        <v>1500</v>
      </c>
      <c r="F79" s="1" t="s">
        <v>1501</v>
      </c>
      <c r="G79" s="1" t="s">
        <v>389</v>
      </c>
      <c r="H79" s="1" t="s">
        <v>1502</v>
      </c>
      <c r="I79" s="9" t="s">
        <v>1503</v>
      </c>
      <c r="J79" s="1">
        <v>28.0</v>
      </c>
      <c r="K79" s="1" t="s">
        <v>102</v>
      </c>
      <c r="L79" s="1" t="s">
        <v>496</v>
      </c>
      <c r="M79" s="1" t="s">
        <v>213</v>
      </c>
      <c r="N79" s="1" t="s">
        <v>1504</v>
      </c>
      <c r="O79" s="1" t="s">
        <v>127</v>
      </c>
      <c r="P79" s="1" t="s">
        <v>128</v>
      </c>
      <c r="Q79" s="1" t="s">
        <v>1505</v>
      </c>
      <c r="R79" s="1" t="s">
        <v>193</v>
      </c>
      <c r="S79" s="1">
        <v>4.75</v>
      </c>
      <c r="Z79" s="1" t="s">
        <v>1506</v>
      </c>
      <c r="AF79" s="1" t="s">
        <v>1507</v>
      </c>
      <c r="AG79" s="9" t="s">
        <v>1508</v>
      </c>
      <c r="AI79" s="1" t="s">
        <v>178</v>
      </c>
      <c r="AJ79" s="3"/>
      <c r="AK79" s="3"/>
      <c r="AL79" s="3"/>
      <c r="AM79" s="1" t="s">
        <v>1509</v>
      </c>
      <c r="AN79" s="7" t="s">
        <v>1510</v>
      </c>
      <c r="AO79" s="8" t="str">
        <f>HYPERLINK("https://docs.google.com/document/d/1YfVZRcX8bC3rK4_vE89I5LgjVxiqSz1Xs4a9EMlX4vE/edit?usp=drivesdk","Al-Wildan 3 BSD_Tholib Abdillah Mahri, Lc. _Aqidah dan Fiqh(ITBA) ")</f>
        <v>Al-Wildan 3 BSD_Tholib Abdillah Mahri, Lc. _Aqidah dan Fiqh(ITBA) </v>
      </c>
      <c r="AP79" s="1" t="s">
        <v>1511</v>
      </c>
    </row>
    <row r="80">
      <c r="A80" s="6">
        <v>44018.478594768516</v>
      </c>
      <c r="B80" s="7" t="s">
        <v>1512</v>
      </c>
      <c r="C80" s="8" t="s">
        <v>1513</v>
      </c>
      <c r="D80" s="1" t="s">
        <v>1514</v>
      </c>
      <c r="E80" s="9" t="s">
        <v>1515</v>
      </c>
      <c r="F80" s="1" t="s">
        <v>1516</v>
      </c>
      <c r="G80" s="1" t="s">
        <v>1517</v>
      </c>
      <c r="H80" s="1" t="s">
        <v>751</v>
      </c>
      <c r="I80" s="9" t="s">
        <v>1518</v>
      </c>
      <c r="J80" s="1" t="s">
        <v>1519</v>
      </c>
      <c r="K80" s="1" t="s">
        <v>151</v>
      </c>
      <c r="L80" s="1" t="s">
        <v>256</v>
      </c>
      <c r="M80" s="1" t="s">
        <v>104</v>
      </c>
      <c r="N80" s="1" t="s">
        <v>1520</v>
      </c>
      <c r="O80" s="1" t="s">
        <v>127</v>
      </c>
      <c r="P80" s="1" t="s">
        <v>107</v>
      </c>
      <c r="Q80" s="1" t="s">
        <v>108</v>
      </c>
      <c r="R80" s="1" t="s">
        <v>1521</v>
      </c>
      <c r="S80" s="1" t="s">
        <v>1522</v>
      </c>
      <c r="T80" s="1" t="s">
        <v>275</v>
      </c>
      <c r="U80" s="1" t="s">
        <v>1523</v>
      </c>
      <c r="V80" s="1" t="s">
        <v>1524</v>
      </c>
      <c r="Z80" s="1" t="s">
        <v>1525</v>
      </c>
      <c r="AA80" s="10">
        <v>5000000.0</v>
      </c>
      <c r="AH80" s="1">
        <v>6.47804166E8</v>
      </c>
      <c r="AI80" s="1" t="s">
        <v>178</v>
      </c>
      <c r="AJ80" s="3"/>
      <c r="AK80" s="3"/>
      <c r="AL80" s="3"/>
      <c r="AM80" s="1" t="s">
        <v>1526</v>
      </c>
      <c r="AN80" s="7" t="s">
        <v>1527</v>
      </c>
      <c r="AO80" s="8" t="str">
        <f>HYPERLINK("https://docs.google.com/document/d/1xqH8pdCAwnnLFabMuxtQ7i0AHjQUUlFNgBbx0TkZB0Q/edit?usp=drivesdk","Al-Wildan 1 Gading Serpong_Vegi Wahyu Murni, S.Pd., M.Si._Kimia SMA, matematika SMP")</f>
        <v>Al-Wildan 1 Gading Serpong_Vegi Wahyu Murni, S.Pd., M.Si._Kimia SMA, matematika SMP</v>
      </c>
      <c r="AP80" s="1" t="s">
        <v>1528</v>
      </c>
    </row>
    <row r="81">
      <c r="A81" s="6">
        <v>44018.47896040509</v>
      </c>
      <c r="B81" s="7" t="s">
        <v>1529</v>
      </c>
      <c r="C81" s="8" t="s">
        <v>1530</v>
      </c>
      <c r="D81" s="1" t="s">
        <v>1531</v>
      </c>
      <c r="E81" s="9" t="s">
        <v>1532</v>
      </c>
      <c r="F81" s="1" t="s">
        <v>1533</v>
      </c>
      <c r="G81" s="1" t="s">
        <v>1534</v>
      </c>
      <c r="H81" s="1" t="s">
        <v>1535</v>
      </c>
      <c r="I81" s="9" t="s">
        <v>1536</v>
      </c>
      <c r="J81" s="1" t="s">
        <v>1537</v>
      </c>
      <c r="K81" s="1" t="s">
        <v>102</v>
      </c>
      <c r="L81" s="1" t="s">
        <v>103</v>
      </c>
      <c r="M81" s="1" t="s">
        <v>104</v>
      </c>
      <c r="N81" s="1" t="s">
        <v>1538</v>
      </c>
      <c r="O81" s="1" t="s">
        <v>312</v>
      </c>
      <c r="P81" s="1" t="s">
        <v>107</v>
      </c>
      <c r="Q81" s="1" t="s">
        <v>1487</v>
      </c>
      <c r="R81" s="1" t="s">
        <v>1539</v>
      </c>
      <c r="S81" s="1">
        <v>3.27</v>
      </c>
      <c r="T81" s="1" t="s">
        <v>1540</v>
      </c>
      <c r="U81" s="1" t="s">
        <v>1541</v>
      </c>
      <c r="V81" s="1">
        <v>0.0</v>
      </c>
      <c r="W81" s="1">
        <v>0.0</v>
      </c>
      <c r="X81" s="1">
        <v>0.0</v>
      </c>
      <c r="Y81" s="1">
        <v>0.0</v>
      </c>
      <c r="Z81" s="1" t="s">
        <v>1542</v>
      </c>
      <c r="AA81" s="10">
        <v>1000000.0</v>
      </c>
      <c r="AB81" s="1" t="s">
        <v>1543</v>
      </c>
      <c r="AC81" s="1" t="s">
        <v>1544</v>
      </c>
      <c r="AD81" s="1">
        <v>0.0</v>
      </c>
      <c r="AE81" s="1">
        <v>0.0</v>
      </c>
      <c r="AF81" s="1" t="s">
        <v>1545</v>
      </c>
      <c r="AG81" s="9" t="s">
        <v>1546</v>
      </c>
      <c r="AH81" s="1">
        <v>0.0</v>
      </c>
      <c r="AI81" s="1">
        <v>0.0</v>
      </c>
      <c r="AJ81" s="3"/>
      <c r="AK81" s="3"/>
      <c r="AL81" s="3"/>
      <c r="AM81" s="1" t="s">
        <v>1547</v>
      </c>
      <c r="AN81" s="7" t="s">
        <v>1548</v>
      </c>
      <c r="AO81" s="8" t="str">
        <f>HYPERLINK("https://docs.google.com/document/d/1eWDHb25bUIk92-oXbtjZq3PKVkdHTNOM5sbGTtp6xOs/edit?usp=drivesdk","Al-Wildan 1 Gading Serpong_SAHMAN YAHYA, S. Pd._Matematika dan Mapel Umum")</f>
        <v>Al-Wildan 1 Gading Serpong_SAHMAN YAHYA, S. Pd._Matematika dan Mapel Umum</v>
      </c>
      <c r="AP81" s="1" t="s">
        <v>1528</v>
      </c>
    </row>
    <row r="82">
      <c r="A82" s="6">
        <v>44018.48653703704</v>
      </c>
      <c r="B82" s="7" t="s">
        <v>1549</v>
      </c>
      <c r="C82" s="8" t="s">
        <v>1550</v>
      </c>
      <c r="D82" s="1" t="s">
        <v>1551</v>
      </c>
      <c r="E82" s="9" t="s">
        <v>1552</v>
      </c>
      <c r="F82" s="1" t="s">
        <v>1553</v>
      </c>
      <c r="G82" s="1" t="s">
        <v>1554</v>
      </c>
      <c r="H82" s="1" t="s">
        <v>1555</v>
      </c>
      <c r="I82" s="9" t="s">
        <v>1556</v>
      </c>
      <c r="J82" s="1" t="s">
        <v>1557</v>
      </c>
      <c r="K82" s="1" t="s">
        <v>102</v>
      </c>
      <c r="L82" s="1" t="s">
        <v>329</v>
      </c>
      <c r="M82" s="1" t="s">
        <v>104</v>
      </c>
      <c r="N82" s="1" t="s">
        <v>1558</v>
      </c>
      <c r="O82" s="1" t="s">
        <v>312</v>
      </c>
      <c r="P82" s="1" t="s">
        <v>107</v>
      </c>
      <c r="Q82" s="1" t="s">
        <v>1559</v>
      </c>
      <c r="R82" s="1" t="s">
        <v>1560</v>
      </c>
      <c r="S82" s="1" t="s">
        <v>217</v>
      </c>
      <c r="T82" s="1" t="s">
        <v>1007</v>
      </c>
      <c r="U82" s="1" t="s">
        <v>1007</v>
      </c>
      <c r="V82" s="1" t="s">
        <v>217</v>
      </c>
      <c r="W82" s="1" t="s">
        <v>1007</v>
      </c>
      <c r="X82" s="1" t="s">
        <v>1007</v>
      </c>
      <c r="Y82" s="1">
        <v>0.0</v>
      </c>
      <c r="Z82" s="1" t="s">
        <v>1561</v>
      </c>
      <c r="AA82" s="10">
        <v>3350000.0</v>
      </c>
      <c r="AB82" s="1" t="s">
        <v>1562</v>
      </c>
      <c r="AC82" s="1" t="s">
        <v>1562</v>
      </c>
      <c r="AD82" s="1" t="s">
        <v>1562</v>
      </c>
      <c r="AE82" s="1" t="s">
        <v>1562</v>
      </c>
      <c r="AF82" s="10">
        <v>3500000.0</v>
      </c>
      <c r="AG82" s="9" t="s">
        <v>1563</v>
      </c>
      <c r="AM82" s="1" t="s">
        <v>1564</v>
      </c>
      <c r="AN82" s="7" t="s">
        <v>1565</v>
      </c>
      <c r="AO82" s="8" t="str">
        <f>HYPERLINK("https://docs.google.com/document/d/1PJ847fLeSAwEmxkJDQSYEWin8EiB_valfUOYbGM1qCQ/edit?usp=drivesdk","Al-Wildan 1 Gading Serpong_Risma Widiawati_Alquran, Arabic, Diniyyah")</f>
        <v>Al-Wildan 1 Gading Serpong_Risma Widiawati_Alquran, Arabic, Diniyyah</v>
      </c>
      <c r="AP82" s="1" t="s">
        <v>1566</v>
      </c>
    </row>
    <row r="83">
      <c r="A83" s="6">
        <v>44018.489441956015</v>
      </c>
      <c r="B83" s="7" t="s">
        <v>1567</v>
      </c>
      <c r="C83" s="8" t="s">
        <v>1568</v>
      </c>
      <c r="D83" s="1" t="s">
        <v>1569</v>
      </c>
      <c r="E83" s="9" t="s">
        <v>1570</v>
      </c>
      <c r="F83" s="1" t="s">
        <v>1571</v>
      </c>
      <c r="G83" s="1" t="s">
        <v>1572</v>
      </c>
      <c r="H83" s="1" t="s">
        <v>148</v>
      </c>
      <c r="I83" s="9" t="s">
        <v>1573</v>
      </c>
      <c r="J83" s="1" t="s">
        <v>1574</v>
      </c>
      <c r="K83" s="1" t="s">
        <v>151</v>
      </c>
      <c r="L83" s="1" t="s">
        <v>329</v>
      </c>
      <c r="M83" s="1" t="s">
        <v>1575</v>
      </c>
      <c r="O83" s="1" t="s">
        <v>106</v>
      </c>
      <c r="P83" s="1" t="s">
        <v>107</v>
      </c>
      <c r="Q83" s="1" t="s">
        <v>1576</v>
      </c>
      <c r="R83" s="1" t="s">
        <v>217</v>
      </c>
      <c r="S83" s="1" t="s">
        <v>217</v>
      </c>
      <c r="T83" s="1" t="s">
        <v>1577</v>
      </c>
      <c r="U83" s="1" t="s">
        <v>217</v>
      </c>
      <c r="V83" s="1" t="s">
        <v>217</v>
      </c>
      <c r="W83" s="1" t="s">
        <v>217</v>
      </c>
      <c r="X83" s="1" t="s">
        <v>217</v>
      </c>
      <c r="Z83" s="1" t="s">
        <v>1578</v>
      </c>
      <c r="AA83" s="10">
        <v>2000000.0</v>
      </c>
      <c r="AB83" s="1" t="s">
        <v>1579</v>
      </c>
      <c r="AC83" s="10">
        <v>3000000.0</v>
      </c>
      <c r="AF83" s="10">
        <v>3500000.0</v>
      </c>
      <c r="AG83" s="9" t="s">
        <v>1580</v>
      </c>
      <c r="AI83" s="1" t="s">
        <v>782</v>
      </c>
      <c r="AJ83" s="3"/>
      <c r="AK83" s="3"/>
      <c r="AL83" s="3"/>
      <c r="AM83" s="1" t="s">
        <v>1581</v>
      </c>
      <c r="AN83" s="7" t="s">
        <v>1582</v>
      </c>
      <c r="AO83" s="8" t="str">
        <f>HYPERLINK("https://docs.google.com/document/d/1DnQeeH3h3OWpfG9aA40JFVqlUKkeQbBW5Tf52Mpmlmk/edit?usp=drivesdk","Al-Wildan 1 Gading Serpong_Thaif Tamimah_")</f>
        <v>Al-Wildan 1 Gading Serpong_Thaif Tamimah_</v>
      </c>
      <c r="AP83" s="1" t="s">
        <v>1583</v>
      </c>
    </row>
    <row r="84">
      <c r="A84" s="6">
        <v>44018.494977361115</v>
      </c>
      <c r="B84" s="7" t="s">
        <v>1584</v>
      </c>
      <c r="C84" s="8" t="s">
        <v>1585</v>
      </c>
      <c r="D84" s="1" t="s">
        <v>1586</v>
      </c>
      <c r="E84" s="9" t="s">
        <v>1587</v>
      </c>
      <c r="F84" s="1" t="s">
        <v>1588</v>
      </c>
      <c r="G84" s="1" t="s">
        <v>1589</v>
      </c>
      <c r="H84" s="1" t="s">
        <v>722</v>
      </c>
      <c r="I84" s="9" t="s">
        <v>1590</v>
      </c>
      <c r="J84" s="1" t="s">
        <v>1591</v>
      </c>
      <c r="K84" s="1" t="s">
        <v>102</v>
      </c>
      <c r="L84" s="1" t="s">
        <v>103</v>
      </c>
      <c r="M84" s="1" t="s">
        <v>213</v>
      </c>
      <c r="N84" s="1" t="s">
        <v>1592</v>
      </c>
      <c r="O84" s="1" t="s">
        <v>236</v>
      </c>
      <c r="P84" s="1" t="s">
        <v>128</v>
      </c>
      <c r="Q84" s="1" t="s">
        <v>1593</v>
      </c>
      <c r="R84" s="1" t="s">
        <v>193</v>
      </c>
      <c r="S84" s="1">
        <v>3.1</v>
      </c>
      <c r="Z84" s="1" t="s">
        <v>1594</v>
      </c>
      <c r="AA84" s="10">
        <v>4750000.0</v>
      </c>
      <c r="AB84" s="1" t="s">
        <v>1595</v>
      </c>
      <c r="AC84" s="10">
        <v>5250000.0</v>
      </c>
      <c r="AD84" s="1" t="s">
        <v>1596</v>
      </c>
      <c r="AE84" s="10">
        <v>8000000.0</v>
      </c>
      <c r="AF84" s="10">
        <v>1.3E7</v>
      </c>
      <c r="AG84" s="9" t="s">
        <v>1597</v>
      </c>
      <c r="AI84" s="1" t="s">
        <v>178</v>
      </c>
      <c r="AJ84" s="3"/>
      <c r="AK84" s="3"/>
      <c r="AL84" s="3"/>
      <c r="AM84" s="1" t="s">
        <v>1598</v>
      </c>
      <c r="AN84" s="7" t="s">
        <v>1599</v>
      </c>
      <c r="AO84" s="8" t="str">
        <f>HYPERLINK("https://docs.google.com/document/d/1lOCd1fe9Op1TogGvjcOdlHYw9dGa0r05v_YOeWI_v3c/edit?usp=drivesdk","Al-Wildan 3 BSD_Muhammad Nashir Arifin, Lc_Fiqh dan Aqidah")</f>
        <v>Al-Wildan 3 BSD_Muhammad Nashir Arifin, Lc_Fiqh dan Aqidah</v>
      </c>
      <c r="AP84" s="1" t="s">
        <v>1600</v>
      </c>
    </row>
    <row r="85">
      <c r="A85" s="6">
        <v>44018.496224421295</v>
      </c>
      <c r="B85" s="7" t="s">
        <v>1601</v>
      </c>
      <c r="C85" s="8" t="s">
        <v>1602</v>
      </c>
      <c r="D85" s="1" t="s">
        <v>1603</v>
      </c>
      <c r="E85" s="9" t="s">
        <v>1604</v>
      </c>
      <c r="F85" s="1" t="s">
        <v>1605</v>
      </c>
      <c r="G85" s="1" t="s">
        <v>1606</v>
      </c>
      <c r="H85" s="1" t="s">
        <v>1607</v>
      </c>
      <c r="I85" s="9" t="s">
        <v>1608</v>
      </c>
      <c r="J85" s="1" t="s">
        <v>1609</v>
      </c>
      <c r="K85" s="1" t="s">
        <v>102</v>
      </c>
      <c r="L85" s="1" t="s">
        <v>329</v>
      </c>
      <c r="M85" s="1" t="s">
        <v>104</v>
      </c>
      <c r="N85" s="1" t="s">
        <v>1086</v>
      </c>
      <c r="O85" s="1" t="s">
        <v>127</v>
      </c>
      <c r="P85" s="1" t="s">
        <v>107</v>
      </c>
      <c r="Q85" s="1" t="s">
        <v>1610</v>
      </c>
      <c r="R85" s="1" t="s">
        <v>1611</v>
      </c>
      <c r="S85" s="1" t="s">
        <v>1612</v>
      </c>
      <c r="AA85" s="10">
        <v>6000000.0</v>
      </c>
      <c r="AF85" s="10">
        <v>1.0E7</v>
      </c>
      <c r="AG85" s="9" t="s">
        <v>1613</v>
      </c>
      <c r="AI85" s="1" t="s">
        <v>655</v>
      </c>
      <c r="AJ85" s="3"/>
      <c r="AK85" s="3"/>
      <c r="AL85" s="3"/>
      <c r="AM85" s="1" t="s">
        <v>1614</v>
      </c>
      <c r="AN85" s="7" t="s">
        <v>1615</v>
      </c>
      <c r="AO85" s="8" t="str">
        <f>HYPERLINK("https://docs.google.com/document/d/1hs8U6vEWpkZocV-6igMZFmEOhV-um7LFRG4kXcoLkeI/edit?usp=drivesdk","Al-Wildan 1 Gading Serpong_HERYADI, Lc_Aqidah")</f>
        <v>Al-Wildan 1 Gading Serpong_HERYADI, Lc_Aqidah</v>
      </c>
      <c r="AP85" s="1" t="s">
        <v>1616</v>
      </c>
    </row>
    <row r="86">
      <c r="A86" s="6">
        <v>44018.66619043981</v>
      </c>
      <c r="B86" s="7" t="s">
        <v>1617</v>
      </c>
      <c r="C86" s="8" t="s">
        <v>1618</v>
      </c>
      <c r="D86" s="1" t="s">
        <v>1619</v>
      </c>
      <c r="E86" s="9" t="s">
        <v>942</v>
      </c>
      <c r="F86" s="1" t="s">
        <v>1620</v>
      </c>
      <c r="G86" s="1" t="s">
        <v>943</v>
      </c>
      <c r="H86" s="1" t="s">
        <v>944</v>
      </c>
      <c r="I86" s="9" t="s">
        <v>1621</v>
      </c>
      <c r="J86" s="1" t="s">
        <v>946</v>
      </c>
      <c r="K86" s="1" t="s">
        <v>102</v>
      </c>
      <c r="L86" s="1" t="s">
        <v>103</v>
      </c>
      <c r="M86" s="1" t="s">
        <v>104</v>
      </c>
      <c r="N86" s="1" t="s">
        <v>947</v>
      </c>
      <c r="O86" s="1" t="s">
        <v>312</v>
      </c>
      <c r="P86" s="1" t="s">
        <v>107</v>
      </c>
      <c r="Q86" s="1" t="s">
        <v>1622</v>
      </c>
      <c r="R86" s="1" t="s">
        <v>1623</v>
      </c>
      <c r="S86" s="1" t="s">
        <v>1624</v>
      </c>
      <c r="T86" s="1" t="s">
        <v>217</v>
      </c>
      <c r="U86" s="1" t="s">
        <v>217</v>
      </c>
      <c r="V86" s="1" t="s">
        <v>217</v>
      </c>
      <c r="W86" s="1" t="s">
        <v>217</v>
      </c>
      <c r="X86" s="1" t="s">
        <v>217</v>
      </c>
      <c r="Y86" s="1">
        <v>0.0</v>
      </c>
      <c r="Z86" s="1" t="s">
        <v>1625</v>
      </c>
      <c r="AA86" s="10">
        <v>1000000.0</v>
      </c>
      <c r="AB86" s="1" t="s">
        <v>1626</v>
      </c>
      <c r="AC86" s="10">
        <v>3500000.0</v>
      </c>
      <c r="AD86" s="1" t="s">
        <v>217</v>
      </c>
      <c r="AE86" s="1" t="s">
        <v>217</v>
      </c>
      <c r="AF86" s="10">
        <v>5000000.0</v>
      </c>
      <c r="AG86" s="9" t="s">
        <v>953</v>
      </c>
      <c r="AH86" s="1">
        <v>0.0</v>
      </c>
      <c r="AI86" s="1" t="s">
        <v>954</v>
      </c>
      <c r="AJ86" s="3"/>
      <c r="AK86" s="3"/>
      <c r="AL86" s="3"/>
      <c r="AM86" s="1" t="s">
        <v>1627</v>
      </c>
      <c r="AN86" s="7" t="s">
        <v>1628</v>
      </c>
      <c r="AO86" s="8" t="str">
        <f>HYPERLINK("https://docs.google.com/document/d/1idFQHXerMIV4HLyYbvvpyFazUqHsbe1axEnVJ3sxMG4/edit?usp=drivesdk","Al-Wildan 1 Gading Serpong_Husni Mubarok, S.Pd._Al-Qur'an dan PAI")</f>
        <v>Al-Wildan 1 Gading Serpong_Husni Mubarok, S.Pd._Al-Qur'an dan PAI</v>
      </c>
      <c r="AP86" s="1" t="s">
        <v>1629</v>
      </c>
    </row>
    <row r="87">
      <c r="A87" s="6">
        <v>44018.69852111111</v>
      </c>
      <c r="B87" s="7" t="s">
        <v>1630</v>
      </c>
      <c r="C87" s="8" t="s">
        <v>1631</v>
      </c>
      <c r="D87" s="1" t="s">
        <v>843</v>
      </c>
      <c r="E87" s="9" t="s">
        <v>844</v>
      </c>
      <c r="F87" s="1" t="s">
        <v>1632</v>
      </c>
      <c r="G87" s="1" t="s">
        <v>846</v>
      </c>
      <c r="H87" s="1" t="s">
        <v>847</v>
      </c>
      <c r="I87" s="9" t="s">
        <v>848</v>
      </c>
      <c r="J87" s="1" t="s">
        <v>1633</v>
      </c>
      <c r="K87" s="1" t="s">
        <v>850</v>
      </c>
      <c r="L87" s="1" t="s">
        <v>103</v>
      </c>
      <c r="M87" s="1" t="s">
        <v>104</v>
      </c>
      <c r="N87" s="1" t="s">
        <v>1634</v>
      </c>
      <c r="O87" s="1" t="s">
        <v>127</v>
      </c>
      <c r="P87" s="1" t="s">
        <v>107</v>
      </c>
      <c r="Q87" s="1" t="s">
        <v>1635</v>
      </c>
      <c r="R87" s="1" t="s">
        <v>193</v>
      </c>
      <c r="S87" s="1">
        <v>3.39</v>
      </c>
      <c r="Z87" s="1" t="s">
        <v>1636</v>
      </c>
      <c r="AF87" s="10">
        <v>8500000.0</v>
      </c>
      <c r="AG87" s="9" t="s">
        <v>853</v>
      </c>
      <c r="AI87" s="1" t="s">
        <v>178</v>
      </c>
      <c r="AJ87" s="3"/>
      <c r="AK87" s="3"/>
      <c r="AL87" s="3"/>
      <c r="AM87" s="1" t="s">
        <v>1637</v>
      </c>
      <c r="AN87" s="7" t="s">
        <v>1638</v>
      </c>
      <c r="AO87" s="8" t="str">
        <f>HYPERLINK("https://docs.google.com/document/d/1HCVTqKBcWb6Ss8UCh7RBdrS5nKmihQ60rrFib8gaa9w/edit?usp=drivesdk","Al-Wildan 1 Gading Serpong_Abdillah Bahannan, BA_Diniyah")</f>
        <v>Al-Wildan 1 Gading Serpong_Abdillah Bahannan, BA_Diniyah</v>
      </c>
      <c r="AP87" s="1" t="s">
        <v>1639</v>
      </c>
    </row>
    <row r="88">
      <c r="A88" s="6">
        <v>44018.72823273148</v>
      </c>
      <c r="B88" s="7" t="s">
        <v>1640</v>
      </c>
      <c r="C88" s="8" t="s">
        <v>1641</v>
      </c>
      <c r="D88" s="1" t="s">
        <v>1642</v>
      </c>
      <c r="E88" s="9" t="s">
        <v>1643</v>
      </c>
      <c r="F88" s="1" t="s">
        <v>1644</v>
      </c>
      <c r="G88" s="1" t="s">
        <v>1645</v>
      </c>
      <c r="H88" s="1" t="s">
        <v>1646</v>
      </c>
      <c r="I88" s="9" t="s">
        <v>1647</v>
      </c>
      <c r="J88" s="1" t="s">
        <v>1648</v>
      </c>
      <c r="K88" s="1" t="s">
        <v>102</v>
      </c>
      <c r="L88" s="1" t="s">
        <v>827</v>
      </c>
      <c r="M88" s="1" t="s">
        <v>104</v>
      </c>
      <c r="N88" s="1" t="s">
        <v>1523</v>
      </c>
      <c r="O88" s="1" t="s">
        <v>127</v>
      </c>
      <c r="P88" s="1" t="s">
        <v>128</v>
      </c>
      <c r="Q88" s="1" t="s">
        <v>1649</v>
      </c>
      <c r="R88" s="1" t="s">
        <v>1523</v>
      </c>
      <c r="S88" s="1" t="s">
        <v>1522</v>
      </c>
      <c r="T88" s="1" t="s">
        <v>217</v>
      </c>
      <c r="U88" s="1" t="s">
        <v>217</v>
      </c>
      <c r="V88" s="1">
        <v>0.0</v>
      </c>
      <c r="W88" s="1" t="s">
        <v>217</v>
      </c>
      <c r="X88" s="1" t="s">
        <v>217</v>
      </c>
      <c r="Y88" s="1">
        <v>0.0</v>
      </c>
      <c r="Z88" s="1" t="s">
        <v>1650</v>
      </c>
      <c r="AA88" s="10">
        <v>1000000.0</v>
      </c>
      <c r="AB88" s="1" t="s">
        <v>1651</v>
      </c>
      <c r="AC88" s="10">
        <v>2500000.0</v>
      </c>
      <c r="AD88" s="1" t="s">
        <v>1652</v>
      </c>
      <c r="AE88" s="10">
        <v>3000000.0</v>
      </c>
      <c r="AF88" s="1" t="s">
        <v>1653</v>
      </c>
      <c r="AG88" s="9" t="s">
        <v>1654</v>
      </c>
      <c r="AM88" s="1" t="s">
        <v>1655</v>
      </c>
      <c r="AN88" s="7" t="s">
        <v>1656</v>
      </c>
      <c r="AO88" s="8" t="str">
        <f>HYPERLINK("https://docs.google.com/document/d/1Ka6nZqsPg5TqFcER0TIc4CvCSBbfnxNfFs0wPr29OSY/edit?usp=drivesdk","Al-Wildan 3 BSD_Isni Putri Etyoningsih, S.Si_Kimia")</f>
        <v>Al-Wildan 3 BSD_Isni Putri Etyoningsih, S.Si_Kimia</v>
      </c>
      <c r="AP88" s="1" t="s">
        <v>1657</v>
      </c>
    </row>
    <row r="89">
      <c r="A89" s="6">
        <v>44018.82350637732</v>
      </c>
      <c r="B89" s="7" t="s">
        <v>1658</v>
      </c>
      <c r="C89" s="8" t="s">
        <v>1659</v>
      </c>
      <c r="D89" s="1" t="s">
        <v>1660</v>
      </c>
      <c r="E89" s="9" t="s">
        <v>1661</v>
      </c>
      <c r="F89" s="1" t="s">
        <v>1662</v>
      </c>
      <c r="G89" s="1" t="s">
        <v>1663</v>
      </c>
      <c r="H89" s="1" t="s">
        <v>1664</v>
      </c>
      <c r="I89" s="9" t="s">
        <v>1665</v>
      </c>
      <c r="J89" s="1" t="s">
        <v>1666</v>
      </c>
      <c r="K89" s="1" t="s">
        <v>102</v>
      </c>
      <c r="L89" s="1" t="s">
        <v>329</v>
      </c>
      <c r="M89" s="1" t="s">
        <v>104</v>
      </c>
      <c r="N89" s="1" t="s">
        <v>1523</v>
      </c>
      <c r="O89" s="1" t="s">
        <v>236</v>
      </c>
      <c r="P89" s="1" t="s">
        <v>237</v>
      </c>
      <c r="Q89" s="1" t="s">
        <v>1667</v>
      </c>
      <c r="R89" s="1" t="s">
        <v>1521</v>
      </c>
      <c r="S89" s="1" t="s">
        <v>1668</v>
      </c>
      <c r="Z89" s="1" t="s">
        <v>1669</v>
      </c>
      <c r="AA89" s="10">
        <v>3500000.0</v>
      </c>
      <c r="AF89" s="10">
        <v>4500000.0</v>
      </c>
      <c r="AG89" s="9" t="s">
        <v>1670</v>
      </c>
      <c r="AM89" s="1" t="s">
        <v>1671</v>
      </c>
      <c r="AN89" s="7" t="s">
        <v>1672</v>
      </c>
      <c r="AO89" s="8" t="str">
        <f>HYPERLINK("https://docs.google.com/document/d/1Gt0HAA5Mz2bH4ePZ9CTnul-uaMS8LtPYYENLWkpm1Nw/edit?usp=drivesdk","Al-Wildan 4 Lebak Bulus_Rofaidha Kurniawati, S.Pd _Kimia")</f>
        <v>Al-Wildan 4 Lebak Bulus_Rofaidha Kurniawati, S.Pd _Kimia</v>
      </c>
      <c r="AP89" s="1" t="s">
        <v>1673</v>
      </c>
    </row>
    <row r="90">
      <c r="A90" s="6">
        <v>44018.91442143518</v>
      </c>
      <c r="B90" s="7" t="s">
        <v>1674</v>
      </c>
      <c r="C90" s="8" t="s">
        <v>1675</v>
      </c>
      <c r="D90" s="1" t="s">
        <v>1676</v>
      </c>
      <c r="E90" s="9" t="s">
        <v>899</v>
      </c>
      <c r="F90" s="1" t="s">
        <v>900</v>
      </c>
      <c r="G90" s="1" t="s">
        <v>1677</v>
      </c>
      <c r="H90" s="1" t="s">
        <v>902</v>
      </c>
      <c r="I90" s="9" t="s">
        <v>903</v>
      </c>
      <c r="J90" s="1" t="s">
        <v>533</v>
      </c>
      <c r="K90" s="1" t="s">
        <v>102</v>
      </c>
      <c r="L90" s="1" t="s">
        <v>103</v>
      </c>
      <c r="M90" s="1" t="s">
        <v>104</v>
      </c>
      <c r="N90" s="1" t="s">
        <v>105</v>
      </c>
      <c r="O90" s="1" t="s">
        <v>127</v>
      </c>
      <c r="P90" s="1" t="s">
        <v>107</v>
      </c>
      <c r="Q90" s="1" t="s">
        <v>1678</v>
      </c>
      <c r="R90" s="1" t="s">
        <v>906</v>
      </c>
      <c r="S90" s="1" t="s">
        <v>595</v>
      </c>
      <c r="T90" s="1" t="s">
        <v>1679</v>
      </c>
      <c r="U90" s="1" t="s">
        <v>378</v>
      </c>
      <c r="V90" s="1" t="s">
        <v>1680</v>
      </c>
      <c r="Z90" s="1" t="s">
        <v>1681</v>
      </c>
      <c r="AA90" s="10">
        <v>4000000.0</v>
      </c>
      <c r="AF90" s="10">
        <v>5000000.0</v>
      </c>
      <c r="AG90" s="9" t="s">
        <v>910</v>
      </c>
      <c r="AI90" s="1" t="s">
        <v>178</v>
      </c>
      <c r="AJ90" s="3"/>
      <c r="AK90" s="3"/>
      <c r="AL90" s="3"/>
      <c r="AM90" s="1" t="s">
        <v>1682</v>
      </c>
      <c r="AN90" s="7" t="s">
        <v>1683</v>
      </c>
      <c r="AO90" s="8" t="str">
        <f>HYPERLINK("https://docs.google.com/document/d/1SiWe2p1VetPFOIEsQRyvwGhcxiOM9ogpgnvFcWllbTI/edit?usp=drivesdk","Al-Wildan 1 Gading Serpong_Idi Darma, S.Pd., M.M_Bahasa Indonesia")</f>
        <v>Al-Wildan 1 Gading Serpong_Idi Darma, S.Pd., M.M_Bahasa Indonesia</v>
      </c>
      <c r="AP90" s="1" t="s">
        <v>1684</v>
      </c>
    </row>
    <row r="91">
      <c r="A91" s="6">
        <v>44019.3953062963</v>
      </c>
      <c r="B91" s="7" t="s">
        <v>1685</v>
      </c>
      <c r="C91" s="8" t="s">
        <v>1686</v>
      </c>
      <c r="D91" s="1" t="s">
        <v>1687</v>
      </c>
      <c r="E91" s="9" t="s">
        <v>1688</v>
      </c>
      <c r="F91" s="1" t="s">
        <v>1689</v>
      </c>
      <c r="G91" s="1" t="s">
        <v>1690</v>
      </c>
      <c r="H91" s="1" t="s">
        <v>169</v>
      </c>
      <c r="I91" s="9" t="s">
        <v>1691</v>
      </c>
      <c r="J91" s="1">
        <v>42.0</v>
      </c>
      <c r="K91" s="1" t="s">
        <v>102</v>
      </c>
      <c r="L91" s="1" t="s">
        <v>103</v>
      </c>
      <c r="M91" s="1" t="s">
        <v>1692</v>
      </c>
      <c r="O91" s="1" t="s">
        <v>1693</v>
      </c>
      <c r="P91" s="1" t="s">
        <v>107</v>
      </c>
      <c r="Q91" s="1" t="s">
        <v>1694</v>
      </c>
      <c r="R91" s="1" t="s">
        <v>1238</v>
      </c>
      <c r="S91" s="1" t="s">
        <v>1695</v>
      </c>
      <c r="AF91" s="1">
        <v>5500000.0</v>
      </c>
      <c r="AG91" s="9" t="s">
        <v>1696</v>
      </c>
      <c r="AM91" s="1" t="s">
        <v>1697</v>
      </c>
      <c r="AN91" s="7" t="s">
        <v>1698</v>
      </c>
      <c r="AO91" s="8" t="str">
        <f>HYPERLINK("https://docs.google.com/document/d/1ul3DLImunUr4nl68Ju7p-4k1_7NhZf4JRjhqTC5WbaU/edit?usp=drivesdk","Al-Wildan 1 Gading Serpong_Wahyoe santhoso S.sos_")</f>
        <v>Al-Wildan 1 Gading Serpong_Wahyoe santhoso S.sos_</v>
      </c>
      <c r="AP91" s="1" t="s">
        <v>1699</v>
      </c>
    </row>
    <row r="92">
      <c r="A92" s="6">
        <v>44019.40575002314</v>
      </c>
      <c r="B92" s="7" t="s">
        <v>1700</v>
      </c>
      <c r="C92" s="8" t="s">
        <v>1701</v>
      </c>
      <c r="D92" s="1" t="s">
        <v>1702</v>
      </c>
      <c r="E92" s="9" t="s">
        <v>1703</v>
      </c>
      <c r="F92" s="1" t="s">
        <v>1704</v>
      </c>
      <c r="G92" s="1" t="s">
        <v>1705</v>
      </c>
      <c r="H92" s="1" t="s">
        <v>288</v>
      </c>
      <c r="I92" s="9" t="s">
        <v>1706</v>
      </c>
      <c r="J92" s="1">
        <v>45.0</v>
      </c>
      <c r="K92" s="1" t="s">
        <v>1707</v>
      </c>
      <c r="L92" s="1" t="s">
        <v>496</v>
      </c>
      <c r="M92" s="1" t="s">
        <v>1575</v>
      </c>
      <c r="O92" s="1" t="s">
        <v>106</v>
      </c>
      <c r="P92" s="1" t="s">
        <v>107</v>
      </c>
      <c r="Q92" s="1" t="s">
        <v>238</v>
      </c>
      <c r="R92" s="1" t="s">
        <v>1708</v>
      </c>
      <c r="S92" s="1">
        <v>3.06</v>
      </c>
      <c r="T92" s="1" t="s">
        <v>1709</v>
      </c>
      <c r="Z92" s="1" t="s">
        <v>1710</v>
      </c>
      <c r="AA92" s="1">
        <v>1200000.0</v>
      </c>
      <c r="AB92" s="1" t="s">
        <v>1711</v>
      </c>
      <c r="AC92" s="10">
        <v>2500000.0</v>
      </c>
      <c r="AD92" s="1" t="s">
        <v>1712</v>
      </c>
      <c r="AE92" s="10">
        <v>2500000.0</v>
      </c>
      <c r="AF92" s="1">
        <v>4000000.0</v>
      </c>
      <c r="AG92" s="9" t="s">
        <v>1713</v>
      </c>
      <c r="AM92" s="1" t="s">
        <v>1714</v>
      </c>
      <c r="AN92" s="7" t="s">
        <v>1715</v>
      </c>
      <c r="AO92" s="8" t="str">
        <f>HYPERLINK("https://docs.google.com/document/d/1lwPpkmqkyOtvdgmA6tiTl733mA2fVvTKuTRkHlhwPpI/edit?usp=drivesdk","Al-Wildan 1 Gading Serpong_Muniroh S. Ag_")</f>
        <v>Al-Wildan 1 Gading Serpong_Muniroh S. Ag_</v>
      </c>
      <c r="AP92" s="1" t="s">
        <v>1716</v>
      </c>
    </row>
    <row r="93">
      <c r="A93" s="6">
        <v>44019.40768039352</v>
      </c>
      <c r="B93" s="7" t="s">
        <v>1717</v>
      </c>
      <c r="C93" s="8" t="s">
        <v>1718</v>
      </c>
      <c r="D93" s="1" t="s">
        <v>1719</v>
      </c>
      <c r="E93" s="9" t="s">
        <v>1720</v>
      </c>
      <c r="F93" s="1" t="s">
        <v>1721</v>
      </c>
      <c r="G93" s="1" t="s">
        <v>1722</v>
      </c>
      <c r="H93" s="1" t="s">
        <v>1411</v>
      </c>
      <c r="I93" s="9" t="s">
        <v>1723</v>
      </c>
      <c r="J93" s="1" t="s">
        <v>1724</v>
      </c>
      <c r="K93" s="1" t="s">
        <v>102</v>
      </c>
      <c r="L93" s="1" t="s">
        <v>103</v>
      </c>
      <c r="M93" s="1" t="s">
        <v>104</v>
      </c>
      <c r="N93" s="1" t="s">
        <v>1725</v>
      </c>
      <c r="O93" s="1" t="s">
        <v>127</v>
      </c>
      <c r="P93" s="1" t="s">
        <v>107</v>
      </c>
      <c r="Q93" s="1" t="s">
        <v>1726</v>
      </c>
      <c r="R93" s="1" t="s">
        <v>1727</v>
      </c>
      <c r="S93" s="1" t="s">
        <v>217</v>
      </c>
      <c r="T93" s="1" t="s">
        <v>1728</v>
      </c>
      <c r="U93" s="1" t="s">
        <v>1729</v>
      </c>
      <c r="V93" s="1" t="s">
        <v>1730</v>
      </c>
      <c r="Z93" s="1" t="s">
        <v>1731</v>
      </c>
      <c r="AF93" s="10">
        <v>9000000.0</v>
      </c>
      <c r="AG93" s="9" t="s">
        <v>1732</v>
      </c>
      <c r="AI93" s="1" t="s">
        <v>993</v>
      </c>
      <c r="AJ93" s="3"/>
      <c r="AK93" s="3"/>
      <c r="AL93" s="3"/>
      <c r="AM93" s="1" t="s">
        <v>1733</v>
      </c>
      <c r="AN93" s="7" t="s">
        <v>1734</v>
      </c>
      <c r="AO93" s="8" t="str">
        <f>HYPERLINK("https://docs.google.com/document/d/1haHUnoL7--LALdNRJh0EMZhsn0uAe48K_25ZBIowOzs/edit?usp=drivesdk","Al-Wildan 1 Gading Serpong_Nur Jannah Hary Amalul Ahli_Alquran markaz")</f>
        <v>Al-Wildan 1 Gading Serpong_Nur Jannah Hary Amalul Ahli_Alquran markaz</v>
      </c>
      <c r="AP93" s="1" t="s">
        <v>1735</v>
      </c>
    </row>
    <row r="94">
      <c r="A94" s="6">
        <v>44019.41442351852</v>
      </c>
      <c r="B94" s="7" t="s">
        <v>1736</v>
      </c>
      <c r="C94" s="8" t="s">
        <v>1737</v>
      </c>
      <c r="D94" s="1" t="s">
        <v>1738</v>
      </c>
      <c r="E94" s="9" t="s">
        <v>1739</v>
      </c>
      <c r="F94" s="1" t="s">
        <v>1740</v>
      </c>
      <c r="G94" s="1" t="s">
        <v>1741</v>
      </c>
      <c r="H94" s="1" t="s">
        <v>944</v>
      </c>
      <c r="I94" s="9" t="s">
        <v>1742</v>
      </c>
      <c r="J94" s="1" t="s">
        <v>1743</v>
      </c>
      <c r="K94" s="1" t="s">
        <v>102</v>
      </c>
      <c r="L94" s="1" t="s">
        <v>103</v>
      </c>
      <c r="M94" s="1" t="s">
        <v>104</v>
      </c>
      <c r="N94" s="1" t="s">
        <v>1744</v>
      </c>
      <c r="O94" s="1" t="s">
        <v>127</v>
      </c>
      <c r="P94" s="1" t="s">
        <v>128</v>
      </c>
      <c r="Q94" s="1" t="s">
        <v>1745</v>
      </c>
      <c r="R94" s="1" t="s">
        <v>1746</v>
      </c>
      <c r="S94" s="9" t="s">
        <v>1747</v>
      </c>
      <c r="AG94" s="9" t="s">
        <v>1748</v>
      </c>
      <c r="AI94" s="1" t="s">
        <v>159</v>
      </c>
      <c r="AJ94" s="3"/>
      <c r="AK94" s="3"/>
      <c r="AL94" s="3"/>
      <c r="AM94" s="1" t="s">
        <v>1749</v>
      </c>
      <c r="AN94" s="7" t="s">
        <v>1750</v>
      </c>
      <c r="AO94" s="8" t="str">
        <f>HYPERLINK("https://docs.google.com/document/d/1tQRdHWSsIrZofNTA0ju92p15fwPjQLzjxhN38FATCcs/edit?usp=drivesdk","Al-Wildan 3 BSD_Budiman,S.pd_AlQur'an")</f>
        <v>Al-Wildan 3 BSD_Budiman,S.pd_AlQur'an</v>
      </c>
      <c r="AP94" s="1" t="s">
        <v>1751</v>
      </c>
    </row>
    <row r="95">
      <c r="A95" s="6">
        <v>44019.430727858795</v>
      </c>
      <c r="B95" s="7" t="s">
        <v>1752</v>
      </c>
      <c r="C95" s="8" t="s">
        <v>1753</v>
      </c>
      <c r="D95" s="1" t="s">
        <v>1754</v>
      </c>
      <c r="E95" s="9" t="s">
        <v>1755</v>
      </c>
      <c r="F95" s="1" t="s">
        <v>1756</v>
      </c>
      <c r="G95" s="1" t="s">
        <v>1757</v>
      </c>
      <c r="H95" s="1" t="s">
        <v>1758</v>
      </c>
      <c r="I95" s="9" t="s">
        <v>1759</v>
      </c>
      <c r="J95" s="1" t="s">
        <v>1760</v>
      </c>
      <c r="K95" s="1" t="s">
        <v>102</v>
      </c>
      <c r="L95" s="1" t="s">
        <v>103</v>
      </c>
      <c r="M95" s="1" t="s">
        <v>104</v>
      </c>
      <c r="N95" s="1" t="s">
        <v>1761</v>
      </c>
      <c r="O95" s="1" t="s">
        <v>127</v>
      </c>
      <c r="P95" s="1" t="s">
        <v>128</v>
      </c>
      <c r="Q95" s="1" t="s">
        <v>1022</v>
      </c>
      <c r="R95" s="1" t="s">
        <v>193</v>
      </c>
      <c r="S95" s="1" t="s">
        <v>134</v>
      </c>
      <c r="Z95" s="1" t="s">
        <v>1762</v>
      </c>
      <c r="AA95" s="10">
        <v>6500000.0</v>
      </c>
      <c r="AF95" s="10">
        <v>8500000.0</v>
      </c>
      <c r="AG95" s="9" t="s">
        <v>1763</v>
      </c>
      <c r="AI95" s="1" t="s">
        <v>712</v>
      </c>
      <c r="AJ95" s="3"/>
      <c r="AK95" s="3"/>
      <c r="AL95" s="3"/>
      <c r="AM95" s="1" t="s">
        <v>1764</v>
      </c>
      <c r="AN95" s="7" t="s">
        <v>1765</v>
      </c>
      <c r="AO95" s="8" t="str">
        <f>HYPERLINK("https://docs.google.com/document/d/1YelBjpS2Ihgu7Flu5bDKWBYDuE-izY3LBQezWAJjBQA/edit?usp=drivesdk","Al-Wildan 3 BSD_M Sidik Vasni, Lc._SKI dan Arabic ")</f>
        <v>Al-Wildan 3 BSD_M Sidik Vasni, Lc._SKI dan Arabic </v>
      </c>
      <c r="AP95" s="1" t="s">
        <v>1766</v>
      </c>
    </row>
    <row r="96">
      <c r="A96" s="6">
        <v>44019.448006736115</v>
      </c>
      <c r="B96" s="7" t="s">
        <v>1767</v>
      </c>
      <c r="C96" s="8" t="s">
        <v>1768</v>
      </c>
      <c r="D96" s="1" t="s">
        <v>1769</v>
      </c>
      <c r="E96" s="9" t="s">
        <v>1770</v>
      </c>
      <c r="F96" s="1" t="s">
        <v>1771</v>
      </c>
      <c r="G96" s="1" t="s">
        <v>1772</v>
      </c>
      <c r="H96" s="1" t="s">
        <v>1773</v>
      </c>
      <c r="I96" s="9" t="s">
        <v>1774</v>
      </c>
      <c r="J96" s="1" t="s">
        <v>1775</v>
      </c>
      <c r="K96" s="1" t="s">
        <v>151</v>
      </c>
      <c r="L96" s="1" t="s">
        <v>496</v>
      </c>
      <c r="M96" s="1" t="s">
        <v>1575</v>
      </c>
      <c r="O96" s="1" t="s">
        <v>127</v>
      </c>
      <c r="P96" s="1" t="s">
        <v>107</v>
      </c>
      <c r="Q96" s="1" t="s">
        <v>1776</v>
      </c>
      <c r="R96" s="1" t="s">
        <v>1776</v>
      </c>
      <c r="S96" s="1" t="s">
        <v>1776</v>
      </c>
      <c r="Z96" s="1" t="s">
        <v>1575</v>
      </c>
      <c r="AB96" s="1" t="s">
        <v>1575</v>
      </c>
      <c r="AD96" s="1" t="s">
        <v>1575</v>
      </c>
      <c r="AF96" s="10">
        <v>3500000.0</v>
      </c>
      <c r="AG96" s="1">
        <v>8.40046175E8</v>
      </c>
      <c r="AM96" s="1" t="s">
        <v>1777</v>
      </c>
      <c r="AN96" s="7" t="s">
        <v>1778</v>
      </c>
      <c r="AO96" s="8" t="str">
        <f>HYPERLINK("https://docs.google.com/document/d/1uFC9T4QDJWR64zl5l6CC9h0ylFBi3Ziugars_1ScZJ4/edit?usp=drivesdk","Al-Wildan 1 Gading Serpong_Tesya Salsabila_")</f>
        <v>Al-Wildan 1 Gading Serpong_Tesya Salsabila_</v>
      </c>
      <c r="AP96" s="1" t="s">
        <v>1779</v>
      </c>
    </row>
    <row r="97">
      <c r="A97" s="6">
        <v>44019.78871090278</v>
      </c>
      <c r="B97" s="7" t="s">
        <v>1780</v>
      </c>
      <c r="C97" s="8" t="s">
        <v>1781</v>
      </c>
      <c r="D97" s="1" t="s">
        <v>1782</v>
      </c>
      <c r="E97" s="9" t="s">
        <v>1783</v>
      </c>
      <c r="F97" s="1" t="s">
        <v>1784</v>
      </c>
      <c r="G97" s="1" t="s">
        <v>1785</v>
      </c>
      <c r="H97" s="1" t="s">
        <v>1786</v>
      </c>
      <c r="I97" s="9" t="s">
        <v>1787</v>
      </c>
      <c r="J97" s="1" t="s">
        <v>1788</v>
      </c>
      <c r="K97" s="1" t="s">
        <v>102</v>
      </c>
      <c r="L97" s="1" t="s">
        <v>103</v>
      </c>
      <c r="M97" s="1" t="s">
        <v>629</v>
      </c>
      <c r="O97" s="1" t="s">
        <v>127</v>
      </c>
      <c r="P97" s="1" t="s">
        <v>107</v>
      </c>
      <c r="Q97" s="1" t="s">
        <v>1789</v>
      </c>
      <c r="R97" s="1" t="s">
        <v>1790</v>
      </c>
      <c r="S97" s="1">
        <v>3.21</v>
      </c>
      <c r="T97" s="1" t="s">
        <v>1791</v>
      </c>
      <c r="U97" s="1" t="s">
        <v>1792</v>
      </c>
      <c r="V97" s="1">
        <v>3.62</v>
      </c>
      <c r="Z97" s="1" t="s">
        <v>1793</v>
      </c>
      <c r="AA97" s="1" t="s">
        <v>1794</v>
      </c>
      <c r="AB97" s="1" t="s">
        <v>1795</v>
      </c>
      <c r="AC97" s="1" t="s">
        <v>1796</v>
      </c>
      <c r="AD97" s="1" t="s">
        <v>1797</v>
      </c>
      <c r="AE97" s="1" t="s">
        <v>1798</v>
      </c>
      <c r="AF97" s="1" t="s">
        <v>1799</v>
      </c>
      <c r="AG97" s="9" t="s">
        <v>1800</v>
      </c>
      <c r="AI97" s="1" t="s">
        <v>782</v>
      </c>
      <c r="AJ97" s="3"/>
      <c r="AK97" s="3"/>
      <c r="AL97" s="3"/>
      <c r="AM97" s="1" t="s">
        <v>1801</v>
      </c>
      <c r="AN97" s="7" t="s">
        <v>1802</v>
      </c>
      <c r="AO97" s="8" t="str">
        <f>HYPERLINK("https://docs.google.com/document/d/1HdHfyTVdOq8qrqIQmy729lyhHjIS-iKrzE7rd5V4ZCs/edit?usp=drivesdk","Al-Wildan 1 Gading Serpong_ABDUL MIFTAH, M. Pd_")</f>
        <v>Al-Wildan 1 Gading Serpong_ABDUL MIFTAH, M. Pd_</v>
      </c>
      <c r="AP97" s="1" t="s">
        <v>1803</v>
      </c>
    </row>
    <row r="98">
      <c r="A98" s="6">
        <v>44019.8616727662</v>
      </c>
      <c r="B98" s="7" t="s">
        <v>1804</v>
      </c>
      <c r="C98" s="8" t="s">
        <v>1805</v>
      </c>
      <c r="D98" s="1" t="s">
        <v>1806</v>
      </c>
      <c r="E98" s="9" t="s">
        <v>1807</v>
      </c>
      <c r="F98" s="1" t="s">
        <v>1808</v>
      </c>
      <c r="G98" s="1" t="s">
        <v>99</v>
      </c>
      <c r="H98" s="1" t="s">
        <v>1809</v>
      </c>
      <c r="I98" s="9" t="s">
        <v>1810</v>
      </c>
      <c r="J98" s="1" t="s">
        <v>1811</v>
      </c>
      <c r="K98" s="1" t="s">
        <v>151</v>
      </c>
      <c r="L98" s="1" t="s">
        <v>329</v>
      </c>
      <c r="M98" s="1" t="s">
        <v>1575</v>
      </c>
      <c r="O98" s="1" t="s">
        <v>127</v>
      </c>
      <c r="P98" s="1" t="s">
        <v>107</v>
      </c>
      <c r="Q98" s="1" t="s">
        <v>217</v>
      </c>
      <c r="R98" s="1" t="s">
        <v>217</v>
      </c>
      <c r="S98" s="1" t="s">
        <v>217</v>
      </c>
      <c r="Z98" s="1" t="s">
        <v>1575</v>
      </c>
      <c r="AA98" s="10">
        <v>3000000.0</v>
      </c>
      <c r="AG98" s="9" t="s">
        <v>1812</v>
      </c>
      <c r="AM98" s="1" t="s">
        <v>1813</v>
      </c>
      <c r="AN98" s="7" t="s">
        <v>1814</v>
      </c>
      <c r="AO98" s="8" t="str">
        <f>HYPERLINK("https://docs.google.com/document/d/1xOjNKtviyis-6wYlFWtv_87CCbxdvH4koLOCp9OMfk8/edit?usp=drivesdk","Al-Wildan 1 Gading Serpong_Rania munzir chalifah_")</f>
        <v>Al-Wildan 1 Gading Serpong_Rania munzir chalifah_</v>
      </c>
      <c r="AP98" s="1" t="s">
        <v>1815</v>
      </c>
    </row>
    <row r="99">
      <c r="A99" s="6">
        <v>44019.90933454861</v>
      </c>
      <c r="B99" s="7" t="s">
        <v>1816</v>
      </c>
      <c r="C99" s="8" t="s">
        <v>1817</v>
      </c>
      <c r="D99" s="1" t="s">
        <v>1818</v>
      </c>
      <c r="E99" s="9" t="s">
        <v>1819</v>
      </c>
      <c r="F99" s="1" t="s">
        <v>1820</v>
      </c>
      <c r="G99" s="1" t="s">
        <v>99</v>
      </c>
      <c r="H99" s="1" t="s">
        <v>253</v>
      </c>
      <c r="I99" s="9" t="s">
        <v>1821</v>
      </c>
      <c r="J99" s="1" t="s">
        <v>1822</v>
      </c>
      <c r="K99" s="1" t="s">
        <v>151</v>
      </c>
      <c r="L99" s="1" t="s">
        <v>329</v>
      </c>
      <c r="M99" s="1" t="s">
        <v>1575</v>
      </c>
      <c r="N99" s="1" t="s">
        <v>1575</v>
      </c>
      <c r="O99" s="1" t="s">
        <v>127</v>
      </c>
      <c r="P99" s="1" t="s">
        <v>107</v>
      </c>
      <c r="Q99" s="1" t="s">
        <v>217</v>
      </c>
      <c r="R99" s="1" t="s">
        <v>217</v>
      </c>
      <c r="S99" s="1" t="s">
        <v>217</v>
      </c>
      <c r="T99" s="1" t="s">
        <v>217</v>
      </c>
      <c r="U99" s="1" t="s">
        <v>217</v>
      </c>
      <c r="V99" s="1" t="s">
        <v>217</v>
      </c>
      <c r="W99" s="1" t="s">
        <v>217</v>
      </c>
      <c r="X99" s="1" t="s">
        <v>217</v>
      </c>
      <c r="Z99" s="1" t="s">
        <v>1823</v>
      </c>
      <c r="AA99" s="1" t="s">
        <v>1824</v>
      </c>
      <c r="AB99" s="1" t="s">
        <v>217</v>
      </c>
      <c r="AC99" s="1" t="s">
        <v>217</v>
      </c>
      <c r="AD99" s="1" t="s">
        <v>217</v>
      </c>
      <c r="AE99" s="1" t="s">
        <v>217</v>
      </c>
      <c r="AG99" s="9" t="s">
        <v>1825</v>
      </c>
      <c r="AM99" s="1" t="s">
        <v>1826</v>
      </c>
      <c r="AN99" s="7" t="s">
        <v>1827</v>
      </c>
      <c r="AO99" s="8" t="str">
        <f>HYPERLINK("https://docs.google.com/document/d/1jtTMXQL5ffg79jJ9yRJPz863IPQknke15tJmor8hGTU/edit?usp=drivesdk","Al-Wildan 1 Gading Serpong_Ana Zahrotun Nisa_Musyrifah")</f>
        <v>Al-Wildan 1 Gading Serpong_Ana Zahrotun Nisa_Musyrifah</v>
      </c>
      <c r="AP99" s="1" t="s">
        <v>1828</v>
      </c>
    </row>
    <row r="100">
      <c r="A100" s="6">
        <v>44019.954729467594</v>
      </c>
      <c r="B100" s="7" t="s">
        <v>1829</v>
      </c>
      <c r="C100" s="8" t="s">
        <v>1830</v>
      </c>
      <c r="D100" s="1" t="s">
        <v>1831</v>
      </c>
      <c r="E100" s="9" t="s">
        <v>1832</v>
      </c>
      <c r="F100" s="1" t="s">
        <v>1833</v>
      </c>
      <c r="G100" s="1" t="s">
        <v>1834</v>
      </c>
      <c r="H100" s="1" t="s">
        <v>1835</v>
      </c>
      <c r="I100" s="1">
        <v>2.9022E7</v>
      </c>
      <c r="J100" s="1" t="s">
        <v>1836</v>
      </c>
      <c r="K100" s="1" t="s">
        <v>151</v>
      </c>
      <c r="L100" s="1" t="s">
        <v>329</v>
      </c>
      <c r="M100" s="1" t="s">
        <v>1575</v>
      </c>
      <c r="O100" s="1" t="s">
        <v>127</v>
      </c>
      <c r="P100" s="1" t="s">
        <v>107</v>
      </c>
      <c r="Q100" s="1" t="s">
        <v>1837</v>
      </c>
      <c r="R100" s="1" t="s">
        <v>1838</v>
      </c>
      <c r="S100" s="1" t="s">
        <v>1838</v>
      </c>
      <c r="Z100" s="1" t="s">
        <v>1839</v>
      </c>
      <c r="AA100" s="10">
        <v>500000.0</v>
      </c>
      <c r="AB100" s="1" t="s">
        <v>1840</v>
      </c>
      <c r="AC100" s="10">
        <v>3000000.0</v>
      </c>
      <c r="AF100" s="10">
        <v>3000000.0</v>
      </c>
      <c r="AG100" s="9" t="s">
        <v>1841</v>
      </c>
      <c r="AI100" s="1" t="s">
        <v>782</v>
      </c>
      <c r="AJ100" s="3"/>
      <c r="AK100" s="3"/>
      <c r="AL100" s="3"/>
      <c r="AM100" s="1" t="s">
        <v>1842</v>
      </c>
      <c r="AN100" s="7" t="s">
        <v>1843</v>
      </c>
      <c r="AO100" s="8" t="str">
        <f>HYPERLINK("https://docs.google.com/document/d/1cy6aQgNrvLxS3HEMAro0eDLajcV46-HwF95rPCCdZCg/edit?usp=drivesdk","Al-Wildan 1 Gading Serpong_ANGGI NOVITA SARI_")</f>
        <v>Al-Wildan 1 Gading Serpong_ANGGI NOVITA SARI_</v>
      </c>
      <c r="AP100" s="1" t="s">
        <v>1844</v>
      </c>
    </row>
    <row r="101">
      <c r="A101" s="6">
        <v>44019.95911696759</v>
      </c>
      <c r="B101" s="7" t="s">
        <v>1845</v>
      </c>
      <c r="C101" s="8" t="s">
        <v>1846</v>
      </c>
      <c r="D101" s="1" t="s">
        <v>1847</v>
      </c>
      <c r="E101" s="9" t="s">
        <v>1848</v>
      </c>
      <c r="F101" s="1" t="s">
        <v>1849</v>
      </c>
      <c r="G101" s="1" t="s">
        <v>1850</v>
      </c>
      <c r="H101" s="1" t="s">
        <v>1851</v>
      </c>
      <c r="I101" s="9" t="s">
        <v>1852</v>
      </c>
      <c r="J101" s="1">
        <v>28.0</v>
      </c>
      <c r="K101" s="1" t="s">
        <v>102</v>
      </c>
      <c r="L101" s="1" t="s">
        <v>103</v>
      </c>
      <c r="M101" s="1" t="s">
        <v>104</v>
      </c>
      <c r="N101" s="1" t="s">
        <v>1853</v>
      </c>
      <c r="O101" s="1" t="s">
        <v>312</v>
      </c>
      <c r="P101" s="1" t="s">
        <v>107</v>
      </c>
      <c r="Q101" s="1" t="s">
        <v>1854</v>
      </c>
      <c r="R101" s="1" t="s">
        <v>1855</v>
      </c>
      <c r="S101" s="1" t="s">
        <v>1450</v>
      </c>
      <c r="T101" s="1" t="s">
        <v>1450</v>
      </c>
      <c r="U101" s="1" t="s">
        <v>1856</v>
      </c>
      <c r="V101" s="1" t="s">
        <v>1450</v>
      </c>
      <c r="W101" s="1" t="s">
        <v>1450</v>
      </c>
      <c r="X101" s="1" t="s">
        <v>217</v>
      </c>
      <c r="Z101" s="1" t="s">
        <v>1857</v>
      </c>
      <c r="AA101" s="10">
        <v>4100000.0</v>
      </c>
      <c r="AB101" s="1" t="s">
        <v>1450</v>
      </c>
      <c r="AC101" s="1" t="s">
        <v>1450</v>
      </c>
      <c r="AD101" s="1" t="s">
        <v>1450</v>
      </c>
      <c r="AE101" s="1" t="s">
        <v>1450</v>
      </c>
      <c r="AF101" s="1" t="s">
        <v>1858</v>
      </c>
      <c r="AG101" s="9" t="s">
        <v>1859</v>
      </c>
      <c r="AI101" s="1" t="s">
        <v>159</v>
      </c>
      <c r="AJ101" s="3"/>
      <c r="AK101" s="3"/>
      <c r="AL101" s="3"/>
      <c r="AM101" s="1" t="s">
        <v>1860</v>
      </c>
      <c r="AN101" s="7" t="s">
        <v>1861</v>
      </c>
      <c r="AO101" s="8" t="str">
        <f>HYPERLINK("https://docs.google.com/document/d/1M-P_gg7gBCViJH9lCjuXXAfqa0WxPmay3GfruQm2I6g/edit?usp=drivesdk","Al-Wildan 1 Gading Serpong_Munawir Haris,Lc.S.Ag_Mapel Arabic , Diniyah dan Al-Qur'an")</f>
        <v>Al-Wildan 1 Gading Serpong_Munawir Haris,Lc.S.Ag_Mapel Arabic , Diniyah dan Al-Qur'an</v>
      </c>
      <c r="AP101" s="1" t="s">
        <v>1862</v>
      </c>
    </row>
    <row r="102">
      <c r="A102" s="6">
        <v>44019.96075457176</v>
      </c>
      <c r="B102" s="7" t="s">
        <v>1863</v>
      </c>
      <c r="C102" s="8" t="s">
        <v>1864</v>
      </c>
      <c r="D102" s="1" t="s">
        <v>1865</v>
      </c>
      <c r="E102" s="9" t="s">
        <v>1866</v>
      </c>
      <c r="F102" s="1">
        <v>0.0</v>
      </c>
      <c r="G102" s="1" t="s">
        <v>1867</v>
      </c>
      <c r="H102" s="1" t="s">
        <v>1868</v>
      </c>
      <c r="I102" s="9" t="s">
        <v>1869</v>
      </c>
      <c r="J102" s="1" t="s">
        <v>1870</v>
      </c>
      <c r="K102" s="1" t="s">
        <v>151</v>
      </c>
      <c r="L102" s="1" t="s">
        <v>329</v>
      </c>
      <c r="M102" s="1" t="s">
        <v>1575</v>
      </c>
      <c r="O102" s="1" t="s">
        <v>236</v>
      </c>
      <c r="P102" s="1" t="s">
        <v>107</v>
      </c>
      <c r="Q102" s="1" t="s">
        <v>217</v>
      </c>
      <c r="R102" s="1" t="s">
        <v>217</v>
      </c>
      <c r="S102" s="1" t="s">
        <v>217</v>
      </c>
      <c r="T102" s="1" t="s">
        <v>217</v>
      </c>
      <c r="U102" s="1" t="s">
        <v>217</v>
      </c>
      <c r="V102" s="1" t="s">
        <v>217</v>
      </c>
      <c r="W102" s="1" t="s">
        <v>217</v>
      </c>
      <c r="X102" s="1" t="s">
        <v>217</v>
      </c>
      <c r="Z102" s="1" t="s">
        <v>1871</v>
      </c>
      <c r="AA102" s="10">
        <v>500000.0</v>
      </c>
      <c r="AB102" s="1" t="s">
        <v>1575</v>
      </c>
      <c r="AC102" s="1" t="s">
        <v>217</v>
      </c>
      <c r="AD102" s="1" t="s">
        <v>217</v>
      </c>
      <c r="AE102" s="1" t="s">
        <v>217</v>
      </c>
      <c r="AF102" s="1" t="s">
        <v>217</v>
      </c>
      <c r="AG102" s="1">
        <v>7.134447828E9</v>
      </c>
      <c r="AI102" s="1" t="s">
        <v>1872</v>
      </c>
      <c r="AJ102" s="3"/>
      <c r="AK102" s="3"/>
      <c r="AL102" s="3"/>
      <c r="AM102" s="1" t="s">
        <v>1873</v>
      </c>
      <c r="AN102" s="7" t="s">
        <v>1874</v>
      </c>
      <c r="AO102" s="8" t="str">
        <f>HYPERLINK("https://docs.google.com/document/d/1K9O7Zb1adH2j6iCNi5Lu3TRmToXOwl2R_wmSF-s5id4/edit?usp=drivesdk","Al-Wildan 1 Gading Serpong_Naura Putri Hasan Al-Mabrury_")</f>
        <v>Al-Wildan 1 Gading Serpong_Naura Putri Hasan Al-Mabrury_</v>
      </c>
      <c r="AP102" s="1" t="s">
        <v>1875</v>
      </c>
    </row>
    <row r="103">
      <c r="A103" s="6">
        <v>44019.96267071759</v>
      </c>
      <c r="B103" s="7" t="s">
        <v>1876</v>
      </c>
      <c r="C103" s="8" t="s">
        <v>1877</v>
      </c>
      <c r="D103" s="1" t="s">
        <v>1878</v>
      </c>
      <c r="E103" s="9" t="s">
        <v>1879</v>
      </c>
      <c r="F103" s="1" t="s">
        <v>1880</v>
      </c>
      <c r="G103" s="1" t="s">
        <v>99</v>
      </c>
      <c r="H103" s="1" t="s">
        <v>148</v>
      </c>
      <c r="I103" s="9" t="s">
        <v>1881</v>
      </c>
      <c r="J103" s="1" t="s">
        <v>1882</v>
      </c>
      <c r="K103" s="1" t="s">
        <v>151</v>
      </c>
      <c r="L103" s="1" t="s">
        <v>329</v>
      </c>
      <c r="M103" s="1" t="s">
        <v>1575</v>
      </c>
      <c r="O103" s="1" t="s">
        <v>127</v>
      </c>
      <c r="P103" s="1" t="s">
        <v>107</v>
      </c>
      <c r="Q103" s="1" t="s">
        <v>1007</v>
      </c>
      <c r="R103" s="1" t="s">
        <v>1007</v>
      </c>
      <c r="S103" s="1" t="s">
        <v>1007</v>
      </c>
      <c r="Z103" s="1" t="s">
        <v>1883</v>
      </c>
      <c r="AA103" s="1" t="s">
        <v>1884</v>
      </c>
      <c r="AB103" s="1" t="s">
        <v>1885</v>
      </c>
      <c r="AC103" s="10">
        <v>500000.0</v>
      </c>
      <c r="AF103" s="10">
        <v>3000000.0</v>
      </c>
      <c r="AG103" s="9" t="s">
        <v>1886</v>
      </c>
      <c r="AI103" s="1" t="s">
        <v>178</v>
      </c>
      <c r="AJ103" s="3"/>
      <c r="AK103" s="3"/>
      <c r="AL103" s="3"/>
      <c r="AM103" s="1" t="s">
        <v>1887</v>
      </c>
      <c r="AN103" s="7" t="s">
        <v>1888</v>
      </c>
      <c r="AO103" s="8" t="str">
        <f>HYPERLINK("https://docs.google.com/document/d/1LIFDmgUB13QQMz6ajxTBuWR153ncYWmZ2I3xI7bnpuw/edit?usp=drivesdk","Al-Wildan 1 Gading Serpong_Intansha Rifani_")</f>
        <v>Al-Wildan 1 Gading Serpong_Intansha Rifani_</v>
      </c>
      <c r="AP103" s="1" t="s">
        <v>1889</v>
      </c>
    </row>
    <row r="104">
      <c r="A104" s="6">
        <v>44019.98879454861</v>
      </c>
      <c r="B104" s="7" t="s">
        <v>1890</v>
      </c>
      <c r="C104" s="8" t="s">
        <v>1891</v>
      </c>
      <c r="D104" s="1" t="s">
        <v>1892</v>
      </c>
      <c r="E104" s="9" t="s">
        <v>1893</v>
      </c>
      <c r="F104" s="1">
        <v>3.27602490489001E15</v>
      </c>
      <c r="G104" s="1" t="s">
        <v>1894</v>
      </c>
      <c r="H104" s="1" t="s">
        <v>1895</v>
      </c>
      <c r="I104" s="9" t="s">
        <v>1896</v>
      </c>
      <c r="J104" s="1" t="s">
        <v>1360</v>
      </c>
      <c r="K104" s="1" t="s">
        <v>102</v>
      </c>
      <c r="L104" s="1" t="s">
        <v>103</v>
      </c>
      <c r="M104" s="1" t="s">
        <v>104</v>
      </c>
      <c r="N104" s="1" t="s">
        <v>1897</v>
      </c>
      <c r="O104" s="1" t="s">
        <v>312</v>
      </c>
      <c r="P104" s="1" t="s">
        <v>107</v>
      </c>
      <c r="Q104" s="1" t="s">
        <v>1898</v>
      </c>
      <c r="R104" s="1" t="s">
        <v>1899</v>
      </c>
      <c r="S104" s="1" t="s">
        <v>595</v>
      </c>
      <c r="T104" s="1" t="s">
        <v>1900</v>
      </c>
      <c r="U104" s="1" t="s">
        <v>172</v>
      </c>
      <c r="V104" s="1" t="s">
        <v>217</v>
      </c>
      <c r="X104" s="1" t="s">
        <v>217</v>
      </c>
      <c r="Z104" s="1" t="s">
        <v>1901</v>
      </c>
      <c r="AA104" s="1">
        <v>4000000.0</v>
      </c>
      <c r="AB104" s="1" t="s">
        <v>1902</v>
      </c>
      <c r="AC104" s="1">
        <v>4000000.0</v>
      </c>
      <c r="AF104" s="1">
        <v>5000000.0</v>
      </c>
      <c r="AG104" s="9" t="s">
        <v>1903</v>
      </c>
      <c r="AM104" s="1" t="s">
        <v>1904</v>
      </c>
      <c r="AN104" s="7" t="s">
        <v>1905</v>
      </c>
      <c r="AO104" s="8" t="str">
        <f>HYPERLINK("https://docs.google.com/document/d/1o1u9_ZN3R1hcZQ8CC32yLwfigfh3LA1gUVMU9wvq8RM/edit?usp=drivesdk","Al-Wildan 1 Gading Serpong_Hariyanti Lestari, S.S._Math, English, Science, Al Qur'an")</f>
        <v>Al-Wildan 1 Gading Serpong_Hariyanti Lestari, S.S._Math, English, Science, Al Qur'an</v>
      </c>
      <c r="AP104" s="1" t="s">
        <v>1906</v>
      </c>
    </row>
    <row r="105">
      <c r="A105" s="6">
        <v>44020.42590295139</v>
      </c>
      <c r="B105" s="7" t="s">
        <v>1907</v>
      </c>
      <c r="C105" s="8" t="s">
        <v>1908</v>
      </c>
      <c r="D105" s="1" t="s">
        <v>1909</v>
      </c>
      <c r="E105" s="9" t="s">
        <v>1910</v>
      </c>
      <c r="F105" s="1" t="s">
        <v>1911</v>
      </c>
      <c r="G105" s="1" t="s">
        <v>1912</v>
      </c>
      <c r="H105" s="1" t="s">
        <v>1913</v>
      </c>
      <c r="I105" s="9" t="s">
        <v>1914</v>
      </c>
      <c r="J105" s="1">
        <v>25.0</v>
      </c>
      <c r="K105" s="1" t="s">
        <v>151</v>
      </c>
      <c r="L105" s="1" t="s">
        <v>256</v>
      </c>
      <c r="M105" s="1" t="s">
        <v>104</v>
      </c>
      <c r="N105" s="1" t="s">
        <v>1915</v>
      </c>
      <c r="O105" s="1" t="s">
        <v>1202</v>
      </c>
      <c r="P105" s="1" t="s">
        <v>107</v>
      </c>
      <c r="Q105" s="1" t="s">
        <v>1916</v>
      </c>
      <c r="R105" s="1" t="s">
        <v>1917</v>
      </c>
      <c r="S105" s="1" t="s">
        <v>908</v>
      </c>
      <c r="Z105" s="1" t="s">
        <v>1918</v>
      </c>
      <c r="AA105" s="10">
        <v>3500000.0</v>
      </c>
      <c r="AB105" s="1" t="s">
        <v>1919</v>
      </c>
      <c r="AC105" s="10">
        <v>1000000.0</v>
      </c>
      <c r="AD105" s="1" t="s">
        <v>1920</v>
      </c>
      <c r="AE105" s="10">
        <v>2500000.0</v>
      </c>
      <c r="AF105" s="10">
        <v>5000000.0</v>
      </c>
      <c r="AG105" s="9" t="s">
        <v>1921</v>
      </c>
      <c r="AI105" s="1" t="s">
        <v>782</v>
      </c>
      <c r="AJ105" s="3"/>
      <c r="AK105" s="3"/>
      <c r="AL105" s="3"/>
      <c r="AM105" s="1" t="s">
        <v>1922</v>
      </c>
      <c r="AN105" s="7" t="s">
        <v>1923</v>
      </c>
      <c r="AO105" s="8" t="str">
        <f>HYPERLINK("https://docs.google.com/document/d/1rT15CKQ4zM-j2wbQ1hrHa-_AhcBkTy8PsBDFNGSUYxc/edit?usp=drivesdk","Al-Wildan 1 Gading Serpong_Atika Izni Ikramina_English, science and math")</f>
        <v>Al-Wildan 1 Gading Serpong_Atika Izni Ikramina_English, science and math</v>
      </c>
      <c r="AP105" s="1" t="s">
        <v>1924</v>
      </c>
    </row>
    <row r="106">
      <c r="A106" s="6">
        <v>44021.76544722222</v>
      </c>
      <c r="B106" s="7" t="s">
        <v>1925</v>
      </c>
      <c r="C106" s="8" t="s">
        <v>1926</v>
      </c>
      <c r="D106" s="1" t="s">
        <v>1927</v>
      </c>
      <c r="E106" s="9" t="s">
        <v>1928</v>
      </c>
      <c r="F106" s="1" t="s">
        <v>1929</v>
      </c>
      <c r="G106" s="1" t="s">
        <v>1930</v>
      </c>
      <c r="H106" s="1" t="s">
        <v>1931</v>
      </c>
      <c r="I106" s="9" t="s">
        <v>1932</v>
      </c>
      <c r="J106" s="1" t="s">
        <v>1933</v>
      </c>
      <c r="K106" s="1" t="s">
        <v>102</v>
      </c>
      <c r="L106" s="1" t="s">
        <v>103</v>
      </c>
      <c r="M106" s="1" t="s">
        <v>104</v>
      </c>
      <c r="N106" s="1" t="s">
        <v>1934</v>
      </c>
      <c r="O106" s="1" t="s">
        <v>312</v>
      </c>
      <c r="P106" s="1" t="s">
        <v>107</v>
      </c>
      <c r="Q106" s="1" t="s">
        <v>1935</v>
      </c>
      <c r="R106" s="1" t="s">
        <v>1936</v>
      </c>
      <c r="S106" s="1" t="s">
        <v>1937</v>
      </c>
      <c r="T106" s="1" t="s">
        <v>217</v>
      </c>
      <c r="U106" s="1" t="s">
        <v>217</v>
      </c>
      <c r="V106" s="1" t="s">
        <v>217</v>
      </c>
      <c r="W106" s="1" t="s">
        <v>217</v>
      </c>
      <c r="X106" s="1" t="s">
        <v>217</v>
      </c>
      <c r="Z106" s="1" t="s">
        <v>1938</v>
      </c>
      <c r="AA106" s="1" t="s">
        <v>1939</v>
      </c>
      <c r="AB106" s="1" t="s">
        <v>1940</v>
      </c>
      <c r="AC106" s="10">
        <v>2500000.0</v>
      </c>
      <c r="AD106" s="1" t="s">
        <v>1941</v>
      </c>
      <c r="AE106" s="10">
        <v>3500000.0</v>
      </c>
      <c r="AF106" s="1" t="s">
        <v>1942</v>
      </c>
      <c r="AG106" s="9" t="s">
        <v>1943</v>
      </c>
      <c r="AI106" s="1" t="s">
        <v>159</v>
      </c>
      <c r="AJ106" s="3"/>
      <c r="AK106" s="3"/>
      <c r="AL106" s="3"/>
      <c r="AM106" s="1" t="s">
        <v>1944</v>
      </c>
      <c r="AN106" s="7" t="s">
        <v>1945</v>
      </c>
      <c r="AO106" s="8" t="str">
        <f>HYPERLINK("https://docs.google.com/document/d/1O9Ly2uzg9PEyeJu2yx59Lo9_MRe31iRCsKBLktF5ROM/edit?usp=drivesdk","Al-Wildan 1 Gading Serpong_Iis Susanti A.Md_Arabic, Alquran, dan diniyyah")</f>
        <v>Al-Wildan 1 Gading Serpong_Iis Susanti A.Md_Arabic, Alquran, dan diniyyah</v>
      </c>
      <c r="AP106" s="1" t="s">
        <v>1946</v>
      </c>
    </row>
    <row r="107">
      <c r="A107" s="6">
        <v>44021.81148986111</v>
      </c>
      <c r="B107" s="7" t="s">
        <v>1947</v>
      </c>
      <c r="C107" s="8" t="s">
        <v>1948</v>
      </c>
      <c r="D107" s="1" t="s">
        <v>1949</v>
      </c>
      <c r="E107" s="9" t="s">
        <v>1950</v>
      </c>
      <c r="F107" s="1" t="s">
        <v>1951</v>
      </c>
      <c r="G107" s="1" t="s">
        <v>1952</v>
      </c>
      <c r="H107" s="1" t="s">
        <v>1255</v>
      </c>
      <c r="I107" s="9" t="s">
        <v>1953</v>
      </c>
      <c r="J107" s="1" t="s">
        <v>1954</v>
      </c>
      <c r="K107" s="1" t="s">
        <v>102</v>
      </c>
      <c r="L107" s="1" t="s">
        <v>103</v>
      </c>
      <c r="M107" s="1" t="s">
        <v>104</v>
      </c>
      <c r="N107" s="1" t="s">
        <v>1955</v>
      </c>
      <c r="O107" s="1" t="s">
        <v>312</v>
      </c>
      <c r="P107" s="1" t="s">
        <v>107</v>
      </c>
      <c r="Q107" s="1" t="s">
        <v>1956</v>
      </c>
      <c r="R107" s="1" t="s">
        <v>172</v>
      </c>
      <c r="S107" s="1" t="s">
        <v>969</v>
      </c>
      <c r="T107" s="1" t="s">
        <v>1957</v>
      </c>
      <c r="U107" s="1" t="s">
        <v>172</v>
      </c>
      <c r="V107" s="1" t="s">
        <v>1958</v>
      </c>
      <c r="W107" s="1" t="s">
        <v>1959</v>
      </c>
      <c r="X107" s="1" t="s">
        <v>1960</v>
      </c>
      <c r="Z107" s="1" t="s">
        <v>1961</v>
      </c>
      <c r="AA107" s="10">
        <v>2700000.0</v>
      </c>
      <c r="AB107" s="1" t="s">
        <v>1962</v>
      </c>
      <c r="AC107" s="1" t="s">
        <v>1963</v>
      </c>
      <c r="AD107" s="1" t="s">
        <v>1964</v>
      </c>
      <c r="AE107" s="10">
        <v>4700000.0</v>
      </c>
      <c r="AF107" s="10">
        <v>6000000.0</v>
      </c>
      <c r="AG107" s="9" t="s">
        <v>1965</v>
      </c>
      <c r="AI107" s="1" t="s">
        <v>782</v>
      </c>
      <c r="AJ107" s="3"/>
      <c r="AK107" s="3"/>
      <c r="AL107" s="3"/>
      <c r="AM107" s="1" t="s">
        <v>1966</v>
      </c>
      <c r="AN107" s="7" t="s">
        <v>1967</v>
      </c>
      <c r="AO107" s="8" t="str">
        <f>HYPERLINK("https://docs.google.com/document/d/1SM-Hx6at-QRQeAWu4xB8xIHr1R29mftHsOnGIDpi0fw/edit?usp=drivesdk","Al-Wildan 1 Gading Serpong_Erni Ika Andriyani, M.Pd_ENGLISH ,  SCIENCE , MATH , BAHASA INDONESIA")</f>
        <v>Al-Wildan 1 Gading Serpong_Erni Ika Andriyani, M.Pd_ENGLISH ,  SCIENCE , MATH , BAHASA INDONESIA</v>
      </c>
      <c r="AP107" s="1" t="s">
        <v>1968</v>
      </c>
    </row>
    <row r="108">
      <c r="A108" s="6">
        <v>44021.82298005787</v>
      </c>
      <c r="B108" s="7" t="s">
        <v>1969</v>
      </c>
      <c r="C108" s="8" t="s">
        <v>1970</v>
      </c>
      <c r="D108" s="1" t="s">
        <v>1971</v>
      </c>
      <c r="E108" s="9" t="s">
        <v>1972</v>
      </c>
      <c r="F108" s="1" t="s">
        <v>1973</v>
      </c>
      <c r="G108" s="1" t="s">
        <v>1974</v>
      </c>
      <c r="H108" s="1" t="s">
        <v>1975</v>
      </c>
      <c r="I108" s="9" t="s">
        <v>1976</v>
      </c>
      <c r="J108" s="1" t="s">
        <v>1977</v>
      </c>
      <c r="K108" s="1" t="s">
        <v>151</v>
      </c>
      <c r="L108" s="1" t="s">
        <v>496</v>
      </c>
      <c r="M108" s="1" t="s">
        <v>1171</v>
      </c>
      <c r="N108" s="1" t="s">
        <v>1978</v>
      </c>
      <c r="O108" s="1" t="s">
        <v>236</v>
      </c>
      <c r="P108" s="1" t="s">
        <v>128</v>
      </c>
      <c r="Q108" s="1" t="s">
        <v>347</v>
      </c>
      <c r="R108" s="1" t="s">
        <v>1979</v>
      </c>
      <c r="S108" s="1">
        <v>3.49</v>
      </c>
      <c r="Z108" s="1" t="s">
        <v>1980</v>
      </c>
      <c r="AA108" s="10">
        <v>3300000.0</v>
      </c>
      <c r="AB108" s="1" t="s">
        <v>1981</v>
      </c>
      <c r="AC108" s="10">
        <v>3500000.0</v>
      </c>
      <c r="AF108" s="10">
        <v>5000000.0</v>
      </c>
      <c r="AG108" s="9" t="s">
        <v>1982</v>
      </c>
      <c r="AI108" s="1" t="s">
        <v>712</v>
      </c>
      <c r="AJ108" s="3"/>
      <c r="AK108" s="3"/>
      <c r="AL108" s="3"/>
      <c r="AM108" s="1" t="s">
        <v>1983</v>
      </c>
      <c r="AN108" s="7" t="s">
        <v>1984</v>
      </c>
      <c r="AO108" s="8" t="str">
        <f>HYPERLINK("https://docs.google.com/document/d/15Cq-HTaDUPEA2CyM_NCNvynkyvfm3y8_wJ3PYr6u2o4/edit?usp=drivesdk","Al-Wildan 3 BSD_Iwan Rusliyanto, S.Pd_Ekonomi")</f>
        <v>Al-Wildan 3 BSD_Iwan Rusliyanto, S.Pd_Ekonomi</v>
      </c>
      <c r="AP108" s="1" t="s">
        <v>1985</v>
      </c>
    </row>
    <row r="109">
      <c r="A109" s="6">
        <v>44022.45676931713</v>
      </c>
      <c r="B109" s="7" t="s">
        <v>1986</v>
      </c>
      <c r="C109" s="8" t="s">
        <v>1987</v>
      </c>
      <c r="D109" s="1" t="s">
        <v>1988</v>
      </c>
      <c r="E109" s="9" t="s">
        <v>1989</v>
      </c>
      <c r="F109" s="1" t="s">
        <v>1990</v>
      </c>
      <c r="G109" s="1" t="s">
        <v>1991</v>
      </c>
      <c r="H109" s="1" t="s">
        <v>1992</v>
      </c>
      <c r="I109" s="9" t="s">
        <v>1993</v>
      </c>
      <c r="J109" s="1" t="s">
        <v>1994</v>
      </c>
      <c r="K109" s="1" t="s">
        <v>850</v>
      </c>
      <c r="L109" s="1" t="s">
        <v>329</v>
      </c>
      <c r="M109" s="1" t="s">
        <v>104</v>
      </c>
      <c r="N109" s="1" t="s">
        <v>1634</v>
      </c>
      <c r="O109" s="1" t="s">
        <v>127</v>
      </c>
      <c r="P109" s="1" t="s">
        <v>107</v>
      </c>
      <c r="Q109" s="1" t="s">
        <v>1995</v>
      </c>
      <c r="R109" s="1" t="s">
        <v>1996</v>
      </c>
      <c r="S109" s="1" t="s">
        <v>1997</v>
      </c>
      <c r="Z109" s="1" t="s">
        <v>1998</v>
      </c>
      <c r="AF109" s="10">
        <v>7000000.0</v>
      </c>
      <c r="AG109" s="9" t="s">
        <v>1999</v>
      </c>
      <c r="AI109" s="1" t="s">
        <v>782</v>
      </c>
      <c r="AJ109" s="3"/>
      <c r="AK109" s="3"/>
      <c r="AL109" s="3"/>
      <c r="AM109" s="1" t="s">
        <v>2000</v>
      </c>
      <c r="AN109" s="7" t="s">
        <v>2001</v>
      </c>
      <c r="AO109" s="8" t="str">
        <f>HYPERLINK("https://docs.google.com/document/d/1ul4PI44CiZSnzzXOXOSsNEoarrymCq8KpU9E0OhnirA/edit?usp=drivesdk","Al-Wildan 1 Gading Serpong_Muhammad Amru Balbeid, Lc._Diniyah")</f>
        <v>Al-Wildan 1 Gading Serpong_Muhammad Amru Balbeid, Lc._Diniyah</v>
      </c>
      <c r="AP109" s="1" t="s">
        <v>2002</v>
      </c>
    </row>
    <row r="110">
      <c r="A110" s="6">
        <v>44022.8487275463</v>
      </c>
      <c r="B110" s="7" t="s">
        <v>2003</v>
      </c>
      <c r="C110" s="8" t="s">
        <v>2004</v>
      </c>
      <c r="D110" s="1" t="s">
        <v>2005</v>
      </c>
      <c r="E110" s="9" t="s">
        <v>2006</v>
      </c>
      <c r="F110" s="1" t="s">
        <v>2007</v>
      </c>
      <c r="G110" s="1" t="s">
        <v>2008</v>
      </c>
      <c r="H110" s="1" t="s">
        <v>169</v>
      </c>
      <c r="I110" s="9" t="s">
        <v>2009</v>
      </c>
      <c r="J110" s="1" t="s">
        <v>2010</v>
      </c>
      <c r="K110" s="1" t="s">
        <v>102</v>
      </c>
      <c r="L110" s="1" t="s">
        <v>329</v>
      </c>
      <c r="M110" s="1" t="s">
        <v>104</v>
      </c>
      <c r="N110" s="1" t="s">
        <v>2011</v>
      </c>
      <c r="O110" s="1" t="s">
        <v>312</v>
      </c>
      <c r="P110" s="1" t="s">
        <v>237</v>
      </c>
      <c r="Q110" s="1" t="s">
        <v>2012</v>
      </c>
      <c r="R110" s="1" t="s">
        <v>2013</v>
      </c>
      <c r="S110" s="1" t="s">
        <v>411</v>
      </c>
      <c r="Z110" s="1" t="s">
        <v>2014</v>
      </c>
      <c r="AA110" s="10">
        <v>3000000.0</v>
      </c>
      <c r="AB110" s="1" t="s">
        <v>2015</v>
      </c>
      <c r="AC110" s="10">
        <v>6500000.0</v>
      </c>
      <c r="AD110" s="1" t="s">
        <v>2016</v>
      </c>
      <c r="AE110" s="10">
        <v>4500000.0</v>
      </c>
      <c r="AF110" s="10">
        <v>5000000.0</v>
      </c>
      <c r="AG110" s="1">
        <v>8.62963324E8</v>
      </c>
      <c r="AI110" s="1" t="s">
        <v>178</v>
      </c>
      <c r="AJ110" s="3"/>
      <c r="AK110" s="3"/>
      <c r="AL110" s="3"/>
      <c r="AM110" s="1" t="s">
        <v>2017</v>
      </c>
      <c r="AN110" s="7" t="s">
        <v>2018</v>
      </c>
      <c r="AO110" s="8" t="str">
        <f>HYPERLINK("https://docs.google.com/document/d/1PpILB5CnMPytfQovByq-4SX1UFgG4K7f0Px9j5wzrbY/edit?usp=drivesdk","Al-Wildan 4 Lebak Bulus_Fachreza Astnam Mubarak, S.Sos_English, Math, Science, IPA, Matematika")</f>
        <v>Al-Wildan 4 Lebak Bulus_Fachreza Astnam Mubarak, S.Sos_English, Math, Science, IPA, Matematika</v>
      </c>
      <c r="AP110" s="1" t="s">
        <v>2019</v>
      </c>
    </row>
    <row r="111">
      <c r="A111" s="6">
        <v>44024.538426018524</v>
      </c>
      <c r="B111" s="7" t="s">
        <v>2020</v>
      </c>
      <c r="C111" s="8" t="s">
        <v>2021</v>
      </c>
      <c r="D111" s="1" t="s">
        <v>2022</v>
      </c>
      <c r="E111" s="9" t="s">
        <v>2023</v>
      </c>
      <c r="F111" s="1" t="s">
        <v>2024</v>
      </c>
      <c r="G111" s="1" t="s">
        <v>2025</v>
      </c>
      <c r="H111" s="1" t="s">
        <v>2026</v>
      </c>
      <c r="I111" s="9" t="s">
        <v>2027</v>
      </c>
      <c r="J111" s="1" t="s">
        <v>2028</v>
      </c>
      <c r="K111" s="1" t="s">
        <v>102</v>
      </c>
      <c r="L111" s="1" t="s">
        <v>103</v>
      </c>
      <c r="M111" s="1" t="s">
        <v>104</v>
      </c>
      <c r="N111" s="1" t="s">
        <v>2029</v>
      </c>
      <c r="O111" s="1" t="s">
        <v>127</v>
      </c>
      <c r="P111" s="1" t="s">
        <v>128</v>
      </c>
      <c r="Q111" s="1" t="s">
        <v>2030</v>
      </c>
      <c r="R111" s="1" t="s">
        <v>2031</v>
      </c>
      <c r="S111" s="1" t="s">
        <v>2032</v>
      </c>
      <c r="Z111" s="1" t="s">
        <v>2033</v>
      </c>
      <c r="AA111" s="10">
        <v>4250000.0</v>
      </c>
      <c r="AF111" s="10">
        <v>5000000.0</v>
      </c>
      <c r="AG111" s="9" t="s">
        <v>2034</v>
      </c>
      <c r="AI111" s="1" t="s">
        <v>178</v>
      </c>
      <c r="AJ111" s="3"/>
      <c r="AK111" s="3"/>
      <c r="AL111" s="3"/>
      <c r="AM111" s="1" t="s">
        <v>2035</v>
      </c>
      <c r="AN111" s="7" t="s">
        <v>2036</v>
      </c>
      <c r="AO111" s="8" t="str">
        <f>HYPERLINK("https://docs.google.com/document/d/11EwW1Fzs8sMs6CN8HGxJ68deV-tp-MQ2WWEcC4P8aLk/edit?usp=drivesdk","Al-Wildan 3 BSD_Fahad bafadhal S.Ag._Bahasa Arab, Siroh, Fiqih ")</f>
        <v>Al-Wildan 3 BSD_Fahad bafadhal S.Ag._Bahasa Arab, Siroh, Fiqih </v>
      </c>
      <c r="AP111" s="1" t="s">
        <v>2037</v>
      </c>
    </row>
    <row r="112">
      <c r="A112" s="6">
        <v>44024.64551398148</v>
      </c>
      <c r="B112" s="7" t="s">
        <v>2038</v>
      </c>
      <c r="C112" s="8" t="s">
        <v>2039</v>
      </c>
      <c r="D112" s="1" t="s">
        <v>2040</v>
      </c>
      <c r="E112" s="9" t="s">
        <v>2041</v>
      </c>
      <c r="F112" s="1" t="s">
        <v>2042</v>
      </c>
      <c r="G112" s="1" t="s">
        <v>2043</v>
      </c>
      <c r="H112" s="1" t="s">
        <v>2044</v>
      </c>
      <c r="I112" s="9" t="s">
        <v>2045</v>
      </c>
      <c r="J112" s="1" t="s">
        <v>2046</v>
      </c>
      <c r="K112" s="1" t="s">
        <v>102</v>
      </c>
      <c r="L112" s="1" t="s">
        <v>310</v>
      </c>
      <c r="M112" s="1" t="s">
        <v>104</v>
      </c>
      <c r="N112" s="1" t="s">
        <v>152</v>
      </c>
      <c r="O112" s="1" t="s">
        <v>127</v>
      </c>
      <c r="P112" s="1" t="s">
        <v>128</v>
      </c>
      <c r="Q112" s="1" t="s">
        <v>2047</v>
      </c>
      <c r="R112" s="1" t="s">
        <v>2048</v>
      </c>
      <c r="S112" s="9" t="s">
        <v>2049</v>
      </c>
      <c r="T112" s="1" t="s">
        <v>2047</v>
      </c>
      <c r="U112" s="1" t="s">
        <v>2048</v>
      </c>
      <c r="AA112" s="1" t="s">
        <v>2050</v>
      </c>
      <c r="AF112" s="1" t="s">
        <v>2050</v>
      </c>
      <c r="AG112" s="1">
        <v>8.39955888E8</v>
      </c>
      <c r="AI112" s="1" t="s">
        <v>178</v>
      </c>
      <c r="AJ112" s="3"/>
      <c r="AK112" s="3"/>
      <c r="AL112" s="3"/>
      <c r="AM112" s="1" t="s">
        <v>2051</v>
      </c>
      <c r="AN112" s="7" t="s">
        <v>2052</v>
      </c>
      <c r="AO112" s="8" t="str">
        <f>HYPERLINK("https://docs.google.com/document/d/1Qrx7PuQiOkbPoP6gCgBHTaYDf-gf5lrC_rybSNbLmMA/edit?usp=drivesdk","Al-Wildan 3 BSD_Jack 'Khalid' Roche_Bahasa Inggris")</f>
        <v>Al-Wildan 3 BSD_Jack 'Khalid' Roche_Bahasa Inggris</v>
      </c>
      <c r="AP112" s="1" t="s">
        <v>2053</v>
      </c>
    </row>
    <row r="113">
      <c r="A113" s="6">
        <v>44024.92257239584</v>
      </c>
      <c r="B113" s="7" t="s">
        <v>2054</v>
      </c>
      <c r="C113" s="8" t="s">
        <v>2055</v>
      </c>
      <c r="D113" s="1" t="s">
        <v>2056</v>
      </c>
      <c r="E113" s="9" t="s">
        <v>2057</v>
      </c>
      <c r="F113" s="1" t="s">
        <v>2058</v>
      </c>
      <c r="G113" s="1" t="s">
        <v>2059</v>
      </c>
      <c r="H113" s="1" t="s">
        <v>2060</v>
      </c>
      <c r="I113" s="9" t="s">
        <v>2061</v>
      </c>
      <c r="J113" s="1" t="s">
        <v>2062</v>
      </c>
      <c r="K113" s="1" t="s">
        <v>102</v>
      </c>
      <c r="L113" s="1" t="s">
        <v>103</v>
      </c>
      <c r="M113" s="1" t="s">
        <v>104</v>
      </c>
      <c r="N113" s="1" t="s">
        <v>2063</v>
      </c>
      <c r="O113" s="1" t="s">
        <v>127</v>
      </c>
      <c r="P113" s="1" t="s">
        <v>107</v>
      </c>
      <c r="Q113" s="1" t="s">
        <v>2064</v>
      </c>
      <c r="R113" s="1" t="s">
        <v>2065</v>
      </c>
      <c r="S113" s="1">
        <v>3.31</v>
      </c>
      <c r="AF113" s="1" t="s">
        <v>2066</v>
      </c>
      <c r="AG113" s="9" t="s">
        <v>2067</v>
      </c>
      <c r="AI113" s="1" t="s">
        <v>782</v>
      </c>
      <c r="AJ113" s="3"/>
      <c r="AK113" s="3"/>
      <c r="AL113" s="3"/>
      <c r="AM113" s="1" t="s">
        <v>2068</v>
      </c>
      <c r="AN113" s="7" t="s">
        <v>2069</v>
      </c>
      <c r="AO113" s="8" t="str">
        <f>HYPERLINK("https://docs.google.com/document/d/1XpolPwjj3A5DKdQVuE8wOmMm_kOLxkknmxkGvSSLAIM/edit?usp=drivesdk","Al-Wildan 1 Gading Serpong_marhamah.S.Pd.I_AL-QUR'AN")</f>
        <v>Al-Wildan 1 Gading Serpong_marhamah.S.Pd.I_AL-QUR'AN</v>
      </c>
      <c r="AP113" s="1" t="s">
        <v>2070</v>
      </c>
    </row>
    <row r="114">
      <c r="A114" s="6">
        <v>44025.85537954861</v>
      </c>
      <c r="B114" s="7" t="s">
        <v>2071</v>
      </c>
      <c r="C114" s="8" t="s">
        <v>2072</v>
      </c>
      <c r="D114" s="1" t="s">
        <v>2073</v>
      </c>
      <c r="E114" s="9" t="s">
        <v>2074</v>
      </c>
      <c r="F114" s="1" t="s">
        <v>2075</v>
      </c>
      <c r="G114" s="1" t="s">
        <v>99</v>
      </c>
      <c r="H114" s="1" t="s">
        <v>2076</v>
      </c>
      <c r="I114" s="9" t="s">
        <v>2077</v>
      </c>
      <c r="J114" s="1" t="s">
        <v>2078</v>
      </c>
      <c r="K114" s="1" t="s">
        <v>151</v>
      </c>
      <c r="L114" s="1" t="s">
        <v>103</v>
      </c>
      <c r="M114" s="1" t="s">
        <v>793</v>
      </c>
      <c r="N114" s="1" t="s">
        <v>2079</v>
      </c>
      <c r="O114" s="1" t="s">
        <v>127</v>
      </c>
      <c r="P114" s="1" t="s">
        <v>128</v>
      </c>
      <c r="Q114" s="1" t="s">
        <v>192</v>
      </c>
      <c r="R114" s="1" t="s">
        <v>193</v>
      </c>
      <c r="S114" s="1" t="s">
        <v>2080</v>
      </c>
      <c r="T114" s="1" t="s">
        <v>2081</v>
      </c>
      <c r="U114" s="1" t="s">
        <v>193</v>
      </c>
      <c r="V114" s="1" t="s">
        <v>2082</v>
      </c>
      <c r="Z114" s="1" t="s">
        <v>2083</v>
      </c>
      <c r="AA114" s="10">
        <v>6000000.0</v>
      </c>
      <c r="AF114" s="10">
        <v>1.0E7</v>
      </c>
      <c r="AG114" s="9" t="s">
        <v>2084</v>
      </c>
      <c r="AI114" s="1" t="s">
        <v>782</v>
      </c>
      <c r="AJ114" s="3"/>
      <c r="AK114" s="3"/>
      <c r="AL114" s="3"/>
      <c r="AM114" s="1" t="s">
        <v>2085</v>
      </c>
      <c r="AN114" s="7" t="s">
        <v>2086</v>
      </c>
      <c r="AO114" s="8" t="str">
        <f>HYPERLINK("https://docs.google.com/document/d/1ugLn4iyyRIWOyBQdpS6MwSwG2OndDnc416ZAyoOqjz0/edit?usp=drivesdk","Al-Wildan 3 BSD_Ibrohim_Sekretaris Markaz / Guru Aqidah")</f>
        <v>Al-Wildan 3 BSD_Ibrohim_Sekretaris Markaz / Guru Aqidah</v>
      </c>
      <c r="AP114" s="1" t="s">
        <v>2087</v>
      </c>
    </row>
    <row r="115">
      <c r="A115" s="6">
        <v>44031.512065902774</v>
      </c>
      <c r="B115" s="7" t="s">
        <v>2088</v>
      </c>
      <c r="C115" s="8" t="s">
        <v>2089</v>
      </c>
      <c r="D115" s="1" t="s">
        <v>2090</v>
      </c>
      <c r="E115" s="9" t="s">
        <v>2091</v>
      </c>
      <c r="F115" s="1" t="s">
        <v>2092</v>
      </c>
      <c r="G115" s="1" t="s">
        <v>2093</v>
      </c>
      <c r="H115" s="1" t="s">
        <v>99</v>
      </c>
      <c r="I115" s="9" t="s">
        <v>2094</v>
      </c>
      <c r="J115" s="1" t="s">
        <v>2095</v>
      </c>
      <c r="K115" s="1" t="s">
        <v>151</v>
      </c>
      <c r="L115" s="1" t="s">
        <v>256</v>
      </c>
      <c r="M115" s="1" t="s">
        <v>104</v>
      </c>
      <c r="N115" s="1" t="s">
        <v>126</v>
      </c>
      <c r="O115" s="1" t="s">
        <v>106</v>
      </c>
      <c r="P115" s="1" t="s">
        <v>237</v>
      </c>
      <c r="Q115" s="1" t="s">
        <v>2096</v>
      </c>
      <c r="R115" s="1" t="s">
        <v>126</v>
      </c>
      <c r="S115" s="1" t="s">
        <v>2097</v>
      </c>
      <c r="Z115" s="1" t="s">
        <v>2098</v>
      </c>
      <c r="AA115" s="10">
        <v>1600000.0</v>
      </c>
      <c r="AB115" s="1" t="s">
        <v>2099</v>
      </c>
      <c r="AC115" s="10">
        <v>3525000.0</v>
      </c>
      <c r="AF115" s="10">
        <v>5000000.0</v>
      </c>
      <c r="AG115" s="9" t="s">
        <v>2100</v>
      </c>
      <c r="AI115" s="1" t="s">
        <v>178</v>
      </c>
      <c r="AJ115" s="3"/>
      <c r="AK115" s="3"/>
      <c r="AL115" s="3"/>
      <c r="AM115" s="1" t="s">
        <v>2101</v>
      </c>
      <c r="AN115" s="7" t="s">
        <v>2102</v>
      </c>
      <c r="AO115" s="8" t="str">
        <f>HYPERLINK("https://docs.google.com/document/d/1TbvSs_86eMVjOkMJgtgTNjTOCVVgVQlM30bz_Kh3pJA/edit?usp=drivesdk","Al-Wildan 4 Lebak Bulus_Rahma Lathifahani S.Mat_Matematika")</f>
        <v>Al-Wildan 4 Lebak Bulus_Rahma Lathifahani S.Mat_Matematika</v>
      </c>
      <c r="AP115" s="1" t="s">
        <v>2103</v>
      </c>
    </row>
    <row r="116">
      <c r="A116" s="6">
        <v>44032.48499254629</v>
      </c>
      <c r="B116" s="7" t="s">
        <v>2104</v>
      </c>
      <c r="C116" s="8" t="s">
        <v>2105</v>
      </c>
      <c r="D116" s="1" t="s">
        <v>2106</v>
      </c>
      <c r="E116" s="9" t="s">
        <v>2107</v>
      </c>
      <c r="F116" s="1" t="s">
        <v>2108</v>
      </c>
      <c r="G116" s="1" t="s">
        <v>2109</v>
      </c>
      <c r="H116" s="1" t="s">
        <v>169</v>
      </c>
      <c r="I116" s="9" t="s">
        <v>2110</v>
      </c>
      <c r="J116" s="1" t="s">
        <v>2111</v>
      </c>
      <c r="K116" s="1" t="s">
        <v>102</v>
      </c>
      <c r="L116" s="1" t="s">
        <v>329</v>
      </c>
      <c r="M116" s="1" t="s">
        <v>104</v>
      </c>
      <c r="N116" s="1" t="s">
        <v>2112</v>
      </c>
      <c r="O116" s="1" t="s">
        <v>127</v>
      </c>
      <c r="P116" s="1" t="s">
        <v>237</v>
      </c>
      <c r="Q116" s="1" t="s">
        <v>2113</v>
      </c>
      <c r="R116" s="1" t="s">
        <v>2114</v>
      </c>
      <c r="S116" s="1" t="s">
        <v>1624</v>
      </c>
      <c r="Z116" s="1" t="s">
        <v>2115</v>
      </c>
      <c r="AA116" s="10">
        <v>3000000.0</v>
      </c>
      <c r="AB116" s="1" t="s">
        <v>2116</v>
      </c>
      <c r="AC116" s="10">
        <v>3500000.0</v>
      </c>
      <c r="AD116" s="1" t="s">
        <v>2117</v>
      </c>
      <c r="AE116" s="10">
        <v>4500000.0</v>
      </c>
      <c r="AF116" s="1" t="s">
        <v>2118</v>
      </c>
      <c r="AH116" s="1">
        <v>9.000005341962E12</v>
      </c>
      <c r="AI116" s="1" t="s">
        <v>2119</v>
      </c>
      <c r="AJ116" s="3"/>
      <c r="AK116" s="3"/>
      <c r="AL116" s="3"/>
      <c r="AM116" s="1" t="s">
        <v>2120</v>
      </c>
      <c r="AN116" s="7" t="s">
        <v>2121</v>
      </c>
      <c r="AO116" s="8" t="str">
        <f>HYPERLINK("https://docs.google.com/document/d/1G2SMtgWrALWek8k9y_X9ZQ7XX9QkGz15k14J3YAhg1U/edit?usp=drivesdk","Al-Wildan 4 Lebak Bulus_Rosmaniar, S.Si_Biologi Grade 10 &amp; 11, Science Grade 4-5-6, IPA Grade 7")</f>
        <v>Al-Wildan 4 Lebak Bulus_Rosmaniar, S.Si_Biologi Grade 10 &amp; 11, Science Grade 4-5-6, IPA Grade 7</v>
      </c>
      <c r="AP116" s="1" t="s">
        <v>2122</v>
      </c>
    </row>
    <row r="117">
      <c r="A117" s="6">
        <v>44032.6215200463</v>
      </c>
      <c r="B117" s="7" t="s">
        <v>2123</v>
      </c>
      <c r="C117" s="8" t="s">
        <v>2124</v>
      </c>
      <c r="D117" s="1" t="s">
        <v>2125</v>
      </c>
      <c r="E117" s="9" t="s">
        <v>2126</v>
      </c>
      <c r="F117" s="1" t="s">
        <v>2127</v>
      </c>
      <c r="G117" s="1" t="s">
        <v>2128</v>
      </c>
      <c r="H117" s="1" t="s">
        <v>2129</v>
      </c>
      <c r="I117" s="9" t="s">
        <v>2130</v>
      </c>
      <c r="J117" s="1" t="s">
        <v>2131</v>
      </c>
      <c r="K117" s="1" t="s">
        <v>151</v>
      </c>
      <c r="L117" s="1" t="s">
        <v>496</v>
      </c>
      <c r="M117" s="1" t="s">
        <v>2132</v>
      </c>
      <c r="N117" s="1" t="s">
        <v>311</v>
      </c>
      <c r="O117" s="1" t="s">
        <v>236</v>
      </c>
      <c r="P117" s="1" t="s">
        <v>237</v>
      </c>
      <c r="Q117" s="1" t="s">
        <v>2133</v>
      </c>
      <c r="R117" s="1" t="s">
        <v>2134</v>
      </c>
      <c r="S117" s="1">
        <v>4.5</v>
      </c>
      <c r="Z117" s="1" t="s">
        <v>2135</v>
      </c>
      <c r="AA117" s="10">
        <v>3500000.0</v>
      </c>
      <c r="AF117" s="10">
        <v>3500000.0</v>
      </c>
      <c r="AG117" s="9" t="s">
        <v>2136</v>
      </c>
      <c r="AI117" s="1" t="s">
        <v>178</v>
      </c>
      <c r="AJ117" s="3"/>
      <c r="AK117" s="3"/>
      <c r="AL117" s="3"/>
      <c r="AM117" s="1" t="s">
        <v>2137</v>
      </c>
      <c r="AN117" s="7" t="s">
        <v>2138</v>
      </c>
      <c r="AO117" s="8" t="str">
        <f>HYPERLINK("https://docs.google.com/document/d/1RCmrqlx0hoeMCb2MrIoopZEJ2RCqKymZ3Hym7J82zhM/edit?usp=drivesdk","Al-Wildan 4 Lebak Bulus_Nur Fatria Khrisna Sari_Al Qur'an")</f>
        <v>Al-Wildan 4 Lebak Bulus_Nur Fatria Khrisna Sari_Al Qur'an</v>
      </c>
      <c r="AP117" s="1" t="s">
        <v>2139</v>
      </c>
    </row>
    <row r="118">
      <c r="A118" s="6">
        <v>44032.623363148145</v>
      </c>
      <c r="B118" s="7" t="s">
        <v>2140</v>
      </c>
      <c r="C118" s="8" t="s">
        <v>2141</v>
      </c>
      <c r="D118" s="1" t="s">
        <v>2142</v>
      </c>
      <c r="E118" s="9" t="s">
        <v>2143</v>
      </c>
      <c r="F118" s="1" t="s">
        <v>2144</v>
      </c>
      <c r="G118" s="1" t="s">
        <v>2145</v>
      </c>
      <c r="H118" s="1" t="s">
        <v>2146</v>
      </c>
      <c r="I118" s="9" t="s">
        <v>2147</v>
      </c>
      <c r="J118" s="1">
        <v>24.0</v>
      </c>
      <c r="K118" s="1" t="s">
        <v>151</v>
      </c>
      <c r="L118" s="1" t="s">
        <v>256</v>
      </c>
      <c r="M118" s="1" t="s">
        <v>104</v>
      </c>
      <c r="N118" s="1" t="s">
        <v>2148</v>
      </c>
      <c r="O118" s="1" t="s">
        <v>312</v>
      </c>
      <c r="P118" s="1" t="s">
        <v>237</v>
      </c>
      <c r="Q118" s="1" t="s">
        <v>192</v>
      </c>
      <c r="R118" s="1" t="s">
        <v>867</v>
      </c>
      <c r="S118" s="1">
        <v>4.0</v>
      </c>
      <c r="AH118" s="9" t="s">
        <v>2149</v>
      </c>
      <c r="AI118" s="1" t="s">
        <v>993</v>
      </c>
      <c r="AJ118" s="3"/>
      <c r="AK118" s="3"/>
      <c r="AL118" s="3"/>
      <c r="AM118" s="1" t="s">
        <v>2150</v>
      </c>
      <c r="AN118" s="7" t="s">
        <v>2151</v>
      </c>
      <c r="AO118" s="8" t="str">
        <f>HYPERLINK("https://docs.google.com/document/d/1-FF_mJ1NvBErYZcRLs0CbdkYo4kWwocIeRjfTrjbYrs/edit?usp=drivesdk","Al-Wildan 4 Lebak Bulus_rizky riyadi pamungkas _diniyah")</f>
        <v>Al-Wildan 4 Lebak Bulus_rizky riyadi pamungkas _diniyah</v>
      </c>
      <c r="AP118" s="1" t="s">
        <v>2152</v>
      </c>
    </row>
    <row r="119">
      <c r="A119" s="6">
        <v>44033.55639471065</v>
      </c>
      <c r="B119" s="7" t="s">
        <v>2153</v>
      </c>
      <c r="C119" s="8" t="s">
        <v>2154</v>
      </c>
      <c r="D119" s="1" t="s">
        <v>2155</v>
      </c>
      <c r="E119" s="9" t="s">
        <v>2156</v>
      </c>
      <c r="F119" s="1" t="s">
        <v>2157</v>
      </c>
      <c r="G119" s="1" t="s">
        <v>2158</v>
      </c>
      <c r="H119" s="1" t="s">
        <v>2159</v>
      </c>
      <c r="I119" s="9" t="s">
        <v>2160</v>
      </c>
      <c r="J119" s="1" t="s">
        <v>2161</v>
      </c>
      <c r="K119" s="1" t="s">
        <v>151</v>
      </c>
      <c r="L119" s="1" t="s">
        <v>496</v>
      </c>
      <c r="M119" s="1" t="s">
        <v>2162</v>
      </c>
      <c r="N119" s="1" t="s">
        <v>2163</v>
      </c>
      <c r="O119" s="1" t="s">
        <v>127</v>
      </c>
      <c r="P119" s="1" t="s">
        <v>128</v>
      </c>
      <c r="Q119" s="11" t="s">
        <v>2164</v>
      </c>
      <c r="R119" s="1" t="s">
        <v>236</v>
      </c>
      <c r="S119" s="1">
        <v>92.7</v>
      </c>
      <c r="Z119" s="1" t="s">
        <v>2165</v>
      </c>
      <c r="AA119" s="10">
        <v>2200000.0</v>
      </c>
      <c r="AB119" s="1" t="s">
        <v>2166</v>
      </c>
      <c r="AC119" s="10">
        <v>1750000.0</v>
      </c>
      <c r="AF119" s="10">
        <v>2750000.0</v>
      </c>
      <c r="AG119" s="1">
        <v>8.65127003E8</v>
      </c>
      <c r="AI119" s="1" t="s">
        <v>178</v>
      </c>
      <c r="AJ119" s="3"/>
      <c r="AK119" s="3"/>
      <c r="AL119" s="3"/>
      <c r="AM119" s="1" t="s">
        <v>2167</v>
      </c>
      <c r="AN119" s="7" t="s">
        <v>2168</v>
      </c>
      <c r="AO119" s="8" t="str">
        <f>HYPERLINK("https://docs.google.com/document/d/1tK-KkfuOsd9i46UW6b2cazThT30me6uxQ1VLXwLc21U/edit?usp=drivesdk","Al-Wildan 3 BSD_Jumaldo Abdu Rozaq Tanjung_Alquran")</f>
        <v>Al-Wildan 3 BSD_Jumaldo Abdu Rozaq Tanjung_Alquran</v>
      </c>
      <c r="AP119" s="1" t="s">
        <v>2169</v>
      </c>
    </row>
    <row r="120">
      <c r="A120" s="6">
        <v>44033.61107733796</v>
      </c>
      <c r="B120" s="7" t="s">
        <v>2170</v>
      </c>
      <c r="C120" s="8" t="s">
        <v>2171</v>
      </c>
      <c r="D120" s="1" t="s">
        <v>2172</v>
      </c>
      <c r="E120" s="9" t="s">
        <v>2173</v>
      </c>
      <c r="F120" s="1" t="s">
        <v>2174</v>
      </c>
      <c r="G120" s="1" t="s">
        <v>2175</v>
      </c>
      <c r="H120" s="1" t="s">
        <v>2176</v>
      </c>
      <c r="I120" s="1" t="s">
        <v>2177</v>
      </c>
      <c r="J120" s="1" t="s">
        <v>2178</v>
      </c>
      <c r="K120" s="1" t="s">
        <v>102</v>
      </c>
      <c r="L120" s="1" t="s">
        <v>329</v>
      </c>
      <c r="M120" s="1" t="s">
        <v>104</v>
      </c>
      <c r="N120" s="1" t="s">
        <v>771</v>
      </c>
      <c r="O120" s="1" t="s">
        <v>236</v>
      </c>
      <c r="P120" s="1" t="s">
        <v>237</v>
      </c>
      <c r="Q120" s="1" t="s">
        <v>2179</v>
      </c>
      <c r="R120" s="1" t="s">
        <v>172</v>
      </c>
      <c r="S120" s="1" t="s">
        <v>2180</v>
      </c>
      <c r="T120" s="1" t="s">
        <v>1487</v>
      </c>
      <c r="U120" s="1" t="s">
        <v>172</v>
      </c>
      <c r="V120" s="1" t="s">
        <v>2181</v>
      </c>
      <c r="Z120" s="1" t="s">
        <v>2182</v>
      </c>
      <c r="AA120" s="10">
        <v>6000000.0</v>
      </c>
      <c r="AB120" s="1" t="s">
        <v>2183</v>
      </c>
      <c r="AC120" s="10">
        <v>2500000.0</v>
      </c>
      <c r="AD120" s="1" t="s">
        <v>2184</v>
      </c>
      <c r="AF120" s="10">
        <v>7000000.0</v>
      </c>
      <c r="AG120" s="9" t="s">
        <v>2185</v>
      </c>
      <c r="AI120" s="1" t="s">
        <v>178</v>
      </c>
      <c r="AJ120" s="3"/>
      <c r="AK120" s="3"/>
      <c r="AL120" s="3"/>
      <c r="AM120" s="1" t="s">
        <v>2186</v>
      </c>
      <c r="AN120" s="7" t="s">
        <v>2187</v>
      </c>
      <c r="AO120" s="8" t="str">
        <f>HYPERLINK("https://docs.google.com/document/d/1ecPfx4YV6WFJClXaD0P7tlGhbSS_Lqc-drCuIcybfmw/edit?usp=drivesdk","Al-Wildan 4 Lebak Bulus_Santri Sri Fitriani, M, Pd_English")</f>
        <v>Al-Wildan 4 Lebak Bulus_Santri Sri Fitriani, M, Pd_English</v>
      </c>
      <c r="AP120" s="1" t="s">
        <v>2188</v>
      </c>
    </row>
    <row r="121">
      <c r="A121" s="6">
        <v>44033.691826759255</v>
      </c>
      <c r="B121" s="7" t="s">
        <v>2189</v>
      </c>
      <c r="C121" s="8" t="s">
        <v>2190</v>
      </c>
      <c r="D121" s="1" t="s">
        <v>2191</v>
      </c>
      <c r="E121" s="9" t="s">
        <v>2192</v>
      </c>
      <c r="F121" s="1" t="s">
        <v>2193</v>
      </c>
      <c r="G121" s="1" t="s">
        <v>2194</v>
      </c>
      <c r="H121" s="1" t="s">
        <v>169</v>
      </c>
      <c r="I121" s="9" t="s">
        <v>2195</v>
      </c>
      <c r="J121" s="1" t="s">
        <v>2196</v>
      </c>
      <c r="K121" s="1" t="s">
        <v>151</v>
      </c>
      <c r="L121" s="1" t="s">
        <v>256</v>
      </c>
      <c r="M121" s="1" t="s">
        <v>104</v>
      </c>
      <c r="N121" s="1" t="s">
        <v>2197</v>
      </c>
      <c r="O121" s="1" t="s">
        <v>312</v>
      </c>
      <c r="P121" s="1" t="s">
        <v>237</v>
      </c>
      <c r="Q121" s="1" t="s">
        <v>2198</v>
      </c>
      <c r="R121" s="1" t="s">
        <v>2199</v>
      </c>
      <c r="S121" s="1" t="s">
        <v>217</v>
      </c>
      <c r="Z121" s="1" t="s">
        <v>2200</v>
      </c>
      <c r="AF121" s="1" t="s">
        <v>2201</v>
      </c>
      <c r="AG121" s="1">
        <v>9.79771163E8</v>
      </c>
      <c r="AM121" s="1" t="s">
        <v>2202</v>
      </c>
      <c r="AN121" s="7" t="s">
        <v>2203</v>
      </c>
      <c r="AO121" s="8" t="str">
        <f>HYPERLINK("https://docs.google.com/document/d/1A6G-Sv1bmBaBol_5cAy1pKh0DDaoqOrHbS0XOpfkYko/edit?usp=drivesdk","Al-Wildan 4 Lebak Bulus_Saffanah Fasya_Al-Qur'an")</f>
        <v>Al-Wildan 4 Lebak Bulus_Saffanah Fasya_Al-Qur'an</v>
      </c>
      <c r="AP121" s="1" t="s">
        <v>2204</v>
      </c>
    </row>
    <row r="122">
      <c r="A122" s="6">
        <v>44033.85350376157</v>
      </c>
      <c r="B122" s="7" t="s">
        <v>2205</v>
      </c>
      <c r="C122" s="8" t="s">
        <v>2206</v>
      </c>
      <c r="D122" s="1" t="s">
        <v>2207</v>
      </c>
      <c r="E122" s="9" t="s">
        <v>2208</v>
      </c>
      <c r="F122" s="1" t="s">
        <v>2209</v>
      </c>
      <c r="G122" s="1" t="s">
        <v>2210</v>
      </c>
      <c r="H122" s="1" t="s">
        <v>1003</v>
      </c>
      <c r="I122" s="9" t="s">
        <v>2211</v>
      </c>
      <c r="J122" s="1" t="s">
        <v>1466</v>
      </c>
      <c r="K122" s="1" t="s">
        <v>151</v>
      </c>
      <c r="L122" s="1" t="s">
        <v>256</v>
      </c>
      <c r="M122" s="1" t="s">
        <v>104</v>
      </c>
      <c r="N122" s="1" t="s">
        <v>1006</v>
      </c>
      <c r="O122" s="1" t="s">
        <v>312</v>
      </c>
      <c r="P122" s="1" t="s">
        <v>237</v>
      </c>
      <c r="Q122" s="1" t="s">
        <v>2212</v>
      </c>
      <c r="R122" s="1" t="s">
        <v>1006</v>
      </c>
      <c r="S122" s="1" t="s">
        <v>2213</v>
      </c>
      <c r="Z122" s="1" t="s">
        <v>2214</v>
      </c>
      <c r="AA122" s="10">
        <v>1500000.0</v>
      </c>
      <c r="AF122" s="10">
        <v>2500000.0</v>
      </c>
      <c r="AG122" s="1">
        <v>4.32690729E8</v>
      </c>
      <c r="AI122" s="1" t="s">
        <v>2215</v>
      </c>
      <c r="AJ122" s="3"/>
      <c r="AK122" s="3"/>
      <c r="AL122" s="3"/>
      <c r="AM122" s="1" t="s">
        <v>2216</v>
      </c>
      <c r="AN122" s="7" t="s">
        <v>2217</v>
      </c>
      <c r="AO122" s="8" t="str">
        <f>HYPERLINK("https://docs.google.com/document/d/1RAwzXnsjbpLcimYuQ5lhpzeTweBdBtchGAYeKcwmzQM/edit?usp=drivesdk","Al-Wildan 4 Lebak Bulus_Miskus samuroh_Al qur'an")</f>
        <v>Al-Wildan 4 Lebak Bulus_Miskus samuroh_Al qur'an</v>
      </c>
      <c r="AP122" s="1" t="s">
        <v>2218</v>
      </c>
    </row>
    <row r="123">
      <c r="A123" s="6">
        <v>44034.5767903588</v>
      </c>
      <c r="B123" s="7" t="s">
        <v>2219</v>
      </c>
      <c r="C123" s="8" t="s">
        <v>2220</v>
      </c>
      <c r="D123" s="1" t="s">
        <v>2221</v>
      </c>
      <c r="E123" s="9" t="s">
        <v>2222</v>
      </c>
      <c r="F123" s="1" t="s">
        <v>2223</v>
      </c>
      <c r="G123" s="1" t="s">
        <v>2224</v>
      </c>
      <c r="H123" s="1" t="s">
        <v>944</v>
      </c>
      <c r="I123" s="9" t="s">
        <v>2225</v>
      </c>
      <c r="J123" s="1">
        <v>25.0</v>
      </c>
      <c r="K123" s="1" t="s">
        <v>151</v>
      </c>
      <c r="L123" s="1" t="s">
        <v>103</v>
      </c>
      <c r="M123" s="1" t="s">
        <v>104</v>
      </c>
      <c r="N123" s="1" t="s">
        <v>2226</v>
      </c>
      <c r="O123" s="1" t="s">
        <v>312</v>
      </c>
      <c r="P123" s="1" t="s">
        <v>237</v>
      </c>
      <c r="Q123" s="1" t="s">
        <v>2227</v>
      </c>
      <c r="R123" s="1" t="s">
        <v>2228</v>
      </c>
      <c r="S123" s="1" t="s">
        <v>2229</v>
      </c>
      <c r="Z123" s="1" t="s">
        <v>2230</v>
      </c>
      <c r="AA123" s="1" t="s">
        <v>2231</v>
      </c>
      <c r="AB123" s="1" t="s">
        <v>2232</v>
      </c>
      <c r="AF123" s="10">
        <v>5000000.0</v>
      </c>
      <c r="AG123" s="9" t="s">
        <v>2233</v>
      </c>
      <c r="AI123" s="1" t="s">
        <v>2234</v>
      </c>
      <c r="AJ123" s="3"/>
      <c r="AK123" s="3"/>
      <c r="AL123" s="3"/>
      <c r="AM123" s="1" t="s">
        <v>2235</v>
      </c>
      <c r="AN123" s="7" t="s">
        <v>2236</v>
      </c>
      <c r="AO123" s="8" t="str">
        <f>HYPERLINK("https://docs.google.com/document/d/1THKtCCDIyvIdzKHIG4oODTQWOtwrtD_zmKpdCTDkmQ4/edit?usp=drivesdk","Al-Wildan 4 Lebak Bulus_Ibnu Nasrullah, Lc_Th 20-21 sekarang, Qur'an dan SKI")</f>
        <v>Al-Wildan 4 Lebak Bulus_Ibnu Nasrullah, Lc_Th 20-21 sekarang, Qur'an dan SKI</v>
      </c>
      <c r="AP123" s="1" t="s">
        <v>2237</v>
      </c>
    </row>
    <row r="124">
      <c r="A124" s="6">
        <v>44034.63598501157</v>
      </c>
      <c r="B124" s="7" t="s">
        <v>2238</v>
      </c>
      <c r="C124" s="8" t="s">
        <v>2239</v>
      </c>
      <c r="D124" s="1" t="s">
        <v>2240</v>
      </c>
      <c r="E124" s="9" t="s">
        <v>2241</v>
      </c>
      <c r="F124" s="1" t="s">
        <v>2242</v>
      </c>
      <c r="G124" s="1" t="s">
        <v>2243</v>
      </c>
      <c r="H124" s="1" t="s">
        <v>2244</v>
      </c>
      <c r="I124" s="9" t="s">
        <v>2245</v>
      </c>
      <c r="J124" s="1" t="s">
        <v>2246</v>
      </c>
      <c r="K124" s="1" t="s">
        <v>102</v>
      </c>
      <c r="L124" s="1" t="s">
        <v>103</v>
      </c>
      <c r="M124" s="1" t="s">
        <v>104</v>
      </c>
      <c r="N124" s="1" t="s">
        <v>2247</v>
      </c>
      <c r="O124" s="1" t="s">
        <v>127</v>
      </c>
      <c r="P124" s="1" t="s">
        <v>237</v>
      </c>
      <c r="Q124" s="1" t="s">
        <v>2248</v>
      </c>
      <c r="R124" s="1" t="s">
        <v>2249</v>
      </c>
      <c r="S124" s="1" t="s">
        <v>1958</v>
      </c>
      <c r="Z124" s="1" t="s">
        <v>2250</v>
      </c>
      <c r="AA124" s="10">
        <v>6000000.0</v>
      </c>
      <c r="AB124" s="1" t="s">
        <v>2251</v>
      </c>
      <c r="AC124" s="10">
        <v>4000000.0</v>
      </c>
      <c r="AD124" s="1" t="s">
        <v>2252</v>
      </c>
      <c r="AE124" s="10">
        <v>2250000.0</v>
      </c>
      <c r="AF124" s="10">
        <v>6500000.0</v>
      </c>
      <c r="AG124" s="1">
        <v>3.34580333E8</v>
      </c>
      <c r="AI124" s="1" t="s">
        <v>178</v>
      </c>
      <c r="AJ124" s="3"/>
      <c r="AK124" s="3"/>
      <c r="AL124" s="3"/>
      <c r="AM124" s="1" t="s">
        <v>2253</v>
      </c>
      <c r="AN124" s="7" t="s">
        <v>2254</v>
      </c>
      <c r="AO124" s="8" t="str">
        <f>HYPERLINK("https://docs.google.com/document/d/1ed3QBPji3h8d4IvX-RI_Rq87LaFdJmG25FOHzWrZGW0/edit?usp=drivesdk","Al-Wildan 4 Lebak Bulus_Mohamad Farid, S.S_Akidah, Fikih, SKI")</f>
        <v>Al-Wildan 4 Lebak Bulus_Mohamad Farid, S.S_Akidah, Fikih, SKI</v>
      </c>
      <c r="AP124" s="1" t="s">
        <v>2255</v>
      </c>
    </row>
    <row r="125">
      <c r="A125" s="6">
        <v>44034.63794590278</v>
      </c>
      <c r="B125" s="7" t="s">
        <v>2256</v>
      </c>
      <c r="C125" s="8" t="s">
        <v>2257</v>
      </c>
      <c r="D125" s="1" t="s">
        <v>2258</v>
      </c>
      <c r="E125" s="9" t="s">
        <v>2259</v>
      </c>
      <c r="F125" s="1" t="s">
        <v>2260</v>
      </c>
      <c r="G125" s="1" t="s">
        <v>2261</v>
      </c>
      <c r="H125" s="1" t="s">
        <v>148</v>
      </c>
      <c r="I125" s="9" t="s">
        <v>2262</v>
      </c>
      <c r="J125" s="1">
        <v>27.0</v>
      </c>
      <c r="K125" s="1" t="s">
        <v>151</v>
      </c>
      <c r="L125" s="1" t="s">
        <v>103</v>
      </c>
      <c r="M125" s="1" t="s">
        <v>104</v>
      </c>
      <c r="N125" s="1" t="s">
        <v>2263</v>
      </c>
      <c r="O125" s="1" t="s">
        <v>106</v>
      </c>
      <c r="P125" s="1" t="s">
        <v>237</v>
      </c>
      <c r="Q125" s="1" t="s">
        <v>192</v>
      </c>
      <c r="R125" s="1" t="s">
        <v>2264</v>
      </c>
      <c r="S125" s="1" t="s">
        <v>1730</v>
      </c>
      <c r="Z125" s="1" t="s">
        <v>2265</v>
      </c>
      <c r="AF125" s="10">
        <v>5000000.0</v>
      </c>
      <c r="AG125" s="9" t="s">
        <v>2266</v>
      </c>
      <c r="AI125" s="1" t="s">
        <v>159</v>
      </c>
      <c r="AJ125" s="3"/>
      <c r="AK125" s="3"/>
      <c r="AL125" s="3"/>
      <c r="AM125" s="1" t="s">
        <v>2267</v>
      </c>
      <c r="AN125" s="7" t="s">
        <v>2268</v>
      </c>
      <c r="AO125" s="8" t="str">
        <f>HYPERLINK("https://docs.google.com/document/d/1NQf-HZqhHFrBN-uVqdQa3L3AjdkmxGjCknh6fF0Pj3A/edit?usp=drivesdk","Al-Wildan 4 Lebak Bulus_Khairul Anam, Lc_Qur'an")</f>
        <v>Al-Wildan 4 Lebak Bulus_Khairul Anam, Lc_Qur'an</v>
      </c>
      <c r="AP125" s="1" t="s">
        <v>2269</v>
      </c>
    </row>
    <row r="126">
      <c r="A126" s="6">
        <v>44034.645589629625</v>
      </c>
      <c r="B126" s="7" t="s">
        <v>2270</v>
      </c>
      <c r="C126" s="8" t="s">
        <v>2271</v>
      </c>
      <c r="D126" s="1" t="s">
        <v>2272</v>
      </c>
      <c r="E126" s="9" t="s">
        <v>2273</v>
      </c>
      <c r="F126" s="1" t="s">
        <v>2274</v>
      </c>
      <c r="G126" s="1" t="s">
        <v>2275</v>
      </c>
      <c r="H126" s="1" t="s">
        <v>1003</v>
      </c>
      <c r="I126" s="9" t="s">
        <v>2276</v>
      </c>
      <c r="J126" s="1">
        <v>25.0</v>
      </c>
      <c r="K126" s="1" t="s">
        <v>102</v>
      </c>
      <c r="L126" s="1" t="s">
        <v>103</v>
      </c>
      <c r="M126" s="1" t="s">
        <v>104</v>
      </c>
      <c r="N126" s="1" t="s">
        <v>2277</v>
      </c>
      <c r="O126" s="1" t="s">
        <v>312</v>
      </c>
      <c r="P126" s="1" t="s">
        <v>237</v>
      </c>
      <c r="Q126" s="1" t="s">
        <v>2278</v>
      </c>
      <c r="R126" s="1" t="s">
        <v>1623</v>
      </c>
      <c r="S126" s="1" t="s">
        <v>2279</v>
      </c>
      <c r="Z126" s="1" t="s">
        <v>2280</v>
      </c>
      <c r="AA126" s="1">
        <v>4.0</v>
      </c>
      <c r="AB126" s="10">
        <v>4000000.0</v>
      </c>
      <c r="AF126" s="10">
        <v>5000000.0</v>
      </c>
      <c r="AG126" s="9" t="s">
        <v>2281</v>
      </c>
      <c r="AM126" s="1" t="s">
        <v>2282</v>
      </c>
      <c r="AN126" s="7" t="s">
        <v>2283</v>
      </c>
      <c r="AO126" s="8" t="str">
        <f>HYPERLINK("https://docs.google.com/document/d/1t8FWQOpbGaHudD5FFtRxjj8BiOvxCPz_pdleguqpLnY/edit?usp=drivesdk","Al-Wildan 4 Lebak Bulus_Eko Septian Pradana_Qur'an Diniyah Arabic")</f>
        <v>Al-Wildan 4 Lebak Bulus_Eko Septian Pradana_Qur'an Diniyah Arabic</v>
      </c>
      <c r="AP126" s="1" t="s">
        <v>2284</v>
      </c>
    </row>
    <row r="127">
      <c r="A127" s="6">
        <v>44034.6610146412</v>
      </c>
      <c r="B127" s="7" t="s">
        <v>2285</v>
      </c>
      <c r="C127" s="8" t="s">
        <v>2286</v>
      </c>
      <c r="D127" s="1" t="s">
        <v>2287</v>
      </c>
      <c r="E127" s="9" t="s">
        <v>2288</v>
      </c>
      <c r="F127" s="1" t="s">
        <v>2289</v>
      </c>
      <c r="G127" s="1" t="s">
        <v>2290</v>
      </c>
      <c r="H127" s="1" t="s">
        <v>2244</v>
      </c>
      <c r="I127" s="9" t="s">
        <v>2291</v>
      </c>
      <c r="J127" s="1" t="s">
        <v>1822</v>
      </c>
      <c r="K127" s="1" t="s">
        <v>151</v>
      </c>
      <c r="L127" s="1" t="s">
        <v>256</v>
      </c>
      <c r="M127" s="1" t="s">
        <v>104</v>
      </c>
      <c r="N127" s="1" t="s">
        <v>2292</v>
      </c>
      <c r="O127" s="1" t="s">
        <v>312</v>
      </c>
      <c r="P127" s="1" t="s">
        <v>237</v>
      </c>
      <c r="Q127" s="1" t="s">
        <v>217</v>
      </c>
      <c r="R127" s="1" t="s">
        <v>217</v>
      </c>
      <c r="S127" s="1" t="s">
        <v>217</v>
      </c>
      <c r="T127" s="1" t="s">
        <v>217</v>
      </c>
      <c r="U127" s="1" t="s">
        <v>217</v>
      </c>
      <c r="V127" s="1" t="s">
        <v>217</v>
      </c>
      <c r="W127" s="1" t="s">
        <v>217</v>
      </c>
      <c r="X127" s="1" t="s">
        <v>217</v>
      </c>
      <c r="Y127" s="1" t="s">
        <v>2293</v>
      </c>
      <c r="Z127" s="1" t="s">
        <v>2294</v>
      </c>
      <c r="AA127" s="12">
        <v>1500000.0</v>
      </c>
      <c r="AF127" s="10">
        <v>4000000.0</v>
      </c>
      <c r="AG127" s="9" t="s">
        <v>2295</v>
      </c>
      <c r="AI127" s="1" t="s">
        <v>178</v>
      </c>
      <c r="AJ127" s="3"/>
      <c r="AK127" s="3"/>
      <c r="AL127" s="3"/>
      <c r="AM127" s="1" t="s">
        <v>2296</v>
      </c>
      <c r="AN127" s="7" t="s">
        <v>2297</v>
      </c>
      <c r="AO127" s="8" t="str">
        <f>HYPERLINK("https://docs.google.com/document/d/1H67AoVqqiA1RSzych3Iw2BPszDaaaD7TOXm8TcIYpmU/edit?usp=drivesdk","Al-Wildan 4 Lebak Bulus_Ichwan Agung Adhiraja Zulfikar_Al Quran (Wali Kelas Markaz)")</f>
        <v>Al-Wildan 4 Lebak Bulus_Ichwan Agung Adhiraja Zulfikar_Al Quran (Wali Kelas Markaz)</v>
      </c>
      <c r="AP127" s="1" t="s">
        <v>2298</v>
      </c>
    </row>
    <row r="128">
      <c r="A128" s="6">
        <v>44035.496913379626</v>
      </c>
      <c r="B128" s="7" t="s">
        <v>2299</v>
      </c>
      <c r="C128" s="8" t="s">
        <v>2300</v>
      </c>
      <c r="D128" s="1" t="s">
        <v>2301</v>
      </c>
      <c r="E128" s="9" t="s">
        <v>2302</v>
      </c>
      <c r="F128" s="1" t="s">
        <v>2303</v>
      </c>
      <c r="G128" s="1" t="s">
        <v>2304</v>
      </c>
      <c r="H128" s="1" t="s">
        <v>2076</v>
      </c>
      <c r="I128" s="9" t="s">
        <v>2305</v>
      </c>
      <c r="J128" s="1" t="s">
        <v>2306</v>
      </c>
      <c r="K128" s="1" t="s">
        <v>102</v>
      </c>
      <c r="L128" s="1" t="s">
        <v>103</v>
      </c>
      <c r="M128" s="1" t="s">
        <v>104</v>
      </c>
      <c r="N128" s="1" t="s">
        <v>2307</v>
      </c>
      <c r="O128" s="1" t="s">
        <v>312</v>
      </c>
      <c r="P128" s="1" t="s">
        <v>237</v>
      </c>
      <c r="Q128" s="1" t="s">
        <v>590</v>
      </c>
      <c r="R128" s="1" t="s">
        <v>172</v>
      </c>
      <c r="S128" s="1" t="s">
        <v>1680</v>
      </c>
      <c r="Z128" s="1" t="s">
        <v>2308</v>
      </c>
      <c r="AA128" s="10">
        <v>3500000.0</v>
      </c>
      <c r="AF128" s="10">
        <v>4500000.0</v>
      </c>
      <c r="AG128" s="9" t="s">
        <v>2309</v>
      </c>
      <c r="AM128" s="1" t="s">
        <v>2310</v>
      </c>
      <c r="AN128" s="7" t="s">
        <v>2311</v>
      </c>
      <c r="AO128" s="8" t="str">
        <f>HYPERLINK("https://docs.google.com/document/d/1CpPrAy5Uj69HJPe7jOLB_aqJuGMKRS5TYVLr9t8EK_s/edit?usp=drivesdk","Al-Wildan 4 Lebak Bulus_Dwi Annisa Fitrahyani, S.Pd._English, Math, Science")</f>
        <v>Al-Wildan 4 Lebak Bulus_Dwi Annisa Fitrahyani, S.Pd._English, Math, Science</v>
      </c>
      <c r="AP128" s="1" t="s">
        <v>2312</v>
      </c>
    </row>
    <row r="129">
      <c r="A129" s="6">
        <v>44035.51853612269</v>
      </c>
      <c r="B129" s="7" t="s">
        <v>2313</v>
      </c>
      <c r="C129" s="8" t="s">
        <v>2314</v>
      </c>
      <c r="D129" s="1" t="s">
        <v>2315</v>
      </c>
      <c r="E129" s="9" t="s">
        <v>2316</v>
      </c>
      <c r="F129" s="1" t="s">
        <v>2317</v>
      </c>
      <c r="G129" s="1" t="s">
        <v>2318</v>
      </c>
      <c r="H129" s="1" t="s">
        <v>2319</v>
      </c>
      <c r="I129" s="9" t="s">
        <v>2320</v>
      </c>
      <c r="J129" s="1" t="s">
        <v>2321</v>
      </c>
      <c r="K129" s="1" t="s">
        <v>151</v>
      </c>
      <c r="L129" s="1" t="s">
        <v>256</v>
      </c>
      <c r="M129" s="1" t="s">
        <v>104</v>
      </c>
      <c r="N129" s="1" t="s">
        <v>2322</v>
      </c>
      <c r="O129" s="1" t="s">
        <v>236</v>
      </c>
      <c r="P129" s="1" t="s">
        <v>237</v>
      </c>
      <c r="Q129" s="1" t="s">
        <v>2323</v>
      </c>
      <c r="R129" s="1" t="s">
        <v>2324</v>
      </c>
      <c r="S129" s="1">
        <v>3.85</v>
      </c>
      <c r="Z129" s="1" t="s">
        <v>2325</v>
      </c>
      <c r="AA129" s="10">
        <v>3.0E7</v>
      </c>
      <c r="AB129" s="1" t="s">
        <v>2326</v>
      </c>
      <c r="AC129" s="10">
        <v>4000000.0</v>
      </c>
      <c r="AF129" s="10">
        <v>7500000.0</v>
      </c>
      <c r="AH129" s="9" t="s">
        <v>2327</v>
      </c>
      <c r="AI129" s="1" t="s">
        <v>782</v>
      </c>
      <c r="AJ129" s="3"/>
      <c r="AK129" s="3"/>
      <c r="AL129" s="3"/>
      <c r="AM129" s="1" t="s">
        <v>2328</v>
      </c>
      <c r="AN129" s="7" t="s">
        <v>2329</v>
      </c>
      <c r="AO129" s="8" t="str">
        <f>HYPERLINK("https://docs.google.com/document/d/1Q1qTo3ZewIVAGVKXp_nuHPv2P0g7Kq1SZjrVv8a3V4g/edit?usp=drivesdk","Al-Wildan 4 Lebak Bulus_Khoirotul Islamiyah,  Lc_Al Qur'an, Sejarah Kebudayaan Islam")</f>
        <v>Al-Wildan 4 Lebak Bulus_Khoirotul Islamiyah,  Lc_Al Qur'an, Sejarah Kebudayaan Islam</v>
      </c>
      <c r="AP129" s="1" t="s">
        <v>2330</v>
      </c>
    </row>
    <row r="130">
      <c r="A130" s="6">
        <v>44035.522903888894</v>
      </c>
      <c r="B130" s="7" t="s">
        <v>2331</v>
      </c>
      <c r="C130" s="8" t="s">
        <v>2332</v>
      </c>
      <c r="D130" s="1" t="s">
        <v>2333</v>
      </c>
      <c r="E130" s="9" t="s">
        <v>2334</v>
      </c>
      <c r="F130" s="1">
        <v>3.17406160586005E14</v>
      </c>
      <c r="G130" s="1" t="s">
        <v>2335</v>
      </c>
      <c r="H130" s="1" t="s">
        <v>1555</v>
      </c>
      <c r="I130" s="13">
        <v>31548.0</v>
      </c>
      <c r="J130" s="1" t="s">
        <v>2336</v>
      </c>
      <c r="K130" s="1" t="s">
        <v>102</v>
      </c>
      <c r="L130" s="1" t="s">
        <v>103</v>
      </c>
      <c r="M130" s="1" t="s">
        <v>377</v>
      </c>
      <c r="O130" s="1" t="s">
        <v>1693</v>
      </c>
      <c r="P130" s="1" t="s">
        <v>237</v>
      </c>
      <c r="Q130" s="1" t="s">
        <v>649</v>
      </c>
      <c r="R130" s="1" t="s">
        <v>2337</v>
      </c>
      <c r="S130" s="1" t="s">
        <v>363</v>
      </c>
      <c r="Z130" s="1" t="s">
        <v>2338</v>
      </c>
      <c r="AA130" s="1">
        <v>8600000.0</v>
      </c>
      <c r="AB130" s="1" t="s">
        <v>2339</v>
      </c>
      <c r="AC130" s="1">
        <v>5000000.0</v>
      </c>
      <c r="AF130" s="1">
        <v>7500000.0</v>
      </c>
      <c r="AG130" s="9" t="s">
        <v>2340</v>
      </c>
      <c r="AI130" s="1" t="s">
        <v>178</v>
      </c>
      <c r="AJ130" s="3"/>
      <c r="AK130" s="3"/>
      <c r="AL130" s="3"/>
      <c r="AM130" s="1" t="s">
        <v>2341</v>
      </c>
      <c r="AN130" s="7" t="s">
        <v>2342</v>
      </c>
      <c r="AO130" s="8" t="str">
        <f>HYPERLINK("https://docs.google.com/document/d/1zYxyEiLPW8TWpJTXqUVIr1ebxwRXe0kjht0ekd6625g/edit?usp=drivesdk","Al-Wildan 4 Lebak Bulus_Adih Ramdamei_")</f>
        <v>Al-Wildan 4 Lebak Bulus_Adih Ramdamei_</v>
      </c>
      <c r="AP130" s="1" t="s">
        <v>2343</v>
      </c>
    </row>
    <row r="131">
      <c r="A131" s="6">
        <v>44035.527823530094</v>
      </c>
      <c r="B131" s="7" t="s">
        <v>2344</v>
      </c>
      <c r="C131" s="8" t="s">
        <v>2345</v>
      </c>
      <c r="D131" s="1" t="s">
        <v>2346</v>
      </c>
      <c r="E131" s="9" t="s">
        <v>2347</v>
      </c>
      <c r="F131" s="1" t="s">
        <v>2348</v>
      </c>
      <c r="G131" s="1" t="s">
        <v>2349</v>
      </c>
      <c r="H131" s="1" t="s">
        <v>2350</v>
      </c>
      <c r="I131" s="9" t="s">
        <v>2351</v>
      </c>
      <c r="J131" s="1" t="s">
        <v>2352</v>
      </c>
      <c r="K131" s="1" t="s">
        <v>102</v>
      </c>
      <c r="L131" s="1" t="s">
        <v>103</v>
      </c>
      <c r="M131" s="1" t="s">
        <v>104</v>
      </c>
      <c r="N131" s="1" t="s">
        <v>2353</v>
      </c>
      <c r="O131" s="1" t="s">
        <v>106</v>
      </c>
      <c r="P131" s="1" t="s">
        <v>237</v>
      </c>
      <c r="Q131" s="1" t="s">
        <v>2354</v>
      </c>
      <c r="R131" s="1" t="s">
        <v>2355</v>
      </c>
      <c r="S131" s="1">
        <v>3.73</v>
      </c>
      <c r="Z131" s="1" t="s">
        <v>2356</v>
      </c>
      <c r="AA131" s="10">
        <v>4400000.0</v>
      </c>
      <c r="AB131" s="1" t="s">
        <v>2357</v>
      </c>
      <c r="AC131" s="10">
        <v>3750000.0</v>
      </c>
      <c r="AF131" s="10">
        <v>4500000.0</v>
      </c>
      <c r="AG131" s="9" t="s">
        <v>2358</v>
      </c>
      <c r="AI131" s="1" t="s">
        <v>178</v>
      </c>
      <c r="AJ131" s="3"/>
      <c r="AK131" s="3"/>
      <c r="AL131" s="3"/>
      <c r="AM131" s="1" t="s">
        <v>2359</v>
      </c>
      <c r="AN131" s="7" t="s">
        <v>2360</v>
      </c>
      <c r="AO131" s="8" t="str">
        <f>HYPERLINK("https://docs.google.com/document/d/1OtykXbda4Og1X9V643LCOk9Q14564n9gaYe4ObZZnDo/edit?usp=drivesdk","Al-Wildan 4 Lebak Bulus_Islah Raudhuh.S.Pd_Arabic, Al Quran dan diniyah")</f>
        <v>Al-Wildan 4 Lebak Bulus_Islah Raudhuh.S.Pd_Arabic, Al Quran dan diniyah</v>
      </c>
      <c r="AP131" s="1" t="s">
        <v>2361</v>
      </c>
    </row>
    <row r="132">
      <c r="A132" s="6">
        <v>44035.53612993055</v>
      </c>
      <c r="B132" s="7" t="s">
        <v>2362</v>
      </c>
      <c r="C132" s="8" t="s">
        <v>2363</v>
      </c>
      <c r="D132" s="1" t="s">
        <v>2364</v>
      </c>
      <c r="E132" s="9" t="s">
        <v>2365</v>
      </c>
      <c r="F132" s="1" t="s">
        <v>2366</v>
      </c>
      <c r="G132" s="1" t="s">
        <v>2367</v>
      </c>
      <c r="H132" s="1" t="s">
        <v>2176</v>
      </c>
      <c r="I132" s="1">
        <v>2.2031992E7</v>
      </c>
      <c r="J132" s="1">
        <v>28.0</v>
      </c>
      <c r="K132" s="1" t="s">
        <v>102</v>
      </c>
      <c r="L132" s="1" t="s">
        <v>329</v>
      </c>
      <c r="M132" s="1" t="s">
        <v>104</v>
      </c>
      <c r="N132" s="1" t="s">
        <v>771</v>
      </c>
      <c r="O132" s="1" t="s">
        <v>106</v>
      </c>
      <c r="P132" s="1" t="s">
        <v>237</v>
      </c>
      <c r="Q132" s="1" t="s">
        <v>2368</v>
      </c>
      <c r="R132" s="1" t="s">
        <v>1790</v>
      </c>
      <c r="S132" s="1" t="s">
        <v>2369</v>
      </c>
      <c r="T132" s="1" t="s">
        <v>2370</v>
      </c>
      <c r="U132" s="1" t="s">
        <v>2371</v>
      </c>
      <c r="V132" s="1" t="s">
        <v>2372</v>
      </c>
      <c r="Z132" s="1" t="s">
        <v>2373</v>
      </c>
      <c r="AA132" s="10">
        <v>6500000.0</v>
      </c>
      <c r="AF132" s="10">
        <v>8000000.0</v>
      </c>
      <c r="AG132" s="9" t="s">
        <v>2374</v>
      </c>
      <c r="AM132" s="1" t="s">
        <v>2375</v>
      </c>
      <c r="AN132" s="7" t="s">
        <v>2376</v>
      </c>
      <c r="AO132" s="8" t="str">
        <f>HYPERLINK("https://docs.google.com/document/d/1I66JEAfGXjvv8w8Ann-COqn-NlhfArkQPrvNuMt7Jh0/edit?usp=drivesdk","Al-Wildan 4 Lebak Bulus_Amirullah.M.Pd_English")</f>
        <v>Al-Wildan 4 Lebak Bulus_Amirullah.M.Pd_English</v>
      </c>
      <c r="AP132" s="1" t="s">
        <v>2377</v>
      </c>
    </row>
    <row r="133">
      <c r="A133" s="6">
        <v>44035.53853494213</v>
      </c>
      <c r="B133" s="7" t="s">
        <v>2378</v>
      </c>
      <c r="C133" s="8" t="s">
        <v>2379</v>
      </c>
      <c r="D133" s="1" t="s">
        <v>2380</v>
      </c>
      <c r="E133" s="9" t="s">
        <v>2381</v>
      </c>
      <c r="F133" s="1" t="s">
        <v>2382</v>
      </c>
      <c r="G133" s="1" t="s">
        <v>2383</v>
      </c>
      <c r="H133" s="1" t="s">
        <v>2350</v>
      </c>
      <c r="I133" s="9" t="s">
        <v>2384</v>
      </c>
      <c r="J133" s="1" t="s">
        <v>2385</v>
      </c>
      <c r="K133" s="1" t="s">
        <v>102</v>
      </c>
      <c r="L133" s="1" t="s">
        <v>103</v>
      </c>
      <c r="M133" s="1" t="s">
        <v>104</v>
      </c>
      <c r="N133" s="1" t="s">
        <v>2386</v>
      </c>
      <c r="O133" s="1" t="s">
        <v>106</v>
      </c>
      <c r="P133" s="1" t="s">
        <v>237</v>
      </c>
      <c r="Q133" s="1" t="s">
        <v>2354</v>
      </c>
      <c r="R133" s="1" t="s">
        <v>2355</v>
      </c>
      <c r="S133" s="1" t="s">
        <v>2387</v>
      </c>
      <c r="T133" s="1" t="s">
        <v>217</v>
      </c>
      <c r="U133" s="1" t="s">
        <v>217</v>
      </c>
      <c r="V133" s="1" t="s">
        <v>217</v>
      </c>
      <c r="W133" s="1" t="s">
        <v>217</v>
      </c>
      <c r="X133" s="1" t="s">
        <v>217</v>
      </c>
      <c r="Z133" s="1" t="s">
        <v>2388</v>
      </c>
      <c r="AA133" s="10">
        <v>3500000.0</v>
      </c>
      <c r="AB133" s="1" t="s">
        <v>2389</v>
      </c>
      <c r="AC133" s="10">
        <v>4250000.0</v>
      </c>
      <c r="AG133" s="9" t="s">
        <v>2390</v>
      </c>
      <c r="AI133" s="1" t="s">
        <v>993</v>
      </c>
      <c r="AJ133" s="3"/>
      <c r="AK133" s="3"/>
      <c r="AL133" s="3"/>
      <c r="AM133" s="1" t="s">
        <v>2391</v>
      </c>
      <c r="AN133" s="7" t="s">
        <v>2392</v>
      </c>
      <c r="AO133" s="8" t="str">
        <f>HYPERLINK("https://docs.google.com/document/d/1SOhdc3DjV3Bj6-TsoFOeKvSC3w1o3yNmOjzG_pBMa0E/edit?usp=drivesdk","Al-Wildan 4 Lebak Bulus_Abriansyah_Al-quran, arabic dan Diniyah")</f>
        <v>Al-Wildan 4 Lebak Bulus_Abriansyah_Al-quran, arabic dan Diniyah</v>
      </c>
      <c r="AP133" s="1" t="s">
        <v>2393</v>
      </c>
    </row>
    <row r="134">
      <c r="A134" s="6">
        <v>44035.54298729167</v>
      </c>
      <c r="B134" s="7" t="s">
        <v>2394</v>
      </c>
      <c r="C134" s="8" t="s">
        <v>2395</v>
      </c>
      <c r="D134" s="1" t="s">
        <v>2396</v>
      </c>
      <c r="E134" s="9" t="s">
        <v>2397</v>
      </c>
      <c r="F134" s="1" t="s">
        <v>2398</v>
      </c>
      <c r="G134" s="1" t="s">
        <v>327</v>
      </c>
      <c r="H134" s="1" t="s">
        <v>2399</v>
      </c>
      <c r="I134" s="9" t="s">
        <v>2400</v>
      </c>
      <c r="J134" s="1">
        <v>38.0</v>
      </c>
      <c r="K134" s="1" t="s">
        <v>151</v>
      </c>
      <c r="L134" s="1" t="s">
        <v>256</v>
      </c>
      <c r="M134" s="1" t="s">
        <v>104</v>
      </c>
      <c r="N134" s="1" t="s">
        <v>2401</v>
      </c>
      <c r="O134" s="1" t="s">
        <v>312</v>
      </c>
      <c r="P134" s="1" t="s">
        <v>237</v>
      </c>
      <c r="Q134" s="1" t="s">
        <v>238</v>
      </c>
      <c r="R134" s="1" t="s">
        <v>2402</v>
      </c>
      <c r="S134" s="1" t="s">
        <v>2403</v>
      </c>
      <c r="Z134" s="1" t="s">
        <v>2404</v>
      </c>
      <c r="AA134" s="10">
        <v>2500000.0</v>
      </c>
      <c r="AB134" s="1" t="s">
        <v>2405</v>
      </c>
      <c r="AD134" s="1" t="s">
        <v>2406</v>
      </c>
      <c r="AE134" s="10">
        <v>3500000.0</v>
      </c>
      <c r="AG134" s="1">
        <v>3.33201031174537E14</v>
      </c>
      <c r="AI134" s="1" t="s">
        <v>2407</v>
      </c>
      <c r="AJ134" s="3"/>
      <c r="AK134" s="3"/>
      <c r="AL134" s="3"/>
      <c r="AM134" s="1" t="s">
        <v>2408</v>
      </c>
      <c r="AN134" s="7" t="s">
        <v>2409</v>
      </c>
      <c r="AO134" s="8" t="str">
        <f>HYPERLINK("https://docs.google.com/document/d/1H4bK7cigRVG_i8tlpUyd9L7VxfApvo0mRzXeHKe4Sms/edit?usp=drivesdk","Al-Wildan 4 Lebak Bulus_Fitriani S.PdI_Al-qur'an")</f>
        <v>Al-Wildan 4 Lebak Bulus_Fitriani S.PdI_Al-qur'an</v>
      </c>
      <c r="AP134" s="1" t="s">
        <v>2410</v>
      </c>
    </row>
    <row r="135">
      <c r="A135" s="6">
        <v>44035.55053306713</v>
      </c>
      <c r="B135" s="7" t="s">
        <v>2411</v>
      </c>
      <c r="C135" s="8" t="s">
        <v>2412</v>
      </c>
      <c r="D135" s="1" t="s">
        <v>2413</v>
      </c>
      <c r="E135" s="1" t="s">
        <v>2414</v>
      </c>
      <c r="F135" s="1" t="s">
        <v>2415</v>
      </c>
      <c r="G135" s="1" t="s">
        <v>2416</v>
      </c>
      <c r="H135" s="1" t="s">
        <v>2417</v>
      </c>
      <c r="I135" s="9" t="s">
        <v>2418</v>
      </c>
      <c r="J135" s="1" t="s">
        <v>2419</v>
      </c>
      <c r="K135" s="1" t="s">
        <v>151</v>
      </c>
      <c r="L135" s="1" t="s">
        <v>256</v>
      </c>
      <c r="M135" s="1" t="s">
        <v>104</v>
      </c>
      <c r="N135" s="1" t="s">
        <v>2420</v>
      </c>
      <c r="O135" s="1" t="s">
        <v>127</v>
      </c>
      <c r="P135" s="1" t="s">
        <v>237</v>
      </c>
      <c r="Q135" s="1" t="s">
        <v>1259</v>
      </c>
      <c r="R135" s="1" t="s">
        <v>235</v>
      </c>
      <c r="S135" s="1" t="s">
        <v>2421</v>
      </c>
      <c r="Z135" s="1" t="s">
        <v>2422</v>
      </c>
      <c r="AA135" s="10">
        <v>3500000.0</v>
      </c>
      <c r="AB135" s="1" t="s">
        <v>2423</v>
      </c>
      <c r="AC135" s="10">
        <v>3500000.0</v>
      </c>
      <c r="AD135" s="1" t="s">
        <v>2424</v>
      </c>
      <c r="AE135" s="10">
        <v>3500000.0</v>
      </c>
      <c r="AF135" s="10">
        <v>3800000.0</v>
      </c>
      <c r="AG135" s="9" t="s">
        <v>2425</v>
      </c>
      <c r="AI135" s="1" t="s">
        <v>178</v>
      </c>
      <c r="AJ135" s="3"/>
      <c r="AK135" s="3"/>
      <c r="AL135" s="3"/>
      <c r="AM135" s="1" t="s">
        <v>2426</v>
      </c>
      <c r="AN135" s="7" t="s">
        <v>2427</v>
      </c>
      <c r="AO135" s="8" t="str">
        <f>HYPERLINK("https://docs.google.com/document/d/1arYnZt2lXioYROsFDbDyQ2zaOESQPMccOboMXenShxs/edit?usp=drivesdk","Al-Wildan 4 Lebak Bulus_BAIQ Rafiah A.md_Bahasa Arab dan Fiqih")</f>
        <v>Al-Wildan 4 Lebak Bulus_BAIQ Rafiah A.md_Bahasa Arab dan Fiqih</v>
      </c>
      <c r="AP135" s="1" t="s">
        <v>2428</v>
      </c>
    </row>
    <row r="136">
      <c r="A136" s="6">
        <v>44035.5508362963</v>
      </c>
      <c r="B136" s="7" t="s">
        <v>2429</v>
      </c>
      <c r="C136" s="8" t="s">
        <v>2430</v>
      </c>
      <c r="D136" s="1" t="s">
        <v>2431</v>
      </c>
      <c r="E136" s="9" t="s">
        <v>2381</v>
      </c>
      <c r="F136" s="1" t="s">
        <v>2382</v>
      </c>
      <c r="G136" s="1" t="s">
        <v>2432</v>
      </c>
      <c r="H136" s="1" t="s">
        <v>2350</v>
      </c>
      <c r="I136" s="9" t="s">
        <v>2384</v>
      </c>
      <c r="J136" s="1" t="s">
        <v>1933</v>
      </c>
      <c r="K136" s="1" t="s">
        <v>102</v>
      </c>
      <c r="L136" s="1" t="s">
        <v>103</v>
      </c>
      <c r="M136" s="1" t="s">
        <v>104</v>
      </c>
      <c r="N136" s="1" t="s">
        <v>2433</v>
      </c>
      <c r="O136" s="1" t="s">
        <v>106</v>
      </c>
      <c r="P136" s="1" t="s">
        <v>237</v>
      </c>
      <c r="Q136" s="1" t="s">
        <v>2354</v>
      </c>
      <c r="R136" s="1" t="s">
        <v>2355</v>
      </c>
      <c r="S136" s="1" t="s">
        <v>2387</v>
      </c>
      <c r="Z136" s="1" t="s">
        <v>2388</v>
      </c>
      <c r="AA136" s="10">
        <v>3500000.0</v>
      </c>
      <c r="AB136" s="10">
        <v>4250000.0</v>
      </c>
      <c r="AF136" s="10">
        <v>5000000.0</v>
      </c>
      <c r="AG136" s="9" t="s">
        <v>2390</v>
      </c>
      <c r="AI136" s="1" t="s">
        <v>782</v>
      </c>
      <c r="AJ136" s="3"/>
      <c r="AK136" s="3"/>
      <c r="AL136" s="3"/>
      <c r="AM136" s="1" t="s">
        <v>2434</v>
      </c>
      <c r="AN136" s="7" t="s">
        <v>2435</v>
      </c>
      <c r="AO136" s="8" t="str">
        <f>HYPERLINK("https://docs.google.com/document/d/11iGgOi2WMINhsWQrB-wVrBvVqqfOR2y3BhSLz5biN0k/edit?usp=drivesdk","Al-Wildan 4 Lebak Bulus_Abriansyah. S.Pd_Al-qur'an, Arabic dan Diniyah")</f>
        <v>Al-Wildan 4 Lebak Bulus_Abriansyah. S.Pd_Al-qur'an, Arabic dan Diniyah</v>
      </c>
      <c r="AP136" s="1" t="s">
        <v>2436</v>
      </c>
    </row>
    <row r="137">
      <c r="A137" s="6">
        <v>44035.55356349537</v>
      </c>
      <c r="B137" s="7" t="s">
        <v>2437</v>
      </c>
      <c r="C137" s="8" t="s">
        <v>2438</v>
      </c>
      <c r="D137" s="1" t="s">
        <v>2439</v>
      </c>
      <c r="E137" s="9" t="s">
        <v>2440</v>
      </c>
      <c r="F137" s="1" t="s">
        <v>2441</v>
      </c>
      <c r="G137" s="1" t="s">
        <v>2442</v>
      </c>
      <c r="H137" s="1" t="s">
        <v>169</v>
      </c>
      <c r="I137" s="9" t="s">
        <v>2443</v>
      </c>
      <c r="J137" s="1" t="s">
        <v>2444</v>
      </c>
      <c r="K137" s="1" t="s">
        <v>151</v>
      </c>
      <c r="L137" s="1" t="s">
        <v>496</v>
      </c>
      <c r="M137" s="1" t="s">
        <v>2132</v>
      </c>
      <c r="N137" s="1" t="s">
        <v>2445</v>
      </c>
      <c r="O137" s="1" t="s">
        <v>312</v>
      </c>
      <c r="P137" s="1" t="s">
        <v>237</v>
      </c>
      <c r="Q137" s="1" t="s">
        <v>2446</v>
      </c>
      <c r="R137" s="1" t="s">
        <v>2446</v>
      </c>
      <c r="S137" s="1" t="s">
        <v>2446</v>
      </c>
      <c r="T137" s="1" t="s">
        <v>2446</v>
      </c>
      <c r="U137" s="1" t="s">
        <v>2446</v>
      </c>
      <c r="V137" s="1" t="s">
        <v>2446</v>
      </c>
      <c r="W137" s="1" t="s">
        <v>2446</v>
      </c>
      <c r="X137" s="1" t="s">
        <v>2446</v>
      </c>
      <c r="Z137" s="1" t="s">
        <v>2447</v>
      </c>
      <c r="AA137" s="10">
        <v>2000000.0</v>
      </c>
      <c r="AB137" s="1" t="s">
        <v>2448</v>
      </c>
      <c r="AC137" s="10">
        <v>1000000.0</v>
      </c>
      <c r="AD137" s="1" t="s">
        <v>217</v>
      </c>
      <c r="AE137" s="1" t="s">
        <v>217</v>
      </c>
      <c r="AF137" s="10">
        <v>3800000.0</v>
      </c>
      <c r="AI137" s="1" t="s">
        <v>217</v>
      </c>
      <c r="AJ137" s="3"/>
      <c r="AK137" s="3"/>
      <c r="AL137" s="3"/>
      <c r="AM137" s="1" t="s">
        <v>2449</v>
      </c>
      <c r="AN137" s="7" t="s">
        <v>2450</v>
      </c>
      <c r="AO137" s="8" t="str">
        <f>HYPERLINK("https://docs.google.com/document/d/1BAOexeh-XbOQFMqUtDqYhBf2kVo7-c8egjz0D1KB2Q8/edit?usp=drivesdk","Al-Wildan 4 Lebak Bulus_Nur Afiffah Suhailah_Arabic, Al Qur'an, dan Fiqh")</f>
        <v>Al-Wildan 4 Lebak Bulus_Nur Afiffah Suhailah_Arabic, Al Qur'an, dan Fiqh</v>
      </c>
      <c r="AP137" s="1" t="s">
        <v>2451</v>
      </c>
    </row>
    <row r="138">
      <c r="A138" s="6">
        <v>44035.55604048611</v>
      </c>
      <c r="B138" s="7" t="s">
        <v>2452</v>
      </c>
      <c r="C138" s="8" t="s">
        <v>2453</v>
      </c>
      <c r="D138" s="1" t="s">
        <v>2454</v>
      </c>
      <c r="E138" s="9" t="s">
        <v>2455</v>
      </c>
      <c r="F138" s="1" t="s">
        <v>2456</v>
      </c>
      <c r="G138" s="1" t="s">
        <v>2457</v>
      </c>
      <c r="H138" s="1" t="s">
        <v>2458</v>
      </c>
      <c r="I138" s="9" t="s">
        <v>2459</v>
      </c>
      <c r="J138" s="1" t="s">
        <v>2460</v>
      </c>
      <c r="K138" s="1" t="s">
        <v>102</v>
      </c>
      <c r="L138" s="1" t="s">
        <v>103</v>
      </c>
      <c r="M138" s="1" t="s">
        <v>104</v>
      </c>
      <c r="N138" s="1" t="s">
        <v>2461</v>
      </c>
      <c r="O138" s="1" t="s">
        <v>127</v>
      </c>
      <c r="P138" s="1" t="s">
        <v>237</v>
      </c>
      <c r="Q138" s="1" t="s">
        <v>2462</v>
      </c>
      <c r="R138" s="1" t="s">
        <v>552</v>
      </c>
      <c r="S138" s="1" t="s">
        <v>2372</v>
      </c>
      <c r="T138" s="1" t="s">
        <v>2463</v>
      </c>
      <c r="U138" s="1" t="s">
        <v>2464</v>
      </c>
      <c r="V138" s="1" t="s">
        <v>2465</v>
      </c>
      <c r="W138" s="1" t="s">
        <v>217</v>
      </c>
      <c r="X138" s="1" t="s">
        <v>217</v>
      </c>
      <c r="Z138" s="1" t="s">
        <v>2466</v>
      </c>
      <c r="AA138" s="10">
        <v>1300000.0</v>
      </c>
      <c r="AB138" s="1" t="s">
        <v>2467</v>
      </c>
      <c r="AC138" s="1">
        <v>5000000.0</v>
      </c>
      <c r="AD138" s="1" t="s">
        <v>2468</v>
      </c>
      <c r="AE138" s="10">
        <v>4000000.0</v>
      </c>
      <c r="AF138" s="10">
        <v>7000000.0</v>
      </c>
      <c r="AG138" s="9" t="s">
        <v>2469</v>
      </c>
      <c r="AI138" s="1" t="s">
        <v>178</v>
      </c>
      <c r="AJ138" s="3"/>
      <c r="AK138" s="3"/>
      <c r="AL138" s="3"/>
      <c r="AM138" s="1" t="s">
        <v>2470</v>
      </c>
      <c r="AN138" s="7" t="s">
        <v>2471</v>
      </c>
      <c r="AO138" s="8" t="str">
        <f>HYPERLINK("https://docs.google.com/document/d/1dFOPVrbXKEsDElz_MDHYrUjxQ2f2aRFMwO20-D5hSK4/edit?usp=drivesdk","Al-Wildan 4 Lebak Bulus_Oktaviawan Arif Sudarsono, S. Pd. _Matematika &amp; IPA")</f>
        <v>Al-Wildan 4 Lebak Bulus_Oktaviawan Arif Sudarsono, S. Pd. _Matematika &amp; IPA</v>
      </c>
      <c r="AP138" s="1" t="s">
        <v>2472</v>
      </c>
    </row>
    <row r="139">
      <c r="A139" s="6">
        <v>44035.5573330787</v>
      </c>
      <c r="B139" s="7" t="s">
        <v>2473</v>
      </c>
      <c r="C139" s="8" t="s">
        <v>2474</v>
      </c>
      <c r="D139" s="1" t="s">
        <v>2475</v>
      </c>
      <c r="E139" s="9" t="s">
        <v>2476</v>
      </c>
      <c r="F139" s="1" t="s">
        <v>2477</v>
      </c>
      <c r="G139" s="1" t="s">
        <v>2478</v>
      </c>
      <c r="H139" s="1" t="s">
        <v>2479</v>
      </c>
      <c r="I139" s="9" t="s">
        <v>2480</v>
      </c>
      <c r="J139" s="1" t="s">
        <v>2481</v>
      </c>
      <c r="K139" s="1" t="s">
        <v>102</v>
      </c>
      <c r="L139" s="1" t="s">
        <v>103</v>
      </c>
      <c r="M139" s="1" t="s">
        <v>104</v>
      </c>
      <c r="N139" s="1" t="s">
        <v>2482</v>
      </c>
      <c r="O139" s="1" t="s">
        <v>312</v>
      </c>
      <c r="P139" s="1" t="s">
        <v>237</v>
      </c>
      <c r="Q139" s="1" t="s">
        <v>811</v>
      </c>
      <c r="R139" s="1" t="s">
        <v>193</v>
      </c>
      <c r="S139" s="1" t="s">
        <v>2483</v>
      </c>
      <c r="Z139" s="1" t="s">
        <v>2484</v>
      </c>
      <c r="AA139" s="10">
        <v>2500000.0</v>
      </c>
      <c r="AB139" s="1" t="s">
        <v>2485</v>
      </c>
      <c r="AC139" s="10">
        <v>1300000.0</v>
      </c>
      <c r="AF139" s="10">
        <v>5000000.0</v>
      </c>
      <c r="AG139" s="9" t="s">
        <v>2486</v>
      </c>
      <c r="AI139" s="1" t="s">
        <v>782</v>
      </c>
      <c r="AJ139" s="3"/>
      <c r="AK139" s="3"/>
      <c r="AL139" s="3"/>
      <c r="AM139" s="1" t="s">
        <v>2487</v>
      </c>
      <c r="AN139" s="7" t="s">
        <v>2488</v>
      </c>
      <c r="AO139" s="8" t="str">
        <f>HYPERLINK("https://docs.google.com/document/d/116ZkjMcpnZgNNdxzzwkLAtnd_prrmh1XHrNmGxatgZk/edit?usp=drivesdk","Al-Wildan 4 Lebak Bulus_Muhammad Atiq Qoidul Islam c.L, c_SKI, AQIDAH, FIQIH")</f>
        <v>Al-Wildan 4 Lebak Bulus_Muhammad Atiq Qoidul Islam c.L, c_SKI, AQIDAH, FIQIH</v>
      </c>
      <c r="AP139" s="1" t="s">
        <v>2489</v>
      </c>
    </row>
    <row r="140">
      <c r="A140" s="6">
        <v>44035.56129721065</v>
      </c>
      <c r="B140" s="7" t="s">
        <v>2490</v>
      </c>
      <c r="C140" s="8" t="s">
        <v>2491</v>
      </c>
      <c r="D140" s="1" t="s">
        <v>2492</v>
      </c>
      <c r="E140" s="9" t="s">
        <v>2493</v>
      </c>
      <c r="F140" s="1">
        <v>3.21606080896002E15</v>
      </c>
      <c r="G140" s="1" t="s">
        <v>2494</v>
      </c>
      <c r="H140" s="1" t="s">
        <v>169</v>
      </c>
      <c r="I140" s="9" t="s">
        <v>2495</v>
      </c>
      <c r="J140" s="1" t="s">
        <v>2496</v>
      </c>
      <c r="K140" s="1" t="s">
        <v>102</v>
      </c>
      <c r="L140" s="1" t="s">
        <v>103</v>
      </c>
      <c r="M140" s="1" t="s">
        <v>104</v>
      </c>
      <c r="N140" s="1" t="s">
        <v>235</v>
      </c>
      <c r="O140" s="1" t="s">
        <v>312</v>
      </c>
      <c r="P140" s="1" t="s">
        <v>237</v>
      </c>
      <c r="Q140" s="1" t="s">
        <v>2497</v>
      </c>
      <c r="R140" s="1" t="s">
        <v>217</v>
      </c>
      <c r="S140" s="1" t="s">
        <v>217</v>
      </c>
      <c r="T140" s="1" t="s">
        <v>217</v>
      </c>
      <c r="U140" s="1" t="s">
        <v>217</v>
      </c>
      <c r="V140" s="1" t="s">
        <v>217</v>
      </c>
      <c r="W140" s="1" t="s">
        <v>217</v>
      </c>
      <c r="X140" s="1" t="s">
        <v>217</v>
      </c>
      <c r="Z140" s="1" t="s">
        <v>2498</v>
      </c>
      <c r="AA140" s="10">
        <v>3500000.0</v>
      </c>
      <c r="AF140" s="10">
        <v>4500000.0</v>
      </c>
      <c r="AG140" s="9" t="s">
        <v>2499</v>
      </c>
      <c r="AM140" s="1" t="s">
        <v>2500</v>
      </c>
      <c r="AN140" s="7" t="s">
        <v>2501</v>
      </c>
      <c r="AO140" s="8" t="str">
        <f>HYPERLINK("https://docs.google.com/document/d/1j2w9sqislyEwbyKp5-7faNZJCHKu5GyHOlih4TlXY7k/edit?usp=drivesdk","Al-Wildan 4 Lebak Bulus_Agil Al Ghozali_Bahasa Arab")</f>
        <v>Al-Wildan 4 Lebak Bulus_Agil Al Ghozali_Bahasa Arab</v>
      </c>
      <c r="AP140" s="1" t="s">
        <v>2502</v>
      </c>
    </row>
    <row r="141">
      <c r="A141" s="6">
        <v>44035.56682775463</v>
      </c>
      <c r="B141" s="7" t="s">
        <v>2503</v>
      </c>
      <c r="C141" s="8" t="s">
        <v>2504</v>
      </c>
      <c r="D141" s="1" t="s">
        <v>2505</v>
      </c>
      <c r="E141" s="9" t="s">
        <v>2506</v>
      </c>
      <c r="F141" s="1" t="s">
        <v>2507</v>
      </c>
      <c r="G141" s="1" t="s">
        <v>2508</v>
      </c>
      <c r="H141" s="1" t="s">
        <v>944</v>
      </c>
      <c r="I141" s="9" t="s">
        <v>2509</v>
      </c>
      <c r="J141" s="1">
        <v>27.0</v>
      </c>
      <c r="K141" s="1" t="s">
        <v>102</v>
      </c>
      <c r="L141" s="1" t="s">
        <v>103</v>
      </c>
      <c r="M141" s="1" t="s">
        <v>104</v>
      </c>
      <c r="N141" s="1" t="s">
        <v>311</v>
      </c>
      <c r="O141" s="1" t="s">
        <v>127</v>
      </c>
      <c r="P141" s="1" t="s">
        <v>237</v>
      </c>
      <c r="Q141" s="1" t="s">
        <v>236</v>
      </c>
      <c r="R141" s="1" t="s">
        <v>2510</v>
      </c>
      <c r="S141" s="1" t="s">
        <v>236</v>
      </c>
      <c r="T141" s="1" t="s">
        <v>2511</v>
      </c>
      <c r="U141" s="1" t="s">
        <v>236</v>
      </c>
      <c r="V141" s="1" t="s">
        <v>2510</v>
      </c>
      <c r="W141" s="1" t="s">
        <v>2512</v>
      </c>
      <c r="X141" s="1" t="s">
        <v>236</v>
      </c>
      <c r="Y141" s="1" t="s">
        <v>2510</v>
      </c>
      <c r="Z141" s="1" t="s">
        <v>570</v>
      </c>
      <c r="AA141" s="10">
        <v>5000000.0</v>
      </c>
      <c r="AB141" s="1" t="s">
        <v>570</v>
      </c>
      <c r="AC141" s="10">
        <v>5000000.0</v>
      </c>
      <c r="AD141" s="1" t="s">
        <v>570</v>
      </c>
      <c r="AE141" s="10">
        <v>5000000.0</v>
      </c>
      <c r="AF141" s="10">
        <v>6000000.0</v>
      </c>
      <c r="AG141" s="1">
        <v>8.62963437E8</v>
      </c>
      <c r="AH141" s="9" t="s">
        <v>2513</v>
      </c>
      <c r="AI141" s="1" t="s">
        <v>178</v>
      </c>
      <c r="AJ141" s="3"/>
      <c r="AK141" s="3"/>
      <c r="AL141" s="3"/>
      <c r="AM141" s="1" t="s">
        <v>2514</v>
      </c>
      <c r="AN141" s="7" t="s">
        <v>2515</v>
      </c>
      <c r="AO141" s="8" t="str">
        <f>HYPERLINK("https://docs.google.com/document/d/1dTYBvb_7z6fpK6cVxuCHbh9SJQIe83y5-syAKP6qhqg/edit?usp=drivesdk","Al-Wildan 4 Lebak Bulus_Eka nurhasanah_Al Qur'an")</f>
        <v>Al-Wildan 4 Lebak Bulus_Eka nurhasanah_Al Qur'an</v>
      </c>
      <c r="AP141" s="1" t="s">
        <v>2516</v>
      </c>
    </row>
    <row r="142">
      <c r="A142" s="6">
        <v>44035.577121215276</v>
      </c>
      <c r="B142" s="7" t="s">
        <v>2517</v>
      </c>
      <c r="C142" s="8" t="s">
        <v>2518</v>
      </c>
      <c r="D142" s="1" t="s">
        <v>2519</v>
      </c>
      <c r="E142" s="9" t="s">
        <v>2520</v>
      </c>
      <c r="F142" s="1" t="s">
        <v>2521</v>
      </c>
      <c r="G142" s="1" t="s">
        <v>2522</v>
      </c>
      <c r="H142" s="1" t="s">
        <v>2523</v>
      </c>
      <c r="I142" s="9" t="s">
        <v>2524</v>
      </c>
      <c r="J142" s="1" t="s">
        <v>2525</v>
      </c>
      <c r="K142" s="1" t="s">
        <v>102</v>
      </c>
      <c r="L142" s="1" t="s">
        <v>103</v>
      </c>
      <c r="M142" s="1" t="s">
        <v>377</v>
      </c>
      <c r="O142" s="1" t="s">
        <v>1693</v>
      </c>
      <c r="P142" s="1" t="s">
        <v>237</v>
      </c>
      <c r="Q142" s="1" t="s">
        <v>2526</v>
      </c>
      <c r="R142" s="1" t="s">
        <v>2527</v>
      </c>
      <c r="S142" s="1">
        <v>2.8</v>
      </c>
      <c r="Z142" s="1" t="s">
        <v>2528</v>
      </c>
      <c r="AA142" s="1">
        <v>6000000.0</v>
      </c>
      <c r="AF142" s="10">
        <v>1.0E7</v>
      </c>
      <c r="AI142" s="1" t="s">
        <v>178</v>
      </c>
      <c r="AJ142" s="3"/>
      <c r="AK142" s="3"/>
      <c r="AL142" s="3"/>
      <c r="AM142" s="1" t="s">
        <v>2529</v>
      </c>
      <c r="AN142" s="7" t="s">
        <v>2530</v>
      </c>
      <c r="AO142" s="8" t="str">
        <f>HYPERLINK("https://docs.google.com/document/d/1j1j-YySqVmkTAUhnl2j0esGaBYas0y9u6HAxD-S8BFY/edit?usp=drivesdk","Al-Wildan 4 Lebak Bulus_Haiqal Muhammad, S.Sos_")</f>
        <v>Al-Wildan 4 Lebak Bulus_Haiqal Muhammad, S.Sos_</v>
      </c>
      <c r="AP142" s="1" t="s">
        <v>2531</v>
      </c>
    </row>
    <row r="143">
      <c r="A143" s="6">
        <v>44035.60456638889</v>
      </c>
      <c r="B143" s="7" t="s">
        <v>2532</v>
      </c>
      <c r="C143" s="8" t="s">
        <v>2533</v>
      </c>
      <c r="D143" s="1" t="s">
        <v>2534</v>
      </c>
      <c r="E143" s="9" t="s">
        <v>2535</v>
      </c>
      <c r="F143" s="1" t="s">
        <v>2536</v>
      </c>
      <c r="G143" s="1" t="s">
        <v>2537</v>
      </c>
      <c r="H143" s="1" t="s">
        <v>2538</v>
      </c>
      <c r="I143" s="9" t="s">
        <v>2291</v>
      </c>
      <c r="J143" s="1" t="s">
        <v>1822</v>
      </c>
      <c r="K143" s="1" t="s">
        <v>151</v>
      </c>
      <c r="L143" s="1" t="s">
        <v>329</v>
      </c>
      <c r="M143" s="1" t="s">
        <v>104</v>
      </c>
      <c r="N143" s="1" t="s">
        <v>2539</v>
      </c>
      <c r="O143" s="1" t="s">
        <v>312</v>
      </c>
      <c r="P143" s="1" t="s">
        <v>107</v>
      </c>
      <c r="Q143" s="1" t="s">
        <v>217</v>
      </c>
      <c r="R143" s="1" t="s">
        <v>217</v>
      </c>
      <c r="S143" s="1" t="s">
        <v>217</v>
      </c>
      <c r="T143" s="1" t="s">
        <v>217</v>
      </c>
      <c r="U143" s="1" t="s">
        <v>217</v>
      </c>
      <c r="V143" s="1" t="s">
        <v>217</v>
      </c>
      <c r="W143" s="1" t="s">
        <v>217</v>
      </c>
      <c r="X143" s="1" t="s">
        <v>217</v>
      </c>
      <c r="Y143" s="1">
        <v>0.0</v>
      </c>
      <c r="Z143" s="1" t="s">
        <v>217</v>
      </c>
      <c r="AA143" s="1" t="s">
        <v>217</v>
      </c>
      <c r="AB143" s="1" t="s">
        <v>217</v>
      </c>
      <c r="AC143" s="1" t="s">
        <v>217</v>
      </c>
      <c r="AD143" s="1" t="s">
        <v>217</v>
      </c>
      <c r="AE143" s="1" t="s">
        <v>217</v>
      </c>
      <c r="AF143" s="10">
        <v>1500000.0</v>
      </c>
      <c r="AG143" s="9" t="s">
        <v>2540</v>
      </c>
      <c r="AH143" s="1">
        <v>0.0</v>
      </c>
      <c r="AI143" s="1" t="s">
        <v>782</v>
      </c>
      <c r="AJ143" s="3"/>
      <c r="AK143" s="3"/>
      <c r="AL143" s="3"/>
      <c r="AM143" s="1" t="s">
        <v>2541</v>
      </c>
      <c r="AN143" s="7" t="s">
        <v>2542</v>
      </c>
      <c r="AO143" s="8" t="str">
        <f>HYPERLINK("https://docs.google.com/document/d/1FtgPHFkCgZ8w2VhXp9WmgLvp9rmFDOdVX1FMtkyAurs/edit?usp=drivesdk","Al-Wildan 1 Gading Serpong_Afifah Mutmainnah_Tahfidz quran")</f>
        <v>Al-Wildan 1 Gading Serpong_Afifah Mutmainnah_Tahfidz quran</v>
      </c>
      <c r="AP143" s="1" t="s">
        <v>2543</v>
      </c>
    </row>
    <row r="144">
      <c r="A144" s="6">
        <v>44035.607327314814</v>
      </c>
      <c r="B144" s="7" t="s">
        <v>2544</v>
      </c>
      <c r="C144" s="8" t="s">
        <v>2545</v>
      </c>
      <c r="D144" s="1" t="s">
        <v>2546</v>
      </c>
      <c r="E144" s="9" t="s">
        <v>2547</v>
      </c>
      <c r="F144" s="1" t="s">
        <v>2548</v>
      </c>
      <c r="G144" s="1" t="s">
        <v>2549</v>
      </c>
      <c r="H144" s="1" t="s">
        <v>2550</v>
      </c>
      <c r="I144" s="9" t="s">
        <v>2551</v>
      </c>
      <c r="J144" s="1" t="s">
        <v>2552</v>
      </c>
      <c r="K144" s="1" t="s">
        <v>151</v>
      </c>
      <c r="L144" s="1" t="s">
        <v>496</v>
      </c>
      <c r="M144" s="1" t="s">
        <v>2132</v>
      </c>
      <c r="N144" s="1" t="s">
        <v>2553</v>
      </c>
      <c r="O144" s="1" t="s">
        <v>312</v>
      </c>
      <c r="P144" s="1" t="s">
        <v>237</v>
      </c>
      <c r="Q144" s="1" t="s">
        <v>217</v>
      </c>
      <c r="R144" s="1" t="s">
        <v>217</v>
      </c>
      <c r="S144" s="1" t="s">
        <v>217</v>
      </c>
      <c r="T144" s="1" t="s">
        <v>217</v>
      </c>
      <c r="U144" s="1" t="s">
        <v>217</v>
      </c>
      <c r="V144" s="1" t="s">
        <v>217</v>
      </c>
      <c r="W144" s="1" t="s">
        <v>217</v>
      </c>
      <c r="X144" s="1" t="s">
        <v>2554</v>
      </c>
      <c r="Z144" s="1" t="s">
        <v>2555</v>
      </c>
      <c r="AA144" s="10">
        <v>1375000.0</v>
      </c>
      <c r="AB144" s="1" t="s">
        <v>217</v>
      </c>
      <c r="AC144" s="1" t="s">
        <v>217</v>
      </c>
      <c r="AD144" s="1" t="s">
        <v>217</v>
      </c>
      <c r="AE144" s="1" t="s">
        <v>217</v>
      </c>
      <c r="AF144" s="10">
        <v>3500000.0</v>
      </c>
      <c r="AH144" s="1">
        <v>7.098188708E9</v>
      </c>
      <c r="AI144" s="1" t="s">
        <v>2556</v>
      </c>
      <c r="AJ144" s="3"/>
      <c r="AK144" s="3"/>
      <c r="AL144" s="3"/>
      <c r="AM144" s="1" t="s">
        <v>2557</v>
      </c>
      <c r="AN144" s="7" t="s">
        <v>2558</v>
      </c>
      <c r="AO144" s="8" t="str">
        <f>HYPERLINK("https://docs.google.com/document/d/1Jb8WfcZ9k2auXDLHZHzHUz9bhk0TiUWtrxg1iA2PwdE/edit?usp=drivesdk","Al-Wildan 4 Lebak Bulus_ukhtifillah Naraseuki_Al-quran")</f>
        <v>Al-Wildan 4 Lebak Bulus_ukhtifillah Naraseuki_Al-quran</v>
      </c>
      <c r="AP144" s="1" t="s">
        <v>2559</v>
      </c>
    </row>
    <row r="145">
      <c r="A145" s="6">
        <v>44035.61760453704</v>
      </c>
      <c r="B145" s="7" t="s">
        <v>2560</v>
      </c>
      <c r="C145" s="8" t="s">
        <v>2561</v>
      </c>
      <c r="D145" s="1" t="s">
        <v>2562</v>
      </c>
      <c r="E145" s="9" t="s">
        <v>2563</v>
      </c>
      <c r="F145" s="1" t="s">
        <v>2564</v>
      </c>
      <c r="G145" s="1" t="s">
        <v>685</v>
      </c>
      <c r="H145" s="1" t="s">
        <v>2565</v>
      </c>
      <c r="I145" s="9" t="s">
        <v>2566</v>
      </c>
      <c r="J145" s="1" t="s">
        <v>2567</v>
      </c>
      <c r="K145" s="1" t="s">
        <v>102</v>
      </c>
      <c r="L145" s="1" t="s">
        <v>256</v>
      </c>
      <c r="M145" s="1" t="s">
        <v>104</v>
      </c>
      <c r="N145" s="1" t="s">
        <v>2568</v>
      </c>
      <c r="O145" s="1" t="s">
        <v>127</v>
      </c>
      <c r="P145" s="1" t="s">
        <v>237</v>
      </c>
      <c r="Q145" s="1" t="s">
        <v>192</v>
      </c>
      <c r="R145" s="1" t="s">
        <v>193</v>
      </c>
      <c r="S145" s="1">
        <v>3.8</v>
      </c>
      <c r="AC145" s="1">
        <v>6000000.0</v>
      </c>
      <c r="AE145" s="1">
        <v>6000000.0</v>
      </c>
      <c r="AF145" s="1">
        <v>7500000.0</v>
      </c>
      <c r="AG145" s="1">
        <v>8.41057619E8</v>
      </c>
      <c r="AM145" s="1" t="s">
        <v>2569</v>
      </c>
      <c r="AN145" s="7" t="s">
        <v>2570</v>
      </c>
      <c r="AO145" s="8" t="str">
        <f>HYPERLINK("https://docs.google.com/document/d/17cIfdJWMTGruXBHrnwI3VtRFE_EQODzxSyAs2tAdRR8/edit?usp=drivesdk","Al-Wildan 4 Lebak Bulus_Saddam Said Muchasin,Lc_Aqidah, Fiqh, SKI")</f>
        <v>Al-Wildan 4 Lebak Bulus_Saddam Said Muchasin,Lc_Aqidah, Fiqh, SKI</v>
      </c>
      <c r="AP145" s="1" t="s">
        <v>2571</v>
      </c>
    </row>
    <row r="146">
      <c r="A146" s="6">
        <v>44035.61858068287</v>
      </c>
      <c r="B146" s="7" t="s">
        <v>2572</v>
      </c>
      <c r="C146" s="8" t="s">
        <v>2573</v>
      </c>
      <c r="D146" s="1" t="s">
        <v>2574</v>
      </c>
      <c r="E146" s="9" t="s">
        <v>2575</v>
      </c>
      <c r="F146" s="1" t="s">
        <v>2576</v>
      </c>
      <c r="G146" s="1" t="s">
        <v>2577</v>
      </c>
      <c r="H146" s="1" t="s">
        <v>2578</v>
      </c>
      <c r="I146" s="9" t="s">
        <v>2579</v>
      </c>
      <c r="J146" s="1" t="s">
        <v>2580</v>
      </c>
      <c r="K146" s="1" t="s">
        <v>102</v>
      </c>
      <c r="L146" s="1" t="s">
        <v>103</v>
      </c>
      <c r="M146" s="1" t="s">
        <v>213</v>
      </c>
      <c r="O146" s="1" t="s">
        <v>127</v>
      </c>
      <c r="P146" s="1" t="s">
        <v>237</v>
      </c>
      <c r="Q146" s="1" t="s">
        <v>2581</v>
      </c>
      <c r="R146" s="1" t="s">
        <v>172</v>
      </c>
      <c r="S146" s="1" t="s">
        <v>2582</v>
      </c>
      <c r="T146" s="1" t="s">
        <v>2583</v>
      </c>
      <c r="U146" s="1" t="s">
        <v>2584</v>
      </c>
      <c r="V146" s="1" t="s">
        <v>2465</v>
      </c>
      <c r="Z146" s="1" t="s">
        <v>2585</v>
      </c>
      <c r="AA146" s="1" t="s">
        <v>2586</v>
      </c>
      <c r="AF146" s="1" t="s">
        <v>2587</v>
      </c>
      <c r="AG146" s="9" t="s">
        <v>2588</v>
      </c>
      <c r="AM146" s="1" t="s">
        <v>2589</v>
      </c>
      <c r="AN146" s="7" t="s">
        <v>2590</v>
      </c>
      <c r="AO146" s="8" t="str">
        <f>HYPERLINK("https://docs.google.com/document/d/1rA6Sw78qqEGcGV82GYSHD0YCqpS1719Tpug0lVJxTOc/edit?usp=drivesdk","Al-Wildan 4 Lebak Bulus_Risqi Aguspianto, M.Pd._")</f>
        <v>Al-Wildan 4 Lebak Bulus_Risqi Aguspianto, M.Pd._</v>
      </c>
      <c r="AP146" s="1" t="s">
        <v>2591</v>
      </c>
    </row>
    <row r="147">
      <c r="A147" s="6">
        <v>44035.627757326394</v>
      </c>
      <c r="B147" s="7" t="s">
        <v>2592</v>
      </c>
      <c r="C147" s="8" t="s">
        <v>2593</v>
      </c>
      <c r="D147" s="1" t="s">
        <v>2594</v>
      </c>
      <c r="E147" s="1" t="s">
        <v>2595</v>
      </c>
      <c r="F147" s="1" t="s">
        <v>2596</v>
      </c>
      <c r="G147" s="1" t="s">
        <v>2597</v>
      </c>
      <c r="H147" s="1" t="s">
        <v>2598</v>
      </c>
      <c r="I147" s="9" t="s">
        <v>2599</v>
      </c>
      <c r="J147" s="1" t="s">
        <v>2600</v>
      </c>
      <c r="K147" s="1" t="s">
        <v>102</v>
      </c>
      <c r="L147" s="1" t="s">
        <v>103</v>
      </c>
      <c r="M147" s="1" t="s">
        <v>104</v>
      </c>
      <c r="N147" s="1" t="s">
        <v>2601</v>
      </c>
      <c r="O147" s="1" t="s">
        <v>312</v>
      </c>
      <c r="P147" s="1" t="s">
        <v>237</v>
      </c>
      <c r="Q147" s="1" t="s">
        <v>2602</v>
      </c>
      <c r="R147" s="1" t="s">
        <v>2603</v>
      </c>
      <c r="S147" s="1" t="s">
        <v>442</v>
      </c>
      <c r="Z147" s="1" t="s">
        <v>2604</v>
      </c>
      <c r="AA147" s="10">
        <v>4000000.0</v>
      </c>
      <c r="AF147" s="10">
        <v>4500000.0</v>
      </c>
      <c r="AG147" s="9" t="s">
        <v>2605</v>
      </c>
      <c r="AI147" s="1" t="s">
        <v>159</v>
      </c>
      <c r="AJ147" s="3"/>
      <c r="AK147" s="3"/>
      <c r="AL147" s="3"/>
      <c r="AM147" s="1" t="s">
        <v>2606</v>
      </c>
      <c r="AN147" s="7" t="s">
        <v>2607</v>
      </c>
      <c r="AO147" s="8" t="str">
        <f>HYPERLINK("https://docs.google.com/document/d/1zc0Plbqti8t0HFldrsJtHJ34NAJ67SNr8KR9krouar0/edit?usp=drivesdk","Al-Wildan 4 Lebak Bulus_Mega Putri Damayanti, S. IP._Math, Science, English")</f>
        <v>Al-Wildan 4 Lebak Bulus_Mega Putri Damayanti, S. IP._Math, Science, English</v>
      </c>
      <c r="AP147" s="1" t="s">
        <v>2608</v>
      </c>
    </row>
    <row r="148">
      <c r="A148" s="6">
        <v>44035.658075011575</v>
      </c>
      <c r="B148" s="7" t="s">
        <v>2609</v>
      </c>
      <c r="C148" s="8" t="s">
        <v>2610</v>
      </c>
      <c r="D148" s="1" t="s">
        <v>2611</v>
      </c>
      <c r="E148" s="9" t="s">
        <v>2612</v>
      </c>
      <c r="F148" s="1" t="s">
        <v>2613</v>
      </c>
      <c r="G148" s="1" t="s">
        <v>2614</v>
      </c>
      <c r="H148" s="1" t="s">
        <v>99</v>
      </c>
      <c r="I148" s="1">
        <v>1.1021996E7</v>
      </c>
      <c r="J148" s="1" t="s">
        <v>2615</v>
      </c>
      <c r="K148" s="1" t="s">
        <v>151</v>
      </c>
      <c r="L148" s="1" t="s">
        <v>329</v>
      </c>
      <c r="M148" s="1" t="s">
        <v>104</v>
      </c>
      <c r="N148" s="1" t="s">
        <v>2616</v>
      </c>
      <c r="O148" s="1" t="s">
        <v>1202</v>
      </c>
      <c r="P148" s="1" t="s">
        <v>107</v>
      </c>
      <c r="Q148" s="1" t="s">
        <v>2617</v>
      </c>
      <c r="R148" s="1" t="s">
        <v>2617</v>
      </c>
      <c r="S148" s="1" t="s">
        <v>2617</v>
      </c>
      <c r="Z148" s="1" t="s">
        <v>2618</v>
      </c>
      <c r="AA148" s="10">
        <v>250000.0</v>
      </c>
      <c r="AB148" s="1" t="s">
        <v>2619</v>
      </c>
      <c r="AC148" s="10">
        <v>1500000.0</v>
      </c>
      <c r="AD148" s="1" t="s">
        <v>2620</v>
      </c>
      <c r="AE148" s="10">
        <v>2500000.0</v>
      </c>
      <c r="AF148" s="10">
        <v>3500000.0</v>
      </c>
      <c r="AG148" s="9" t="s">
        <v>2621</v>
      </c>
      <c r="AI148" s="1" t="s">
        <v>1315</v>
      </c>
      <c r="AJ148" s="3"/>
      <c r="AK148" s="3"/>
      <c r="AL148" s="3"/>
      <c r="AM148" s="1" t="s">
        <v>2622</v>
      </c>
      <c r="AN148" s="7" t="s">
        <v>2623</v>
      </c>
      <c r="AO148" s="8" t="str">
        <f>HYPERLINK("https://docs.google.com/document/d/1mOsHtArkq-PN9noMZb4oaDNVzKVVK60xFIopJMHg8KU/edit?usp=drivesdk","Al-Wildan 1 Gading Serpong_Ahdiyah_Dinniyah")</f>
        <v>Al-Wildan 1 Gading Serpong_Ahdiyah_Dinniyah</v>
      </c>
      <c r="AP148" s="1" t="s">
        <v>2624</v>
      </c>
    </row>
    <row r="149">
      <c r="A149" s="6">
        <v>44036.85970878472</v>
      </c>
      <c r="B149" s="7" t="s">
        <v>2625</v>
      </c>
      <c r="C149" s="8" t="s">
        <v>2626</v>
      </c>
      <c r="D149" s="1" t="s">
        <v>2627</v>
      </c>
      <c r="E149" s="9" t="s">
        <v>2628</v>
      </c>
      <c r="F149" s="1" t="s">
        <v>2629</v>
      </c>
      <c r="G149" s="1" t="s">
        <v>2630</v>
      </c>
      <c r="H149" s="1" t="s">
        <v>2631</v>
      </c>
      <c r="I149" s="9" t="s">
        <v>2632</v>
      </c>
      <c r="J149" s="1" t="s">
        <v>2633</v>
      </c>
      <c r="K149" s="1" t="s">
        <v>151</v>
      </c>
      <c r="L149" s="1" t="s">
        <v>329</v>
      </c>
      <c r="M149" s="1" t="s">
        <v>104</v>
      </c>
      <c r="N149" s="1" t="s">
        <v>311</v>
      </c>
      <c r="O149" s="1" t="s">
        <v>312</v>
      </c>
      <c r="P149" s="1" t="s">
        <v>107</v>
      </c>
      <c r="Q149" s="1" t="s">
        <v>2634</v>
      </c>
      <c r="R149" s="1" t="s">
        <v>311</v>
      </c>
      <c r="S149" s="1" t="s">
        <v>2635</v>
      </c>
      <c r="Z149" s="1" t="s">
        <v>2636</v>
      </c>
      <c r="AA149" s="1" t="s">
        <v>2637</v>
      </c>
      <c r="AF149" s="1" t="s">
        <v>2638</v>
      </c>
      <c r="AG149" s="9" t="s">
        <v>2639</v>
      </c>
      <c r="AI149" s="1" t="s">
        <v>655</v>
      </c>
      <c r="AJ149" s="3"/>
      <c r="AK149" s="3"/>
      <c r="AL149" s="3"/>
      <c r="AM149" s="1" t="s">
        <v>2640</v>
      </c>
      <c r="AN149" s="7" t="s">
        <v>2641</v>
      </c>
      <c r="AO149" s="8" t="str">
        <f>HYPERLINK("https://docs.google.com/document/d/12mw4S7wOrQG0Uq3miLu6FQD3Ju8hFPn9i2kWNydcxV4/edit?usp=drivesdk","Al-Wildan 1 Gading Serpong_Yasinta Maulida Albahti_Al Qur'an")</f>
        <v>Al-Wildan 1 Gading Serpong_Yasinta Maulida Albahti_Al Qur'an</v>
      </c>
      <c r="AP149" s="1" t="s">
        <v>2642</v>
      </c>
    </row>
    <row r="150">
      <c r="A150" s="6">
        <v>44038.61975229166</v>
      </c>
      <c r="B150" s="7" t="s">
        <v>2643</v>
      </c>
      <c r="C150" s="8" t="s">
        <v>2644</v>
      </c>
      <c r="D150" s="1" t="s">
        <v>2645</v>
      </c>
      <c r="E150" s="9" t="s">
        <v>2646</v>
      </c>
      <c r="F150" s="1" t="s">
        <v>2647</v>
      </c>
      <c r="G150" s="1" t="s">
        <v>2648</v>
      </c>
      <c r="H150" s="1" t="s">
        <v>2649</v>
      </c>
      <c r="I150" s="9" t="s">
        <v>2650</v>
      </c>
      <c r="J150" s="1" t="s">
        <v>2651</v>
      </c>
      <c r="K150" s="1" t="s">
        <v>102</v>
      </c>
      <c r="L150" s="1" t="s">
        <v>103</v>
      </c>
      <c r="M150" s="1" t="s">
        <v>104</v>
      </c>
      <c r="N150" s="1" t="s">
        <v>2652</v>
      </c>
      <c r="O150" s="1" t="s">
        <v>312</v>
      </c>
      <c r="P150" s="1" t="s">
        <v>107</v>
      </c>
      <c r="Q150" s="1" t="s">
        <v>2653</v>
      </c>
      <c r="R150" s="1" t="s">
        <v>217</v>
      </c>
      <c r="S150" s="1" t="s">
        <v>217</v>
      </c>
      <c r="T150" s="1" t="s">
        <v>217</v>
      </c>
      <c r="U150" s="1" t="s">
        <v>217</v>
      </c>
      <c r="V150" s="1" t="s">
        <v>217</v>
      </c>
      <c r="W150" s="1" t="s">
        <v>217</v>
      </c>
      <c r="X150" s="1" t="s">
        <v>217</v>
      </c>
      <c r="Z150" s="1" t="s">
        <v>2654</v>
      </c>
      <c r="AA150" s="10">
        <v>2500000.0</v>
      </c>
      <c r="AB150" s="1" t="s">
        <v>2655</v>
      </c>
      <c r="AC150" s="10">
        <v>3500000.0</v>
      </c>
      <c r="AD150" s="1" t="s">
        <v>217</v>
      </c>
      <c r="AE150" s="1" t="s">
        <v>217</v>
      </c>
      <c r="AF150" s="10">
        <v>4000000.0</v>
      </c>
      <c r="AG150" s="9" t="s">
        <v>2034</v>
      </c>
      <c r="AI150" s="1" t="s">
        <v>178</v>
      </c>
      <c r="AJ150" s="3"/>
      <c r="AK150" s="3"/>
      <c r="AL150" s="3"/>
      <c r="AM150" s="1" t="s">
        <v>2656</v>
      </c>
      <c r="AN150" s="7" t="s">
        <v>2657</v>
      </c>
      <c r="AO150" s="8" t="str">
        <f>HYPERLINK("https://docs.google.com/document/d/1AwneH8WuGd6R-34hgx-Ls0GgyrolUQdOuh_qBifM0tI/edit?usp=drivesdk","Al-Wildan 1 Gading Serpong_Haifa Ali Hizam_Al Quran dan diniyah")</f>
        <v>Al-Wildan 1 Gading Serpong_Haifa Ali Hizam_Al Quran dan diniyah</v>
      </c>
      <c r="AP150" s="1" t="s">
        <v>2658</v>
      </c>
    </row>
    <row r="151">
      <c r="A151" s="6">
        <v>44039.597913564816</v>
      </c>
      <c r="B151" s="7" t="s">
        <v>2659</v>
      </c>
      <c r="C151" s="8" t="s">
        <v>2660</v>
      </c>
      <c r="D151" s="1" t="s">
        <v>2661</v>
      </c>
      <c r="E151" s="9" t="s">
        <v>2662</v>
      </c>
      <c r="F151" s="1" t="s">
        <v>2663</v>
      </c>
      <c r="G151" s="1" t="s">
        <v>703</v>
      </c>
      <c r="H151" s="1" t="s">
        <v>703</v>
      </c>
      <c r="I151" s="9" t="s">
        <v>2664</v>
      </c>
      <c r="J151" s="1" t="s">
        <v>2665</v>
      </c>
      <c r="K151" s="1" t="s">
        <v>151</v>
      </c>
      <c r="L151" s="1" t="s">
        <v>329</v>
      </c>
      <c r="M151" s="1" t="s">
        <v>104</v>
      </c>
      <c r="N151" s="1" t="s">
        <v>2197</v>
      </c>
      <c r="O151" s="1" t="s">
        <v>312</v>
      </c>
      <c r="P151" s="1" t="s">
        <v>107</v>
      </c>
      <c r="Q151" s="1" t="s">
        <v>217</v>
      </c>
      <c r="R151" s="1" t="s">
        <v>217</v>
      </c>
      <c r="S151" s="1" t="s">
        <v>217</v>
      </c>
      <c r="T151" s="1" t="s">
        <v>217</v>
      </c>
      <c r="U151" s="1" t="s">
        <v>217</v>
      </c>
      <c r="V151" s="1" t="s">
        <v>217</v>
      </c>
      <c r="W151" s="1" t="s">
        <v>217</v>
      </c>
      <c r="X151" s="1" t="s">
        <v>217</v>
      </c>
      <c r="Y151" s="1">
        <v>0.0</v>
      </c>
      <c r="Z151" s="1" t="s">
        <v>217</v>
      </c>
      <c r="AA151" s="1" t="s">
        <v>217</v>
      </c>
      <c r="AB151" s="1" t="s">
        <v>217</v>
      </c>
      <c r="AC151" s="1" t="s">
        <v>217</v>
      </c>
      <c r="AD151" s="1" t="s">
        <v>217</v>
      </c>
      <c r="AE151" s="1" t="s">
        <v>217</v>
      </c>
      <c r="AF151" s="10">
        <v>1500000.0</v>
      </c>
      <c r="AG151" s="1">
        <v>0.0</v>
      </c>
      <c r="AH151" s="1">
        <v>0.0</v>
      </c>
      <c r="AI151" s="1" t="s">
        <v>217</v>
      </c>
      <c r="AJ151" s="3"/>
      <c r="AK151" s="3"/>
      <c r="AL151" s="3"/>
      <c r="AM151" s="1" t="s">
        <v>2666</v>
      </c>
      <c r="AN151" s="7" t="s">
        <v>2667</v>
      </c>
      <c r="AO151" s="8" t="str">
        <f>HYPERLINK("https://docs.google.com/document/d/1AI1qMR_V574rKAfPLQ2YKi3JhZ5GBEqMonyc1A8gQSY/edit?usp=drivesdk","Al-Wildan 1 Gading Serpong_Baiq Zauzaini_Al-Qur'an")</f>
        <v>Al-Wildan 1 Gading Serpong_Baiq Zauzaini_Al-Qur'an</v>
      </c>
      <c r="AP151" s="1" t="s">
        <v>2668</v>
      </c>
    </row>
    <row r="152">
      <c r="A152" s="6">
        <v>44040.45566506944</v>
      </c>
      <c r="B152" s="7" t="s">
        <v>2669</v>
      </c>
      <c r="C152" s="8" t="s">
        <v>2670</v>
      </c>
      <c r="D152" s="1" t="s">
        <v>2671</v>
      </c>
      <c r="E152" s="9" t="s">
        <v>2672</v>
      </c>
      <c r="F152" s="1" t="s">
        <v>2673</v>
      </c>
      <c r="G152" s="1" t="s">
        <v>2674</v>
      </c>
      <c r="H152" s="1" t="s">
        <v>327</v>
      </c>
      <c r="I152" s="9" t="s">
        <v>2675</v>
      </c>
      <c r="J152" s="1" t="s">
        <v>2676</v>
      </c>
      <c r="K152" s="1" t="s">
        <v>102</v>
      </c>
      <c r="L152" s="1" t="s">
        <v>103</v>
      </c>
      <c r="M152" s="1" t="s">
        <v>2677</v>
      </c>
      <c r="O152" s="1" t="s">
        <v>1693</v>
      </c>
      <c r="P152" s="1" t="s">
        <v>107</v>
      </c>
      <c r="Q152" s="1" t="s">
        <v>2678</v>
      </c>
      <c r="R152" s="1" t="s">
        <v>238</v>
      </c>
      <c r="S152" s="1" t="s">
        <v>2679</v>
      </c>
      <c r="Z152" s="1" t="s">
        <v>2680</v>
      </c>
      <c r="AB152" s="1" t="s">
        <v>2681</v>
      </c>
      <c r="AF152" s="10">
        <v>5000000.0</v>
      </c>
      <c r="AG152" s="9" t="s">
        <v>2682</v>
      </c>
      <c r="AI152" s="1" t="s">
        <v>178</v>
      </c>
      <c r="AJ152" s="3"/>
      <c r="AK152" s="3"/>
      <c r="AL152" s="3"/>
      <c r="AM152" s="1" t="s">
        <v>2683</v>
      </c>
      <c r="AN152" s="7" t="s">
        <v>2684</v>
      </c>
      <c r="AO152" s="8" t="str">
        <f>HYPERLINK("https://docs.google.com/document/d/1GHW--14zKWLQBxoyzaMzxvRm-UfQ1XEvOHRm5JON9JQ/edit?usp=drivesdk","Al-Wildan 1 Gading Serpong_Mustafa, S.Kom._")</f>
        <v>Al-Wildan 1 Gading Serpong_Mustafa, S.Kom._</v>
      </c>
      <c r="AP152" s="1" t="s">
        <v>2685</v>
      </c>
    </row>
    <row r="153">
      <c r="A153" s="6">
        <v>44040.587087314816</v>
      </c>
      <c r="B153" s="7" t="s">
        <v>2686</v>
      </c>
      <c r="C153" s="8" t="s">
        <v>2687</v>
      </c>
      <c r="D153" s="1" t="s">
        <v>2287</v>
      </c>
      <c r="E153" s="9" t="s">
        <v>2288</v>
      </c>
      <c r="F153" s="1" t="s">
        <v>2289</v>
      </c>
      <c r="G153" s="1" t="s">
        <v>2688</v>
      </c>
      <c r="H153" s="1" t="s">
        <v>2689</v>
      </c>
      <c r="I153" s="9" t="s">
        <v>2291</v>
      </c>
      <c r="J153" s="1" t="s">
        <v>2690</v>
      </c>
      <c r="K153" s="1" t="s">
        <v>151</v>
      </c>
      <c r="L153" s="1" t="s">
        <v>256</v>
      </c>
      <c r="M153" s="1" t="s">
        <v>104</v>
      </c>
      <c r="N153" s="1" t="s">
        <v>2691</v>
      </c>
      <c r="O153" s="1" t="s">
        <v>312</v>
      </c>
      <c r="P153" s="1" t="s">
        <v>237</v>
      </c>
      <c r="Q153" s="1" t="s">
        <v>217</v>
      </c>
      <c r="R153" s="1" t="s">
        <v>217</v>
      </c>
      <c r="S153" s="1" t="s">
        <v>217</v>
      </c>
      <c r="T153" s="1" t="s">
        <v>217</v>
      </c>
      <c r="U153" s="1" t="s">
        <v>217</v>
      </c>
      <c r="V153" s="1" t="s">
        <v>217</v>
      </c>
      <c r="W153" s="1" t="s">
        <v>217</v>
      </c>
      <c r="X153" s="1" t="s">
        <v>217</v>
      </c>
      <c r="Y153" s="1">
        <v>0.0</v>
      </c>
      <c r="Z153" s="1" t="s">
        <v>2692</v>
      </c>
      <c r="AA153" s="10">
        <v>1500000.0</v>
      </c>
      <c r="AB153" s="1" t="s">
        <v>217</v>
      </c>
      <c r="AC153" s="1" t="s">
        <v>217</v>
      </c>
      <c r="AD153" s="1" t="s">
        <v>217</v>
      </c>
      <c r="AE153" s="1" t="s">
        <v>217</v>
      </c>
      <c r="AF153" s="1" t="s">
        <v>2693</v>
      </c>
      <c r="AG153" s="9" t="s">
        <v>2295</v>
      </c>
      <c r="AI153" s="1" t="s">
        <v>712</v>
      </c>
      <c r="AJ153" s="3"/>
      <c r="AK153" s="3"/>
      <c r="AL153" s="3"/>
      <c r="AM153" s="1" t="s">
        <v>2694</v>
      </c>
      <c r="AN153" s="7" t="s">
        <v>2695</v>
      </c>
      <c r="AO153" s="8" t="str">
        <f>HYPERLINK("https://docs.google.com/document/d/10fm-MIfG35_QzXISd0FntlcnxPM9FsgopZBEOSfdbAU/edit?usp=drivesdk","Al-Wildan 4 Lebak Bulus_Ichwan Agung Adhiraja Zulfikar_Al Quran")</f>
        <v>Al-Wildan 4 Lebak Bulus_Ichwan Agung Adhiraja Zulfikar_Al Quran</v>
      </c>
      <c r="AP153" s="1" t="s">
        <v>2696</v>
      </c>
    </row>
    <row r="154">
      <c r="A154" s="6">
        <v>44040.61426928241</v>
      </c>
      <c r="B154" s="7" t="s">
        <v>2697</v>
      </c>
      <c r="C154" s="8" t="s">
        <v>2698</v>
      </c>
      <c r="D154" s="1" t="s">
        <v>2699</v>
      </c>
      <c r="E154" s="9" t="s">
        <v>2700</v>
      </c>
      <c r="F154" s="1" t="s">
        <v>2701</v>
      </c>
      <c r="G154" s="1" t="s">
        <v>2702</v>
      </c>
      <c r="H154" s="1" t="s">
        <v>1411</v>
      </c>
      <c r="I154" s="9" t="s">
        <v>2703</v>
      </c>
      <c r="J154" s="1" t="s">
        <v>2704</v>
      </c>
      <c r="K154" s="1" t="s">
        <v>102</v>
      </c>
      <c r="L154" s="1" t="s">
        <v>310</v>
      </c>
      <c r="M154" s="1" t="s">
        <v>589</v>
      </c>
      <c r="O154" s="1" t="s">
        <v>1202</v>
      </c>
      <c r="P154" s="1" t="s">
        <v>107</v>
      </c>
      <c r="Q154" s="1" t="s">
        <v>217</v>
      </c>
      <c r="R154" s="1" t="s">
        <v>217</v>
      </c>
      <c r="S154" s="1" t="s">
        <v>217</v>
      </c>
      <c r="T154" s="1" t="s">
        <v>217</v>
      </c>
      <c r="U154" s="1" t="s">
        <v>217</v>
      </c>
      <c r="V154" s="1" t="s">
        <v>217</v>
      </c>
      <c r="W154" s="1" t="s">
        <v>217</v>
      </c>
      <c r="X154" s="1" t="s">
        <v>217</v>
      </c>
      <c r="Z154" s="1" t="s">
        <v>2705</v>
      </c>
      <c r="AA154" s="10">
        <v>1.5E7</v>
      </c>
      <c r="AB154" s="1" t="s">
        <v>2706</v>
      </c>
      <c r="AC154" s="10">
        <v>1.0E7</v>
      </c>
      <c r="AD154" s="1" t="s">
        <v>2707</v>
      </c>
      <c r="AE154" s="10">
        <v>7000000.0</v>
      </c>
      <c r="AF154" s="10">
        <v>1.0E7</v>
      </c>
      <c r="AG154" s="9" t="s">
        <v>2708</v>
      </c>
      <c r="AI154" s="1" t="s">
        <v>159</v>
      </c>
      <c r="AJ154" s="3"/>
      <c r="AK154" s="3"/>
      <c r="AL154" s="3"/>
      <c r="AM154" s="1" t="s">
        <v>2709</v>
      </c>
      <c r="AN154" s="7" t="s">
        <v>2710</v>
      </c>
      <c r="AO154" s="8" t="str">
        <f>HYPERLINK("https://docs.google.com/document/d/1aEk9u_fAtlp7fBM1hLfcwburkPjsoi0HJbfDTwxFaA4/edit?usp=drivesdk","Al-Wildan 1 Gading Serpong_Nuning Suprobojati _")</f>
        <v>Al-Wildan 1 Gading Serpong_Nuning Suprobojati _</v>
      </c>
      <c r="AP154" s="1" t="s">
        <v>2711</v>
      </c>
    </row>
    <row r="155">
      <c r="A155" s="6">
        <v>44040.76826813657</v>
      </c>
      <c r="B155" s="7" t="s">
        <v>2712</v>
      </c>
      <c r="C155" s="8" t="s">
        <v>2713</v>
      </c>
      <c r="D155" s="1" t="s">
        <v>2714</v>
      </c>
      <c r="E155" s="9" t="s">
        <v>2715</v>
      </c>
      <c r="F155" s="1" t="s">
        <v>2716</v>
      </c>
      <c r="G155" s="1" t="s">
        <v>2717</v>
      </c>
      <c r="H155" s="1" t="s">
        <v>1255</v>
      </c>
      <c r="I155" s="9" t="s">
        <v>2718</v>
      </c>
      <c r="J155" s="1" t="s">
        <v>2719</v>
      </c>
      <c r="K155" s="1" t="s">
        <v>102</v>
      </c>
      <c r="L155" s="1" t="s">
        <v>103</v>
      </c>
      <c r="M155" s="1" t="s">
        <v>104</v>
      </c>
      <c r="N155" s="1" t="s">
        <v>2720</v>
      </c>
      <c r="O155" s="1" t="s">
        <v>236</v>
      </c>
      <c r="P155" s="1" t="s">
        <v>128</v>
      </c>
      <c r="Q155" s="1" t="s">
        <v>2721</v>
      </c>
      <c r="R155" s="1" t="s">
        <v>552</v>
      </c>
      <c r="S155" s="9" t="s">
        <v>2722</v>
      </c>
      <c r="Z155" s="1" t="s">
        <v>2723</v>
      </c>
      <c r="AA155" s="10">
        <v>4800000.0</v>
      </c>
      <c r="AB155" s="1" t="s">
        <v>2724</v>
      </c>
      <c r="AC155" s="10">
        <v>4300000.0</v>
      </c>
      <c r="AD155" s="1" t="s">
        <v>2725</v>
      </c>
      <c r="AE155" s="10">
        <v>5500000.0</v>
      </c>
      <c r="AF155" s="10">
        <v>6000000.0</v>
      </c>
      <c r="AG155" s="9" t="s">
        <v>2726</v>
      </c>
      <c r="AI155" s="1" t="s">
        <v>159</v>
      </c>
      <c r="AJ155" s="3"/>
      <c r="AK155" s="3"/>
      <c r="AL155" s="3"/>
      <c r="AM155" s="1" t="s">
        <v>2727</v>
      </c>
      <c r="AN155" s="7" t="s">
        <v>2728</v>
      </c>
      <c r="AO155" s="8" t="str">
        <f>HYPERLINK("https://docs.google.com/document/d/14nOxcbK1Ej0xKoMONGZshFWnPEyq2JSyfCf3Z2lSkJ0/edit?usp=drivesdk","Al-Wildan 3 BSD_Sarkim, S.Si_Matematika dan Fisika")</f>
        <v>Al-Wildan 3 BSD_Sarkim, S.Si_Matematika dan Fisika</v>
      </c>
      <c r="AP155" s="1" t="s">
        <v>2729</v>
      </c>
    </row>
    <row r="156">
      <c r="A156" s="6">
        <v>44041.61226434028</v>
      </c>
      <c r="B156" s="7" t="s">
        <v>2730</v>
      </c>
      <c r="C156" s="8" t="s">
        <v>2731</v>
      </c>
      <c r="D156" s="1" t="s">
        <v>2732</v>
      </c>
      <c r="E156" s="9" t="s">
        <v>2733</v>
      </c>
      <c r="F156" s="1" t="s">
        <v>2734</v>
      </c>
      <c r="G156" s="1" t="s">
        <v>2735</v>
      </c>
      <c r="H156" s="1" t="s">
        <v>188</v>
      </c>
      <c r="I156" s="9" t="s">
        <v>2736</v>
      </c>
      <c r="J156" s="1" t="s">
        <v>2737</v>
      </c>
      <c r="K156" s="1" t="s">
        <v>151</v>
      </c>
      <c r="L156" s="1" t="s">
        <v>329</v>
      </c>
      <c r="M156" s="1" t="s">
        <v>104</v>
      </c>
      <c r="N156" s="1" t="s">
        <v>2738</v>
      </c>
      <c r="O156" s="1" t="s">
        <v>312</v>
      </c>
      <c r="P156" s="1" t="s">
        <v>107</v>
      </c>
      <c r="Q156" s="1" t="s">
        <v>217</v>
      </c>
      <c r="R156" s="1" t="s">
        <v>217</v>
      </c>
      <c r="S156" s="1" t="s">
        <v>217</v>
      </c>
      <c r="Z156" s="1" t="s">
        <v>2739</v>
      </c>
      <c r="AA156" s="1" t="s">
        <v>2740</v>
      </c>
      <c r="AB156" s="1" t="s">
        <v>2741</v>
      </c>
      <c r="AC156" s="10">
        <v>1975000.0</v>
      </c>
      <c r="AF156" s="1" t="s">
        <v>2742</v>
      </c>
      <c r="AG156" s="9" t="s">
        <v>2743</v>
      </c>
      <c r="AI156" s="1" t="s">
        <v>782</v>
      </c>
      <c r="AJ156" s="3"/>
      <c r="AK156" s="3"/>
      <c r="AL156" s="3"/>
      <c r="AM156" s="1" t="s">
        <v>2744</v>
      </c>
      <c r="AN156" s="7" t="s">
        <v>2745</v>
      </c>
      <c r="AO156" s="8" t="str">
        <f>HYPERLINK("https://docs.google.com/document/d/1pVba6axHsTdvSfTVd5VIzHOSyUTfEZ2yrce7kj2u4po/edit?usp=drivesdk","Al-Wildan 1 Gading Serpong_Habibatul Ummah_Halaqah")</f>
        <v>Al-Wildan 1 Gading Serpong_Habibatul Ummah_Halaqah</v>
      </c>
      <c r="AP156" s="1" t="s">
        <v>2746</v>
      </c>
    </row>
    <row r="157">
      <c r="A157" s="6">
        <v>44049.34730671297</v>
      </c>
      <c r="B157" s="7" t="s">
        <v>2747</v>
      </c>
      <c r="C157" s="8" t="s">
        <v>2748</v>
      </c>
      <c r="D157" s="1" t="s">
        <v>2749</v>
      </c>
      <c r="E157" s="9" t="s">
        <v>2750</v>
      </c>
      <c r="F157" s="1" t="s">
        <v>2751</v>
      </c>
      <c r="G157" s="1" t="s">
        <v>2752</v>
      </c>
      <c r="H157" s="1" t="s">
        <v>359</v>
      </c>
      <c r="I157" s="9" t="s">
        <v>2753</v>
      </c>
      <c r="J157" s="1" t="s">
        <v>2754</v>
      </c>
      <c r="K157" s="1" t="s">
        <v>102</v>
      </c>
      <c r="L157" s="1" t="s">
        <v>103</v>
      </c>
      <c r="M157" s="1" t="s">
        <v>104</v>
      </c>
      <c r="N157" s="1" t="s">
        <v>1275</v>
      </c>
      <c r="O157" s="1" t="s">
        <v>127</v>
      </c>
      <c r="P157" s="1" t="s">
        <v>128</v>
      </c>
      <c r="Q157" s="1" t="s">
        <v>2755</v>
      </c>
      <c r="R157" s="1" t="s">
        <v>1275</v>
      </c>
      <c r="S157" s="1" t="s">
        <v>831</v>
      </c>
      <c r="AF157" s="10">
        <v>7000000.0</v>
      </c>
      <c r="AG157" s="9" t="s">
        <v>2756</v>
      </c>
      <c r="AI157" s="1" t="s">
        <v>178</v>
      </c>
      <c r="AJ157" s="3"/>
      <c r="AK157" s="3"/>
      <c r="AL157" s="3"/>
      <c r="AM157" s="1" t="s">
        <v>2757</v>
      </c>
      <c r="AN157" s="7" t="s">
        <v>2758</v>
      </c>
      <c r="AO157" s="8" t="str">
        <f>HYPERLINK("https://docs.google.com/document/d/1fjonWvUHENQlgh_0N1f_GOBrwgZcw-LIpf7zfFQjAMA/edit?usp=drivesdk","Al-Wildan 3 BSD_Burhan Shidqi, S.Si._Biologi")</f>
        <v>Al-Wildan 3 BSD_Burhan Shidqi, S.Si._Biologi</v>
      </c>
      <c r="AP157" s="1" t="s">
        <v>2759</v>
      </c>
    </row>
    <row r="158">
      <c r="A158" s="6">
        <v>44050.74036278935</v>
      </c>
      <c r="B158" s="7" t="s">
        <v>2760</v>
      </c>
      <c r="C158" s="8" t="s">
        <v>2761</v>
      </c>
      <c r="D158" s="1" t="s">
        <v>2762</v>
      </c>
      <c r="E158" s="9" t="s">
        <v>2763</v>
      </c>
      <c r="F158" s="1" t="s">
        <v>2764</v>
      </c>
      <c r="G158" s="1" t="s">
        <v>2765</v>
      </c>
      <c r="H158" s="1" t="s">
        <v>2766</v>
      </c>
      <c r="I158" s="9" t="s">
        <v>2767</v>
      </c>
      <c r="J158" s="1" t="s">
        <v>2768</v>
      </c>
      <c r="K158" s="1" t="s">
        <v>151</v>
      </c>
      <c r="L158" s="1" t="s">
        <v>256</v>
      </c>
      <c r="M158" s="1" t="s">
        <v>104</v>
      </c>
      <c r="N158" s="1" t="s">
        <v>2769</v>
      </c>
      <c r="O158" s="1" t="s">
        <v>127</v>
      </c>
      <c r="P158" s="1" t="s">
        <v>128</v>
      </c>
      <c r="Q158" s="1" t="s">
        <v>2770</v>
      </c>
      <c r="R158" s="1" t="s">
        <v>2031</v>
      </c>
      <c r="S158" s="1" t="s">
        <v>1364</v>
      </c>
      <c r="T158" s="1" t="s">
        <v>217</v>
      </c>
      <c r="U158" s="1" t="s">
        <v>217</v>
      </c>
      <c r="V158" s="1" t="s">
        <v>217</v>
      </c>
      <c r="W158" s="1" t="s">
        <v>217</v>
      </c>
      <c r="X158" s="1" t="s">
        <v>217</v>
      </c>
      <c r="Y158" s="1">
        <v>0.0</v>
      </c>
      <c r="Z158" s="1" t="s">
        <v>1998</v>
      </c>
      <c r="AA158" s="1" t="s">
        <v>217</v>
      </c>
      <c r="AB158" s="1" t="s">
        <v>217</v>
      </c>
      <c r="AC158" s="1" t="s">
        <v>217</v>
      </c>
      <c r="AD158" s="1" t="s">
        <v>217</v>
      </c>
      <c r="AE158" s="1" t="s">
        <v>217</v>
      </c>
      <c r="AF158" s="1" t="s">
        <v>217</v>
      </c>
      <c r="AG158" s="9" t="s">
        <v>2771</v>
      </c>
      <c r="AH158" s="1">
        <v>0.0</v>
      </c>
      <c r="AI158" s="1" t="s">
        <v>2772</v>
      </c>
      <c r="AJ158" s="3"/>
      <c r="AK158" s="3"/>
      <c r="AL158" s="3"/>
      <c r="AM158" s="1" t="s">
        <v>2773</v>
      </c>
      <c r="AN158" s="7" t="s">
        <v>2774</v>
      </c>
      <c r="AO158" s="8" t="str">
        <f>HYPERLINK("https://docs.google.com/document/d/1ehkP8orukJ05ldqi2I9gZ4qntns4x7K0LtrYA28Ye8g/edit?usp=drivesdk","Al-Wildan 3 BSD_MUHAMMAD AWALUDIN LC_Arabic")</f>
        <v>Al-Wildan 3 BSD_MUHAMMAD AWALUDIN LC_Arabic</v>
      </c>
      <c r="AP158" s="1" t="s">
        <v>2775</v>
      </c>
    </row>
    <row r="159">
      <c r="A159" s="6">
        <v>44065.8512977662</v>
      </c>
      <c r="B159" s="7" t="s">
        <v>2776</v>
      </c>
      <c r="C159" s="8" t="s">
        <v>2777</v>
      </c>
      <c r="D159" s="1" t="s">
        <v>2778</v>
      </c>
      <c r="E159" s="9" t="s">
        <v>2779</v>
      </c>
      <c r="F159" s="1" t="s">
        <v>2780</v>
      </c>
      <c r="G159" s="1" t="s">
        <v>2781</v>
      </c>
      <c r="H159" s="1" t="s">
        <v>169</v>
      </c>
      <c r="I159" s="9" t="s">
        <v>2782</v>
      </c>
      <c r="J159" s="1" t="s">
        <v>2783</v>
      </c>
      <c r="K159" s="1" t="s">
        <v>102</v>
      </c>
      <c r="L159" s="1" t="s">
        <v>103</v>
      </c>
      <c r="M159" s="1" t="s">
        <v>377</v>
      </c>
      <c r="O159" s="1" t="s">
        <v>127</v>
      </c>
      <c r="P159" s="1" t="s">
        <v>107</v>
      </c>
      <c r="Q159" s="1" t="s">
        <v>214</v>
      </c>
      <c r="R159" s="1" t="s">
        <v>2784</v>
      </c>
      <c r="S159" s="9" t="s">
        <v>2785</v>
      </c>
      <c r="Z159" s="1" t="s">
        <v>2786</v>
      </c>
      <c r="AA159" s="10">
        <v>4000000.0</v>
      </c>
      <c r="AB159" s="1" t="s">
        <v>2787</v>
      </c>
      <c r="AC159" s="10">
        <v>4500000.0</v>
      </c>
      <c r="AD159" s="1" t="s">
        <v>2788</v>
      </c>
      <c r="AE159" s="10">
        <v>4000000.0</v>
      </c>
      <c r="AF159" s="10">
        <v>4250000.0</v>
      </c>
      <c r="AG159" s="9" t="s">
        <v>2789</v>
      </c>
      <c r="AH159" s="9" t="s">
        <v>2790</v>
      </c>
      <c r="AI159" s="1" t="s">
        <v>2407</v>
      </c>
      <c r="AJ159" s="3"/>
      <c r="AK159" s="3"/>
      <c r="AL159" s="3"/>
      <c r="AM159" s="1" t="s">
        <v>2791</v>
      </c>
      <c r="AN159" s="7" t="s">
        <v>2792</v>
      </c>
      <c r="AO159" s="8" t="str">
        <f>HYPERLINK("https://docs.google.com/document/d/1E-IY7GqcJImOkO75rTj4JXMed8hPMb4ICiDnHHaOb0A/edit?usp=drivesdk","Al-Wildan 1 Gading Serpong_Dini Alfian, S.Ak._")</f>
        <v>Al-Wildan 1 Gading Serpong_Dini Alfian, S.Ak._</v>
      </c>
      <c r="AP159" s="1" t="s">
        <v>2793</v>
      </c>
    </row>
    <row r="160">
      <c r="A160" s="6">
        <v>44067.440361180554</v>
      </c>
      <c r="B160" s="7" t="s">
        <v>2794</v>
      </c>
      <c r="C160" s="8" t="s">
        <v>2795</v>
      </c>
      <c r="D160" s="1" t="s">
        <v>2796</v>
      </c>
      <c r="E160" s="9" t="s">
        <v>2797</v>
      </c>
      <c r="F160" s="1" t="s">
        <v>2798</v>
      </c>
      <c r="G160" s="1" t="s">
        <v>2799</v>
      </c>
      <c r="H160" s="1" t="s">
        <v>169</v>
      </c>
      <c r="I160" s="9" t="s">
        <v>2800</v>
      </c>
      <c r="J160" s="1" t="s">
        <v>2801</v>
      </c>
      <c r="K160" s="1" t="s">
        <v>102</v>
      </c>
      <c r="L160" s="1" t="s">
        <v>103</v>
      </c>
      <c r="M160" s="1" t="s">
        <v>377</v>
      </c>
      <c r="O160" s="1" t="s">
        <v>1693</v>
      </c>
      <c r="P160" s="1" t="s">
        <v>107</v>
      </c>
      <c r="Q160" s="1" t="s">
        <v>2802</v>
      </c>
      <c r="R160" s="1" t="s">
        <v>2803</v>
      </c>
      <c r="S160" s="9" t="s">
        <v>2804</v>
      </c>
      <c r="Z160" s="1" t="s">
        <v>2805</v>
      </c>
      <c r="AA160" s="1">
        <v>2000000.0</v>
      </c>
      <c r="AB160" s="1" t="s">
        <v>2806</v>
      </c>
      <c r="AC160" s="1">
        <v>3000000.0</v>
      </c>
      <c r="AM160" s="1" t="s">
        <v>2807</v>
      </c>
      <c r="AN160" s="7" t="s">
        <v>2808</v>
      </c>
      <c r="AO160" s="8" t="str">
        <f>HYPERLINK("https://docs.google.com/document/d/15DH4wmkU-hIfzwEv3_xqFGxVSKo5SA2edzwNBe0NNjY/edit?usp=drivesdk","Al-Wildan 1 Gading Serpong_MUHAMMAD SYARIFUDDIN, S.Sos.I_")</f>
        <v>Al-Wildan 1 Gading Serpong_MUHAMMAD SYARIFUDDIN, S.Sos.I_</v>
      </c>
      <c r="AP160" s="1" t="s">
        <v>2809</v>
      </c>
    </row>
    <row r="161">
      <c r="A161" s="6">
        <v>44067.44742167824</v>
      </c>
      <c r="B161" s="7" t="s">
        <v>2810</v>
      </c>
      <c r="C161" s="8" t="s">
        <v>2811</v>
      </c>
      <c r="D161" s="1" t="s">
        <v>2812</v>
      </c>
      <c r="E161" s="9" t="s">
        <v>2813</v>
      </c>
      <c r="F161" s="1" t="s">
        <v>2814</v>
      </c>
      <c r="G161" s="1" t="s">
        <v>2815</v>
      </c>
      <c r="H161" s="1" t="s">
        <v>2816</v>
      </c>
      <c r="I161" s="9" t="s">
        <v>2817</v>
      </c>
      <c r="J161" s="1">
        <v>37.0</v>
      </c>
      <c r="K161" s="1" t="s">
        <v>102</v>
      </c>
      <c r="L161" s="1" t="s">
        <v>310</v>
      </c>
      <c r="M161" s="1" t="s">
        <v>2818</v>
      </c>
      <c r="N161" s="1" t="s">
        <v>2819</v>
      </c>
      <c r="O161" s="1" t="s">
        <v>1693</v>
      </c>
      <c r="P161" s="1" t="s">
        <v>107</v>
      </c>
      <c r="Q161" s="1" t="s">
        <v>2820</v>
      </c>
      <c r="R161" s="1" t="s">
        <v>2821</v>
      </c>
      <c r="S161" s="1" t="s">
        <v>595</v>
      </c>
      <c r="Z161" s="1" t="s">
        <v>2822</v>
      </c>
      <c r="AB161" s="1" t="s">
        <v>2823</v>
      </c>
      <c r="AD161" s="1" t="s">
        <v>2824</v>
      </c>
      <c r="AG161" s="9" t="s">
        <v>2825</v>
      </c>
      <c r="AI161" s="1" t="s">
        <v>782</v>
      </c>
      <c r="AJ161" s="3"/>
      <c r="AK161" s="3"/>
      <c r="AL161" s="3"/>
      <c r="AM161" s="1" t="s">
        <v>2826</v>
      </c>
      <c r="AN161" s="7" t="s">
        <v>2827</v>
      </c>
      <c r="AO161" s="8" t="str">
        <f>HYPERLINK("https://docs.google.com/document/d/1s_KaQvhkmXyQOp4pRaRvIcn7JlXnkKJL02_HS5_fg9Q/edit?usp=drivesdk","Al-Wildan 1 Gading Serpong_Anies shofan aridho, S.Kom_TIK")</f>
        <v>Al-Wildan 1 Gading Serpong_Anies shofan aridho, S.Kom_TIK</v>
      </c>
      <c r="AP161" s="1" t="s">
        <v>2828</v>
      </c>
    </row>
    <row r="162">
      <c r="A162" s="6">
        <v>44074.94542837963</v>
      </c>
      <c r="B162" s="7" t="s">
        <v>2829</v>
      </c>
      <c r="C162" s="8" t="s">
        <v>2830</v>
      </c>
      <c r="D162" s="1" t="s">
        <v>2831</v>
      </c>
      <c r="E162" s="9" t="s">
        <v>2832</v>
      </c>
      <c r="F162" s="1" t="s">
        <v>2833</v>
      </c>
      <c r="G162" s="1" t="s">
        <v>2834</v>
      </c>
      <c r="H162" s="1" t="s">
        <v>847</v>
      </c>
      <c r="I162" s="9" t="s">
        <v>2835</v>
      </c>
      <c r="J162" s="1" t="s">
        <v>2836</v>
      </c>
      <c r="K162" s="1" t="s">
        <v>151</v>
      </c>
      <c r="L162" s="1" t="s">
        <v>329</v>
      </c>
      <c r="M162" s="1" t="s">
        <v>1171</v>
      </c>
      <c r="N162" s="1" t="s">
        <v>771</v>
      </c>
      <c r="O162" s="1" t="s">
        <v>106</v>
      </c>
      <c r="P162" s="1" t="s">
        <v>128</v>
      </c>
      <c r="Q162" s="1" t="s">
        <v>2837</v>
      </c>
      <c r="R162" s="1" t="s">
        <v>2838</v>
      </c>
      <c r="S162" s="1">
        <v>3.1</v>
      </c>
      <c r="Z162" s="1" t="s">
        <v>2839</v>
      </c>
      <c r="AA162" s="10">
        <v>1700000.0</v>
      </c>
      <c r="AF162" s="10">
        <v>4500000.0</v>
      </c>
      <c r="AG162" s="9" t="s">
        <v>2840</v>
      </c>
      <c r="AI162" s="1" t="s">
        <v>178</v>
      </c>
      <c r="AJ162" s="3"/>
      <c r="AK162" s="3"/>
      <c r="AL162" s="3"/>
      <c r="AM162" s="1" t="s">
        <v>2841</v>
      </c>
      <c r="AN162" s="7" t="s">
        <v>2842</v>
      </c>
      <c r="AO162" s="8" t="str">
        <f>HYPERLINK("https://docs.google.com/document/d/1x4BB1fKqwL9SOinhDVKr0EVjk5iUd6N9sNR22YPX7lY/edit?usp=drivesdk","Al-Wildan 3 BSD_Sunardi, S. Pd_English")</f>
        <v>Al-Wildan 3 BSD_Sunardi, S. Pd_English</v>
      </c>
      <c r="AP162" s="1" t="s">
        <v>2843</v>
      </c>
    </row>
    <row r="163">
      <c r="A163" s="6">
        <v>44084.53921403935</v>
      </c>
      <c r="B163" s="7" t="s">
        <v>2844</v>
      </c>
      <c r="C163" s="8" t="s">
        <v>2845</v>
      </c>
      <c r="D163" s="1" t="s">
        <v>2846</v>
      </c>
      <c r="E163" s="1" t="s">
        <v>2847</v>
      </c>
      <c r="F163" s="1" t="s">
        <v>2848</v>
      </c>
      <c r="G163" s="1" t="s">
        <v>2849</v>
      </c>
      <c r="H163" s="1" t="s">
        <v>685</v>
      </c>
      <c r="I163" s="9" t="s">
        <v>2850</v>
      </c>
      <c r="J163" s="1" t="s">
        <v>2851</v>
      </c>
      <c r="K163" s="1" t="s">
        <v>151</v>
      </c>
      <c r="L163" s="1" t="s">
        <v>256</v>
      </c>
      <c r="M163" s="1" t="s">
        <v>1692</v>
      </c>
      <c r="O163" s="1" t="s">
        <v>1693</v>
      </c>
      <c r="P163" s="1" t="s">
        <v>128</v>
      </c>
      <c r="Q163" s="1" t="s">
        <v>1362</v>
      </c>
      <c r="R163" s="1" t="s">
        <v>2852</v>
      </c>
      <c r="S163" s="1">
        <v>2.79</v>
      </c>
      <c r="Z163" s="1" t="s">
        <v>2853</v>
      </c>
      <c r="AA163" s="1" t="s">
        <v>2854</v>
      </c>
      <c r="AB163" s="1" t="s">
        <v>2855</v>
      </c>
      <c r="AC163" s="1" t="s">
        <v>2856</v>
      </c>
      <c r="AD163" s="1" t="s">
        <v>2857</v>
      </c>
      <c r="AE163" s="1" t="s">
        <v>2858</v>
      </c>
      <c r="AF163" s="1" t="s">
        <v>2859</v>
      </c>
      <c r="AH163" s="1">
        <v>1.440015849273E12</v>
      </c>
      <c r="AI163" s="1" t="s">
        <v>2119</v>
      </c>
      <c r="AJ163" s="3"/>
      <c r="AK163" s="3"/>
      <c r="AL163" s="3"/>
      <c r="AM163" s="1" t="s">
        <v>2860</v>
      </c>
      <c r="AN163" s="7" t="s">
        <v>2861</v>
      </c>
      <c r="AO163" s="8" t="str">
        <f>HYPERLINK("https://docs.google.com/document/d/1WMDr0DD-VnRUsUuubvq9JJd2GVY1zNuwA18qLPcED_Y/edit?usp=drivesdk","Al-Wildan 3 BSD_Dinar Iman Rahmadi A.md_")</f>
        <v>Al-Wildan 3 BSD_Dinar Iman Rahmadi A.md_</v>
      </c>
      <c r="AP163" s="1" t="s">
        <v>2862</v>
      </c>
    </row>
    <row r="164">
      <c r="A164" s="6">
        <v>44088.81035196759</v>
      </c>
      <c r="B164" s="7" t="s">
        <v>2863</v>
      </c>
      <c r="C164" s="8" t="s">
        <v>2864</v>
      </c>
      <c r="D164" s="1" t="s">
        <v>2865</v>
      </c>
      <c r="E164" s="9" t="s">
        <v>2866</v>
      </c>
      <c r="F164" s="1" t="s">
        <v>2867</v>
      </c>
      <c r="G164" s="1" t="s">
        <v>99</v>
      </c>
      <c r="H164" s="1" t="s">
        <v>169</v>
      </c>
      <c r="I164" s="9" t="s">
        <v>2868</v>
      </c>
      <c r="J164" s="1" t="s">
        <v>2869</v>
      </c>
      <c r="K164" s="1" t="s">
        <v>151</v>
      </c>
      <c r="L164" s="1" t="s">
        <v>103</v>
      </c>
      <c r="M164" s="1" t="s">
        <v>1692</v>
      </c>
      <c r="O164" s="1" t="s">
        <v>1693</v>
      </c>
      <c r="P164" s="1" t="s">
        <v>107</v>
      </c>
      <c r="Q164" s="1" t="s">
        <v>275</v>
      </c>
      <c r="R164" s="1" t="s">
        <v>2870</v>
      </c>
      <c r="S164" s="1" t="s">
        <v>2679</v>
      </c>
      <c r="Z164" s="1" t="s">
        <v>2871</v>
      </c>
      <c r="AA164" s="10">
        <v>1.9E7</v>
      </c>
      <c r="AF164" s="10">
        <v>6000000.0</v>
      </c>
      <c r="AG164" s="1">
        <v>3.0835911E8</v>
      </c>
      <c r="AM164" s="1" t="s">
        <v>2872</v>
      </c>
      <c r="AN164" s="7" t="s">
        <v>2873</v>
      </c>
      <c r="AO164" s="8" t="str">
        <f>HYPERLINK("https://docs.google.com/document/d/1SKVoeTBosg1gpuDzYAnfYWwaSrfcTZx9Synvg5L9fyc/edit?usp=drivesdk","Al-Wildan 1 Gading Serpong_Cindy Permatasari, S. Hum_")</f>
        <v>Al-Wildan 1 Gading Serpong_Cindy Permatasari, S. Hum_</v>
      </c>
      <c r="AP164" s="1" t="s">
        <v>2874</v>
      </c>
    </row>
    <row r="165">
      <c r="A165" s="6">
        <v>44093.71512641203</v>
      </c>
      <c r="B165" s="7" t="s">
        <v>2875</v>
      </c>
      <c r="C165" s="8" t="s">
        <v>2876</v>
      </c>
      <c r="D165" s="1" t="s">
        <v>2877</v>
      </c>
      <c r="E165" s="9" t="s">
        <v>2878</v>
      </c>
      <c r="F165" s="1" t="s">
        <v>2879</v>
      </c>
      <c r="G165" s="1" t="s">
        <v>2880</v>
      </c>
      <c r="H165" s="1" t="s">
        <v>685</v>
      </c>
      <c r="I165" s="9" t="s">
        <v>2881</v>
      </c>
      <c r="J165" s="1" t="s">
        <v>2882</v>
      </c>
      <c r="K165" s="1" t="s">
        <v>102</v>
      </c>
      <c r="L165" s="1" t="s">
        <v>103</v>
      </c>
      <c r="M165" s="1" t="s">
        <v>104</v>
      </c>
      <c r="N165" s="1" t="s">
        <v>2883</v>
      </c>
      <c r="O165" s="1" t="s">
        <v>127</v>
      </c>
      <c r="P165" s="1" t="s">
        <v>128</v>
      </c>
      <c r="Q165" s="1" t="s">
        <v>2884</v>
      </c>
      <c r="R165" s="1" t="s">
        <v>2885</v>
      </c>
      <c r="S165" s="1" t="s">
        <v>831</v>
      </c>
      <c r="Z165" s="1" t="s">
        <v>2886</v>
      </c>
      <c r="AA165" s="1" t="s">
        <v>2887</v>
      </c>
      <c r="AB165" s="1" t="s">
        <v>2888</v>
      </c>
      <c r="AC165" s="1" t="s">
        <v>2889</v>
      </c>
      <c r="AD165" s="1" t="s">
        <v>2890</v>
      </c>
      <c r="AE165" s="1" t="s">
        <v>2891</v>
      </c>
      <c r="AF165" s="10">
        <v>9500000.0</v>
      </c>
      <c r="AG165" s="1">
        <v>1.330014583942E12</v>
      </c>
      <c r="AH165" s="1">
        <v>1.330014583942E12</v>
      </c>
      <c r="AI165" s="1" t="s">
        <v>2119</v>
      </c>
      <c r="AJ165" s="3"/>
      <c r="AK165" s="3"/>
      <c r="AL165" s="3"/>
      <c r="AM165" s="1" t="s">
        <v>2892</v>
      </c>
      <c r="AN165" s="7" t="s">
        <v>2893</v>
      </c>
      <c r="AO165" s="8" t="str">
        <f>HYPERLINK("https://docs.google.com/document/d/1HeUjHbp8iDrLBayY_LtwWcpgYfgAfhF5MetQWtqYSM8/edit?usp=drivesdk","Al-Wildan 3 BSD_Ari Dwi Anggoro S.T._Math")</f>
        <v>Al-Wildan 3 BSD_Ari Dwi Anggoro S.T._Math</v>
      </c>
      <c r="AP165" s="1" t="s">
        <v>2894</v>
      </c>
    </row>
    <row r="166">
      <c r="A166" s="6">
        <v>44124.547146261575</v>
      </c>
      <c r="B166" s="7" t="s">
        <v>2895</v>
      </c>
      <c r="C166" s="8" t="s">
        <v>2896</v>
      </c>
      <c r="D166" s="1" t="s">
        <v>2897</v>
      </c>
      <c r="E166" s="9" t="s">
        <v>2898</v>
      </c>
      <c r="F166" s="1" t="s">
        <v>2899</v>
      </c>
      <c r="G166" s="1" t="s">
        <v>2900</v>
      </c>
      <c r="H166" s="1" t="s">
        <v>1411</v>
      </c>
      <c r="I166" s="9" t="s">
        <v>2901</v>
      </c>
      <c r="J166" s="1" t="s">
        <v>588</v>
      </c>
      <c r="K166" s="1" t="s">
        <v>102</v>
      </c>
      <c r="L166" s="1" t="s">
        <v>103</v>
      </c>
      <c r="M166" s="1" t="s">
        <v>377</v>
      </c>
      <c r="O166" s="1" t="s">
        <v>1693</v>
      </c>
      <c r="P166" s="1" t="s">
        <v>128</v>
      </c>
      <c r="Q166" s="1" t="s">
        <v>2902</v>
      </c>
      <c r="R166" s="1" t="s">
        <v>2903</v>
      </c>
      <c r="S166" s="1" t="s">
        <v>2097</v>
      </c>
      <c r="Z166" s="1" t="s">
        <v>2904</v>
      </c>
      <c r="AA166" s="10">
        <v>6500000.0</v>
      </c>
      <c r="AM166" s="1" t="s">
        <v>2905</v>
      </c>
      <c r="AN166" s="7" t="s">
        <v>2906</v>
      </c>
      <c r="AO166" s="8" t="str">
        <f>HYPERLINK("https://docs.google.com/document/d/1mhCIx3zy6UBmDjE2jm4Ue_x73qGnXcqCQ2DUWMasCu4/edit?usp=drivesdk","Al-Wildan 3 BSD_Ady Kurnia Ibrahim S. IKom_")</f>
        <v>Al-Wildan 3 BSD_Ady Kurnia Ibrahim S. IKom_</v>
      </c>
      <c r="AP166" s="1" t="s">
        <v>2907</v>
      </c>
    </row>
    <row r="167">
      <c r="A167" s="6">
        <v>44124.55164650463</v>
      </c>
      <c r="B167" s="7" t="s">
        <v>2908</v>
      </c>
      <c r="C167" s="8" t="s">
        <v>2909</v>
      </c>
      <c r="D167" s="1" t="s">
        <v>2910</v>
      </c>
      <c r="E167" s="9" t="s">
        <v>2911</v>
      </c>
      <c r="F167" s="1" t="s">
        <v>2912</v>
      </c>
      <c r="G167" s="1" t="s">
        <v>2913</v>
      </c>
      <c r="H167" s="1" t="s">
        <v>2914</v>
      </c>
      <c r="I167" s="9" t="s">
        <v>2915</v>
      </c>
      <c r="J167" s="1" t="s">
        <v>2916</v>
      </c>
      <c r="K167" s="1" t="s">
        <v>151</v>
      </c>
      <c r="L167" s="1" t="s">
        <v>496</v>
      </c>
      <c r="M167" s="1" t="s">
        <v>1171</v>
      </c>
      <c r="N167" s="1" t="s">
        <v>2163</v>
      </c>
      <c r="O167" s="1" t="s">
        <v>236</v>
      </c>
      <c r="P167" s="1" t="s">
        <v>128</v>
      </c>
      <c r="Q167" s="1" t="s">
        <v>217</v>
      </c>
      <c r="R167" s="1" t="s">
        <v>217</v>
      </c>
      <c r="S167" s="1" t="s">
        <v>217</v>
      </c>
      <c r="T167" s="1" t="s">
        <v>217</v>
      </c>
      <c r="U167" s="1" t="s">
        <v>217</v>
      </c>
      <c r="V167" s="1" t="s">
        <v>217</v>
      </c>
      <c r="W167" s="1" t="s">
        <v>217</v>
      </c>
      <c r="X167" s="1" t="s">
        <v>217</v>
      </c>
      <c r="Y167" s="1">
        <v>0.0</v>
      </c>
      <c r="Z167" s="1" t="s">
        <v>2917</v>
      </c>
      <c r="AA167" s="1" t="s">
        <v>217</v>
      </c>
      <c r="AB167" s="1" t="s">
        <v>217</v>
      </c>
      <c r="AC167" s="1" t="s">
        <v>217</v>
      </c>
      <c r="AD167" s="1" t="s">
        <v>217</v>
      </c>
      <c r="AE167" s="1" t="s">
        <v>217</v>
      </c>
      <c r="AF167" s="1" t="s">
        <v>217</v>
      </c>
      <c r="AG167" s="9" t="s">
        <v>2918</v>
      </c>
      <c r="AH167" s="1">
        <v>3.990066611E9</v>
      </c>
      <c r="AI167" s="1" t="s">
        <v>222</v>
      </c>
      <c r="AJ167" s="3"/>
      <c r="AK167" s="3"/>
      <c r="AL167" s="3"/>
      <c r="AM167" s="1" t="s">
        <v>2919</v>
      </c>
      <c r="AN167" s="7" t="s">
        <v>2920</v>
      </c>
      <c r="AO167" s="8" t="str">
        <f>HYPERLINK("https://docs.google.com/document/d/1_Ca2F181ZmsQUsWJaSmL7-lgDv-AT94WPzlQXG2swQg/edit?usp=drivesdk","Al-Wildan 3 BSD_Dicky Saputra_Alquran")</f>
        <v>Al-Wildan 3 BSD_Dicky Saputra_Alquran</v>
      </c>
      <c r="AP167" s="1" t="s">
        <v>2921</v>
      </c>
    </row>
    <row r="168">
      <c r="A168" s="6">
        <v>44124.55307527778</v>
      </c>
      <c r="B168" s="7" t="s">
        <v>2922</v>
      </c>
      <c r="C168" s="8" t="s">
        <v>2923</v>
      </c>
      <c r="D168" s="1" t="s">
        <v>2924</v>
      </c>
      <c r="E168" s="9" t="s">
        <v>789</v>
      </c>
      <c r="F168" s="1">
        <v>3.17502260870001E15</v>
      </c>
      <c r="G168" s="1" t="s">
        <v>2925</v>
      </c>
      <c r="H168" s="1" t="s">
        <v>169</v>
      </c>
      <c r="I168" s="9" t="s">
        <v>791</v>
      </c>
      <c r="J168" s="1" t="s">
        <v>2926</v>
      </c>
      <c r="K168" s="1" t="s">
        <v>102</v>
      </c>
      <c r="L168" s="1" t="s">
        <v>256</v>
      </c>
      <c r="M168" s="1" t="s">
        <v>213</v>
      </c>
      <c r="N168" s="1" t="s">
        <v>126</v>
      </c>
      <c r="O168" s="1" t="s">
        <v>127</v>
      </c>
      <c r="P168" s="1" t="s">
        <v>128</v>
      </c>
      <c r="Q168" s="1" t="s">
        <v>2927</v>
      </c>
      <c r="R168" s="1" t="s">
        <v>795</v>
      </c>
      <c r="S168" s="9" t="s">
        <v>796</v>
      </c>
      <c r="Z168" s="1" t="s">
        <v>2928</v>
      </c>
      <c r="AA168" s="1">
        <v>7.0E7</v>
      </c>
      <c r="AG168" s="9" t="s">
        <v>798</v>
      </c>
      <c r="AI168" s="1" t="s">
        <v>178</v>
      </c>
      <c r="AJ168" s="3"/>
      <c r="AK168" s="3"/>
      <c r="AL168" s="3"/>
      <c r="AM168" s="1" t="s">
        <v>2929</v>
      </c>
      <c r="AN168" s="7" t="s">
        <v>2930</v>
      </c>
      <c r="AO168" s="8" t="str">
        <f>HYPERLINK("https://docs.google.com/document/d/1194CdDGtRTf7ZJdVVX_V7qMlkQIWFF7S8ywSgg0DwQc/edit?usp=drivesdk","Al-Wildan 3 BSD_Arya Indrajana ST_Matematika")</f>
        <v>Al-Wildan 3 BSD_Arya Indrajana ST_Matematika</v>
      </c>
      <c r="AP168" s="1" t="s">
        <v>2931</v>
      </c>
    </row>
    <row r="169">
      <c r="A169" s="6">
        <v>44124.5565455787</v>
      </c>
      <c r="B169" s="7" t="s">
        <v>2932</v>
      </c>
      <c r="C169" s="8" t="s">
        <v>2933</v>
      </c>
      <c r="D169" s="1" t="s">
        <v>2934</v>
      </c>
      <c r="E169" s="9" t="s">
        <v>2935</v>
      </c>
      <c r="F169" s="1" t="s">
        <v>2936</v>
      </c>
      <c r="G169" s="1" t="s">
        <v>2937</v>
      </c>
      <c r="H169" s="1" t="s">
        <v>1255</v>
      </c>
      <c r="I169" s="9" t="s">
        <v>2938</v>
      </c>
      <c r="J169" s="1" t="s">
        <v>2939</v>
      </c>
      <c r="K169" s="1" t="s">
        <v>151</v>
      </c>
      <c r="L169" s="1" t="s">
        <v>329</v>
      </c>
      <c r="M169" s="1" t="s">
        <v>2162</v>
      </c>
      <c r="O169" s="1" t="s">
        <v>127</v>
      </c>
      <c r="P169" s="1" t="s">
        <v>128</v>
      </c>
      <c r="Q169" s="1" t="s">
        <v>2940</v>
      </c>
      <c r="R169" s="1" t="s">
        <v>217</v>
      </c>
      <c r="S169" s="1" t="s">
        <v>217</v>
      </c>
      <c r="T169" s="1" t="s">
        <v>217</v>
      </c>
      <c r="U169" s="1" t="s">
        <v>217</v>
      </c>
      <c r="V169" s="1" t="s">
        <v>217</v>
      </c>
      <c r="W169" s="1" t="s">
        <v>217</v>
      </c>
      <c r="X169" s="1" t="s">
        <v>217</v>
      </c>
      <c r="Z169" s="1" t="s">
        <v>2162</v>
      </c>
      <c r="AA169" s="1">
        <v>3000000.0</v>
      </c>
      <c r="AB169" s="1" t="s">
        <v>2162</v>
      </c>
      <c r="AC169" s="1">
        <v>3000000.0</v>
      </c>
      <c r="AD169" s="1" t="s">
        <v>2162</v>
      </c>
      <c r="AE169" s="1">
        <v>3000000.0</v>
      </c>
      <c r="AF169" s="1">
        <v>3000000.0</v>
      </c>
      <c r="AM169" s="1" t="s">
        <v>2941</v>
      </c>
      <c r="AN169" s="7" t="s">
        <v>2942</v>
      </c>
      <c r="AO169" s="8" t="str">
        <f>HYPERLINK("https://docs.google.com/document/d/1G29zEol6BwXKiEGg64rJbzpVkd12v_gwdQyld9Cs9fw/edit?usp=drivesdk","Al-Wildan 3 BSD_Musab Fathur Ramadlan_")</f>
        <v>Al-Wildan 3 BSD_Musab Fathur Ramadlan_</v>
      </c>
      <c r="AP169" s="1" t="s">
        <v>2943</v>
      </c>
    </row>
    <row r="170">
      <c r="A170" s="6">
        <v>44124.567046365744</v>
      </c>
      <c r="B170" s="7" t="s">
        <v>2944</v>
      </c>
      <c r="C170" s="8" t="s">
        <v>2945</v>
      </c>
      <c r="D170" s="1" t="s">
        <v>2946</v>
      </c>
      <c r="E170" s="9" t="s">
        <v>2947</v>
      </c>
      <c r="F170" s="1" t="s">
        <v>2948</v>
      </c>
      <c r="G170" s="1" t="s">
        <v>2949</v>
      </c>
      <c r="H170" s="1" t="s">
        <v>99</v>
      </c>
      <c r="I170" s="9" t="s">
        <v>2950</v>
      </c>
      <c r="J170" s="1">
        <v>21.0</v>
      </c>
      <c r="K170" s="1" t="s">
        <v>151</v>
      </c>
      <c r="L170" s="1" t="s">
        <v>496</v>
      </c>
      <c r="M170" s="1" t="s">
        <v>1171</v>
      </c>
      <c r="N170" s="1" t="s">
        <v>2200</v>
      </c>
      <c r="O170" s="1" t="s">
        <v>236</v>
      </c>
      <c r="P170" s="1" t="s">
        <v>128</v>
      </c>
      <c r="Q170" s="1" t="s">
        <v>2951</v>
      </c>
      <c r="R170" s="1" t="s">
        <v>2952</v>
      </c>
      <c r="S170" s="1" t="s">
        <v>2953</v>
      </c>
      <c r="T170" s="1" t="s">
        <v>2953</v>
      </c>
      <c r="Z170" s="1" t="s">
        <v>2954</v>
      </c>
      <c r="AA170" s="10">
        <v>1000000.0</v>
      </c>
      <c r="AF170" s="10">
        <v>3000000.0</v>
      </c>
      <c r="AG170" s="9" t="s">
        <v>2955</v>
      </c>
      <c r="AI170" s="1" t="s">
        <v>159</v>
      </c>
      <c r="AJ170" s="3"/>
      <c r="AK170" s="3"/>
      <c r="AL170" s="3"/>
      <c r="AM170" s="1" t="s">
        <v>2956</v>
      </c>
      <c r="AN170" s="7" t="s">
        <v>2957</v>
      </c>
      <c r="AO170" s="8" t="str">
        <f>HYPERLINK("https://docs.google.com/document/d/1hV0d4ijJ-8LcriKPuoWgQyYwXLas9_mZGU1esIHQX8o/edit?usp=drivesdk","Al-Wildan 3 BSD_Riski Ramadhan_Guru Al-Qur'an")</f>
        <v>Al-Wildan 3 BSD_Riski Ramadhan_Guru Al-Qur'an</v>
      </c>
      <c r="AP170" s="1" t="s">
        <v>2958</v>
      </c>
    </row>
    <row r="171">
      <c r="A171" s="6">
        <v>44124.571353067135</v>
      </c>
      <c r="B171" s="7" t="s">
        <v>2959</v>
      </c>
      <c r="C171" s="8" t="s">
        <v>2960</v>
      </c>
      <c r="D171" s="1" t="s">
        <v>2961</v>
      </c>
      <c r="E171" s="9" t="s">
        <v>2962</v>
      </c>
      <c r="F171" s="1" t="s">
        <v>2963</v>
      </c>
      <c r="G171" s="1" t="s">
        <v>2964</v>
      </c>
      <c r="H171" s="1" t="s">
        <v>327</v>
      </c>
      <c r="I171" s="9" t="s">
        <v>2965</v>
      </c>
      <c r="J171" s="1">
        <v>33.0</v>
      </c>
      <c r="K171" s="1" t="s">
        <v>102</v>
      </c>
      <c r="L171" s="1" t="s">
        <v>329</v>
      </c>
      <c r="M171" s="1" t="s">
        <v>377</v>
      </c>
      <c r="O171" s="1" t="s">
        <v>1693</v>
      </c>
      <c r="P171" s="1" t="s">
        <v>128</v>
      </c>
      <c r="Q171" s="1" t="s">
        <v>2581</v>
      </c>
      <c r="R171" s="1" t="s">
        <v>2966</v>
      </c>
      <c r="S171" s="1" t="s">
        <v>1695</v>
      </c>
      <c r="AG171" s="9" t="s">
        <v>2967</v>
      </c>
      <c r="AM171" s="1" t="s">
        <v>2968</v>
      </c>
      <c r="AN171" s="7" t="s">
        <v>2969</v>
      </c>
      <c r="AO171" s="8" t="str">
        <f>HYPERLINK("https://docs.google.com/document/d/1A9_I525GK_gGKCqQJl0Mp8DO3xwxvN3MZSThm1sk1cI/edit?usp=drivesdk","Al-Wildan 3 BSD_Syarifudin, S.Pd_")</f>
        <v>Al-Wildan 3 BSD_Syarifudin, S.Pd_</v>
      </c>
      <c r="AP171" s="1" t="s">
        <v>2970</v>
      </c>
    </row>
    <row r="172">
      <c r="A172" s="6">
        <v>44124.592200694446</v>
      </c>
      <c r="B172" s="7" t="s">
        <v>2971</v>
      </c>
      <c r="C172" s="8" t="s">
        <v>2972</v>
      </c>
      <c r="D172" s="1" t="s">
        <v>2973</v>
      </c>
      <c r="E172" s="9" t="s">
        <v>2974</v>
      </c>
      <c r="F172" s="1">
        <v>3.6720201000001E13</v>
      </c>
      <c r="G172" s="1" t="s">
        <v>2975</v>
      </c>
      <c r="H172" s="1" t="s">
        <v>722</v>
      </c>
      <c r="I172" s="9" t="s">
        <v>2976</v>
      </c>
      <c r="J172" s="1" t="s">
        <v>2977</v>
      </c>
      <c r="K172" s="1" t="s">
        <v>151</v>
      </c>
      <c r="L172" s="1" t="s">
        <v>496</v>
      </c>
      <c r="M172" s="1" t="s">
        <v>1171</v>
      </c>
      <c r="N172" s="1" t="s">
        <v>2978</v>
      </c>
      <c r="O172" s="1" t="s">
        <v>106</v>
      </c>
      <c r="P172" s="1" t="s">
        <v>128</v>
      </c>
      <c r="Q172" s="1" t="s">
        <v>217</v>
      </c>
      <c r="R172" s="1" t="s">
        <v>2979</v>
      </c>
      <c r="S172" s="1" t="s">
        <v>217</v>
      </c>
      <c r="AF172" s="14">
        <v>2000000.0</v>
      </c>
      <c r="AG172" s="9" t="s">
        <v>2980</v>
      </c>
      <c r="AI172" s="1" t="s">
        <v>178</v>
      </c>
      <c r="AJ172" s="3"/>
      <c r="AK172" s="3"/>
      <c r="AL172" s="3"/>
      <c r="AM172" s="1" t="s">
        <v>2981</v>
      </c>
      <c r="AN172" s="7" t="s">
        <v>2982</v>
      </c>
      <c r="AO172" s="8" t="str">
        <f>HYPERLINK("https://docs.google.com/document/d/1VCZAKtY-0UURkCxYjxR9K1M2jIKWXGCfek2Jygu8TRQ/edit?usp=drivesdk","Al-Wildan 3 BSD_Muhammad Humam Fillah Ramadhan_Al-Qur'an karim")</f>
        <v>Al-Wildan 3 BSD_Muhammad Humam Fillah Ramadhan_Al-Qur'an karim</v>
      </c>
      <c r="AP172" s="1" t="s">
        <v>2983</v>
      </c>
    </row>
    <row r="173">
      <c r="A173" s="6">
        <v>44124.59448506944</v>
      </c>
      <c r="B173" s="7" t="s">
        <v>2984</v>
      </c>
      <c r="C173" s="8" t="s">
        <v>2985</v>
      </c>
      <c r="D173" s="1" t="s">
        <v>2986</v>
      </c>
      <c r="E173" s="9" t="s">
        <v>121</v>
      </c>
      <c r="F173" s="1" t="s">
        <v>122</v>
      </c>
      <c r="G173" s="1" t="s">
        <v>2987</v>
      </c>
      <c r="H173" s="1" t="s">
        <v>124</v>
      </c>
      <c r="I173" s="9" t="s">
        <v>125</v>
      </c>
      <c r="J173" s="1" t="s">
        <v>2988</v>
      </c>
      <c r="K173" s="1" t="s">
        <v>102</v>
      </c>
      <c r="L173" s="1" t="s">
        <v>103</v>
      </c>
      <c r="M173" s="1" t="s">
        <v>104</v>
      </c>
      <c r="N173" s="1" t="s">
        <v>126</v>
      </c>
      <c r="O173" s="1" t="s">
        <v>127</v>
      </c>
      <c r="P173" s="1" t="s">
        <v>128</v>
      </c>
      <c r="Q173" s="1" t="s">
        <v>129</v>
      </c>
      <c r="R173" s="1" t="s">
        <v>130</v>
      </c>
      <c r="S173" s="1" t="s">
        <v>131</v>
      </c>
      <c r="Z173" s="1" t="s">
        <v>2989</v>
      </c>
      <c r="AA173" s="10">
        <v>4000000.0</v>
      </c>
      <c r="AB173" s="1" t="s">
        <v>2990</v>
      </c>
      <c r="AC173" s="1" t="s">
        <v>2991</v>
      </c>
      <c r="AF173" s="1" t="s">
        <v>2992</v>
      </c>
      <c r="AG173" s="9" t="s">
        <v>2993</v>
      </c>
      <c r="AI173" s="1" t="s">
        <v>178</v>
      </c>
      <c r="AJ173" s="3"/>
      <c r="AK173" s="3"/>
      <c r="AL173" s="3"/>
      <c r="AM173" s="1" t="s">
        <v>2994</v>
      </c>
      <c r="AN173" s="7" t="s">
        <v>2995</v>
      </c>
      <c r="AO173" s="8" t="str">
        <f>HYPERLINK("https://docs.google.com/document/d/1j7urFGH-cW6mbVdXpGE5ubcNxmTlTm2HtrGs6sKcnpI/edit?usp=drivesdk","Al-Wildan 3 BSD_Efu Aldria Putra, S. Pd._Matematika")</f>
        <v>Al-Wildan 3 BSD_Efu Aldria Putra, S. Pd._Matematika</v>
      </c>
      <c r="AP173" s="1" t="s">
        <v>2996</v>
      </c>
    </row>
    <row r="174">
      <c r="A174" s="6">
        <v>44124.601940231485</v>
      </c>
      <c r="B174" s="7" t="s">
        <v>2997</v>
      </c>
      <c r="C174" s="8" t="s">
        <v>2998</v>
      </c>
      <c r="D174" s="1" t="s">
        <v>2999</v>
      </c>
      <c r="E174" s="9" t="s">
        <v>3000</v>
      </c>
      <c r="F174" s="1" t="s">
        <v>3001</v>
      </c>
      <c r="G174" s="1" t="s">
        <v>3002</v>
      </c>
      <c r="H174" s="1" t="s">
        <v>169</v>
      </c>
      <c r="I174" s="9" t="s">
        <v>3003</v>
      </c>
      <c r="J174" s="1">
        <v>36.0</v>
      </c>
      <c r="K174" s="1" t="s">
        <v>102</v>
      </c>
      <c r="L174" s="1" t="s">
        <v>103</v>
      </c>
      <c r="M174" s="1" t="s">
        <v>424</v>
      </c>
      <c r="O174" s="1" t="s">
        <v>127</v>
      </c>
      <c r="P174" s="1" t="s">
        <v>128</v>
      </c>
      <c r="Q174" s="1" t="s">
        <v>3004</v>
      </c>
      <c r="R174" s="1" t="s">
        <v>3005</v>
      </c>
      <c r="S174" s="1" t="s">
        <v>379</v>
      </c>
      <c r="Z174" s="1" t="s">
        <v>3006</v>
      </c>
      <c r="AA174" s="10">
        <v>1.6E7</v>
      </c>
      <c r="AM174" s="1" t="s">
        <v>3007</v>
      </c>
      <c r="AN174" s="7" t="s">
        <v>3008</v>
      </c>
      <c r="AO174" s="8" t="str">
        <f>HYPERLINK("https://docs.google.com/document/d/1oO10j177ISWnRJoOgrRqGZnafQuYLhT357KkLuK_j1w/edit?usp=drivesdk","Al-Wildan 3 BSD_Octariansyah, S.Kom_")</f>
        <v>Al-Wildan 3 BSD_Octariansyah, S.Kom_</v>
      </c>
      <c r="AP174" s="1" t="s">
        <v>3009</v>
      </c>
    </row>
    <row r="175">
      <c r="A175" s="6">
        <v>44124.61089833333</v>
      </c>
      <c r="B175" s="7" t="s">
        <v>3010</v>
      </c>
      <c r="C175" s="8" t="s">
        <v>3011</v>
      </c>
      <c r="D175" s="1" t="s">
        <v>3012</v>
      </c>
      <c r="E175" s="9" t="s">
        <v>3013</v>
      </c>
      <c r="F175" s="1" t="s">
        <v>3014</v>
      </c>
      <c r="G175" s="1" t="s">
        <v>3015</v>
      </c>
      <c r="H175" s="1" t="s">
        <v>3016</v>
      </c>
      <c r="I175" s="9" t="s">
        <v>3017</v>
      </c>
      <c r="J175" s="1" t="s">
        <v>407</v>
      </c>
      <c r="K175" s="1" t="s">
        <v>151</v>
      </c>
      <c r="L175" s="1" t="s">
        <v>103</v>
      </c>
      <c r="M175" s="1" t="s">
        <v>1171</v>
      </c>
      <c r="N175" s="1" t="s">
        <v>3018</v>
      </c>
      <c r="O175" s="1" t="s">
        <v>127</v>
      </c>
      <c r="P175" s="1" t="s">
        <v>128</v>
      </c>
      <c r="Q175" s="1" t="s">
        <v>3019</v>
      </c>
      <c r="R175" s="1" t="s">
        <v>536</v>
      </c>
      <c r="S175" s="1" t="s">
        <v>2032</v>
      </c>
      <c r="Z175" s="1" t="s">
        <v>3020</v>
      </c>
      <c r="AA175" s="10">
        <v>2500000.0</v>
      </c>
      <c r="AB175" s="1" t="s">
        <v>3021</v>
      </c>
      <c r="AC175" s="10">
        <v>3250000.0</v>
      </c>
      <c r="AD175" s="1" t="s">
        <v>3022</v>
      </c>
      <c r="AE175" s="10">
        <v>4250000.0</v>
      </c>
      <c r="AF175" s="10">
        <v>5250000.0</v>
      </c>
      <c r="AG175" s="9" t="s">
        <v>3023</v>
      </c>
      <c r="AM175" s="1" t="s">
        <v>3024</v>
      </c>
      <c r="AN175" s="7" t="s">
        <v>3025</v>
      </c>
      <c r="AO175" s="8" t="str">
        <f>HYPERLINK("https://docs.google.com/document/d/1vDKUrIRnNnM-jcJnmkmmdh7sb48f34p6A7JjlVQjmu4/edit?usp=drivesdk","Al-Wildan 3 BSD_Fahyumi Rahman, S.Pd_Geografi")</f>
        <v>Al-Wildan 3 BSD_Fahyumi Rahman, S.Pd_Geografi</v>
      </c>
      <c r="AP175" s="1" t="s">
        <v>3026</v>
      </c>
    </row>
    <row r="176">
      <c r="A176" s="6">
        <v>44124.61213222222</v>
      </c>
      <c r="B176" s="7" t="s">
        <v>3027</v>
      </c>
      <c r="C176" s="8" t="s">
        <v>3028</v>
      </c>
      <c r="D176" s="1" t="s">
        <v>3029</v>
      </c>
      <c r="E176" s="9" t="s">
        <v>3030</v>
      </c>
      <c r="F176" s="1" t="s">
        <v>3031</v>
      </c>
      <c r="G176" s="1" t="s">
        <v>3032</v>
      </c>
      <c r="H176" s="1" t="s">
        <v>3033</v>
      </c>
      <c r="I176" s="9" t="s">
        <v>3034</v>
      </c>
      <c r="J176" s="1" t="s">
        <v>3035</v>
      </c>
      <c r="K176" s="1" t="s">
        <v>151</v>
      </c>
      <c r="L176" s="1" t="s">
        <v>496</v>
      </c>
      <c r="M176" s="1" t="s">
        <v>1171</v>
      </c>
      <c r="N176" s="1" t="s">
        <v>3036</v>
      </c>
      <c r="O176" s="1" t="s">
        <v>106</v>
      </c>
      <c r="P176" s="1" t="s">
        <v>128</v>
      </c>
      <c r="Q176" s="1" t="s">
        <v>217</v>
      </c>
      <c r="R176" s="1" t="s">
        <v>217</v>
      </c>
      <c r="S176" s="1" t="s">
        <v>217</v>
      </c>
      <c r="AF176" s="10">
        <v>2500000.0</v>
      </c>
      <c r="AG176" s="9" t="s">
        <v>3037</v>
      </c>
      <c r="AI176" s="1" t="s">
        <v>178</v>
      </c>
      <c r="AJ176" s="3"/>
      <c r="AK176" s="3"/>
      <c r="AL176" s="3"/>
      <c r="AM176" s="1" t="s">
        <v>3038</v>
      </c>
      <c r="AN176" s="7" t="s">
        <v>3039</v>
      </c>
      <c r="AO176" s="8" t="str">
        <f>HYPERLINK("https://docs.google.com/document/d/1HlrnVSzVMB8umqqGDF9rV1NiwTyHo6T75xQnyQdegSw/edit?usp=drivesdk","Al-Wildan 3 BSD_Muhammad Ihsan Zakky Al Mubarak_Al quran")</f>
        <v>Al-Wildan 3 BSD_Muhammad Ihsan Zakky Al Mubarak_Al quran</v>
      </c>
      <c r="AP176" s="1" t="s">
        <v>3040</v>
      </c>
    </row>
    <row r="177">
      <c r="A177" s="6">
        <v>44124.613842604165</v>
      </c>
      <c r="B177" s="7" t="s">
        <v>3041</v>
      </c>
      <c r="C177" s="8" t="s">
        <v>3042</v>
      </c>
      <c r="D177" s="1" t="s">
        <v>3043</v>
      </c>
      <c r="E177" s="9" t="s">
        <v>3044</v>
      </c>
      <c r="F177" s="1" t="s">
        <v>3045</v>
      </c>
      <c r="G177" s="1" t="s">
        <v>3046</v>
      </c>
      <c r="H177" s="1" t="s">
        <v>3047</v>
      </c>
      <c r="I177" s="9" t="s">
        <v>3048</v>
      </c>
      <c r="J177" s="1" t="s">
        <v>3049</v>
      </c>
      <c r="K177" s="1" t="s">
        <v>151</v>
      </c>
      <c r="L177" s="1" t="s">
        <v>329</v>
      </c>
      <c r="M177" s="1" t="s">
        <v>1171</v>
      </c>
      <c r="N177" s="1" t="s">
        <v>3036</v>
      </c>
      <c r="O177" s="1" t="s">
        <v>106</v>
      </c>
      <c r="P177" s="1" t="s">
        <v>128</v>
      </c>
      <c r="Q177" s="1" t="s">
        <v>2212</v>
      </c>
      <c r="R177" s="1" t="s">
        <v>3036</v>
      </c>
      <c r="S177" s="1" t="s">
        <v>217</v>
      </c>
      <c r="T177" s="1" t="s">
        <v>217</v>
      </c>
      <c r="Z177" s="1" t="s">
        <v>3050</v>
      </c>
      <c r="AA177" s="10">
        <v>3000000.0</v>
      </c>
      <c r="AF177" s="10">
        <v>2500000.0</v>
      </c>
      <c r="AG177" s="9" t="s">
        <v>3051</v>
      </c>
      <c r="AI177" s="1" t="s">
        <v>1402</v>
      </c>
      <c r="AJ177" s="3"/>
      <c r="AK177" s="3"/>
      <c r="AL177" s="3"/>
      <c r="AM177" s="1" t="s">
        <v>3052</v>
      </c>
      <c r="AN177" s="7" t="s">
        <v>3053</v>
      </c>
      <c r="AO177" s="8" t="str">
        <f>HYPERLINK("https://docs.google.com/document/d/1TZf3DPPM0cCo_tlWXXlbR15D9kmmogPSgt84890gp4s/edit?usp=drivesdk","Al-Wildan 3 BSD_Angga Purnama_Al quran")</f>
        <v>Al-Wildan 3 BSD_Angga Purnama_Al quran</v>
      </c>
      <c r="AP177" s="1" t="s">
        <v>3054</v>
      </c>
    </row>
    <row r="178">
      <c r="A178" s="6">
        <v>44124.66452633102</v>
      </c>
      <c r="B178" s="7" t="s">
        <v>3055</v>
      </c>
      <c r="C178" s="8" t="s">
        <v>3056</v>
      </c>
      <c r="D178" s="1" t="s">
        <v>3057</v>
      </c>
      <c r="E178" s="9" t="s">
        <v>3058</v>
      </c>
      <c r="F178" s="1" t="s">
        <v>3059</v>
      </c>
      <c r="G178" s="1" t="s">
        <v>3060</v>
      </c>
      <c r="H178" s="1" t="s">
        <v>3061</v>
      </c>
      <c r="I178" s="9" t="s">
        <v>3062</v>
      </c>
      <c r="J178" s="1" t="s">
        <v>392</v>
      </c>
      <c r="K178" s="1" t="s">
        <v>102</v>
      </c>
      <c r="L178" s="1" t="s">
        <v>103</v>
      </c>
      <c r="M178" s="1" t="s">
        <v>104</v>
      </c>
      <c r="N178" s="1" t="s">
        <v>3063</v>
      </c>
      <c r="O178" s="1" t="s">
        <v>127</v>
      </c>
      <c r="P178" s="1" t="s">
        <v>128</v>
      </c>
      <c r="Q178" s="1" t="s">
        <v>3064</v>
      </c>
      <c r="R178" s="1">
        <v>1.0</v>
      </c>
      <c r="S178" s="1" t="s">
        <v>1084</v>
      </c>
      <c r="Z178" s="1" t="s">
        <v>3065</v>
      </c>
      <c r="AF178" s="1">
        <v>8000000.0</v>
      </c>
      <c r="AG178" s="9" t="s">
        <v>3066</v>
      </c>
      <c r="AI178" s="1" t="s">
        <v>159</v>
      </c>
      <c r="AJ178" s="3"/>
      <c r="AK178" s="3"/>
      <c r="AL178" s="3"/>
      <c r="AM178" s="1" t="s">
        <v>3067</v>
      </c>
      <c r="AN178" s="7" t="s">
        <v>3068</v>
      </c>
      <c r="AO178" s="8" t="str">
        <f>HYPERLINK("https://docs.google.com/document/d/1O4cmsFqYkQ0ZVe008uenWhAb35zZag2B9hNh7gM7YVA/edit?usp=drivesdk","Al-Wildan 3 BSD_ABDUL BASIT AL HAFIDZ_AL QURAN")</f>
        <v>Al-Wildan 3 BSD_ABDUL BASIT AL HAFIDZ_AL QURAN</v>
      </c>
      <c r="AP178" s="1" t="s">
        <v>3069</v>
      </c>
    </row>
    <row r="179">
      <c r="A179" s="6">
        <v>44124.69542434027</v>
      </c>
      <c r="B179" s="7" t="s">
        <v>3070</v>
      </c>
      <c r="C179" s="8" t="s">
        <v>3071</v>
      </c>
      <c r="D179" s="1" t="s">
        <v>3072</v>
      </c>
      <c r="E179" s="9" t="s">
        <v>3073</v>
      </c>
      <c r="F179" s="1" t="s">
        <v>3074</v>
      </c>
      <c r="G179" s="1" t="s">
        <v>3075</v>
      </c>
      <c r="H179" s="1" t="s">
        <v>1555</v>
      </c>
      <c r="I179" s="9" t="s">
        <v>2443</v>
      </c>
      <c r="J179" s="1" t="s">
        <v>3076</v>
      </c>
      <c r="K179" s="1" t="s">
        <v>151</v>
      </c>
      <c r="L179" s="1" t="s">
        <v>496</v>
      </c>
      <c r="M179" s="1" t="s">
        <v>1171</v>
      </c>
      <c r="N179" s="1" t="s">
        <v>2197</v>
      </c>
      <c r="O179" s="1" t="s">
        <v>127</v>
      </c>
      <c r="P179" s="1" t="s">
        <v>128</v>
      </c>
      <c r="Q179" s="1" t="s">
        <v>217</v>
      </c>
      <c r="R179" s="1" t="s">
        <v>217</v>
      </c>
      <c r="S179" s="1" t="s">
        <v>217</v>
      </c>
      <c r="Z179" s="1" t="s">
        <v>3077</v>
      </c>
      <c r="AF179" s="10">
        <v>-2000000.0</v>
      </c>
      <c r="AG179" s="9" t="s">
        <v>3078</v>
      </c>
      <c r="AI179" s="1" t="s">
        <v>159</v>
      </c>
      <c r="AJ179" s="3"/>
      <c r="AK179" s="3"/>
      <c r="AL179" s="3"/>
      <c r="AM179" s="1" t="s">
        <v>3079</v>
      </c>
      <c r="AN179" s="7" t="s">
        <v>3080</v>
      </c>
      <c r="AO179" s="8" t="str">
        <f>HYPERLINK("https://docs.google.com/document/d/1uKRJKD5T8f5aB64jJbd0qSgdfwrNeXPNaJJ5CUdqKuQ/edit?usp=drivesdk","Al-Wildan 3 BSD_Abdul Rahman_Al-Qur'an")</f>
        <v>Al-Wildan 3 BSD_Abdul Rahman_Al-Qur'an</v>
      </c>
      <c r="AP179" s="1" t="s">
        <v>3081</v>
      </c>
    </row>
    <row r="180">
      <c r="A180" s="6">
        <v>44124.71339074074</v>
      </c>
      <c r="B180" s="7" t="s">
        <v>3082</v>
      </c>
      <c r="C180" s="8" t="s">
        <v>3083</v>
      </c>
      <c r="D180" s="1" t="s">
        <v>3084</v>
      </c>
      <c r="E180" s="9" t="s">
        <v>3085</v>
      </c>
      <c r="F180" s="1" t="s">
        <v>3086</v>
      </c>
      <c r="G180" s="1" t="s">
        <v>3087</v>
      </c>
      <c r="H180" s="1" t="s">
        <v>148</v>
      </c>
      <c r="I180" s="9" t="s">
        <v>3088</v>
      </c>
      <c r="J180" s="1" t="s">
        <v>3089</v>
      </c>
      <c r="K180" s="1" t="s">
        <v>102</v>
      </c>
      <c r="L180" s="1" t="s">
        <v>103</v>
      </c>
      <c r="M180" s="1" t="s">
        <v>104</v>
      </c>
      <c r="N180" s="1" t="s">
        <v>152</v>
      </c>
      <c r="O180" s="1" t="s">
        <v>127</v>
      </c>
      <c r="P180" s="1" t="s">
        <v>128</v>
      </c>
      <c r="Q180" s="1" t="s">
        <v>3090</v>
      </c>
      <c r="R180" s="1" t="s">
        <v>3091</v>
      </c>
      <c r="S180" s="1" t="s">
        <v>885</v>
      </c>
      <c r="T180" s="1" t="s">
        <v>108</v>
      </c>
      <c r="U180" s="1" t="s">
        <v>3092</v>
      </c>
      <c r="V180" s="1" t="s">
        <v>3093</v>
      </c>
      <c r="Z180" s="1" t="s">
        <v>3094</v>
      </c>
      <c r="AA180" s="10">
        <v>1.5E7</v>
      </c>
      <c r="AG180" s="9" t="s">
        <v>3095</v>
      </c>
      <c r="AM180" s="1" t="s">
        <v>3096</v>
      </c>
      <c r="AN180" s="7" t="s">
        <v>3097</v>
      </c>
      <c r="AO180" s="8" t="str">
        <f>HYPERLINK("https://docs.google.com/document/d/1lN5DmWgFx3tgxSRwP3qOlWpWWL-V4i968KlMmkFTw48/edit?usp=drivesdk","Al-Wildan 3 BSD_Almio Susetyo Harjanto, M.Pd._Bahasa Inggris")</f>
        <v>Al-Wildan 3 BSD_Almio Susetyo Harjanto, M.Pd._Bahasa Inggris</v>
      </c>
      <c r="AP180" s="1" t="s">
        <v>3098</v>
      </c>
    </row>
    <row r="181">
      <c r="A181" s="6">
        <v>44124.84768041667</v>
      </c>
      <c r="B181" s="7" t="s">
        <v>3099</v>
      </c>
      <c r="C181" s="8" t="s">
        <v>3100</v>
      </c>
      <c r="D181" s="1" t="s">
        <v>3101</v>
      </c>
      <c r="E181" s="9" t="s">
        <v>3102</v>
      </c>
      <c r="F181" s="1" t="s">
        <v>3103</v>
      </c>
      <c r="G181" s="1" t="s">
        <v>3104</v>
      </c>
      <c r="H181" s="1" t="s">
        <v>3105</v>
      </c>
      <c r="I181" s="9" t="s">
        <v>3106</v>
      </c>
      <c r="J181" s="1" t="s">
        <v>3107</v>
      </c>
      <c r="K181" s="1" t="s">
        <v>102</v>
      </c>
      <c r="L181" s="1" t="s">
        <v>496</v>
      </c>
      <c r="M181" s="1" t="s">
        <v>104</v>
      </c>
      <c r="N181" s="1" t="s">
        <v>3036</v>
      </c>
      <c r="O181" s="1" t="s">
        <v>236</v>
      </c>
      <c r="P181" s="1" t="s">
        <v>128</v>
      </c>
      <c r="Q181" s="1" t="s">
        <v>3108</v>
      </c>
      <c r="R181" s="1" t="s">
        <v>3109</v>
      </c>
      <c r="S181" s="1">
        <v>3.95</v>
      </c>
      <c r="Z181" s="1" t="s">
        <v>3110</v>
      </c>
      <c r="AG181" s="9" t="s">
        <v>3111</v>
      </c>
      <c r="AI181" s="1" t="s">
        <v>2772</v>
      </c>
      <c r="AJ181" s="3"/>
      <c r="AK181" s="3"/>
      <c r="AL181" s="3"/>
      <c r="AM181" s="1" t="s">
        <v>3112</v>
      </c>
      <c r="AN181" s="7" t="s">
        <v>3113</v>
      </c>
      <c r="AO181" s="8" t="str">
        <f>HYPERLINK("https://docs.google.com/document/d/16ON8bVthF95PPWoua_6exbBpbqIiqk_3AwiBWtXcWrU/edit?usp=drivesdk","Al-Wildan 3 BSD_Moh Jalil_Al quran")</f>
        <v>Al-Wildan 3 BSD_Moh Jalil_Al quran</v>
      </c>
      <c r="AP181" s="1" t="s">
        <v>3114</v>
      </c>
    </row>
    <row r="182">
      <c r="A182" s="6">
        <v>44124.84969155093</v>
      </c>
      <c r="B182" s="7" t="s">
        <v>3115</v>
      </c>
      <c r="C182" s="8" t="s">
        <v>3116</v>
      </c>
      <c r="D182" s="1" t="s">
        <v>3117</v>
      </c>
      <c r="E182" s="9" t="s">
        <v>3118</v>
      </c>
      <c r="F182" s="1" t="s">
        <v>3119</v>
      </c>
      <c r="G182" s="1" t="s">
        <v>3120</v>
      </c>
      <c r="H182" s="1" t="s">
        <v>3121</v>
      </c>
      <c r="I182" s="9" t="s">
        <v>3122</v>
      </c>
      <c r="J182" s="1" t="s">
        <v>234</v>
      </c>
      <c r="K182" s="1" t="s">
        <v>102</v>
      </c>
      <c r="L182" s="1" t="s">
        <v>496</v>
      </c>
      <c r="M182" s="1" t="s">
        <v>1171</v>
      </c>
      <c r="N182" s="1" t="s">
        <v>3123</v>
      </c>
      <c r="O182" s="1" t="s">
        <v>236</v>
      </c>
      <c r="P182" s="1" t="s">
        <v>128</v>
      </c>
      <c r="Q182" s="1" t="s">
        <v>3124</v>
      </c>
      <c r="R182" s="1" t="s">
        <v>3125</v>
      </c>
      <c r="S182" s="1" t="s">
        <v>3126</v>
      </c>
      <c r="Z182" s="1" t="s">
        <v>3127</v>
      </c>
      <c r="AA182" s="10">
        <v>750000.0</v>
      </c>
      <c r="AB182" s="1" t="s">
        <v>3128</v>
      </c>
      <c r="AC182" s="10">
        <v>6000000.0</v>
      </c>
      <c r="AF182" s="1" t="s">
        <v>3129</v>
      </c>
      <c r="AG182" s="9" t="s">
        <v>3130</v>
      </c>
      <c r="AI182" s="1" t="s">
        <v>993</v>
      </c>
      <c r="AJ182" s="3"/>
      <c r="AK182" s="3"/>
      <c r="AL182" s="3"/>
      <c r="AM182" s="1" t="s">
        <v>3131</v>
      </c>
      <c r="AN182" s="7" t="s">
        <v>3132</v>
      </c>
      <c r="AO182" s="8" t="str">
        <f>HYPERLINK("https://docs.google.com/document/d/1TbO494quaiPImGVJhI2SQYaEdMXH0MA61kYbcJsIvAA/edit?usp=drivesdk","Al-Wildan 3 BSD_ADI ILHAM MAULANA_AL-QURAN")</f>
        <v>Al-Wildan 3 BSD_ADI ILHAM MAULANA_AL-QURAN</v>
      </c>
      <c r="AP182" s="1" t="s">
        <v>3133</v>
      </c>
    </row>
    <row r="183">
      <c r="A183" s="6">
        <v>44125.35214778935</v>
      </c>
      <c r="B183" s="7" t="s">
        <v>3134</v>
      </c>
      <c r="C183" s="8" t="s">
        <v>3135</v>
      </c>
      <c r="D183" s="1" t="s">
        <v>3136</v>
      </c>
      <c r="E183" s="9" t="s">
        <v>3137</v>
      </c>
      <c r="F183" s="1" t="s">
        <v>3138</v>
      </c>
      <c r="G183" s="1" t="s">
        <v>3139</v>
      </c>
      <c r="H183" s="1" t="s">
        <v>327</v>
      </c>
      <c r="I183" s="9" t="s">
        <v>3140</v>
      </c>
      <c r="J183" s="1" t="s">
        <v>3141</v>
      </c>
      <c r="K183" s="1" t="s">
        <v>102</v>
      </c>
      <c r="L183" s="1" t="s">
        <v>310</v>
      </c>
      <c r="M183" s="1" t="s">
        <v>213</v>
      </c>
      <c r="N183" s="1" t="s">
        <v>3142</v>
      </c>
      <c r="O183" s="1" t="s">
        <v>127</v>
      </c>
      <c r="P183" s="1" t="s">
        <v>128</v>
      </c>
      <c r="Q183" s="1" t="s">
        <v>3143</v>
      </c>
      <c r="R183" s="1" t="s">
        <v>2249</v>
      </c>
      <c r="S183" s="1" t="s">
        <v>3144</v>
      </c>
      <c r="T183" s="1" t="s">
        <v>3145</v>
      </c>
      <c r="U183" s="1" t="s">
        <v>3146</v>
      </c>
      <c r="V183" s="1" t="s">
        <v>1730</v>
      </c>
      <c r="W183" s="1" t="s">
        <v>217</v>
      </c>
      <c r="X183" s="1" t="s">
        <v>217</v>
      </c>
      <c r="Y183" s="1">
        <v>0.0</v>
      </c>
      <c r="Z183" s="1" t="s">
        <v>3147</v>
      </c>
      <c r="AG183" s="1">
        <v>3.55184992E8</v>
      </c>
      <c r="AH183" s="1">
        <v>7.615076082E9</v>
      </c>
      <c r="AI183" s="1" t="s">
        <v>222</v>
      </c>
      <c r="AJ183" s="3"/>
      <c r="AK183" s="3"/>
      <c r="AL183" s="3"/>
      <c r="AM183" s="1" t="s">
        <v>3148</v>
      </c>
      <c r="AN183" s="7" t="s">
        <v>3149</v>
      </c>
      <c r="AO183" s="8" t="str">
        <f>HYPERLINK("https://docs.google.com/document/d/1pnoQTtgQYHCVgQREffibC-6cunsIruZvtNjAMK318rQ/edit?usp=drivesdk","Al-Wildan 3 BSD_MUTTAQIIN, S.S., M.Pd_Arabic, Bahasa Indonesia ")</f>
        <v>Al-Wildan 3 BSD_MUTTAQIIN, S.S., M.Pd_Arabic, Bahasa Indonesia </v>
      </c>
      <c r="AP183" s="1" t="s">
        <v>3150</v>
      </c>
    </row>
    <row r="184">
      <c r="A184" s="6">
        <v>44125.37535913194</v>
      </c>
      <c r="B184" s="7" t="s">
        <v>3151</v>
      </c>
      <c r="C184" s="8" t="s">
        <v>3152</v>
      </c>
      <c r="D184" s="1" t="s">
        <v>3153</v>
      </c>
      <c r="E184" s="9" t="s">
        <v>3154</v>
      </c>
      <c r="F184" s="1" t="s">
        <v>3155</v>
      </c>
      <c r="G184" s="1" t="s">
        <v>3156</v>
      </c>
      <c r="H184" s="1" t="s">
        <v>3157</v>
      </c>
      <c r="I184" s="9" t="s">
        <v>3158</v>
      </c>
      <c r="J184" s="1">
        <v>30.0</v>
      </c>
      <c r="K184" s="1" t="s">
        <v>102</v>
      </c>
      <c r="L184" s="1" t="s">
        <v>256</v>
      </c>
      <c r="M184" s="1" t="s">
        <v>377</v>
      </c>
      <c r="O184" s="1" t="s">
        <v>1693</v>
      </c>
      <c r="P184" s="1" t="s">
        <v>128</v>
      </c>
      <c r="Q184" s="1" t="s">
        <v>3159</v>
      </c>
      <c r="R184" s="1" t="s">
        <v>3160</v>
      </c>
      <c r="S184" s="1" t="s">
        <v>217</v>
      </c>
      <c r="AM184" s="1" t="s">
        <v>3161</v>
      </c>
      <c r="AN184" s="7" t="s">
        <v>3162</v>
      </c>
      <c r="AO184" s="8" t="str">
        <f>HYPERLINK("https://docs.google.com/document/d/1WEofozfmU_0rk72ClF0YpyLL5Uz8yQ_7wwBWu2712iM/edit?usp=drivesdk","Al-Wildan 3 BSD_Dicky Rachmat Gumelar Santoso_")</f>
        <v>Al-Wildan 3 BSD_Dicky Rachmat Gumelar Santoso_</v>
      </c>
      <c r="AP184" s="1" t="s">
        <v>3163</v>
      </c>
    </row>
    <row r="185">
      <c r="A185" s="6">
        <v>44125.38915519676</v>
      </c>
      <c r="B185" s="7" t="s">
        <v>3164</v>
      </c>
      <c r="C185" s="8" t="s">
        <v>3165</v>
      </c>
      <c r="D185" s="1" t="s">
        <v>3166</v>
      </c>
      <c r="E185" s="1">
        <v>8.1214287269E10</v>
      </c>
      <c r="F185" s="1" t="s">
        <v>3167</v>
      </c>
      <c r="G185" s="1" t="s">
        <v>3168</v>
      </c>
      <c r="H185" s="1" t="s">
        <v>3169</v>
      </c>
      <c r="I185" s="9" t="s">
        <v>3170</v>
      </c>
      <c r="J185" s="1">
        <v>21.0</v>
      </c>
      <c r="K185" s="1" t="s">
        <v>151</v>
      </c>
      <c r="L185" s="1" t="s">
        <v>103</v>
      </c>
      <c r="M185" s="1" t="s">
        <v>2162</v>
      </c>
      <c r="N185" s="1" t="s">
        <v>3171</v>
      </c>
      <c r="O185" s="1" t="s">
        <v>106</v>
      </c>
      <c r="P185" s="1" t="s">
        <v>128</v>
      </c>
      <c r="Q185" s="1" t="s">
        <v>217</v>
      </c>
      <c r="R185" s="1" t="s">
        <v>217</v>
      </c>
      <c r="S185" s="1" t="s">
        <v>217</v>
      </c>
      <c r="T185" s="1" t="s">
        <v>217</v>
      </c>
      <c r="U185" s="1" t="s">
        <v>217</v>
      </c>
      <c r="V185" s="1" t="s">
        <v>217</v>
      </c>
      <c r="W185" s="1" t="s">
        <v>217</v>
      </c>
      <c r="X185" s="1" t="s">
        <v>217</v>
      </c>
      <c r="Z185" s="1" t="s">
        <v>3172</v>
      </c>
      <c r="AA185" s="1" t="s">
        <v>217</v>
      </c>
      <c r="AB185" s="1" t="s">
        <v>3173</v>
      </c>
      <c r="AC185" s="1" t="s">
        <v>217</v>
      </c>
      <c r="AD185" s="1" t="s">
        <v>217</v>
      </c>
      <c r="AE185" s="1" t="s">
        <v>217</v>
      </c>
      <c r="AF185" s="10">
        <v>4000000.0</v>
      </c>
      <c r="AG185" s="9" t="s">
        <v>3174</v>
      </c>
      <c r="AH185" s="1">
        <v>1.0</v>
      </c>
      <c r="AI185" s="1" t="s">
        <v>3175</v>
      </c>
      <c r="AJ185" s="3"/>
      <c r="AK185" s="3"/>
      <c r="AL185" s="3"/>
      <c r="AM185" s="1" t="s">
        <v>3176</v>
      </c>
      <c r="AN185" s="7" t="s">
        <v>3177</v>
      </c>
      <c r="AO185" s="8" t="str">
        <f>HYPERLINK("https://docs.google.com/document/d/14mC9Z2j_b35iv7WpxhU6GzUsnNYvesZmAEuG8OAQ-MI/edit?usp=drivesdk","Al-Wildan 3 BSD_Salman abdul aziz _Al Qur'an ")</f>
        <v>Al-Wildan 3 BSD_Salman abdul aziz _Al Qur'an </v>
      </c>
      <c r="AP185" s="1" t="s">
        <v>3178</v>
      </c>
    </row>
    <row r="186">
      <c r="A186" s="6">
        <v>44125.39088960648</v>
      </c>
      <c r="B186" s="7" t="s">
        <v>3179</v>
      </c>
      <c r="C186" s="8" t="s">
        <v>3180</v>
      </c>
      <c r="D186" s="1" t="s">
        <v>2155</v>
      </c>
      <c r="E186" s="9" t="s">
        <v>2156</v>
      </c>
      <c r="F186" s="1" t="s">
        <v>3181</v>
      </c>
      <c r="G186" s="1" t="s">
        <v>3182</v>
      </c>
      <c r="H186" s="1" t="s">
        <v>2159</v>
      </c>
      <c r="I186" s="9" t="s">
        <v>2160</v>
      </c>
      <c r="J186" s="1" t="s">
        <v>3183</v>
      </c>
      <c r="K186" s="1" t="s">
        <v>151</v>
      </c>
      <c r="L186" s="1" t="s">
        <v>496</v>
      </c>
      <c r="M186" s="1" t="s">
        <v>1171</v>
      </c>
      <c r="N186" s="1" t="s">
        <v>311</v>
      </c>
      <c r="O186" s="1" t="s">
        <v>106</v>
      </c>
      <c r="P186" s="1" t="s">
        <v>128</v>
      </c>
      <c r="Q186" s="1" t="s">
        <v>3184</v>
      </c>
      <c r="R186" s="1" t="s">
        <v>3185</v>
      </c>
      <c r="S186" s="1" t="s">
        <v>217</v>
      </c>
      <c r="Z186" s="1" t="s">
        <v>3186</v>
      </c>
      <c r="AA186" s="10">
        <v>1750000.0</v>
      </c>
      <c r="AB186" s="1" t="s">
        <v>3187</v>
      </c>
      <c r="AC186" s="10">
        <v>3000000.0</v>
      </c>
      <c r="AF186" s="1" t="s">
        <v>3188</v>
      </c>
      <c r="AG186" s="9" t="s">
        <v>3189</v>
      </c>
      <c r="AI186" s="1" t="s">
        <v>178</v>
      </c>
      <c r="AJ186" s="3"/>
      <c r="AK186" s="3"/>
      <c r="AL186" s="3"/>
      <c r="AM186" s="1" t="s">
        <v>3190</v>
      </c>
      <c r="AN186" s="7" t="s">
        <v>3191</v>
      </c>
      <c r="AO186" s="8" t="str">
        <f>HYPERLINK("https://docs.google.com/document/d/1dYSN7LLoblaMa8sBRBodV9p_RET8spp-IfDcyx6zSQs/edit?usp=drivesdk","Al-Wildan 3 BSD_Jumaldo Abdu Rozaq Tanjung_Al Qur'an")</f>
        <v>Al-Wildan 3 BSD_Jumaldo Abdu Rozaq Tanjung_Al Qur'an</v>
      </c>
      <c r="AP186" s="1" t="s">
        <v>3192</v>
      </c>
    </row>
    <row r="187">
      <c r="A187" s="6">
        <v>44125.39355790509</v>
      </c>
      <c r="B187" s="7" t="s">
        <v>3193</v>
      </c>
      <c r="C187" s="8" t="s">
        <v>3194</v>
      </c>
      <c r="D187" s="1" t="s">
        <v>3195</v>
      </c>
      <c r="E187" s="9" t="s">
        <v>3196</v>
      </c>
      <c r="F187" s="1" t="s">
        <v>3197</v>
      </c>
      <c r="G187" s="1" t="s">
        <v>3198</v>
      </c>
      <c r="H187" s="1" t="s">
        <v>1358</v>
      </c>
      <c r="I187" s="9" t="s">
        <v>3199</v>
      </c>
      <c r="J187" s="1">
        <v>30.0</v>
      </c>
      <c r="K187" s="1" t="s">
        <v>102</v>
      </c>
      <c r="L187" s="1" t="s">
        <v>103</v>
      </c>
      <c r="M187" s="1" t="s">
        <v>3200</v>
      </c>
      <c r="O187" s="1" t="s">
        <v>106</v>
      </c>
      <c r="P187" s="1" t="s">
        <v>128</v>
      </c>
      <c r="Q187" s="1" t="s">
        <v>3201</v>
      </c>
      <c r="R187" s="1" t="s">
        <v>172</v>
      </c>
      <c r="S187" s="1">
        <v>3.72</v>
      </c>
      <c r="T187" s="1" t="s">
        <v>754</v>
      </c>
      <c r="U187" s="1" t="s">
        <v>172</v>
      </c>
      <c r="V187" s="1" t="s">
        <v>277</v>
      </c>
      <c r="Z187" s="1" t="s">
        <v>3202</v>
      </c>
      <c r="AA187" s="1" t="s">
        <v>3203</v>
      </c>
      <c r="AB187" s="1" t="s">
        <v>3204</v>
      </c>
      <c r="AC187" s="1" t="s">
        <v>3205</v>
      </c>
      <c r="AD187" s="1" t="s">
        <v>3206</v>
      </c>
      <c r="AE187" s="1" t="s">
        <v>3207</v>
      </c>
      <c r="AF187" s="1" t="s">
        <v>3208</v>
      </c>
      <c r="AG187" s="9" t="s">
        <v>3209</v>
      </c>
      <c r="AI187" s="1" t="s">
        <v>178</v>
      </c>
      <c r="AJ187" s="3"/>
      <c r="AK187" s="3"/>
      <c r="AL187" s="3"/>
      <c r="AM187" s="1" t="s">
        <v>3210</v>
      </c>
      <c r="AN187" s="7" t="s">
        <v>3211</v>
      </c>
      <c r="AO187" s="8" t="str">
        <f>HYPERLINK("https://docs.google.com/document/d/1IH4qpMdGP3pTvjmCpXZvktLNynXno4y3Ve3WVT1dj3o/edit?usp=drivesdk","Al-Wildan 3 BSD_Joko Adi Saputro, M.Pd_")</f>
        <v>Al-Wildan 3 BSD_Joko Adi Saputro, M.Pd_</v>
      </c>
      <c r="AP187" s="1" t="s">
        <v>3212</v>
      </c>
    </row>
    <row r="188">
      <c r="A188" s="6">
        <v>44125.39589135417</v>
      </c>
      <c r="B188" s="7" t="s">
        <v>3213</v>
      </c>
      <c r="C188" s="8" t="s">
        <v>3214</v>
      </c>
      <c r="D188" s="1" t="s">
        <v>3215</v>
      </c>
      <c r="E188" s="9" t="s">
        <v>3216</v>
      </c>
      <c r="F188" s="1" t="s">
        <v>3217</v>
      </c>
      <c r="G188" s="1" t="s">
        <v>3218</v>
      </c>
      <c r="H188" s="1" t="s">
        <v>3219</v>
      </c>
      <c r="I188" s="9" t="s">
        <v>3220</v>
      </c>
      <c r="J188" s="1" t="s">
        <v>3221</v>
      </c>
      <c r="K188" s="1" t="s">
        <v>102</v>
      </c>
      <c r="L188" s="1" t="s">
        <v>103</v>
      </c>
      <c r="M188" s="1" t="s">
        <v>589</v>
      </c>
      <c r="N188" s="1" t="s">
        <v>126</v>
      </c>
      <c r="O188" s="1" t="s">
        <v>236</v>
      </c>
      <c r="P188" s="1" t="s">
        <v>128</v>
      </c>
      <c r="Q188" s="1" t="s">
        <v>3222</v>
      </c>
      <c r="R188" s="1" t="s">
        <v>130</v>
      </c>
      <c r="S188" s="1" t="s">
        <v>1624</v>
      </c>
      <c r="Z188" s="1" t="s">
        <v>3223</v>
      </c>
      <c r="AA188" s="1">
        <v>3000000.0</v>
      </c>
      <c r="AB188" s="1" t="s">
        <v>3224</v>
      </c>
      <c r="AC188" s="1">
        <v>4500000.0</v>
      </c>
      <c r="AF188" s="1" t="s">
        <v>3225</v>
      </c>
      <c r="AG188" s="9" t="s">
        <v>3226</v>
      </c>
      <c r="AI188" s="1" t="s">
        <v>178</v>
      </c>
      <c r="AJ188" s="3"/>
      <c r="AK188" s="3"/>
      <c r="AL188" s="3"/>
      <c r="AM188" s="1" t="s">
        <v>3227</v>
      </c>
      <c r="AN188" s="7" t="s">
        <v>3228</v>
      </c>
      <c r="AO188" s="8" t="str">
        <f>HYPERLINK("https://docs.google.com/document/d/1CnsjIVKDgVsaJEyjXYmsyEyxNMgLY_oBLM2BRXVGcVo/edit?usp=drivesdk","Al-Wildan 3 BSD_Tri Suhartono, S.Pd_Matematika")</f>
        <v>Al-Wildan 3 BSD_Tri Suhartono, S.Pd_Matematika</v>
      </c>
      <c r="AP188" s="1" t="s">
        <v>3229</v>
      </c>
    </row>
    <row r="189">
      <c r="A189" s="6">
        <v>44125.401211874996</v>
      </c>
      <c r="B189" s="7" t="s">
        <v>3230</v>
      </c>
      <c r="C189" s="8" t="s">
        <v>3231</v>
      </c>
      <c r="D189" s="1" t="s">
        <v>3232</v>
      </c>
      <c r="E189" s="9" t="s">
        <v>3233</v>
      </c>
      <c r="F189" s="1" t="s">
        <v>3234</v>
      </c>
      <c r="G189" s="1" t="s">
        <v>3235</v>
      </c>
      <c r="H189" s="1" t="s">
        <v>3236</v>
      </c>
      <c r="I189" s="1">
        <v>3.0081995E7</v>
      </c>
      <c r="J189" s="1" t="s">
        <v>438</v>
      </c>
      <c r="K189" s="1" t="s">
        <v>151</v>
      </c>
      <c r="L189" s="1" t="s">
        <v>329</v>
      </c>
      <c r="M189" s="1" t="s">
        <v>1171</v>
      </c>
      <c r="N189" s="1" t="s">
        <v>2769</v>
      </c>
      <c r="O189" s="1" t="s">
        <v>106</v>
      </c>
      <c r="P189" s="1" t="s">
        <v>128</v>
      </c>
      <c r="Q189" s="1" t="s">
        <v>3237</v>
      </c>
      <c r="R189" s="1" t="s">
        <v>3238</v>
      </c>
      <c r="S189" s="1">
        <v>3.6</v>
      </c>
      <c r="Z189" s="1" t="s">
        <v>3239</v>
      </c>
      <c r="AA189" s="1">
        <v>3000000.0</v>
      </c>
      <c r="AB189" s="1" t="s">
        <v>3240</v>
      </c>
      <c r="AC189" s="1">
        <v>3000000.0</v>
      </c>
      <c r="AF189" s="1">
        <v>4000000.0</v>
      </c>
      <c r="AH189" s="1">
        <v>7.111367277E9</v>
      </c>
      <c r="AI189" s="1" t="s">
        <v>3241</v>
      </c>
      <c r="AJ189" s="3"/>
      <c r="AK189" s="3"/>
      <c r="AL189" s="3"/>
      <c r="AM189" s="1" t="s">
        <v>3242</v>
      </c>
      <c r="AN189" s="7" t="s">
        <v>3243</v>
      </c>
      <c r="AO189" s="8" t="str">
        <f>HYPERLINK("https://docs.google.com/document/d/1WAHx6HMbzunRAJFvenOPzs0i1gi92Vj_m_kWmbQEz_w/edit?usp=drivesdk","Al-Wildan 3 BSD_Fikril Haq Mabrur S. Pd_Arabic")</f>
        <v>Al-Wildan 3 BSD_Fikril Haq Mabrur S. Pd_Arabic</v>
      </c>
      <c r="AP189" s="1" t="s">
        <v>3244</v>
      </c>
    </row>
    <row r="190">
      <c r="A190" s="6">
        <v>44125.42232243056</v>
      </c>
      <c r="B190" s="7" t="s">
        <v>3245</v>
      </c>
      <c r="C190" s="8" t="s">
        <v>3246</v>
      </c>
      <c r="D190" s="1" t="s">
        <v>3247</v>
      </c>
      <c r="E190" s="9" t="s">
        <v>3248</v>
      </c>
      <c r="F190" s="1" t="s">
        <v>3249</v>
      </c>
      <c r="G190" s="1" t="s">
        <v>3250</v>
      </c>
      <c r="H190" s="1" t="s">
        <v>3251</v>
      </c>
      <c r="I190" s="9" t="s">
        <v>3252</v>
      </c>
      <c r="J190" s="1" t="s">
        <v>3253</v>
      </c>
      <c r="K190" s="1" t="s">
        <v>151</v>
      </c>
      <c r="L190" s="1" t="s">
        <v>496</v>
      </c>
      <c r="M190" s="1" t="s">
        <v>104</v>
      </c>
      <c r="N190" s="1" t="s">
        <v>3254</v>
      </c>
      <c r="O190" s="1" t="s">
        <v>236</v>
      </c>
      <c r="P190" s="1" t="s">
        <v>128</v>
      </c>
      <c r="Q190" s="1" t="s">
        <v>217</v>
      </c>
      <c r="R190" s="1" t="s">
        <v>217</v>
      </c>
      <c r="S190" s="1" t="s">
        <v>217</v>
      </c>
      <c r="AG190" s="9" t="s">
        <v>3255</v>
      </c>
      <c r="AI190" s="1" t="s">
        <v>3256</v>
      </c>
      <c r="AJ190" s="3"/>
      <c r="AK190" s="3"/>
      <c r="AL190" s="3"/>
      <c r="AM190" s="1" t="s">
        <v>3257</v>
      </c>
      <c r="AN190" s="7" t="s">
        <v>3258</v>
      </c>
      <c r="AO190" s="8" t="str">
        <f>HYPERLINK("https://docs.google.com/document/d/1g6F2meQp5At89q9Mw_v-CFxsHus5sgGjglHXOi5JZP8/edit?usp=drivesdk","Al-Wildan 3 BSD_Moh Syaiful Rahmat_al-quran")</f>
        <v>Al-Wildan 3 BSD_Moh Syaiful Rahmat_al-quran</v>
      </c>
      <c r="AP190" s="1" t="s">
        <v>3259</v>
      </c>
    </row>
    <row r="191">
      <c r="A191" s="6">
        <v>44125.43665290509</v>
      </c>
      <c r="B191" s="7" t="s">
        <v>3260</v>
      </c>
      <c r="C191" s="8" t="s">
        <v>3261</v>
      </c>
      <c r="D191" s="1" t="s">
        <v>3262</v>
      </c>
      <c r="E191" s="9" t="s">
        <v>3263</v>
      </c>
      <c r="F191" s="1" t="s">
        <v>3264</v>
      </c>
      <c r="G191" s="1" t="s">
        <v>3265</v>
      </c>
      <c r="H191" s="1" t="s">
        <v>169</v>
      </c>
      <c r="I191" s="9" t="s">
        <v>3266</v>
      </c>
      <c r="J191" s="1">
        <v>21.0</v>
      </c>
      <c r="K191" s="1" t="s">
        <v>151</v>
      </c>
      <c r="L191" s="1" t="s">
        <v>496</v>
      </c>
      <c r="M191" s="1" t="s">
        <v>2162</v>
      </c>
      <c r="O191" s="1" t="s">
        <v>127</v>
      </c>
      <c r="P191" s="1" t="s">
        <v>128</v>
      </c>
      <c r="Q191" s="1" t="s">
        <v>3267</v>
      </c>
      <c r="R191" s="1" t="s">
        <v>3268</v>
      </c>
      <c r="S191" s="1" t="s">
        <v>217</v>
      </c>
      <c r="Z191" s="1" t="s">
        <v>3269</v>
      </c>
      <c r="AA191" s="10">
        <v>2500000.0</v>
      </c>
      <c r="AF191" s="10">
        <v>4000000.0</v>
      </c>
      <c r="AG191" s="9" t="s">
        <v>3270</v>
      </c>
      <c r="AM191" s="1" t="s">
        <v>3271</v>
      </c>
      <c r="AN191" s="7" t="s">
        <v>3272</v>
      </c>
      <c r="AO191" s="8" t="str">
        <f>HYPERLINK("https://docs.google.com/document/d/1bETIjFWD7TymBSLZzc7HkAVa7ilOcgZroJEbjkQefZQ/edit?usp=drivesdk","Al-Wildan 3 BSD_Mohammad Farhan Munif_")</f>
        <v>Al-Wildan 3 BSD_Mohammad Farhan Munif_</v>
      </c>
      <c r="AP191" s="1" t="s">
        <v>3273</v>
      </c>
    </row>
    <row r="192">
      <c r="A192" s="6">
        <v>44125.45881224537</v>
      </c>
      <c r="B192" s="7" t="s">
        <v>3274</v>
      </c>
      <c r="C192" s="8" t="s">
        <v>3275</v>
      </c>
      <c r="D192" s="1" t="s">
        <v>3276</v>
      </c>
      <c r="E192" s="9" t="s">
        <v>3277</v>
      </c>
      <c r="F192" s="1" t="s">
        <v>3278</v>
      </c>
      <c r="G192" s="1" t="s">
        <v>3279</v>
      </c>
      <c r="H192" s="1" t="s">
        <v>3280</v>
      </c>
      <c r="I192" s="9" t="s">
        <v>3281</v>
      </c>
      <c r="J192" s="1">
        <v>22.0</v>
      </c>
      <c r="K192" s="1" t="s">
        <v>151</v>
      </c>
      <c r="L192" s="1" t="s">
        <v>103</v>
      </c>
      <c r="M192" s="1" t="s">
        <v>104</v>
      </c>
      <c r="N192" s="1" t="s">
        <v>3282</v>
      </c>
      <c r="O192" s="1" t="s">
        <v>127</v>
      </c>
      <c r="P192" s="1" t="s">
        <v>128</v>
      </c>
      <c r="Q192" s="1" t="s">
        <v>3283</v>
      </c>
      <c r="R192" s="1" t="s">
        <v>3284</v>
      </c>
      <c r="S192" s="1" t="s">
        <v>3284</v>
      </c>
      <c r="Z192" s="1" t="s">
        <v>3285</v>
      </c>
      <c r="AA192" s="10">
        <v>4000000.0</v>
      </c>
      <c r="AB192" s="1" t="s">
        <v>3286</v>
      </c>
      <c r="AC192" s="10">
        <v>4000000.0</v>
      </c>
      <c r="AD192" s="1" t="s">
        <v>3287</v>
      </c>
      <c r="AE192" s="10">
        <v>2500000.0</v>
      </c>
      <c r="AF192" s="10">
        <v>4000000.0</v>
      </c>
      <c r="AG192" s="9" t="s">
        <v>3288</v>
      </c>
      <c r="AI192" s="1" t="s">
        <v>2234</v>
      </c>
      <c r="AJ192" s="3"/>
      <c r="AK192" s="3"/>
      <c r="AL192" s="3"/>
      <c r="AM192" s="1" t="s">
        <v>3289</v>
      </c>
      <c r="AN192" s="7" t="s">
        <v>3290</v>
      </c>
      <c r="AO192" s="8" t="str">
        <f>HYPERLINK("https://docs.google.com/document/d/10SDD__pENIVzv_eadP8God7Eo6Qxr8EcxruUBr0U_q0/edit?usp=drivesdk","Al-Wildan 3 BSD_Muhammad Umar Karaman_Guru Alquran")</f>
        <v>Al-Wildan 3 BSD_Muhammad Umar Karaman_Guru Alquran</v>
      </c>
      <c r="AP192" s="1" t="s">
        <v>3291</v>
      </c>
    </row>
    <row r="193">
      <c r="A193" s="6">
        <v>44125.4707727662</v>
      </c>
      <c r="B193" s="7" t="s">
        <v>3292</v>
      </c>
      <c r="C193" s="8" t="s">
        <v>3293</v>
      </c>
      <c r="D193" s="1" t="s">
        <v>3294</v>
      </c>
      <c r="E193" s="9" t="s">
        <v>3295</v>
      </c>
      <c r="F193" s="1" t="s">
        <v>3296</v>
      </c>
      <c r="G193" s="1" t="s">
        <v>3297</v>
      </c>
      <c r="H193" s="1" t="s">
        <v>308</v>
      </c>
      <c r="I193" s="9" t="s">
        <v>3298</v>
      </c>
      <c r="J193" s="1" t="s">
        <v>3299</v>
      </c>
      <c r="K193" s="1" t="s">
        <v>102</v>
      </c>
      <c r="L193" s="1" t="s">
        <v>329</v>
      </c>
      <c r="M193" s="1" t="s">
        <v>104</v>
      </c>
      <c r="N193" s="1" t="s">
        <v>105</v>
      </c>
      <c r="O193" s="1" t="s">
        <v>127</v>
      </c>
      <c r="P193" s="1" t="s">
        <v>128</v>
      </c>
      <c r="Q193" s="1" t="s">
        <v>3300</v>
      </c>
      <c r="R193" s="1" t="s">
        <v>3301</v>
      </c>
      <c r="S193" s="1" t="s">
        <v>2032</v>
      </c>
      <c r="T193" s="1" t="s">
        <v>108</v>
      </c>
      <c r="U193" s="1" t="s">
        <v>3302</v>
      </c>
      <c r="V193" s="1" t="s">
        <v>2032</v>
      </c>
      <c r="Z193" s="1" t="s">
        <v>3303</v>
      </c>
      <c r="AA193" s="10">
        <v>4000000.0</v>
      </c>
      <c r="AF193" s="10">
        <v>6000000.0</v>
      </c>
      <c r="AG193" s="9" t="s">
        <v>3304</v>
      </c>
      <c r="AH193" s="9" t="s">
        <v>3305</v>
      </c>
      <c r="AI193" s="1" t="s">
        <v>159</v>
      </c>
      <c r="AJ193" s="3"/>
      <c r="AK193" s="3"/>
      <c r="AL193" s="3"/>
      <c r="AM193" s="1" t="s">
        <v>3306</v>
      </c>
      <c r="AN193" s="7" t="s">
        <v>3307</v>
      </c>
      <c r="AO193" s="8" t="str">
        <f>HYPERLINK("https://docs.google.com/document/d/1B9D9bZrcPRC7x-3PBLHXhOEdUXzy5qHwWAML5eO5fBk/edit?usp=drivesdk","Al-Wildan 3 BSD_Abdullah, M. Pd. _Bahasa Indonesia")</f>
        <v>Al-Wildan 3 BSD_Abdullah, M. Pd. _Bahasa Indonesia</v>
      </c>
      <c r="AP193" s="1" t="s">
        <v>3308</v>
      </c>
    </row>
    <row r="194">
      <c r="A194" s="6">
        <v>44125.490623645834</v>
      </c>
      <c r="B194" s="7" t="s">
        <v>3309</v>
      </c>
      <c r="C194" s="8" t="s">
        <v>3310</v>
      </c>
      <c r="D194" s="1" t="s">
        <v>3311</v>
      </c>
      <c r="E194" s="9" t="s">
        <v>3312</v>
      </c>
      <c r="F194" s="1" t="s">
        <v>3313</v>
      </c>
      <c r="G194" s="1" t="s">
        <v>2937</v>
      </c>
      <c r="H194" s="1" t="s">
        <v>2076</v>
      </c>
      <c r="I194" s="9" t="s">
        <v>3314</v>
      </c>
      <c r="J194" s="1" t="s">
        <v>3315</v>
      </c>
      <c r="K194" s="1" t="s">
        <v>102</v>
      </c>
      <c r="L194" s="1" t="s">
        <v>496</v>
      </c>
      <c r="M194" s="1" t="s">
        <v>1171</v>
      </c>
      <c r="N194" s="1" t="s">
        <v>3316</v>
      </c>
      <c r="O194" s="1" t="s">
        <v>106</v>
      </c>
      <c r="P194" s="1" t="s">
        <v>128</v>
      </c>
      <c r="Q194" s="1" t="s">
        <v>192</v>
      </c>
      <c r="R194" s="1" t="s">
        <v>1611</v>
      </c>
      <c r="S194" s="1" t="s">
        <v>3317</v>
      </c>
      <c r="T194" s="1" t="s">
        <v>217</v>
      </c>
      <c r="U194" s="1" t="s">
        <v>217</v>
      </c>
      <c r="V194" s="1" t="s">
        <v>217</v>
      </c>
      <c r="W194" s="1" t="s">
        <v>217</v>
      </c>
      <c r="X194" s="1" t="s">
        <v>217</v>
      </c>
      <c r="Z194" s="1" t="s">
        <v>3318</v>
      </c>
      <c r="AA194" s="10">
        <v>3500000.0</v>
      </c>
      <c r="AG194" s="9" t="s">
        <v>3319</v>
      </c>
      <c r="AI194" s="1" t="s">
        <v>3320</v>
      </c>
      <c r="AJ194" s="3"/>
      <c r="AK194" s="3"/>
      <c r="AL194" s="3"/>
      <c r="AM194" s="1" t="s">
        <v>3321</v>
      </c>
      <c r="AN194" s="7" t="s">
        <v>3322</v>
      </c>
      <c r="AO194" s="8" t="str">
        <f>HYPERLINK("https://docs.google.com/document/d/1C_QFU54aW0Jc1xpNXpdCb4K5-h9-KlxUpzdQryl7WSw/edit?usp=drivesdk","Al-Wildan 3 BSD_Ahmad Ikhlas_Sejarah Kebudayaan Islam")</f>
        <v>Al-Wildan 3 BSD_Ahmad Ikhlas_Sejarah Kebudayaan Islam</v>
      </c>
      <c r="AP194" s="1" t="s">
        <v>3323</v>
      </c>
    </row>
    <row r="195">
      <c r="A195" s="6">
        <v>44125.51197652778</v>
      </c>
      <c r="B195" s="7" t="s">
        <v>3324</v>
      </c>
      <c r="C195" s="8" t="s">
        <v>3325</v>
      </c>
      <c r="D195" s="1" t="s">
        <v>3326</v>
      </c>
      <c r="E195" s="9" t="s">
        <v>3327</v>
      </c>
      <c r="F195" s="1" t="s">
        <v>3328</v>
      </c>
      <c r="G195" s="1" t="s">
        <v>3329</v>
      </c>
      <c r="H195" s="1" t="s">
        <v>1078</v>
      </c>
      <c r="I195" s="9" t="s">
        <v>3330</v>
      </c>
      <c r="J195" s="1" t="s">
        <v>1822</v>
      </c>
      <c r="K195" s="1" t="s">
        <v>151</v>
      </c>
      <c r="L195" s="1" t="s">
        <v>329</v>
      </c>
      <c r="M195" s="1" t="s">
        <v>2162</v>
      </c>
      <c r="N195" s="1" t="s">
        <v>3331</v>
      </c>
      <c r="O195" s="1" t="s">
        <v>106</v>
      </c>
      <c r="P195" s="1" t="s">
        <v>128</v>
      </c>
      <c r="Q195" s="1" t="s">
        <v>3332</v>
      </c>
      <c r="R195" s="1" t="s">
        <v>238</v>
      </c>
      <c r="S195" s="1" t="s">
        <v>217</v>
      </c>
      <c r="T195" s="1" t="s">
        <v>3333</v>
      </c>
      <c r="Z195" s="1" t="s">
        <v>3334</v>
      </c>
      <c r="AA195" s="10">
        <v>1750000.0</v>
      </c>
      <c r="AF195" s="10">
        <v>2000000.0</v>
      </c>
      <c r="AG195" s="9" t="s">
        <v>3335</v>
      </c>
      <c r="AI195" s="1" t="s">
        <v>655</v>
      </c>
      <c r="AJ195" s="3"/>
      <c r="AK195" s="3"/>
      <c r="AL195" s="3"/>
      <c r="AM195" s="1" t="s">
        <v>3336</v>
      </c>
      <c r="AN195" s="7" t="s">
        <v>3337</v>
      </c>
      <c r="AO195" s="8" t="str">
        <f>HYPERLINK("https://docs.google.com/document/d/1TTRn5mkA5xJi82NqDi94QEvGwJdHQpfu8vhdnghM9pM/edit?usp=drivesdk","Al-Wildan 3 BSD_Muhammad NursulFadlan _Musyrif dan pengganti guru")</f>
        <v>Al-Wildan 3 BSD_Muhammad NursulFadlan _Musyrif dan pengganti guru</v>
      </c>
      <c r="AP195" s="1" t="s">
        <v>3338</v>
      </c>
    </row>
    <row r="196">
      <c r="A196" s="6">
        <v>44125.527322256945</v>
      </c>
      <c r="B196" s="7" t="s">
        <v>3339</v>
      </c>
      <c r="C196" s="8" t="s">
        <v>3340</v>
      </c>
      <c r="D196" s="1" t="s">
        <v>3341</v>
      </c>
      <c r="E196" s="9" t="s">
        <v>3342</v>
      </c>
      <c r="F196" s="1" t="s">
        <v>3343</v>
      </c>
      <c r="G196" s="1" t="s">
        <v>3344</v>
      </c>
      <c r="H196" s="1" t="s">
        <v>3345</v>
      </c>
      <c r="I196" s="9" t="s">
        <v>3346</v>
      </c>
      <c r="J196" s="1">
        <v>41.0</v>
      </c>
      <c r="K196" s="1" t="s">
        <v>102</v>
      </c>
      <c r="L196" s="1" t="s">
        <v>103</v>
      </c>
      <c r="M196" s="1" t="s">
        <v>104</v>
      </c>
      <c r="N196" s="1" t="s">
        <v>2769</v>
      </c>
      <c r="O196" s="1" t="s">
        <v>127</v>
      </c>
      <c r="P196" s="1" t="s">
        <v>128</v>
      </c>
      <c r="Q196" s="1" t="s">
        <v>1559</v>
      </c>
      <c r="R196" s="1" t="s">
        <v>238</v>
      </c>
      <c r="S196" s="1" t="s">
        <v>3347</v>
      </c>
      <c r="T196" s="1" t="s">
        <v>3348</v>
      </c>
      <c r="U196" s="1" t="s">
        <v>3348</v>
      </c>
      <c r="V196" s="1" t="s">
        <v>3348</v>
      </c>
      <c r="W196" s="1" t="s">
        <v>3348</v>
      </c>
      <c r="X196" s="1" t="s">
        <v>3348</v>
      </c>
      <c r="Z196" s="1" t="s">
        <v>2769</v>
      </c>
      <c r="AA196" s="10">
        <v>6000000.0</v>
      </c>
      <c r="AB196" s="1" t="s">
        <v>2769</v>
      </c>
      <c r="AC196" s="10">
        <v>5000000.0</v>
      </c>
      <c r="AD196" s="1" t="s">
        <v>3348</v>
      </c>
      <c r="AE196" s="1" t="s">
        <v>3348</v>
      </c>
      <c r="AF196" s="1" t="s">
        <v>3348</v>
      </c>
      <c r="AG196" s="1">
        <v>3.70363494E8</v>
      </c>
      <c r="AH196" s="9" t="s">
        <v>3349</v>
      </c>
      <c r="AI196" s="1" t="s">
        <v>3350</v>
      </c>
      <c r="AJ196" s="3"/>
      <c r="AK196" s="3"/>
      <c r="AL196" s="3"/>
      <c r="AM196" s="1" t="s">
        <v>3351</v>
      </c>
      <c r="AN196" s="7" t="s">
        <v>3352</v>
      </c>
      <c r="AO196" s="8" t="str">
        <f>HYPERLINK("https://docs.google.com/document/d/1A2GOZQjCFJ-JqN_EYdb37nQQunqgrQkDtkvSwCrKZKI/edit?usp=drivesdk","Al-Wildan 3 BSD_Syaikh ISSA DIOP LC_Arabic")</f>
        <v>Al-Wildan 3 BSD_Syaikh ISSA DIOP LC_Arabic</v>
      </c>
      <c r="AP196" s="1" t="s">
        <v>3353</v>
      </c>
    </row>
    <row r="197">
      <c r="A197" s="6">
        <v>44125.52989305556</v>
      </c>
      <c r="B197" s="7" t="s">
        <v>3354</v>
      </c>
      <c r="C197" s="8" t="s">
        <v>3355</v>
      </c>
      <c r="D197" s="1" t="s">
        <v>3356</v>
      </c>
      <c r="E197" s="9" t="s">
        <v>3357</v>
      </c>
      <c r="F197" s="1" t="s">
        <v>3358</v>
      </c>
      <c r="G197" s="1" t="s">
        <v>3359</v>
      </c>
      <c r="H197" s="1" t="s">
        <v>3033</v>
      </c>
      <c r="I197" s="1">
        <v>1.2121995E7</v>
      </c>
      <c r="J197" s="1" t="s">
        <v>1648</v>
      </c>
      <c r="K197" s="1" t="s">
        <v>151</v>
      </c>
      <c r="L197" s="1" t="s">
        <v>496</v>
      </c>
      <c r="M197" s="1" t="s">
        <v>1171</v>
      </c>
      <c r="N197" s="1" t="s">
        <v>2691</v>
      </c>
      <c r="O197" s="1" t="s">
        <v>106</v>
      </c>
      <c r="P197" s="1" t="s">
        <v>128</v>
      </c>
      <c r="Q197" s="1" t="s">
        <v>3360</v>
      </c>
      <c r="R197" s="1" t="s">
        <v>3361</v>
      </c>
      <c r="S197" s="1" t="s">
        <v>3362</v>
      </c>
      <c r="T197" s="1" t="s">
        <v>1007</v>
      </c>
      <c r="U197" s="1" t="s">
        <v>1007</v>
      </c>
      <c r="V197" s="1" t="s">
        <v>1007</v>
      </c>
      <c r="W197" s="1" t="s">
        <v>1007</v>
      </c>
      <c r="X197" s="1" t="s">
        <v>1007</v>
      </c>
      <c r="Z197" s="1" t="s">
        <v>3363</v>
      </c>
      <c r="AA197" s="10">
        <v>3500000.0</v>
      </c>
      <c r="AB197" s="1" t="s">
        <v>3364</v>
      </c>
      <c r="AC197" s="10">
        <v>1750000.0</v>
      </c>
      <c r="AF197" s="10">
        <v>3750000.0</v>
      </c>
      <c r="AG197" s="1">
        <v>4.10334471E8</v>
      </c>
      <c r="AM197" s="1" t="s">
        <v>3365</v>
      </c>
      <c r="AN197" s="7" t="s">
        <v>3366</v>
      </c>
      <c r="AO197" s="8" t="str">
        <f>HYPERLINK("https://docs.google.com/document/d/1SY6HANTWAEaqfJRyHGQiuJNoix-7h2pQ4ppRsKyQdnw/edit?usp=drivesdk","Al-Wildan 3 BSD_Muhammad Iqbal Zaki almubarak_Al Quran")</f>
        <v>Al-Wildan 3 BSD_Muhammad Iqbal Zaki almubarak_Al Quran</v>
      </c>
      <c r="AP197" s="1" t="s">
        <v>3367</v>
      </c>
    </row>
    <row r="198">
      <c r="A198" s="6">
        <v>44125.55479060185</v>
      </c>
      <c r="B198" s="7" t="s">
        <v>3368</v>
      </c>
      <c r="C198" s="8" t="s">
        <v>3369</v>
      </c>
      <c r="D198" s="1" t="s">
        <v>3370</v>
      </c>
      <c r="E198" s="9" t="s">
        <v>3371</v>
      </c>
      <c r="F198" s="1" t="s">
        <v>3372</v>
      </c>
      <c r="G198" s="1" t="s">
        <v>847</v>
      </c>
      <c r="H198" s="1" t="s">
        <v>847</v>
      </c>
      <c r="I198" s="9" t="s">
        <v>3373</v>
      </c>
      <c r="J198" s="1" t="s">
        <v>3374</v>
      </c>
      <c r="K198" s="1" t="s">
        <v>151</v>
      </c>
      <c r="L198" s="1" t="s">
        <v>496</v>
      </c>
      <c r="M198" s="1" t="s">
        <v>3375</v>
      </c>
      <c r="N198" s="1" t="s">
        <v>126</v>
      </c>
      <c r="O198" s="1" t="s">
        <v>127</v>
      </c>
      <c r="P198" s="1" t="s">
        <v>128</v>
      </c>
      <c r="Q198" s="1" t="s">
        <v>3376</v>
      </c>
      <c r="R198" s="1" t="s">
        <v>3377</v>
      </c>
      <c r="S198" s="1" t="s">
        <v>3378</v>
      </c>
      <c r="T198" s="1" t="s">
        <v>3379</v>
      </c>
      <c r="U198" s="1" t="s">
        <v>130</v>
      </c>
      <c r="V198" s="1" t="s">
        <v>1060</v>
      </c>
      <c r="W198" s="1" t="s">
        <v>217</v>
      </c>
      <c r="X198" s="1" t="s">
        <v>217</v>
      </c>
      <c r="Z198" s="1" t="s">
        <v>3380</v>
      </c>
      <c r="AA198" s="10">
        <v>2000000.0</v>
      </c>
      <c r="AB198" s="1" t="s">
        <v>3381</v>
      </c>
      <c r="AC198" s="10">
        <v>3200000.0</v>
      </c>
      <c r="AD198" s="1" t="s">
        <v>3382</v>
      </c>
      <c r="AE198" s="10">
        <v>4500000.0</v>
      </c>
      <c r="AF198" s="10">
        <v>7000000.0</v>
      </c>
      <c r="AG198" s="9" t="s">
        <v>3383</v>
      </c>
      <c r="AI198" s="1" t="s">
        <v>178</v>
      </c>
      <c r="AJ198" s="3"/>
      <c r="AK198" s="3"/>
      <c r="AL198" s="3"/>
      <c r="AM198" s="1" t="s">
        <v>3384</v>
      </c>
      <c r="AN198" s="7" t="s">
        <v>3385</v>
      </c>
      <c r="AO198" s="8" t="str">
        <f>HYPERLINK("https://docs.google.com/document/d/1SXIjkdrwVOaGqh_DuYpdbIyZmQKH8VOJ4lFnlKGpLaM/edit?usp=drivesdk","Al-Wildan 3 BSD_Ubay Dillah, S. Si., M. Pd. _Matematika")</f>
        <v>Al-Wildan 3 BSD_Ubay Dillah, S. Si., M. Pd. _Matematika</v>
      </c>
      <c r="AP198" s="1" t="s">
        <v>3386</v>
      </c>
    </row>
    <row r="199">
      <c r="A199" s="6">
        <v>44125.57380083333</v>
      </c>
      <c r="B199" s="7" t="s">
        <v>3387</v>
      </c>
      <c r="C199" s="8" t="s">
        <v>3388</v>
      </c>
      <c r="D199" s="1" t="s">
        <v>3389</v>
      </c>
      <c r="E199" s="9" t="s">
        <v>3390</v>
      </c>
      <c r="F199" s="1" t="s">
        <v>3391</v>
      </c>
      <c r="G199" s="1" t="s">
        <v>3392</v>
      </c>
      <c r="H199" s="1" t="s">
        <v>3393</v>
      </c>
      <c r="I199" s="9" t="s">
        <v>3394</v>
      </c>
      <c r="J199" s="1" t="s">
        <v>392</v>
      </c>
      <c r="K199" s="1" t="s">
        <v>151</v>
      </c>
      <c r="L199" s="1" t="s">
        <v>496</v>
      </c>
      <c r="M199" s="1" t="s">
        <v>1171</v>
      </c>
      <c r="N199" s="1" t="s">
        <v>3395</v>
      </c>
      <c r="O199" s="1" t="s">
        <v>106</v>
      </c>
      <c r="P199" s="1" t="s">
        <v>128</v>
      </c>
      <c r="Q199" s="1" t="s">
        <v>3396</v>
      </c>
      <c r="R199" s="1" t="s">
        <v>3397</v>
      </c>
      <c r="S199" s="1" t="s">
        <v>2510</v>
      </c>
      <c r="Z199" s="1" t="s">
        <v>3398</v>
      </c>
      <c r="AA199" s="10">
        <v>3500000.0</v>
      </c>
      <c r="AF199" s="10">
        <v>3500000.0</v>
      </c>
      <c r="AG199" s="1">
        <v>8.59057717E8</v>
      </c>
      <c r="AI199" s="1" t="s">
        <v>1246</v>
      </c>
      <c r="AJ199" s="3"/>
      <c r="AK199" s="3"/>
      <c r="AL199" s="3"/>
      <c r="AM199" s="1" t="s">
        <v>3399</v>
      </c>
      <c r="AN199" s="7" t="s">
        <v>3400</v>
      </c>
      <c r="AO199" s="8" t="str">
        <f>HYPERLINK("https://docs.google.com/document/d/1AaEZpT6RXCSt_fXaJ7VX-cuiFrY6ZklBc87d6ZXvZvE/edit?usp=drivesdk","Al-Wildan 3 BSD_Iskandar Diantara _SKI Arabic ")</f>
        <v>Al-Wildan 3 BSD_Iskandar Diantara _SKI Arabic </v>
      </c>
      <c r="AP199" s="1" t="s">
        <v>3401</v>
      </c>
    </row>
    <row r="200">
      <c r="A200" s="6">
        <v>44125.588703807865</v>
      </c>
      <c r="B200" s="7" t="s">
        <v>3402</v>
      </c>
      <c r="C200" s="8" t="s">
        <v>3403</v>
      </c>
      <c r="D200" s="1" t="s">
        <v>3404</v>
      </c>
      <c r="E200" s="9" t="s">
        <v>3405</v>
      </c>
      <c r="F200" s="1" t="s">
        <v>3406</v>
      </c>
      <c r="G200" s="1" t="s">
        <v>3407</v>
      </c>
      <c r="H200" s="1" t="s">
        <v>685</v>
      </c>
      <c r="I200" s="9" t="s">
        <v>3408</v>
      </c>
      <c r="J200" s="1">
        <v>27.0</v>
      </c>
      <c r="K200" s="1" t="s">
        <v>151</v>
      </c>
      <c r="L200" s="1" t="s">
        <v>103</v>
      </c>
      <c r="M200" s="1" t="s">
        <v>104</v>
      </c>
      <c r="N200" s="1" t="s">
        <v>152</v>
      </c>
      <c r="O200" s="1" t="s">
        <v>127</v>
      </c>
      <c r="P200" s="1" t="s">
        <v>128</v>
      </c>
      <c r="Q200" s="1" t="s">
        <v>3409</v>
      </c>
      <c r="R200" s="1" t="s">
        <v>172</v>
      </c>
      <c r="S200" s="1" t="s">
        <v>292</v>
      </c>
      <c r="Z200" s="1" t="s">
        <v>3410</v>
      </c>
      <c r="AA200" s="1" t="s">
        <v>3411</v>
      </c>
      <c r="AB200" s="1" t="s">
        <v>3410</v>
      </c>
      <c r="AC200" s="1" t="s">
        <v>3412</v>
      </c>
      <c r="AD200" s="1" t="s">
        <v>3410</v>
      </c>
      <c r="AE200" s="1" t="s">
        <v>3413</v>
      </c>
      <c r="AF200" s="1" t="s">
        <v>2586</v>
      </c>
      <c r="AG200" s="9" t="s">
        <v>3414</v>
      </c>
      <c r="AI200" s="1" t="s">
        <v>178</v>
      </c>
      <c r="AJ200" s="3"/>
      <c r="AK200" s="3"/>
      <c r="AL200" s="3"/>
      <c r="AM200" s="1" t="s">
        <v>3415</v>
      </c>
      <c r="AN200" s="7" t="s">
        <v>3416</v>
      </c>
      <c r="AO200" s="8" t="str">
        <f>HYPERLINK("https://docs.google.com/document/d/1TtxGHod0QXPHlaryPSMwq8HUDHeZEw3GcHx5IaSA4MA/edit?usp=drivesdk","Al-Wildan 3 BSD_Ilham Aditiara Rahman, S.Pd._Bahasa Inggris")</f>
        <v>Al-Wildan 3 BSD_Ilham Aditiara Rahman, S.Pd._Bahasa Inggris</v>
      </c>
      <c r="AP200" s="1" t="s">
        <v>3417</v>
      </c>
    </row>
    <row r="201">
      <c r="A201" s="6">
        <v>44125.592191261574</v>
      </c>
      <c r="B201" s="7" t="s">
        <v>3418</v>
      </c>
      <c r="C201" s="8" t="s">
        <v>3419</v>
      </c>
      <c r="D201" s="1" t="s">
        <v>3420</v>
      </c>
      <c r="E201" s="9" t="s">
        <v>3421</v>
      </c>
      <c r="F201" s="1" t="s">
        <v>3422</v>
      </c>
      <c r="G201" s="1" t="s">
        <v>3423</v>
      </c>
      <c r="H201" s="1" t="s">
        <v>3424</v>
      </c>
      <c r="I201" s="9" t="s">
        <v>3425</v>
      </c>
      <c r="J201" s="1" t="s">
        <v>3315</v>
      </c>
      <c r="K201" s="1" t="s">
        <v>151</v>
      </c>
      <c r="L201" s="1" t="s">
        <v>496</v>
      </c>
      <c r="M201" s="1" t="s">
        <v>3426</v>
      </c>
      <c r="N201" s="1" t="s">
        <v>2420</v>
      </c>
      <c r="O201" s="1" t="s">
        <v>127</v>
      </c>
      <c r="P201" s="1" t="s">
        <v>128</v>
      </c>
      <c r="Q201" s="1" t="s">
        <v>1635</v>
      </c>
      <c r="R201" s="1" t="s">
        <v>3427</v>
      </c>
      <c r="S201" s="1" t="s">
        <v>2510</v>
      </c>
      <c r="T201" s="1" t="s">
        <v>217</v>
      </c>
      <c r="U201" s="1" t="s">
        <v>217</v>
      </c>
      <c r="V201" s="1" t="s">
        <v>217</v>
      </c>
      <c r="Z201" s="1" t="s">
        <v>3428</v>
      </c>
      <c r="AA201" s="10">
        <v>500000.0</v>
      </c>
      <c r="AB201" s="1" t="s">
        <v>3429</v>
      </c>
      <c r="AC201" s="1" t="s">
        <v>3430</v>
      </c>
      <c r="AD201" s="1" t="s">
        <v>3431</v>
      </c>
      <c r="AE201" s="1" t="s">
        <v>3432</v>
      </c>
      <c r="AF201" s="10">
        <v>4500000.0</v>
      </c>
      <c r="AI201" s="1" t="s">
        <v>2772</v>
      </c>
      <c r="AJ201" s="3"/>
      <c r="AK201" s="3"/>
      <c r="AL201" s="3"/>
      <c r="AM201" s="1" t="s">
        <v>3433</v>
      </c>
      <c r="AN201" s="7" t="s">
        <v>3434</v>
      </c>
      <c r="AO201" s="8" t="str">
        <f>HYPERLINK("https://docs.google.com/document/d/17-TvMvJjF4nGUF5S6kg382aZ6CGrJ54ZR_0FqBHqAYY/edit?usp=drivesdk","Al-Wildan 3 BSD_EDY MULYADI_Bahasa Arab dan Fiqih")</f>
        <v>Al-Wildan 3 BSD_EDY MULYADI_Bahasa Arab dan Fiqih</v>
      </c>
      <c r="AP201" s="1" t="s">
        <v>3435</v>
      </c>
    </row>
    <row r="202">
      <c r="A202" s="6">
        <v>44125.62212975694</v>
      </c>
      <c r="B202" s="7" t="s">
        <v>3436</v>
      </c>
      <c r="C202" s="8" t="s">
        <v>3437</v>
      </c>
      <c r="D202" s="1" t="s">
        <v>3438</v>
      </c>
      <c r="E202" s="9" t="s">
        <v>3439</v>
      </c>
      <c r="F202" s="1" t="s">
        <v>3440</v>
      </c>
      <c r="G202" s="1" t="s">
        <v>3441</v>
      </c>
      <c r="H202" s="1" t="s">
        <v>99</v>
      </c>
      <c r="I202" s="9" t="s">
        <v>3442</v>
      </c>
      <c r="J202" s="1" t="s">
        <v>3443</v>
      </c>
      <c r="K202" s="1" t="s">
        <v>102</v>
      </c>
      <c r="L202" s="1" t="s">
        <v>103</v>
      </c>
      <c r="M202" s="1" t="s">
        <v>104</v>
      </c>
      <c r="N202" s="1" t="s">
        <v>3444</v>
      </c>
      <c r="O202" s="1" t="s">
        <v>127</v>
      </c>
      <c r="P202" s="1" t="s">
        <v>128</v>
      </c>
      <c r="Q202" s="1" t="s">
        <v>3445</v>
      </c>
      <c r="R202" s="1" t="s">
        <v>2691</v>
      </c>
      <c r="S202" s="1" t="s">
        <v>2510</v>
      </c>
      <c r="Z202" s="1" t="s">
        <v>3446</v>
      </c>
      <c r="AA202" s="10">
        <v>4500000.0</v>
      </c>
      <c r="AF202" s="10">
        <v>5500000.0</v>
      </c>
      <c r="AG202" s="9" t="s">
        <v>3447</v>
      </c>
      <c r="AM202" s="1" t="s">
        <v>3448</v>
      </c>
      <c r="AN202" s="7" t="s">
        <v>3449</v>
      </c>
      <c r="AO202" s="8" t="str">
        <f>HYPERLINK("https://docs.google.com/document/d/126ASg54F9Badd3GFy_lwoQaoqTS4hO6xUg5ytgAnVEM/edit?usp=drivesdk","Al-Wildan 3 BSD_Firmansyah Alhafidz_Al-Quran")</f>
        <v>Al-Wildan 3 BSD_Firmansyah Alhafidz_Al-Quran</v>
      </c>
      <c r="AP202" s="1" t="s">
        <v>3450</v>
      </c>
    </row>
    <row r="203">
      <c r="A203" s="6">
        <v>44125.634474583334</v>
      </c>
      <c r="B203" s="7" t="s">
        <v>3451</v>
      </c>
      <c r="C203" s="8" t="s">
        <v>3452</v>
      </c>
      <c r="D203" s="1" t="s">
        <v>3453</v>
      </c>
      <c r="E203" s="9" t="s">
        <v>3454</v>
      </c>
      <c r="F203" s="1" t="s">
        <v>3455</v>
      </c>
      <c r="G203" s="1" t="s">
        <v>2649</v>
      </c>
      <c r="H203" s="1" t="s">
        <v>3456</v>
      </c>
      <c r="I203" s="9" t="s">
        <v>3457</v>
      </c>
      <c r="J203" s="1">
        <v>22.0</v>
      </c>
      <c r="K203" s="1" t="s">
        <v>151</v>
      </c>
      <c r="L203" s="1" t="s">
        <v>496</v>
      </c>
      <c r="M203" s="1" t="s">
        <v>2162</v>
      </c>
      <c r="N203" s="1" t="s">
        <v>2163</v>
      </c>
      <c r="O203" s="1" t="s">
        <v>106</v>
      </c>
      <c r="P203" s="1" t="s">
        <v>128</v>
      </c>
      <c r="Q203" s="1" t="s">
        <v>217</v>
      </c>
      <c r="R203" s="1" t="s">
        <v>217</v>
      </c>
      <c r="S203" s="1" t="s">
        <v>217</v>
      </c>
      <c r="T203" s="1" t="s">
        <v>217</v>
      </c>
      <c r="U203" s="1" t="s">
        <v>217</v>
      </c>
      <c r="V203" s="1" t="s">
        <v>217</v>
      </c>
      <c r="W203" s="1" t="s">
        <v>217</v>
      </c>
      <c r="X203" s="1" t="s">
        <v>217</v>
      </c>
      <c r="Y203" s="1">
        <v>0.0</v>
      </c>
      <c r="Z203" s="1" t="s">
        <v>3458</v>
      </c>
      <c r="AG203" s="9" t="s">
        <v>3459</v>
      </c>
      <c r="AM203" s="1" t="s">
        <v>3460</v>
      </c>
      <c r="AN203" s="7" t="s">
        <v>3461</v>
      </c>
      <c r="AO203" s="8" t="str">
        <f>HYPERLINK("https://docs.google.com/document/d/1BsjY1QJq_D_vvJUwZC39T-behD5Gj6vARa2hddtueEA/edit?usp=drivesdk","Al-Wildan 3 BSD_Rian Alfarizi_Alquran")</f>
        <v>Al-Wildan 3 BSD_Rian Alfarizi_Alquran</v>
      </c>
      <c r="AP203" s="1" t="s">
        <v>3462</v>
      </c>
    </row>
    <row r="204">
      <c r="A204" s="6">
        <v>44125.66428440972</v>
      </c>
      <c r="B204" s="7" t="s">
        <v>3463</v>
      </c>
      <c r="C204" s="8" t="s">
        <v>3464</v>
      </c>
      <c r="D204" s="1" t="s">
        <v>3465</v>
      </c>
      <c r="E204" s="9" t="s">
        <v>3466</v>
      </c>
      <c r="F204" s="1" t="s">
        <v>3467</v>
      </c>
      <c r="G204" s="1" t="s">
        <v>1851</v>
      </c>
      <c r="H204" s="1" t="s">
        <v>3468</v>
      </c>
      <c r="I204" s="9" t="s">
        <v>3469</v>
      </c>
      <c r="J204" s="1" t="s">
        <v>3470</v>
      </c>
      <c r="K204" s="1" t="s">
        <v>102</v>
      </c>
      <c r="L204" s="1" t="s">
        <v>496</v>
      </c>
      <c r="M204" s="1" t="s">
        <v>1171</v>
      </c>
      <c r="N204" s="1" t="s">
        <v>311</v>
      </c>
      <c r="O204" s="1" t="s">
        <v>236</v>
      </c>
      <c r="P204" s="1" t="s">
        <v>128</v>
      </c>
      <c r="Q204" s="1" t="s">
        <v>217</v>
      </c>
      <c r="R204" s="1" t="s">
        <v>217</v>
      </c>
      <c r="S204" s="1" t="s">
        <v>217</v>
      </c>
      <c r="T204" s="1" t="s">
        <v>217</v>
      </c>
      <c r="U204" s="1" t="s">
        <v>217</v>
      </c>
      <c r="V204" s="1" t="s">
        <v>217</v>
      </c>
      <c r="W204" s="1" t="s">
        <v>217</v>
      </c>
      <c r="X204" s="1" t="s">
        <v>217</v>
      </c>
      <c r="Y204" s="1">
        <v>0.0</v>
      </c>
      <c r="Z204" s="1" t="s">
        <v>3471</v>
      </c>
      <c r="AA204" s="10">
        <v>900000.0</v>
      </c>
      <c r="AB204" s="1" t="s">
        <v>3472</v>
      </c>
      <c r="AC204" s="10">
        <v>2000000.0</v>
      </c>
      <c r="AD204" s="1" t="s">
        <v>217</v>
      </c>
      <c r="AE204" s="1" t="s">
        <v>217</v>
      </c>
      <c r="AF204" s="1" t="s">
        <v>3473</v>
      </c>
      <c r="AG204" s="9" t="s">
        <v>3474</v>
      </c>
      <c r="AH204" s="1">
        <v>0.0</v>
      </c>
      <c r="AI204" s="1">
        <v>0.0</v>
      </c>
      <c r="AJ204" s="3"/>
      <c r="AK204" s="3"/>
      <c r="AL204" s="3"/>
      <c r="AM204" s="1" t="s">
        <v>3475</v>
      </c>
      <c r="AN204" s="7" t="s">
        <v>3476</v>
      </c>
      <c r="AO204" s="8" t="str">
        <f>HYPERLINK("https://docs.google.com/document/d/1NILv2uVZRZcsgOqd86UaIyqE0Ts5r2myLUuGmQQXUDQ/edit?usp=drivesdk","Al-Wildan 3 BSD_Ali Ikbar_Al Qur'an")</f>
        <v>Al-Wildan 3 BSD_Ali Ikbar_Al Qur'an</v>
      </c>
      <c r="AP204" s="1" t="s">
        <v>3477</v>
      </c>
    </row>
    <row r="205">
      <c r="A205" s="6">
        <v>44125.69258050926</v>
      </c>
      <c r="B205" s="7" t="s">
        <v>3478</v>
      </c>
      <c r="C205" s="8" t="s">
        <v>3479</v>
      </c>
      <c r="D205" s="1" t="s">
        <v>3480</v>
      </c>
      <c r="E205" s="9" t="s">
        <v>3481</v>
      </c>
      <c r="F205" s="1" t="s">
        <v>3482</v>
      </c>
      <c r="G205" s="1" t="s">
        <v>3483</v>
      </c>
      <c r="H205" s="1" t="s">
        <v>3484</v>
      </c>
      <c r="I205" s="9" t="s">
        <v>3485</v>
      </c>
      <c r="J205" s="1" t="s">
        <v>3486</v>
      </c>
      <c r="K205" s="1" t="s">
        <v>102</v>
      </c>
      <c r="L205" s="1" t="s">
        <v>103</v>
      </c>
      <c r="M205" s="1" t="s">
        <v>104</v>
      </c>
      <c r="N205" s="1" t="s">
        <v>3487</v>
      </c>
      <c r="O205" s="1" t="s">
        <v>127</v>
      </c>
      <c r="P205" s="1" t="s">
        <v>128</v>
      </c>
      <c r="Q205" s="1" t="s">
        <v>3488</v>
      </c>
      <c r="R205" s="1" t="s">
        <v>238</v>
      </c>
      <c r="S205" s="1" t="s">
        <v>333</v>
      </c>
      <c r="T205" s="1" t="s">
        <v>3489</v>
      </c>
      <c r="U205" s="1" t="s">
        <v>3490</v>
      </c>
      <c r="W205" s="1" t="s">
        <v>3491</v>
      </c>
      <c r="Z205" s="1" t="s">
        <v>3492</v>
      </c>
      <c r="AA205" s="9" t="s">
        <v>3493</v>
      </c>
      <c r="AB205" s="1" t="s">
        <v>3494</v>
      </c>
      <c r="AC205" s="1" t="s">
        <v>3495</v>
      </c>
      <c r="AD205" s="1" t="s">
        <v>3496</v>
      </c>
      <c r="AE205" s="10">
        <v>8850000.0</v>
      </c>
      <c r="AG205" s="1">
        <v>4.69821809E8</v>
      </c>
      <c r="AI205" s="1" t="s">
        <v>782</v>
      </c>
      <c r="AJ205" s="3"/>
      <c r="AK205" s="3"/>
      <c r="AL205" s="3"/>
      <c r="AM205" s="1" t="s">
        <v>3497</v>
      </c>
      <c r="AN205" s="7" t="s">
        <v>3498</v>
      </c>
      <c r="AO205" s="8" t="str">
        <f>HYPERLINK("https://docs.google.com/document/d/1LpyMe36rZV17bQDAmly3tYMwzcg0NZN5ZoicDLsF95g/edit?usp=drivesdk","Al-Wildan 3 BSD_AHMAD ZAKARIA SP.d.I_ALQURAN")</f>
        <v>Al-Wildan 3 BSD_AHMAD ZAKARIA SP.d.I_ALQURAN</v>
      </c>
      <c r="AP205" s="1" t="s">
        <v>3499</v>
      </c>
    </row>
    <row r="206">
      <c r="A206" s="6">
        <v>44125.856844548616</v>
      </c>
      <c r="B206" s="7" t="s">
        <v>3500</v>
      </c>
      <c r="C206" s="8" t="s">
        <v>3501</v>
      </c>
      <c r="D206" s="1" t="s">
        <v>3502</v>
      </c>
      <c r="E206" s="9" t="s">
        <v>3503</v>
      </c>
      <c r="F206" s="1" t="s">
        <v>3504</v>
      </c>
      <c r="G206" s="1" t="s">
        <v>3505</v>
      </c>
      <c r="H206" s="1" t="s">
        <v>3506</v>
      </c>
      <c r="I206" s="9" t="s">
        <v>3507</v>
      </c>
      <c r="J206" s="1" t="s">
        <v>3508</v>
      </c>
      <c r="K206" s="1" t="s">
        <v>102</v>
      </c>
      <c r="L206" s="1" t="s">
        <v>103</v>
      </c>
      <c r="M206" s="1" t="s">
        <v>793</v>
      </c>
      <c r="N206" s="1" t="s">
        <v>828</v>
      </c>
      <c r="O206" s="1" t="s">
        <v>236</v>
      </c>
      <c r="P206" s="1" t="s">
        <v>128</v>
      </c>
      <c r="Q206" s="1" t="s">
        <v>1505</v>
      </c>
      <c r="R206" s="1" t="s">
        <v>3509</v>
      </c>
      <c r="S206" s="1" t="s">
        <v>363</v>
      </c>
      <c r="U206" s="1" t="s">
        <v>3510</v>
      </c>
      <c r="Z206" s="1" t="s">
        <v>3511</v>
      </c>
      <c r="AB206" s="1" t="s">
        <v>3512</v>
      </c>
      <c r="AD206" s="1" t="s">
        <v>3513</v>
      </c>
      <c r="AG206" s="9" t="s">
        <v>3514</v>
      </c>
      <c r="AI206" s="1" t="s">
        <v>178</v>
      </c>
      <c r="AJ206" s="3"/>
      <c r="AK206" s="3"/>
      <c r="AL206" s="3"/>
      <c r="AM206" s="1" t="s">
        <v>3515</v>
      </c>
      <c r="AN206" s="7" t="s">
        <v>3516</v>
      </c>
      <c r="AO206" s="8" t="str">
        <f>HYPERLINK("https://docs.google.com/document/d/1crnW72E6CVwNgptYbKBMrns-O4nhc5pqIr2yBQbFyiA/edit?usp=drivesdk","Al-Wildan 3 BSD_Ahkyar,Lc_Arabic dan SKI")</f>
        <v>Al-Wildan 3 BSD_Ahkyar,Lc_Arabic dan SKI</v>
      </c>
      <c r="AP206" s="1" t="s">
        <v>3517</v>
      </c>
    </row>
    <row r="207">
      <c r="A207" s="6">
        <v>44126.233346064815</v>
      </c>
      <c r="B207" s="7" t="s">
        <v>3518</v>
      </c>
      <c r="C207" s="8" t="s">
        <v>3519</v>
      </c>
      <c r="D207" s="1" t="s">
        <v>3520</v>
      </c>
      <c r="E207" s="1" t="s">
        <v>3521</v>
      </c>
      <c r="F207" s="1" t="s">
        <v>3522</v>
      </c>
      <c r="G207" s="1" t="s">
        <v>685</v>
      </c>
      <c r="H207" s="1" t="s">
        <v>1464</v>
      </c>
      <c r="I207" s="9" t="s">
        <v>3523</v>
      </c>
      <c r="J207" s="1">
        <v>22.0</v>
      </c>
      <c r="K207" s="1" t="s">
        <v>151</v>
      </c>
      <c r="L207" s="1" t="s">
        <v>103</v>
      </c>
      <c r="M207" s="1" t="s">
        <v>2162</v>
      </c>
      <c r="N207" s="1" t="s">
        <v>217</v>
      </c>
      <c r="O207" s="1" t="s">
        <v>127</v>
      </c>
      <c r="P207" s="1" t="s">
        <v>128</v>
      </c>
      <c r="Q207" s="1" t="s">
        <v>217</v>
      </c>
      <c r="R207" s="1" t="s">
        <v>217</v>
      </c>
      <c r="S207" s="1" t="s">
        <v>217</v>
      </c>
      <c r="Z207" s="1" t="s">
        <v>1595</v>
      </c>
      <c r="AA207" s="10">
        <v>1000000.0</v>
      </c>
      <c r="AB207" s="1" t="s">
        <v>1595</v>
      </c>
      <c r="AC207" s="10">
        <v>2000000.0</v>
      </c>
      <c r="AF207" s="10">
        <v>4000000.0</v>
      </c>
      <c r="AG207" s="9" t="s">
        <v>3524</v>
      </c>
      <c r="AI207" s="1" t="s">
        <v>178</v>
      </c>
      <c r="AJ207" s="3"/>
      <c r="AK207" s="3"/>
      <c r="AL207" s="3"/>
      <c r="AM207" s="1" t="s">
        <v>3525</v>
      </c>
      <c r="AN207" s="7" t="s">
        <v>3526</v>
      </c>
      <c r="AO207" s="8" t="str">
        <f>HYPERLINK("https://docs.google.com/document/d/1rZfieAHeLPGUPWr4WejVPCIaMOKvO2YX2z0M6D3HRBk/edit?usp=drivesdk","Al-Wildan 3 BSD_Muhammad Basalamah_-")</f>
        <v>Al-Wildan 3 BSD_Muhammad Basalamah_-</v>
      </c>
      <c r="AP207" s="1" t="s">
        <v>3527</v>
      </c>
    </row>
    <row r="208">
      <c r="A208" s="6">
        <v>44126.7977861574</v>
      </c>
      <c r="B208" s="7" t="s">
        <v>3528</v>
      </c>
      <c r="C208" s="8" t="s">
        <v>3529</v>
      </c>
      <c r="D208" s="1" t="s">
        <v>3530</v>
      </c>
      <c r="E208" s="9" t="s">
        <v>3531</v>
      </c>
      <c r="F208" s="1" t="s">
        <v>3532</v>
      </c>
      <c r="G208" s="1" t="s">
        <v>1646</v>
      </c>
      <c r="H208" s="1" t="s">
        <v>3533</v>
      </c>
      <c r="I208" s="9" t="s">
        <v>3534</v>
      </c>
      <c r="J208" s="1">
        <v>22.0</v>
      </c>
      <c r="K208" s="1" t="s">
        <v>151</v>
      </c>
      <c r="L208" s="1" t="s">
        <v>496</v>
      </c>
      <c r="M208" s="1" t="s">
        <v>2162</v>
      </c>
      <c r="N208" s="1" t="s">
        <v>3535</v>
      </c>
      <c r="O208" s="1" t="s">
        <v>106</v>
      </c>
      <c r="P208" s="1" t="s">
        <v>128</v>
      </c>
      <c r="Q208" s="1" t="s">
        <v>217</v>
      </c>
      <c r="R208" s="1" t="s">
        <v>217</v>
      </c>
      <c r="S208" s="1" t="s">
        <v>217</v>
      </c>
      <c r="AM208" s="1" t="s">
        <v>3536</v>
      </c>
      <c r="AN208" s="7" t="s">
        <v>3537</v>
      </c>
      <c r="AO208" s="8" t="str">
        <f>HYPERLINK("https://docs.google.com/document/d/1iKXyeAVDdPckelE7CHmPNd252kHGpJ-Ouhs0QkknjL8/edit?usp=drivesdk","Al-Wildan 3 BSD_khoiruddin akmal_diniah")</f>
        <v>Al-Wildan 3 BSD_khoiruddin akmal_diniah</v>
      </c>
      <c r="AP208" s="1" t="s">
        <v>3538</v>
      </c>
    </row>
    <row r="209">
      <c r="A209" s="6">
        <v>44126.82816923611</v>
      </c>
      <c r="B209" s="7" t="s">
        <v>3539</v>
      </c>
      <c r="C209" s="8" t="s">
        <v>3540</v>
      </c>
      <c r="D209" s="1" t="s">
        <v>3541</v>
      </c>
      <c r="E209" s="9" t="s">
        <v>3542</v>
      </c>
      <c r="F209" s="9" t="s">
        <v>3543</v>
      </c>
      <c r="G209" s="1" t="s">
        <v>3544</v>
      </c>
      <c r="H209" s="1" t="s">
        <v>3545</v>
      </c>
      <c r="I209" s="1" t="s">
        <v>3546</v>
      </c>
      <c r="J209" s="1">
        <v>43.0</v>
      </c>
      <c r="K209" s="1" t="s">
        <v>102</v>
      </c>
      <c r="L209" s="1" t="s">
        <v>103</v>
      </c>
      <c r="M209" s="1" t="s">
        <v>104</v>
      </c>
      <c r="N209" s="1" t="s">
        <v>3547</v>
      </c>
      <c r="O209" s="1" t="s">
        <v>127</v>
      </c>
      <c r="P209" s="1" t="s">
        <v>128</v>
      </c>
      <c r="Q209" s="1" t="s">
        <v>3548</v>
      </c>
      <c r="R209" s="1" t="s">
        <v>3549</v>
      </c>
      <c r="S209" s="1" t="s">
        <v>3550</v>
      </c>
      <c r="T209" s="1" t="s">
        <v>3409</v>
      </c>
      <c r="U209" s="1" t="s">
        <v>3551</v>
      </c>
      <c r="V209" s="1" t="s">
        <v>3552</v>
      </c>
      <c r="AF209" s="1" t="s">
        <v>3553</v>
      </c>
      <c r="AG209" s="9" t="s">
        <v>3554</v>
      </c>
      <c r="AM209" s="1" t="s">
        <v>3555</v>
      </c>
      <c r="AN209" s="7" t="s">
        <v>3556</v>
      </c>
      <c r="AO209" s="8" t="str">
        <f>HYPERLINK("https://docs.google.com/document/d/1cWnXHQOs8dTNBoHIK2zZb3CcSlP_g4Ajb8AiQEMecfI/edit?usp=drivesdk","Al-Wildan 3 BSD_RUSHDI MOHAMMED HASAN ABDUL AZIZ AL'ADANY_Alquran Alkarim")</f>
        <v>Al-Wildan 3 BSD_RUSHDI MOHAMMED HASAN ABDUL AZIZ AL'ADANY_Alquran Alkarim</v>
      </c>
      <c r="AP209" s="1" t="s">
        <v>3557</v>
      </c>
    </row>
    <row r="210">
      <c r="A210" s="6">
        <v>44126.83136063657</v>
      </c>
      <c r="B210" s="7" t="s">
        <v>3558</v>
      </c>
      <c r="C210" s="8" t="s">
        <v>3559</v>
      </c>
      <c r="D210" s="1" t="s">
        <v>3560</v>
      </c>
      <c r="E210" s="9" t="s">
        <v>3561</v>
      </c>
      <c r="F210" s="1" t="s">
        <v>3562</v>
      </c>
      <c r="G210" s="1" t="s">
        <v>3563</v>
      </c>
      <c r="H210" s="1" t="s">
        <v>3564</v>
      </c>
      <c r="I210" s="9" t="s">
        <v>3565</v>
      </c>
      <c r="J210" s="1" t="s">
        <v>3566</v>
      </c>
      <c r="K210" s="1" t="s">
        <v>102</v>
      </c>
      <c r="L210" s="1" t="s">
        <v>103</v>
      </c>
      <c r="M210" s="1" t="s">
        <v>104</v>
      </c>
      <c r="N210" s="1" t="s">
        <v>3567</v>
      </c>
      <c r="O210" s="1" t="s">
        <v>312</v>
      </c>
      <c r="P210" s="1" t="s">
        <v>107</v>
      </c>
      <c r="Q210" s="1" t="s">
        <v>3568</v>
      </c>
      <c r="R210" s="1" t="s">
        <v>3569</v>
      </c>
      <c r="S210" s="10">
        <v>2436.0</v>
      </c>
      <c r="Z210" s="1" t="s">
        <v>3570</v>
      </c>
      <c r="AA210" s="10">
        <v>1.4E7</v>
      </c>
      <c r="AB210" s="1" t="s">
        <v>3571</v>
      </c>
      <c r="AC210" s="10">
        <v>1.4E7</v>
      </c>
      <c r="AF210" s="10">
        <v>1.6E7</v>
      </c>
      <c r="AG210" s="9" t="s">
        <v>3572</v>
      </c>
      <c r="AI210" s="1" t="s">
        <v>993</v>
      </c>
      <c r="AJ210" s="3"/>
      <c r="AK210" s="3"/>
      <c r="AL210" s="3"/>
      <c r="AM210" s="1" t="s">
        <v>3573</v>
      </c>
      <c r="AN210" s="7" t="s">
        <v>3574</v>
      </c>
      <c r="AO210" s="8" t="str">
        <f>HYPERLINK("https://docs.google.com/document/d/1csagkUtXiaXUQVWz1u6Kn6bL8nJ12N1lm_nqmYPZJj0/edit?usp=drivesdk","Al-Wildan 1 Gading Serpong_MOHAMED ABDELAZIZ RAMADAN RAGAB BASTAWEISY _Native Arabic speaker / Quran ")</f>
        <v>Al-Wildan 1 Gading Serpong_MOHAMED ABDELAZIZ RAMADAN RAGAB BASTAWEISY _Native Arabic speaker / Quran </v>
      </c>
      <c r="AP210" s="1" t="s">
        <v>3575</v>
      </c>
    </row>
    <row r="211">
      <c r="A211" s="6">
        <v>44127.242930127315</v>
      </c>
      <c r="B211" s="7" t="s">
        <v>3576</v>
      </c>
      <c r="C211" s="8" t="s">
        <v>3577</v>
      </c>
      <c r="D211" s="1" t="s">
        <v>3578</v>
      </c>
      <c r="E211" s="1">
        <v>8.5890517662E10</v>
      </c>
      <c r="F211" s="1">
        <v>3.17501101163E14</v>
      </c>
      <c r="G211" s="1" t="s">
        <v>3579</v>
      </c>
      <c r="H211" s="1" t="s">
        <v>3580</v>
      </c>
      <c r="I211" s="9" t="s">
        <v>3581</v>
      </c>
      <c r="J211" s="1" t="s">
        <v>3582</v>
      </c>
      <c r="K211" s="1" t="s">
        <v>102</v>
      </c>
      <c r="L211" s="1" t="s">
        <v>310</v>
      </c>
      <c r="M211" s="1" t="s">
        <v>104</v>
      </c>
      <c r="N211" s="1" t="s">
        <v>3583</v>
      </c>
      <c r="O211" s="1" t="s">
        <v>127</v>
      </c>
      <c r="P211" s="1" t="s">
        <v>128</v>
      </c>
      <c r="Q211" s="1" t="s">
        <v>3584</v>
      </c>
      <c r="R211" s="1" t="s">
        <v>193</v>
      </c>
      <c r="S211" s="1" t="s">
        <v>908</v>
      </c>
      <c r="T211" s="1" t="s">
        <v>3585</v>
      </c>
      <c r="U211" s="1" t="s">
        <v>3586</v>
      </c>
      <c r="V211" s="1" t="s">
        <v>2032</v>
      </c>
      <c r="W211" s="1" t="s">
        <v>3587</v>
      </c>
      <c r="X211" s="1" t="s">
        <v>3588</v>
      </c>
      <c r="Y211" s="1" t="s">
        <v>3589</v>
      </c>
      <c r="Z211" s="1" t="s">
        <v>3590</v>
      </c>
      <c r="AA211" s="1" t="s">
        <v>3591</v>
      </c>
      <c r="AM211" s="1" t="s">
        <v>3592</v>
      </c>
      <c r="AN211" s="7" t="s">
        <v>3593</v>
      </c>
      <c r="AO211" s="8" t="str">
        <f>HYPERLINK("https://docs.google.com/document/d/1hJOAr-ZyOmOw5ntLyzJCM7TGb__VC9srtvlGQCvE358/edit?usp=drivesdk","Al-Wildan 3 BSD_Dr. Abd. Rohim _Bahasa Arab ")</f>
        <v>Al-Wildan 3 BSD_Dr. Abd. Rohim _Bahasa Arab </v>
      </c>
      <c r="AP211" s="1" t="s">
        <v>3594</v>
      </c>
    </row>
    <row r="212">
      <c r="A212" s="6">
        <v>44127.43555138889</v>
      </c>
      <c r="B212" s="7" t="s">
        <v>3595</v>
      </c>
      <c r="C212" s="8" t="s">
        <v>3596</v>
      </c>
      <c r="D212" s="1" t="s">
        <v>3597</v>
      </c>
      <c r="E212" s="9" t="s">
        <v>3598</v>
      </c>
      <c r="F212" s="9" t="s">
        <v>3599</v>
      </c>
      <c r="G212" s="1" t="s">
        <v>3600</v>
      </c>
      <c r="H212" s="1" t="s">
        <v>3601</v>
      </c>
      <c r="I212" s="9" t="s">
        <v>3602</v>
      </c>
      <c r="J212" s="1">
        <v>32.0</v>
      </c>
      <c r="K212" s="1" t="s">
        <v>102</v>
      </c>
      <c r="L212" s="1" t="s">
        <v>103</v>
      </c>
      <c r="M212" s="1" t="s">
        <v>3603</v>
      </c>
      <c r="N212" s="1" t="s">
        <v>3604</v>
      </c>
      <c r="O212" s="1" t="s">
        <v>1693</v>
      </c>
      <c r="P212" s="1" t="s">
        <v>128</v>
      </c>
      <c r="Q212" s="1" t="s">
        <v>3605</v>
      </c>
      <c r="R212" s="11" t="s">
        <v>3606</v>
      </c>
      <c r="S212" s="11" t="s">
        <v>3607</v>
      </c>
      <c r="T212" s="1" t="s">
        <v>3605</v>
      </c>
      <c r="U212" s="11" t="s">
        <v>3607</v>
      </c>
      <c r="AM212" s="1" t="s">
        <v>3608</v>
      </c>
      <c r="AN212" s="7" t="s">
        <v>3609</v>
      </c>
      <c r="AO212" s="8" t="str">
        <f>HYPERLINK("https://docs.google.com/document/d/1upBwFPloX8jRlpLifyIHsWXxFytn4Oiscn8y6y2aO6Y/edit?usp=drivesdk","Al-Wildan 3 BSD_syk. mansoor abdullah _syk - markaz tahfidz")</f>
        <v>Al-Wildan 3 BSD_syk. mansoor abdullah _syk - markaz tahfidz</v>
      </c>
      <c r="AP212" s="1" t="s">
        <v>3610</v>
      </c>
    </row>
    <row r="213">
      <c r="A213" s="6">
        <v>44127.531706863425</v>
      </c>
      <c r="B213" s="7" t="s">
        <v>3611</v>
      </c>
      <c r="C213" s="8" t="s">
        <v>3612</v>
      </c>
      <c r="D213" s="1" t="s">
        <v>3613</v>
      </c>
      <c r="E213" s="1" t="s">
        <v>3614</v>
      </c>
      <c r="F213" s="9" t="s">
        <v>3615</v>
      </c>
      <c r="G213" s="1" t="s">
        <v>3616</v>
      </c>
      <c r="H213" s="1" t="s">
        <v>3617</v>
      </c>
      <c r="I213" s="9" t="s">
        <v>3618</v>
      </c>
      <c r="J213" s="1" t="s">
        <v>3619</v>
      </c>
      <c r="K213" s="1" t="s">
        <v>102</v>
      </c>
      <c r="L213" s="1" t="s">
        <v>103</v>
      </c>
      <c r="M213" s="1" t="s">
        <v>104</v>
      </c>
      <c r="N213" s="1" t="s">
        <v>3620</v>
      </c>
      <c r="O213" s="1" t="s">
        <v>127</v>
      </c>
      <c r="P213" s="1" t="s">
        <v>128</v>
      </c>
      <c r="Q213" s="1" t="s">
        <v>3621</v>
      </c>
      <c r="R213" s="1" t="s">
        <v>238</v>
      </c>
      <c r="S213" s="9" t="s">
        <v>2804</v>
      </c>
      <c r="Z213" s="1" t="s">
        <v>3622</v>
      </c>
      <c r="AA213" s="1" t="s">
        <v>3623</v>
      </c>
      <c r="AB213" s="1" t="s">
        <v>3624</v>
      </c>
      <c r="AH213" s="9" t="s">
        <v>3625</v>
      </c>
      <c r="AI213" s="1" t="s">
        <v>159</v>
      </c>
      <c r="AJ213" s="3"/>
      <c r="AK213" s="3"/>
      <c r="AL213" s="3"/>
      <c r="AM213" s="1" t="s">
        <v>3626</v>
      </c>
      <c r="AN213" s="7" t="s">
        <v>3627</v>
      </c>
      <c r="AO213" s="8" t="str">
        <f>HYPERLINK("https://docs.google.com/document/d/1KbgqU96y0bPH7dmLcCWsqCuPH7powh1zmXSna9zqiL8/edit?usp=drivesdk","Al-Wildan 3 BSD_Tauwfik al awadhi_Al Qur'an dan bahasa arab")</f>
        <v>Al-Wildan 3 BSD_Tauwfik al awadhi_Al Qur'an dan bahasa arab</v>
      </c>
      <c r="AP213" s="1" t="s">
        <v>3628</v>
      </c>
    </row>
    <row r="214">
      <c r="A214" s="6">
        <v>44127.643868125</v>
      </c>
      <c r="B214" s="7" t="s">
        <v>3629</v>
      </c>
      <c r="C214" s="8" t="s">
        <v>3630</v>
      </c>
      <c r="D214" s="1" t="s">
        <v>3631</v>
      </c>
      <c r="E214" s="9" t="s">
        <v>3632</v>
      </c>
      <c r="F214" s="1" t="s">
        <v>3633</v>
      </c>
      <c r="G214" s="1" t="s">
        <v>3634</v>
      </c>
      <c r="H214" s="1" t="s">
        <v>944</v>
      </c>
      <c r="I214" s="9" t="s">
        <v>3635</v>
      </c>
      <c r="J214" s="1">
        <v>36.0</v>
      </c>
      <c r="K214" s="1" t="s">
        <v>102</v>
      </c>
      <c r="L214" s="1" t="s">
        <v>310</v>
      </c>
      <c r="M214" s="1" t="s">
        <v>213</v>
      </c>
      <c r="N214" s="1" t="s">
        <v>3636</v>
      </c>
      <c r="O214" s="1" t="s">
        <v>127</v>
      </c>
      <c r="P214" s="1" t="s">
        <v>107</v>
      </c>
      <c r="Q214" s="1" t="s">
        <v>3637</v>
      </c>
      <c r="R214" s="1" t="s">
        <v>3638</v>
      </c>
      <c r="S214" s="9" t="s">
        <v>3639</v>
      </c>
      <c r="T214" s="1" t="s">
        <v>3640</v>
      </c>
      <c r="U214" s="1" t="s">
        <v>3641</v>
      </c>
      <c r="V214" s="9" t="s">
        <v>3642</v>
      </c>
      <c r="Z214" s="1" t="s">
        <v>3643</v>
      </c>
      <c r="AB214" s="1" t="s">
        <v>2707</v>
      </c>
      <c r="AD214" s="1" t="s">
        <v>1998</v>
      </c>
      <c r="AG214" s="9" t="s">
        <v>3644</v>
      </c>
      <c r="AM214" s="1" t="s">
        <v>3645</v>
      </c>
      <c r="AN214" s="7" t="s">
        <v>3646</v>
      </c>
      <c r="AO214" s="8" t="str">
        <f>HYPERLINK("https://docs.google.com/document/d/1n4qcxPhug8OtzLioM5vYz6WE-IreOcCi8hvR3N-L6AY/edit?usp=drivesdk","Al-Wildan 1 Gading Serpong_Asbur_Al Qur'an dan Arabic")</f>
        <v>Al-Wildan 1 Gading Serpong_Asbur_Al Qur'an dan Arabic</v>
      </c>
      <c r="AP214" s="1" t="s">
        <v>3647</v>
      </c>
    </row>
    <row r="215">
      <c r="A215" s="6">
        <v>44127.8969780787</v>
      </c>
      <c r="B215" s="7" t="s">
        <v>3648</v>
      </c>
      <c r="C215" s="8" t="s">
        <v>3649</v>
      </c>
      <c r="D215" s="1" t="s">
        <v>3650</v>
      </c>
      <c r="E215" s="1">
        <v>8.5213832625E10</v>
      </c>
      <c r="F215" s="1" t="s">
        <v>3651</v>
      </c>
      <c r="G215" s="1" t="s">
        <v>3652</v>
      </c>
      <c r="H215" s="1" t="s">
        <v>3653</v>
      </c>
      <c r="I215" s="9" t="s">
        <v>3654</v>
      </c>
      <c r="J215" s="1">
        <v>24.0</v>
      </c>
      <c r="K215" s="1" t="s">
        <v>151</v>
      </c>
      <c r="L215" s="1" t="s">
        <v>496</v>
      </c>
      <c r="M215" s="1" t="s">
        <v>104</v>
      </c>
      <c r="N215" s="1" t="s">
        <v>3171</v>
      </c>
      <c r="O215" s="1" t="s">
        <v>106</v>
      </c>
      <c r="P215" s="1" t="s">
        <v>128</v>
      </c>
      <c r="Q215" s="1" t="s">
        <v>3397</v>
      </c>
      <c r="R215" s="1" t="s">
        <v>238</v>
      </c>
      <c r="S215" s="1" t="s">
        <v>1449</v>
      </c>
      <c r="AG215" s="9" t="s">
        <v>3655</v>
      </c>
      <c r="AI215" s="1" t="s">
        <v>178</v>
      </c>
      <c r="AJ215" s="3"/>
      <c r="AK215" s="3"/>
      <c r="AL215" s="3"/>
      <c r="AM215" s="1" t="s">
        <v>3656</v>
      </c>
      <c r="AN215" s="7" t="s">
        <v>3657</v>
      </c>
      <c r="AO215" s="8" t="str">
        <f>HYPERLINK("https://docs.google.com/document/d/1i_A4ao5nPGSjDPp1lcRgzWCoUzILiO9aa8fYOqgrt8s/edit?usp=drivesdk","Al-Wildan 3 BSD_Iswandi Sukrawardi _Al Qur'an ")</f>
        <v>Al-Wildan 3 BSD_Iswandi Sukrawardi _Al Qur'an </v>
      </c>
      <c r="AP215" s="1" t="s">
        <v>3658</v>
      </c>
    </row>
    <row r="216">
      <c r="A216" s="6">
        <v>44128.56508706018</v>
      </c>
      <c r="B216" s="7" t="s">
        <v>3659</v>
      </c>
      <c r="C216" s="8" t="s">
        <v>3660</v>
      </c>
      <c r="D216" s="1" t="s">
        <v>3661</v>
      </c>
      <c r="E216" s="9" t="s">
        <v>3662</v>
      </c>
      <c r="F216" s="1" t="s">
        <v>3663</v>
      </c>
      <c r="G216" s="1" t="s">
        <v>3664</v>
      </c>
      <c r="H216" s="1" t="s">
        <v>188</v>
      </c>
      <c r="I216" s="9" t="s">
        <v>3665</v>
      </c>
      <c r="J216" s="1" t="s">
        <v>705</v>
      </c>
      <c r="K216" s="1" t="s">
        <v>102</v>
      </c>
      <c r="L216" s="1" t="s">
        <v>103</v>
      </c>
      <c r="M216" s="1" t="s">
        <v>104</v>
      </c>
      <c r="N216" s="1" t="s">
        <v>2691</v>
      </c>
      <c r="O216" s="1" t="s">
        <v>236</v>
      </c>
      <c r="P216" s="1" t="s">
        <v>128</v>
      </c>
      <c r="Q216" s="1" t="s">
        <v>3666</v>
      </c>
      <c r="R216" s="1" t="s">
        <v>3667</v>
      </c>
      <c r="S216" s="1" t="s">
        <v>1997</v>
      </c>
      <c r="AM216" s="1" t="s">
        <v>3668</v>
      </c>
      <c r="AN216" s="7" t="s">
        <v>3669</v>
      </c>
      <c r="AO216" s="8" t="str">
        <f>HYPERLINK("https://docs.google.com/document/d/1ZiFsbnLtl4mlgrD4g9MxJa6E6QmU2Nh3-ARr98MfJk8/edit?usp=drivesdk","Al-Wildan 3 BSD_Abdul Muakhir S.Pd._Al Quran")</f>
        <v>Al-Wildan 3 BSD_Abdul Muakhir S.Pd._Al Quran</v>
      </c>
      <c r="AP216" s="1" t="s">
        <v>3670</v>
      </c>
    </row>
    <row r="217">
      <c r="A217" s="6">
        <v>44128.58478081018</v>
      </c>
      <c r="B217" s="7" t="s">
        <v>3671</v>
      </c>
      <c r="C217" s="8" t="s">
        <v>3672</v>
      </c>
      <c r="D217" s="1" t="s">
        <v>3673</v>
      </c>
      <c r="E217" s="9" t="s">
        <v>3674</v>
      </c>
      <c r="F217" s="1">
        <v>3.27501230994003E14</v>
      </c>
      <c r="G217" s="1" t="s">
        <v>3675</v>
      </c>
      <c r="H217" s="1" t="s">
        <v>148</v>
      </c>
      <c r="I217" s="9" t="s">
        <v>3676</v>
      </c>
      <c r="J217" s="1" t="s">
        <v>533</v>
      </c>
      <c r="K217" s="1" t="s">
        <v>151</v>
      </c>
      <c r="L217" s="1" t="s">
        <v>329</v>
      </c>
      <c r="M217" s="1" t="s">
        <v>104</v>
      </c>
      <c r="N217" s="1" t="s">
        <v>3677</v>
      </c>
      <c r="O217" s="1" t="s">
        <v>127</v>
      </c>
      <c r="P217" s="1" t="s">
        <v>128</v>
      </c>
      <c r="Q217" s="1" t="s">
        <v>3678</v>
      </c>
      <c r="R217" s="1" t="s">
        <v>3679</v>
      </c>
      <c r="S217" s="1" t="s">
        <v>3680</v>
      </c>
      <c r="AM217" s="1" t="s">
        <v>3681</v>
      </c>
      <c r="AN217" s="7" t="s">
        <v>3682</v>
      </c>
      <c r="AO217" s="8" t="str">
        <f>HYPERLINK("https://docs.google.com/document/d/1N1Dkg6ZPjYCdwBslplNVZE6IU93uUzeiJvj5ZyZ3PUw/edit?usp=drivesdk","Al-Wildan 3 BSD_Mohamed El Shaddiq Asbir_IPA, Biologi")</f>
        <v>Al-Wildan 3 BSD_Mohamed El Shaddiq Asbir_IPA, Biologi</v>
      </c>
      <c r="AP217" s="1" t="s">
        <v>3683</v>
      </c>
    </row>
    <row r="218">
      <c r="A218" s="6">
        <v>44129.254894259255</v>
      </c>
      <c r="B218" s="7" t="s">
        <v>3684</v>
      </c>
      <c r="C218" s="8" t="s">
        <v>3685</v>
      </c>
      <c r="D218" s="1" t="s">
        <v>3686</v>
      </c>
      <c r="E218" s="9" t="s">
        <v>3687</v>
      </c>
      <c r="F218" s="1" t="s">
        <v>3688</v>
      </c>
      <c r="G218" s="1" t="s">
        <v>3689</v>
      </c>
      <c r="H218" s="1" t="s">
        <v>1664</v>
      </c>
      <c r="I218" s="9" t="s">
        <v>3690</v>
      </c>
      <c r="J218" s="9" t="s">
        <v>3691</v>
      </c>
      <c r="K218" s="1" t="s">
        <v>151</v>
      </c>
      <c r="L218" s="1" t="s">
        <v>329</v>
      </c>
      <c r="M218" s="1" t="s">
        <v>104</v>
      </c>
      <c r="N218" s="1" t="s">
        <v>3692</v>
      </c>
      <c r="O218" s="1" t="s">
        <v>127</v>
      </c>
      <c r="P218" s="1" t="s">
        <v>128</v>
      </c>
      <c r="Q218" s="1" t="s">
        <v>3693</v>
      </c>
      <c r="R218" s="1" t="s">
        <v>3694</v>
      </c>
      <c r="S218" s="1">
        <v>3.2</v>
      </c>
      <c r="AM218" s="1" t="s">
        <v>3695</v>
      </c>
      <c r="AN218" s="7" t="s">
        <v>3696</v>
      </c>
      <c r="AO218" s="8" t="str">
        <f>HYPERLINK("https://docs.google.com/document/d/1IHkwguqJ5RT4oyBw5vX02D60jzi7Iw7UklATgc266I8/edit?usp=drivesdk","Al-Wildan 3 BSD_Marzuuq Sa'iid, Lc. (Emha hasan Amrulloh Asy'ari)_Aqiidah")</f>
        <v>Al-Wildan 3 BSD_Marzuuq Sa'iid, Lc. (Emha hasan Amrulloh Asy'ari)_Aqiidah</v>
      </c>
      <c r="AP218" s="1" t="s">
        <v>3697</v>
      </c>
    </row>
    <row r="219">
      <c r="A219" s="6">
        <v>44137.67454995371</v>
      </c>
      <c r="B219" s="7" t="s">
        <v>3698</v>
      </c>
      <c r="C219" s="8" t="s">
        <v>3699</v>
      </c>
      <c r="D219" s="1" t="s">
        <v>3700</v>
      </c>
      <c r="E219" s="9" t="s">
        <v>3701</v>
      </c>
      <c r="F219" s="1" t="s">
        <v>3702</v>
      </c>
      <c r="G219" s="1" t="s">
        <v>2937</v>
      </c>
      <c r="H219" s="1" t="s">
        <v>3703</v>
      </c>
      <c r="I219" s="9" t="s">
        <v>3704</v>
      </c>
      <c r="J219" s="1" t="s">
        <v>1466</v>
      </c>
      <c r="K219" s="1" t="s">
        <v>151</v>
      </c>
      <c r="L219" s="1" t="s">
        <v>496</v>
      </c>
      <c r="M219" s="1" t="s">
        <v>1575</v>
      </c>
      <c r="O219" s="1" t="s">
        <v>127</v>
      </c>
      <c r="P219" s="1" t="s">
        <v>107</v>
      </c>
      <c r="Q219" s="1" t="s">
        <v>217</v>
      </c>
      <c r="R219" s="1" t="s">
        <v>217</v>
      </c>
      <c r="S219" s="1" t="s">
        <v>217</v>
      </c>
      <c r="T219" s="1" t="s">
        <v>217</v>
      </c>
      <c r="U219" s="1" t="s">
        <v>217</v>
      </c>
      <c r="V219" s="1" t="s">
        <v>217</v>
      </c>
      <c r="W219" s="1" t="s">
        <v>217</v>
      </c>
      <c r="X219" s="1" t="s">
        <v>217</v>
      </c>
      <c r="Y219" s="1">
        <v>0.0</v>
      </c>
      <c r="Z219" s="1" t="s">
        <v>1575</v>
      </c>
      <c r="AG219" s="9" t="s">
        <v>3705</v>
      </c>
      <c r="AM219" s="1" t="s">
        <v>3706</v>
      </c>
      <c r="AN219" s="7" t="s">
        <v>3707</v>
      </c>
      <c r="AO219" s="8" t="str">
        <f>HYPERLINK("https://docs.google.com/document/d/1peXwBoLFZY-XZEOPyjCw9ag04hRGbOkXk9xqM1FSH-g/edit?usp=drivesdk","Al-Wildan 1 Gading Serpong_Annisa 'Ainurrahmatin Najiyah_")</f>
        <v>Al-Wildan 1 Gading Serpong_Annisa 'Ainurrahmatin Najiyah_</v>
      </c>
      <c r="AP219" s="1" t="s">
        <v>3708</v>
      </c>
    </row>
    <row r="220">
      <c r="A220" s="6">
        <v>44137.682316805556</v>
      </c>
      <c r="B220" s="7" t="s">
        <v>3709</v>
      </c>
      <c r="C220" s="8" t="s">
        <v>3710</v>
      </c>
      <c r="D220" s="1" t="s">
        <v>3711</v>
      </c>
      <c r="E220" s="9" t="s">
        <v>3712</v>
      </c>
      <c r="F220" s="1" t="s">
        <v>3713</v>
      </c>
      <c r="G220" s="1" t="s">
        <v>3714</v>
      </c>
      <c r="H220" s="1" t="s">
        <v>3715</v>
      </c>
      <c r="I220" s="9" t="s">
        <v>3716</v>
      </c>
      <c r="J220" s="1" t="s">
        <v>3717</v>
      </c>
      <c r="K220" s="1" t="s">
        <v>102</v>
      </c>
      <c r="L220" s="1" t="s">
        <v>103</v>
      </c>
      <c r="M220" s="1" t="s">
        <v>104</v>
      </c>
      <c r="N220" s="1" t="s">
        <v>3718</v>
      </c>
      <c r="O220" s="1" t="s">
        <v>312</v>
      </c>
      <c r="P220" s="1" t="s">
        <v>107</v>
      </c>
      <c r="Q220" s="1" t="s">
        <v>192</v>
      </c>
      <c r="R220" s="1" t="s">
        <v>1102</v>
      </c>
      <c r="S220" s="1" t="s">
        <v>3719</v>
      </c>
      <c r="Z220" s="1" t="s">
        <v>3720</v>
      </c>
      <c r="AA220" s="1">
        <v>300000.0</v>
      </c>
      <c r="AB220" s="1" t="s">
        <v>3721</v>
      </c>
      <c r="AC220" s="1">
        <v>6000000.0</v>
      </c>
      <c r="AF220" s="1">
        <v>6500000.0</v>
      </c>
      <c r="AG220" s="1">
        <v>2.66978248E8</v>
      </c>
      <c r="AI220" s="1" t="s">
        <v>159</v>
      </c>
      <c r="AJ220" s="3"/>
      <c r="AK220" s="3"/>
      <c r="AL220" s="3"/>
      <c r="AM220" s="1" t="s">
        <v>3722</v>
      </c>
      <c r="AN220" s="7" t="s">
        <v>3723</v>
      </c>
      <c r="AO220" s="8" t="str">
        <f>HYPERLINK("https://docs.google.com/document/d/1YqziLuSkCHVWm0Z5-SR58nVxQc7BolmhmX_Zjkl-pwo/edit?usp=drivesdk","Al-Wildan 1 Gading Serpong_TAJUN ARIFIN, Lc_ARABIC DAN DINIYYAH")</f>
        <v>Al-Wildan 1 Gading Serpong_TAJUN ARIFIN, Lc_ARABIC DAN DINIYYAH</v>
      </c>
      <c r="AP220" s="1" t="s">
        <v>3724</v>
      </c>
    </row>
    <row r="221">
      <c r="A221" s="6">
        <v>44137.68298275463</v>
      </c>
      <c r="B221" s="7" t="s">
        <v>3725</v>
      </c>
      <c r="C221" s="8" t="s">
        <v>3726</v>
      </c>
      <c r="D221" s="1" t="s">
        <v>3727</v>
      </c>
      <c r="E221" s="9" t="s">
        <v>3728</v>
      </c>
      <c r="F221" s="1" t="s">
        <v>3729</v>
      </c>
      <c r="G221" s="1" t="s">
        <v>3730</v>
      </c>
      <c r="H221" s="1" t="s">
        <v>2076</v>
      </c>
      <c r="I221" s="9" t="s">
        <v>3731</v>
      </c>
      <c r="J221" s="1" t="s">
        <v>3732</v>
      </c>
      <c r="K221" s="1" t="s">
        <v>102</v>
      </c>
      <c r="L221" s="1" t="s">
        <v>103</v>
      </c>
      <c r="M221" s="1" t="s">
        <v>793</v>
      </c>
      <c r="N221" s="1" t="s">
        <v>3733</v>
      </c>
      <c r="O221" s="1" t="s">
        <v>236</v>
      </c>
      <c r="P221" s="1" t="s">
        <v>107</v>
      </c>
      <c r="Q221" s="1" t="s">
        <v>3734</v>
      </c>
      <c r="R221" s="1" t="s">
        <v>3735</v>
      </c>
      <c r="S221" s="1" t="s">
        <v>3736</v>
      </c>
      <c r="T221" s="1" t="s">
        <v>3734</v>
      </c>
      <c r="U221" s="1" t="s">
        <v>3737</v>
      </c>
      <c r="V221" s="1" t="s">
        <v>3738</v>
      </c>
      <c r="Z221" s="1" t="s">
        <v>3739</v>
      </c>
      <c r="AG221" s="1">
        <v>7.64667351E8</v>
      </c>
      <c r="AH221" s="9" t="s">
        <v>3740</v>
      </c>
      <c r="AI221" s="1" t="s">
        <v>159</v>
      </c>
      <c r="AJ221" s="3"/>
      <c r="AK221" s="3"/>
      <c r="AL221" s="3"/>
      <c r="AM221" s="1" t="s">
        <v>3741</v>
      </c>
      <c r="AN221" s="7" t="s">
        <v>3742</v>
      </c>
      <c r="AO221" s="8" t="str">
        <f>HYPERLINK("https://docs.google.com/document/d/1jG7XSZjDveoY7Ncy3PT4M-1j0YnDhG7MWVSeq7KlYMg/edit?usp=drivesdk","Al-Wildan 1 Gading Serpong_Habibullah L.c_Aqidah / tauhid")</f>
        <v>Al-Wildan 1 Gading Serpong_Habibullah L.c_Aqidah / tauhid</v>
      </c>
      <c r="AP221" s="1" t="s">
        <v>3743</v>
      </c>
    </row>
    <row r="222">
      <c r="A222" s="6">
        <v>44137.713335625</v>
      </c>
      <c r="B222" s="7" t="s">
        <v>3744</v>
      </c>
      <c r="C222" s="8" t="s">
        <v>3745</v>
      </c>
      <c r="D222" s="1" t="s">
        <v>3746</v>
      </c>
      <c r="E222" s="9" t="s">
        <v>3747</v>
      </c>
      <c r="F222" s="1" t="s">
        <v>3748</v>
      </c>
      <c r="G222" s="1" t="s">
        <v>3749</v>
      </c>
      <c r="H222" s="1" t="s">
        <v>3750</v>
      </c>
      <c r="I222" s="9" t="s">
        <v>3751</v>
      </c>
      <c r="J222" s="1" t="s">
        <v>3752</v>
      </c>
      <c r="K222" s="1" t="s">
        <v>102</v>
      </c>
      <c r="L222" s="1" t="s">
        <v>103</v>
      </c>
      <c r="M222" s="1" t="s">
        <v>104</v>
      </c>
      <c r="N222" s="1" t="s">
        <v>771</v>
      </c>
      <c r="O222" s="1" t="s">
        <v>127</v>
      </c>
      <c r="P222" s="1" t="s">
        <v>107</v>
      </c>
      <c r="Q222" s="1" t="s">
        <v>3753</v>
      </c>
      <c r="R222" s="1" t="s">
        <v>3754</v>
      </c>
      <c r="S222" s="1" t="s">
        <v>217</v>
      </c>
      <c r="T222" s="1" t="s">
        <v>217</v>
      </c>
      <c r="U222" s="1" t="s">
        <v>217</v>
      </c>
      <c r="V222" s="1" t="s">
        <v>217</v>
      </c>
      <c r="W222" s="1" t="s">
        <v>217</v>
      </c>
      <c r="X222" s="1" t="s">
        <v>217</v>
      </c>
      <c r="Z222" s="1" t="s">
        <v>3755</v>
      </c>
      <c r="AA222" s="1" t="s">
        <v>217</v>
      </c>
      <c r="AB222" s="1" t="s">
        <v>3756</v>
      </c>
      <c r="AC222" s="1" t="s">
        <v>217</v>
      </c>
      <c r="AD222" s="1" t="s">
        <v>3757</v>
      </c>
      <c r="AE222" s="1" t="s">
        <v>3758</v>
      </c>
      <c r="AF222" s="1" t="s">
        <v>3759</v>
      </c>
      <c r="AG222" s="9" t="s">
        <v>3760</v>
      </c>
      <c r="AI222" s="1" t="s">
        <v>782</v>
      </c>
      <c r="AJ222" s="3"/>
      <c r="AK222" s="3"/>
      <c r="AL222" s="3"/>
      <c r="AM222" s="1" t="s">
        <v>3761</v>
      </c>
      <c r="AN222" s="7" t="s">
        <v>3762</v>
      </c>
      <c r="AO222" s="8" t="str">
        <f>HYPERLINK("https://docs.google.com/document/d/1RvrVLx5cSFqC7DGD-nLOOY1QMC_xPemSiZ6Jt83M3KM/edit?usp=drivesdk","Al-Wildan 1 Gading Serpong_Laila Mabrurah Joenoes, S. Pd_English")</f>
        <v>Al-Wildan 1 Gading Serpong_Laila Mabrurah Joenoes, S. Pd_English</v>
      </c>
      <c r="AP222" s="1" t="s">
        <v>3763</v>
      </c>
    </row>
    <row r="223">
      <c r="A223" s="6">
        <v>44137.73484276621</v>
      </c>
      <c r="B223" s="7" t="s">
        <v>3764</v>
      </c>
      <c r="C223" s="8" t="s">
        <v>3765</v>
      </c>
      <c r="D223" s="1" t="s">
        <v>3766</v>
      </c>
      <c r="E223" s="9" t="s">
        <v>3767</v>
      </c>
      <c r="F223" s="1" t="s">
        <v>3768</v>
      </c>
      <c r="G223" s="1" t="s">
        <v>3769</v>
      </c>
      <c r="H223" s="1" t="s">
        <v>3770</v>
      </c>
      <c r="I223" s="9" t="s">
        <v>3771</v>
      </c>
      <c r="J223" s="1" t="s">
        <v>3772</v>
      </c>
      <c r="K223" s="1" t="s">
        <v>151</v>
      </c>
      <c r="L223" s="1" t="s">
        <v>329</v>
      </c>
      <c r="M223" s="1" t="s">
        <v>104</v>
      </c>
      <c r="N223" s="1" t="s">
        <v>3773</v>
      </c>
      <c r="O223" s="1" t="s">
        <v>127</v>
      </c>
      <c r="P223" s="1" t="s">
        <v>107</v>
      </c>
      <c r="Q223" s="1" t="s">
        <v>217</v>
      </c>
      <c r="R223" s="1" t="s">
        <v>217</v>
      </c>
      <c r="S223" s="1" t="s">
        <v>217</v>
      </c>
      <c r="Z223" s="1" t="s">
        <v>3774</v>
      </c>
      <c r="AA223" s="10">
        <v>2000000.0</v>
      </c>
      <c r="AG223" s="9" t="s">
        <v>3775</v>
      </c>
      <c r="AI223" s="1" t="s">
        <v>782</v>
      </c>
      <c r="AJ223" s="3"/>
      <c r="AK223" s="3"/>
      <c r="AL223" s="3"/>
      <c r="AM223" s="1" t="s">
        <v>3776</v>
      </c>
      <c r="AN223" s="7" t="s">
        <v>3777</v>
      </c>
      <c r="AO223" s="8" t="str">
        <f>HYPERLINK("https://docs.google.com/document/d/1pYwyEvtj8RBZ2NNZJgEuY3zbE1ueyIAdCIoYprk19_Q/edit?usp=drivesdk","Al-Wildan 1 Gading Serpong_St. Nur Uswatun Hasanah_Al Qur'an Markaz")</f>
        <v>Al-Wildan 1 Gading Serpong_St. Nur Uswatun Hasanah_Al Qur'an Markaz</v>
      </c>
      <c r="AP223" s="1" t="s">
        <v>3778</v>
      </c>
    </row>
    <row r="224">
      <c r="A224" s="6">
        <v>44137.73548135417</v>
      </c>
      <c r="B224" s="7" t="s">
        <v>3779</v>
      </c>
      <c r="C224" s="8" t="s">
        <v>3780</v>
      </c>
      <c r="D224" s="1" t="s">
        <v>3781</v>
      </c>
      <c r="E224" s="9" t="s">
        <v>3782</v>
      </c>
      <c r="F224" s="1" t="s">
        <v>3783</v>
      </c>
      <c r="G224" s="1" t="s">
        <v>3784</v>
      </c>
      <c r="H224" s="1" t="s">
        <v>3785</v>
      </c>
      <c r="I224" s="9" t="s">
        <v>3786</v>
      </c>
      <c r="J224" s="1" t="s">
        <v>3787</v>
      </c>
      <c r="K224" s="1" t="s">
        <v>151</v>
      </c>
      <c r="L224" s="1" t="s">
        <v>329</v>
      </c>
      <c r="M224" s="1" t="s">
        <v>104</v>
      </c>
      <c r="N224" s="1" t="s">
        <v>311</v>
      </c>
      <c r="O224" s="1" t="s">
        <v>312</v>
      </c>
      <c r="P224" s="1" t="s">
        <v>107</v>
      </c>
      <c r="Q224" s="1" t="s">
        <v>217</v>
      </c>
      <c r="R224" s="1" t="s">
        <v>217</v>
      </c>
      <c r="S224" s="1" t="s">
        <v>217</v>
      </c>
      <c r="T224" s="1" t="s">
        <v>217</v>
      </c>
      <c r="U224" s="1" t="s">
        <v>217</v>
      </c>
      <c r="V224" s="1" t="s">
        <v>217</v>
      </c>
      <c r="W224" s="1" t="s">
        <v>217</v>
      </c>
      <c r="X224" s="1" t="s">
        <v>217</v>
      </c>
      <c r="Y224" s="1">
        <v>0.0</v>
      </c>
      <c r="Z224" s="1" t="s">
        <v>3788</v>
      </c>
      <c r="AA224" s="10">
        <v>500000.0</v>
      </c>
      <c r="AB224" s="1" t="s">
        <v>3789</v>
      </c>
      <c r="AC224" s="10">
        <v>1750000.0</v>
      </c>
      <c r="AD224" s="1" t="s">
        <v>3790</v>
      </c>
      <c r="AE224" s="10">
        <v>1500000.0</v>
      </c>
      <c r="AF224" s="1" t="s">
        <v>3791</v>
      </c>
      <c r="AG224" s="9" t="s">
        <v>3792</v>
      </c>
      <c r="AI224" s="1" t="s">
        <v>782</v>
      </c>
      <c r="AJ224" s="3"/>
      <c r="AK224" s="3"/>
      <c r="AL224" s="3"/>
      <c r="AM224" s="1" t="s">
        <v>3793</v>
      </c>
      <c r="AN224" s="7" t="s">
        <v>3794</v>
      </c>
      <c r="AO224" s="8" t="str">
        <f>HYPERLINK("https://docs.google.com/document/d/1wJBTjr4O2Juw5Xz0ErKExlHimJHgqWT8r1Y5GmNZi1w/edit?usp=drivesdk","Al-Wildan 1 Gading Serpong_SHEILLA RAHMADHANI_Al Qur'an")</f>
        <v>Al-Wildan 1 Gading Serpong_SHEILLA RAHMADHANI_Al Qur'an</v>
      </c>
      <c r="AP224" s="1" t="s">
        <v>3795</v>
      </c>
    </row>
    <row r="225">
      <c r="A225" s="6">
        <v>44137.75300678241</v>
      </c>
      <c r="B225" s="7" t="s">
        <v>3796</v>
      </c>
      <c r="C225" s="8" t="s">
        <v>3797</v>
      </c>
      <c r="D225" s="1" t="s">
        <v>3798</v>
      </c>
      <c r="E225" s="9" t="s">
        <v>3799</v>
      </c>
      <c r="F225" s="1" t="s">
        <v>3800</v>
      </c>
      <c r="G225" s="1" t="s">
        <v>3801</v>
      </c>
      <c r="H225" s="1" t="s">
        <v>169</v>
      </c>
      <c r="I225" s="9" t="s">
        <v>3802</v>
      </c>
      <c r="J225" s="1" t="s">
        <v>3803</v>
      </c>
      <c r="K225" s="1" t="s">
        <v>102</v>
      </c>
      <c r="L225" s="1" t="s">
        <v>310</v>
      </c>
      <c r="M225" s="1" t="s">
        <v>104</v>
      </c>
      <c r="N225" s="1" t="s">
        <v>3804</v>
      </c>
      <c r="O225" s="1" t="s">
        <v>312</v>
      </c>
      <c r="P225" s="1" t="s">
        <v>107</v>
      </c>
      <c r="Q225" s="1" t="s">
        <v>3805</v>
      </c>
      <c r="R225" s="1" t="s">
        <v>3806</v>
      </c>
      <c r="S225" s="9" t="s">
        <v>3807</v>
      </c>
      <c r="Z225" s="1" t="s">
        <v>1998</v>
      </c>
      <c r="AA225" s="10">
        <v>2.95E7</v>
      </c>
      <c r="AB225" s="10">
        <v>1.75E8</v>
      </c>
      <c r="AC225" s="10">
        <v>1.25E8</v>
      </c>
      <c r="AD225" s="10">
        <v>1.0E8</v>
      </c>
      <c r="AE225" s="10">
        <v>9.0E7</v>
      </c>
      <c r="AF225" s="10">
        <v>6.0E7</v>
      </c>
      <c r="AG225" s="9" t="s">
        <v>3808</v>
      </c>
      <c r="AI225" s="1" t="s">
        <v>712</v>
      </c>
      <c r="AJ225" s="3"/>
      <c r="AK225" s="3"/>
      <c r="AL225" s="3"/>
      <c r="AM225" s="1" t="s">
        <v>3809</v>
      </c>
      <c r="AN225" s="7" t="s">
        <v>3810</v>
      </c>
      <c r="AO225" s="8" t="str">
        <f>HYPERLINK("https://docs.google.com/document/d/1gMw8eJYkU2468ZmnPFTfnRyd1CaGUkiW6M3iq1OSjZw/edit?usp=drivesdk","Al-Wildan 1 Gading Serpong_Adi Syakti BBA_English &amp; Science")</f>
        <v>Al-Wildan 1 Gading Serpong_Adi Syakti BBA_English &amp; Science</v>
      </c>
      <c r="AP225" s="1" t="s">
        <v>3811</v>
      </c>
    </row>
    <row r="226">
      <c r="A226" s="6">
        <v>44137.77723895833</v>
      </c>
      <c r="B226" s="7" t="s">
        <v>3812</v>
      </c>
      <c r="C226" s="8" t="s">
        <v>3813</v>
      </c>
      <c r="D226" s="1" t="s">
        <v>3814</v>
      </c>
      <c r="E226" s="9" t="s">
        <v>3815</v>
      </c>
      <c r="F226" s="1" t="s">
        <v>3816</v>
      </c>
      <c r="G226" s="1" t="s">
        <v>1464</v>
      </c>
      <c r="H226" s="1" t="s">
        <v>3817</v>
      </c>
      <c r="I226" s="9" t="s">
        <v>3818</v>
      </c>
      <c r="J226" s="1">
        <v>22.0</v>
      </c>
      <c r="K226" s="1" t="s">
        <v>151</v>
      </c>
      <c r="L226" s="1" t="s">
        <v>329</v>
      </c>
      <c r="M226" s="1" t="s">
        <v>104</v>
      </c>
      <c r="N226" s="1" t="s">
        <v>3819</v>
      </c>
      <c r="O226" s="1" t="s">
        <v>127</v>
      </c>
      <c r="P226" s="1" t="s">
        <v>107</v>
      </c>
      <c r="Q226" s="1" t="s">
        <v>217</v>
      </c>
      <c r="R226" s="1" t="s">
        <v>217</v>
      </c>
      <c r="S226" s="1" t="s">
        <v>217</v>
      </c>
      <c r="Z226" s="1" t="s">
        <v>3820</v>
      </c>
      <c r="AA226" s="10">
        <v>2500000.0</v>
      </c>
      <c r="AG226" s="9" t="s">
        <v>3821</v>
      </c>
      <c r="AI226" s="1" t="s">
        <v>178</v>
      </c>
      <c r="AJ226" s="3"/>
      <c r="AK226" s="3"/>
      <c r="AL226" s="3"/>
      <c r="AM226" s="1" t="s">
        <v>3822</v>
      </c>
      <c r="AN226" s="7" t="s">
        <v>3823</v>
      </c>
      <c r="AO226" s="8" t="str">
        <f>HYPERLINK("https://docs.google.com/document/d/19ICcOYu_RV3c2AQNidr4Cq9d-aXuLP56vLrgrqf3Oy4/edit?usp=drivesdk","Al-Wildan 1 Gading Serpong_Sarah Al Fira_Al-Qur'an Markaz")</f>
        <v>Al-Wildan 1 Gading Serpong_Sarah Al Fira_Al-Qur'an Markaz</v>
      </c>
      <c r="AP226" s="1" t="s">
        <v>3824</v>
      </c>
    </row>
    <row r="227">
      <c r="A227" s="6">
        <v>44137.837219444446</v>
      </c>
      <c r="B227" s="7" t="s">
        <v>3825</v>
      </c>
      <c r="C227" s="8" t="s">
        <v>3826</v>
      </c>
      <c r="D227" s="1" t="s">
        <v>3827</v>
      </c>
      <c r="E227" s="9" t="s">
        <v>3828</v>
      </c>
      <c r="F227" s="1" t="s">
        <v>3829</v>
      </c>
      <c r="G227" s="1" t="s">
        <v>3830</v>
      </c>
      <c r="H227" s="1" t="s">
        <v>99</v>
      </c>
      <c r="I227" s="9" t="s">
        <v>3831</v>
      </c>
      <c r="J227" s="1" t="s">
        <v>3832</v>
      </c>
      <c r="K227" s="1" t="s">
        <v>102</v>
      </c>
      <c r="L227" s="1" t="s">
        <v>103</v>
      </c>
      <c r="M227" s="1" t="s">
        <v>104</v>
      </c>
      <c r="N227" s="1" t="s">
        <v>3833</v>
      </c>
      <c r="O227" s="1" t="s">
        <v>312</v>
      </c>
      <c r="P227" s="1" t="s">
        <v>107</v>
      </c>
      <c r="Q227" s="1" t="s">
        <v>3834</v>
      </c>
      <c r="R227" s="1" t="s">
        <v>3835</v>
      </c>
      <c r="S227" s="1" t="s">
        <v>2180</v>
      </c>
      <c r="T227" s="1" t="s">
        <v>217</v>
      </c>
      <c r="U227" s="1" t="s">
        <v>217</v>
      </c>
      <c r="V227" s="1" t="s">
        <v>217</v>
      </c>
      <c r="W227" s="1" t="s">
        <v>217</v>
      </c>
      <c r="X227" s="1" t="s">
        <v>217</v>
      </c>
      <c r="Y227" s="1">
        <v>0.0</v>
      </c>
      <c r="Z227" s="1" t="s">
        <v>3836</v>
      </c>
      <c r="AA227" s="1" t="s">
        <v>3837</v>
      </c>
      <c r="AB227" s="1" t="s">
        <v>3838</v>
      </c>
      <c r="AC227" s="1" t="s">
        <v>3839</v>
      </c>
      <c r="AD227" s="1" t="s">
        <v>3840</v>
      </c>
      <c r="AE227" s="1" t="s">
        <v>3841</v>
      </c>
      <c r="AF227" s="1" t="s">
        <v>3842</v>
      </c>
      <c r="AG227" s="9" t="s">
        <v>3843</v>
      </c>
      <c r="AH227" s="1">
        <v>0.0</v>
      </c>
      <c r="AI227" s="1" t="s">
        <v>178</v>
      </c>
      <c r="AJ227" s="3"/>
      <c r="AK227" s="3"/>
      <c r="AL227" s="3"/>
      <c r="AM227" s="1" t="s">
        <v>3844</v>
      </c>
      <c r="AN227" s="7" t="s">
        <v>3845</v>
      </c>
      <c r="AO227" s="8" t="str">
        <f>HYPERLINK("https://docs.google.com/document/d/11tVOJ1sxnZeQHmRqu5e87haqHWy5I5uJN-XqS-Y0rqw/edit?usp=drivesdk","Al-Wildan 1 Gading Serpong_Rizky Hikmahda, S.H_Math , English , Science")</f>
        <v>Al-Wildan 1 Gading Serpong_Rizky Hikmahda, S.H_Math , English , Science</v>
      </c>
      <c r="AP227" s="1" t="s">
        <v>3846</v>
      </c>
    </row>
    <row r="228">
      <c r="A228" s="6">
        <v>44137.89763740741</v>
      </c>
      <c r="B228" s="7" t="s">
        <v>3847</v>
      </c>
      <c r="C228" s="8" t="s">
        <v>3848</v>
      </c>
      <c r="D228" s="1" t="s">
        <v>3849</v>
      </c>
      <c r="E228" s="9" t="s">
        <v>3850</v>
      </c>
      <c r="F228" s="1" t="s">
        <v>3851</v>
      </c>
      <c r="G228" s="1" t="s">
        <v>3852</v>
      </c>
      <c r="H228" s="1" t="s">
        <v>3853</v>
      </c>
      <c r="I228" s="9" t="s">
        <v>3854</v>
      </c>
      <c r="J228" s="1" t="s">
        <v>588</v>
      </c>
      <c r="K228" s="1" t="s">
        <v>102</v>
      </c>
      <c r="L228" s="1" t="s">
        <v>103</v>
      </c>
      <c r="M228" s="1" t="s">
        <v>104</v>
      </c>
      <c r="N228" s="1" t="s">
        <v>3855</v>
      </c>
      <c r="O228" s="1" t="s">
        <v>312</v>
      </c>
      <c r="P228" s="1" t="s">
        <v>107</v>
      </c>
      <c r="Q228" s="1" t="s">
        <v>3856</v>
      </c>
      <c r="R228" s="1" t="s">
        <v>235</v>
      </c>
      <c r="S228" s="1" t="s">
        <v>1730</v>
      </c>
      <c r="T228" s="1" t="s">
        <v>3427</v>
      </c>
      <c r="U228" s="1" t="s">
        <v>1729</v>
      </c>
      <c r="V228" s="1" t="s">
        <v>2181</v>
      </c>
      <c r="X228" s="1" t="s">
        <v>3857</v>
      </c>
      <c r="AB228" s="1" t="s">
        <v>3858</v>
      </c>
      <c r="AC228" s="10">
        <v>400000.0</v>
      </c>
      <c r="AD228" s="1" t="s">
        <v>756</v>
      </c>
      <c r="AE228" s="10">
        <v>4000000.0</v>
      </c>
      <c r="AF228" s="10">
        <v>5000000.0</v>
      </c>
      <c r="AI228" s="1" t="s">
        <v>159</v>
      </c>
      <c r="AJ228" s="3"/>
      <c r="AK228" s="3"/>
      <c r="AL228" s="3"/>
      <c r="AM228" s="1" t="s">
        <v>3859</v>
      </c>
      <c r="AN228" s="7" t="s">
        <v>3860</v>
      </c>
      <c r="AO228" s="8" t="str">
        <f>HYPERLINK("https://docs.google.com/document/d/106qe-_brQQew3I9AsgxY4tp1BuB9oq7pWfPIH5-SRMY/edit?usp=drivesdk","Al-Wildan 1 Gading Serpong_Candra S.Pd.I, M.Pd._Aqidah, ski, fiqih.")</f>
        <v>Al-Wildan 1 Gading Serpong_Candra S.Pd.I, M.Pd._Aqidah, ski, fiqih.</v>
      </c>
      <c r="AP228" s="1" t="s">
        <v>3861</v>
      </c>
    </row>
    <row r="229">
      <c r="A229" s="6">
        <v>44137.93930142361</v>
      </c>
      <c r="B229" s="7" t="s">
        <v>3862</v>
      </c>
      <c r="C229" s="8" t="s">
        <v>3863</v>
      </c>
      <c r="D229" s="1" t="s">
        <v>3864</v>
      </c>
      <c r="E229" s="9" t="s">
        <v>3865</v>
      </c>
      <c r="F229" s="1" t="s">
        <v>3866</v>
      </c>
      <c r="G229" s="1" t="s">
        <v>3750</v>
      </c>
      <c r="H229" s="1" t="s">
        <v>3750</v>
      </c>
      <c r="I229" s="9" t="s">
        <v>3867</v>
      </c>
      <c r="J229" s="1" t="s">
        <v>3868</v>
      </c>
      <c r="K229" s="1" t="s">
        <v>151</v>
      </c>
      <c r="L229" s="1" t="s">
        <v>329</v>
      </c>
      <c r="M229" s="1" t="s">
        <v>1575</v>
      </c>
      <c r="N229" s="1" t="s">
        <v>3869</v>
      </c>
      <c r="O229" s="1" t="s">
        <v>312</v>
      </c>
      <c r="P229" s="1" t="s">
        <v>107</v>
      </c>
      <c r="Q229" s="1" t="s">
        <v>3870</v>
      </c>
      <c r="R229" s="1" t="s">
        <v>217</v>
      </c>
      <c r="S229" s="1" t="s">
        <v>217</v>
      </c>
      <c r="T229" s="1" t="s">
        <v>217</v>
      </c>
      <c r="U229" s="1" t="s">
        <v>217</v>
      </c>
      <c r="V229" s="1" t="s">
        <v>217</v>
      </c>
      <c r="AG229" s="9" t="s">
        <v>3871</v>
      </c>
      <c r="AI229" s="1" t="s">
        <v>159</v>
      </c>
      <c r="AJ229" s="3"/>
      <c r="AK229" s="3"/>
      <c r="AL229" s="3"/>
      <c r="AM229" s="1" t="s">
        <v>3872</v>
      </c>
      <c r="AN229" s="7" t="s">
        <v>3873</v>
      </c>
      <c r="AO229" s="8" t="str">
        <f>HYPERLINK("https://docs.google.com/document/d/1g70St2TCS_CrIIhwFSuzCn7U60kMQGGU1GDojutJiCU/edit?usp=drivesdk","Al-Wildan 1 Gading Serpong_Puput Nova_Pelajaran Al Qur'an")</f>
        <v>Al-Wildan 1 Gading Serpong_Puput Nova_Pelajaran Al Qur'an</v>
      </c>
      <c r="AP229" s="1" t="s">
        <v>3874</v>
      </c>
    </row>
    <row r="230">
      <c r="A230" s="6">
        <v>44139.74411693287</v>
      </c>
      <c r="B230" s="7" t="s">
        <v>3875</v>
      </c>
      <c r="C230" s="8" t="s">
        <v>3876</v>
      </c>
      <c r="D230" s="1" t="s">
        <v>3877</v>
      </c>
      <c r="E230" s="9" t="s">
        <v>3878</v>
      </c>
      <c r="F230" s="1" t="s">
        <v>3879</v>
      </c>
      <c r="G230" s="1" t="s">
        <v>3880</v>
      </c>
      <c r="H230" s="1" t="s">
        <v>169</v>
      </c>
      <c r="I230" s="9" t="s">
        <v>3881</v>
      </c>
      <c r="J230" s="1" t="s">
        <v>3882</v>
      </c>
      <c r="K230" s="1" t="s">
        <v>102</v>
      </c>
      <c r="L230" s="1" t="s">
        <v>103</v>
      </c>
      <c r="M230" s="1" t="s">
        <v>104</v>
      </c>
      <c r="N230" s="1" t="s">
        <v>3883</v>
      </c>
      <c r="O230" s="1" t="s">
        <v>312</v>
      </c>
      <c r="P230" s="1" t="s">
        <v>107</v>
      </c>
      <c r="Q230" s="1" t="s">
        <v>3884</v>
      </c>
      <c r="R230" s="1" t="s">
        <v>971</v>
      </c>
      <c r="S230" s="1" t="s">
        <v>3885</v>
      </c>
      <c r="T230" s="1" t="s">
        <v>217</v>
      </c>
      <c r="U230" s="1" t="s">
        <v>217</v>
      </c>
      <c r="V230" s="1" t="s">
        <v>217</v>
      </c>
      <c r="W230" s="1" t="s">
        <v>217</v>
      </c>
      <c r="X230" s="1" t="s">
        <v>217</v>
      </c>
      <c r="Z230" s="1" t="s">
        <v>3886</v>
      </c>
      <c r="AA230" s="10">
        <v>500000.0</v>
      </c>
      <c r="AB230" s="1" t="s">
        <v>3887</v>
      </c>
      <c r="AC230" s="10">
        <v>700000.0</v>
      </c>
      <c r="AD230" s="1" t="s">
        <v>3888</v>
      </c>
      <c r="AE230" s="10">
        <v>3000000.0</v>
      </c>
      <c r="AF230" s="10">
        <v>3250000.0</v>
      </c>
      <c r="AG230" s="9" t="s">
        <v>3889</v>
      </c>
      <c r="AI230" s="1" t="s">
        <v>159</v>
      </c>
      <c r="AJ230" s="3"/>
      <c r="AK230" s="3"/>
      <c r="AL230" s="3"/>
      <c r="AM230" s="1" t="s">
        <v>3890</v>
      </c>
      <c r="AN230" s="7" t="s">
        <v>3891</v>
      </c>
      <c r="AO230" s="8" t="str">
        <f>HYPERLINK("https://docs.google.com/document/d/1zGutJv1eXKuV_6DmxG6syTaeaSxptda2xs-PgXvgqzE/edit?usp=drivesdk","Al-Wildan 1 Gading Serpong_Nafisah Fadlilah_Wali Kelas , Alquran ,Akidah Akhlak ,SKI")</f>
        <v>Al-Wildan 1 Gading Serpong_Nafisah Fadlilah_Wali Kelas , Alquran ,Akidah Akhlak ,SKI</v>
      </c>
      <c r="AP230" s="1" t="s">
        <v>3892</v>
      </c>
    </row>
    <row r="231">
      <c r="A231" s="6">
        <v>44139.74898049769</v>
      </c>
      <c r="B231" s="7" t="s">
        <v>3893</v>
      </c>
      <c r="C231" s="8" t="s">
        <v>3894</v>
      </c>
      <c r="D231" s="1" t="s">
        <v>3895</v>
      </c>
      <c r="E231" s="9" t="s">
        <v>3896</v>
      </c>
      <c r="F231" s="1" t="s">
        <v>3897</v>
      </c>
      <c r="G231" s="1" t="s">
        <v>3634</v>
      </c>
      <c r="H231" s="1" t="s">
        <v>3898</v>
      </c>
      <c r="I231" s="1">
        <v>2.2071994E7</v>
      </c>
      <c r="J231" s="1">
        <v>25.0</v>
      </c>
      <c r="K231" s="1" t="s">
        <v>102</v>
      </c>
      <c r="L231" s="1" t="s">
        <v>329</v>
      </c>
      <c r="M231" s="1" t="s">
        <v>104</v>
      </c>
      <c r="N231" s="1" t="s">
        <v>3899</v>
      </c>
      <c r="O231" s="1" t="s">
        <v>312</v>
      </c>
      <c r="P231" s="1" t="s">
        <v>107</v>
      </c>
      <c r="Q231" s="1" t="s">
        <v>1007</v>
      </c>
      <c r="R231" s="1" t="s">
        <v>3900</v>
      </c>
      <c r="S231" s="1" t="s">
        <v>1007</v>
      </c>
      <c r="T231" s="1" t="s">
        <v>1007</v>
      </c>
      <c r="U231" s="1" t="s">
        <v>3901</v>
      </c>
      <c r="V231" s="1">
        <v>1000.0</v>
      </c>
      <c r="W231" s="1" t="s">
        <v>3902</v>
      </c>
      <c r="X231" s="1" t="s">
        <v>217</v>
      </c>
      <c r="Y231" s="1">
        <v>1000.0</v>
      </c>
      <c r="Z231" s="1" t="s">
        <v>3900</v>
      </c>
      <c r="AA231" s="1" t="s">
        <v>3903</v>
      </c>
      <c r="AB231" s="1" t="s">
        <v>3903</v>
      </c>
      <c r="AC231" s="1" t="s">
        <v>3903</v>
      </c>
      <c r="AD231" s="1" t="s">
        <v>3903</v>
      </c>
      <c r="AE231" s="1" t="s">
        <v>1007</v>
      </c>
      <c r="AF231" s="10">
        <v>5000000.0</v>
      </c>
      <c r="AG231" s="9" t="s">
        <v>3904</v>
      </c>
      <c r="AI231" s="1" t="s">
        <v>993</v>
      </c>
      <c r="AJ231" s="3"/>
      <c r="AK231" s="3"/>
      <c r="AL231" s="3"/>
      <c r="AM231" s="1" t="s">
        <v>3905</v>
      </c>
      <c r="AN231" s="7" t="s">
        <v>3906</v>
      </c>
      <c r="AO231" s="8" t="str">
        <f>HYPERLINK("https://docs.google.com/document/d/1ookoF37qFlLJhnKvnCoBnnY4srfpCP8EQN0GPmlHTx0/edit?usp=drivesdk","Al-Wildan 1 Gading Serpong_Muhammad Ikhwanul Pr. S (proses_Quran ski fikih")</f>
        <v>Al-Wildan 1 Gading Serpong_Muhammad Ikhwanul Pr. S (proses_Quran ski fikih</v>
      </c>
      <c r="AP231" s="1" t="s">
        <v>3907</v>
      </c>
    </row>
    <row r="232">
      <c r="A232" s="6">
        <v>44139.75461189815</v>
      </c>
      <c r="B232" s="7" t="s">
        <v>3908</v>
      </c>
      <c r="C232" s="8" t="s">
        <v>3909</v>
      </c>
      <c r="D232" s="1" t="s">
        <v>3910</v>
      </c>
      <c r="E232" s="9" t="s">
        <v>3911</v>
      </c>
      <c r="F232" s="1" t="s">
        <v>3912</v>
      </c>
      <c r="G232" s="1" t="s">
        <v>3913</v>
      </c>
      <c r="H232" s="1" t="s">
        <v>3914</v>
      </c>
      <c r="I232" s="9" t="s">
        <v>3915</v>
      </c>
      <c r="J232" s="1" t="s">
        <v>1822</v>
      </c>
      <c r="K232" s="1" t="s">
        <v>151</v>
      </c>
      <c r="L232" s="1" t="s">
        <v>329</v>
      </c>
      <c r="M232" s="1" t="s">
        <v>104</v>
      </c>
      <c r="N232" s="1" t="s">
        <v>2063</v>
      </c>
      <c r="O232" s="1" t="s">
        <v>312</v>
      </c>
      <c r="P232" s="1" t="s">
        <v>107</v>
      </c>
      <c r="Q232" s="1" t="s">
        <v>217</v>
      </c>
      <c r="R232" s="1" t="s">
        <v>3916</v>
      </c>
      <c r="S232" s="1">
        <v>0.0</v>
      </c>
      <c r="T232" s="1" t="s">
        <v>217</v>
      </c>
      <c r="U232" s="1" t="s">
        <v>217</v>
      </c>
      <c r="V232" s="1" t="s">
        <v>217</v>
      </c>
      <c r="W232" s="1" t="s">
        <v>217</v>
      </c>
      <c r="X232" s="1" t="s">
        <v>217</v>
      </c>
      <c r="Y232" s="1">
        <v>0.0</v>
      </c>
      <c r="Z232" s="1" t="s">
        <v>3917</v>
      </c>
      <c r="AA232" s="1" t="s">
        <v>217</v>
      </c>
      <c r="AB232" s="1" t="s">
        <v>217</v>
      </c>
      <c r="AC232" s="1" t="s">
        <v>217</v>
      </c>
      <c r="AD232" s="1" t="s">
        <v>217</v>
      </c>
      <c r="AE232" s="1" t="s">
        <v>217</v>
      </c>
      <c r="AF232" s="1" t="s">
        <v>217</v>
      </c>
      <c r="AG232" s="9" t="s">
        <v>3918</v>
      </c>
      <c r="AH232" s="1">
        <v>0.0</v>
      </c>
      <c r="AI232" s="1" t="s">
        <v>782</v>
      </c>
      <c r="AJ232" s="3"/>
      <c r="AK232" s="3"/>
      <c r="AL232" s="3"/>
      <c r="AM232" s="1" t="s">
        <v>3919</v>
      </c>
      <c r="AN232" s="7" t="s">
        <v>3920</v>
      </c>
      <c r="AO232" s="8" t="str">
        <f>HYPERLINK("https://docs.google.com/document/d/15ka_4Hx2JpY41nAvbZUPZ1ykzE0mZNwx4EhIkW25z58/edit?usp=drivesdk","Al-Wildan 1 Gading Serpong_Risma Hasmita_AL-QUR'AN")</f>
        <v>Al-Wildan 1 Gading Serpong_Risma Hasmita_AL-QUR'AN</v>
      </c>
      <c r="AP232" s="1" t="s">
        <v>3921</v>
      </c>
    </row>
    <row r="233">
      <c r="A233" s="6">
        <v>44139.78343018518</v>
      </c>
      <c r="B233" s="7" t="s">
        <v>3922</v>
      </c>
      <c r="C233" s="8" t="s">
        <v>3923</v>
      </c>
      <c r="D233" s="1" t="s">
        <v>3924</v>
      </c>
      <c r="E233" s="9" t="s">
        <v>3925</v>
      </c>
      <c r="F233" s="1" t="s">
        <v>3926</v>
      </c>
      <c r="G233" s="1" t="s">
        <v>3927</v>
      </c>
      <c r="H233" s="1" t="s">
        <v>99</v>
      </c>
      <c r="I233" s="9" t="s">
        <v>3928</v>
      </c>
      <c r="J233" s="1" t="s">
        <v>3929</v>
      </c>
      <c r="K233" s="1" t="s">
        <v>102</v>
      </c>
      <c r="L233" s="1" t="s">
        <v>329</v>
      </c>
      <c r="M233" s="1" t="s">
        <v>424</v>
      </c>
      <c r="N233" s="1" t="s">
        <v>2883</v>
      </c>
      <c r="O233" s="1" t="s">
        <v>312</v>
      </c>
      <c r="P233" s="1" t="s">
        <v>107</v>
      </c>
      <c r="Q233" s="1" t="s">
        <v>214</v>
      </c>
      <c r="R233" s="1" t="s">
        <v>3930</v>
      </c>
      <c r="S233" s="1" t="s">
        <v>740</v>
      </c>
      <c r="Z233" s="1" t="s">
        <v>3931</v>
      </c>
      <c r="AA233" s="10">
        <v>3000000.0</v>
      </c>
      <c r="AF233" s="10">
        <v>3500000.0</v>
      </c>
      <c r="AG233" s="9" t="s">
        <v>3932</v>
      </c>
      <c r="AI233" s="1" t="s">
        <v>159</v>
      </c>
      <c r="AJ233" s="3"/>
      <c r="AK233" s="3"/>
      <c r="AL233" s="3"/>
      <c r="AM233" s="1" t="s">
        <v>3933</v>
      </c>
      <c r="AN233" s="7" t="s">
        <v>3934</v>
      </c>
      <c r="AO233" s="8" t="str">
        <f>HYPERLINK("https://docs.google.com/document/d/1hqBmAiohJLvSjl8xdQWKhonazUAHrCcT2N5S1Ts1RiE/edit?usp=drivesdk","Al-Wildan 1 Gading Serpong_Sofiatul Inayah, S.Mat_Math")</f>
        <v>Al-Wildan 1 Gading Serpong_Sofiatul Inayah, S.Mat_Math</v>
      </c>
      <c r="AP233" s="1" t="s">
        <v>3935</v>
      </c>
    </row>
    <row r="234">
      <c r="A234" s="6">
        <v>44139.79480642361</v>
      </c>
      <c r="B234" s="7" t="s">
        <v>3936</v>
      </c>
      <c r="C234" s="8" t="s">
        <v>3937</v>
      </c>
      <c r="D234" s="1" t="s">
        <v>3938</v>
      </c>
      <c r="E234" s="9" t="s">
        <v>3939</v>
      </c>
      <c r="F234" s="1" t="s">
        <v>3940</v>
      </c>
      <c r="G234" s="1" t="s">
        <v>99</v>
      </c>
      <c r="H234" s="1" t="s">
        <v>2076</v>
      </c>
      <c r="I234" s="9" t="s">
        <v>3941</v>
      </c>
      <c r="J234" s="1" t="s">
        <v>3942</v>
      </c>
      <c r="K234" s="1" t="s">
        <v>151</v>
      </c>
      <c r="L234" s="1" t="s">
        <v>103</v>
      </c>
      <c r="M234" s="1" t="s">
        <v>104</v>
      </c>
      <c r="N234" s="1" t="s">
        <v>3943</v>
      </c>
      <c r="O234" s="1" t="s">
        <v>312</v>
      </c>
      <c r="P234" s="1" t="s">
        <v>107</v>
      </c>
      <c r="Q234" s="1" t="s">
        <v>3944</v>
      </c>
      <c r="R234" s="1" t="s">
        <v>3945</v>
      </c>
      <c r="S234" s="1" t="s">
        <v>3945</v>
      </c>
      <c r="T234" s="1" t="s">
        <v>3944</v>
      </c>
      <c r="U234" s="1" t="s">
        <v>3944</v>
      </c>
      <c r="V234" s="1" t="s">
        <v>3944</v>
      </c>
      <c r="W234" s="1" t="s">
        <v>3944</v>
      </c>
      <c r="X234" s="1" t="s">
        <v>3945</v>
      </c>
      <c r="Z234" s="1" t="s">
        <v>3946</v>
      </c>
      <c r="AA234" s="10">
        <v>2000000.0</v>
      </c>
      <c r="AB234" s="1" t="s">
        <v>1998</v>
      </c>
      <c r="AC234" s="10">
        <v>3500000.0</v>
      </c>
      <c r="AF234" s="1" t="s">
        <v>3947</v>
      </c>
      <c r="AG234" s="9" t="s">
        <v>3948</v>
      </c>
      <c r="AI234" s="1" t="s">
        <v>2772</v>
      </c>
      <c r="AJ234" s="3"/>
      <c r="AK234" s="3"/>
      <c r="AL234" s="3"/>
      <c r="AM234" s="1" t="s">
        <v>3949</v>
      </c>
      <c r="AN234" s="7" t="s">
        <v>3950</v>
      </c>
      <c r="AO234" s="8" t="str">
        <f>HYPERLINK("https://docs.google.com/document/d/1Khypz7_2PHtV4w68cPgF8bnZWCRT4YDVTja7OBiwNRU/edit?usp=drivesdk","Al-Wildan 1 Gading Serpong_Khadimul Haramain_Alquran, Arabic, SKI, Aqidah, Fikih")</f>
        <v>Al-Wildan 1 Gading Serpong_Khadimul Haramain_Alquran, Arabic, SKI, Aqidah, Fikih</v>
      </c>
      <c r="AP234" s="1" t="s">
        <v>3951</v>
      </c>
    </row>
    <row r="235">
      <c r="A235" s="6">
        <v>44139.802672488426</v>
      </c>
      <c r="B235" s="7" t="s">
        <v>3952</v>
      </c>
      <c r="C235" s="8" t="s">
        <v>3953</v>
      </c>
      <c r="D235" s="1" t="s">
        <v>3954</v>
      </c>
      <c r="E235" s="9" t="s">
        <v>3955</v>
      </c>
      <c r="F235" s="1" t="s">
        <v>3956</v>
      </c>
      <c r="G235" s="1" t="s">
        <v>3957</v>
      </c>
      <c r="H235" s="1" t="s">
        <v>288</v>
      </c>
      <c r="I235" s="9" t="s">
        <v>3958</v>
      </c>
      <c r="J235" s="1" t="s">
        <v>3959</v>
      </c>
      <c r="K235" s="1" t="s">
        <v>102</v>
      </c>
      <c r="L235" s="1" t="s">
        <v>103</v>
      </c>
      <c r="M235" s="1" t="s">
        <v>104</v>
      </c>
      <c r="N235" s="1" t="s">
        <v>3960</v>
      </c>
      <c r="O235" s="1" t="s">
        <v>312</v>
      </c>
      <c r="P235" s="1" t="s">
        <v>107</v>
      </c>
      <c r="Q235" s="1" t="s">
        <v>3961</v>
      </c>
      <c r="R235" s="1" t="s">
        <v>3962</v>
      </c>
      <c r="S235" s="1" t="s">
        <v>740</v>
      </c>
      <c r="T235" s="1" t="s">
        <v>3885</v>
      </c>
      <c r="U235" s="1" t="s">
        <v>3885</v>
      </c>
      <c r="V235" s="1" t="s">
        <v>3885</v>
      </c>
      <c r="W235" s="1" t="s">
        <v>3963</v>
      </c>
      <c r="X235" s="1" t="s">
        <v>3885</v>
      </c>
      <c r="Z235" s="1" t="s">
        <v>3964</v>
      </c>
      <c r="AA235" s="10">
        <v>3000000.0</v>
      </c>
      <c r="AB235" s="1" t="s">
        <v>3965</v>
      </c>
      <c r="AC235" s="10">
        <v>4500000.0</v>
      </c>
      <c r="AD235" s="1" t="s">
        <v>3966</v>
      </c>
      <c r="AE235" s="10">
        <v>3000000.0</v>
      </c>
      <c r="AF235" s="10">
        <v>1.0E7</v>
      </c>
      <c r="AG235" s="9" t="s">
        <v>3967</v>
      </c>
      <c r="AI235" s="1" t="s">
        <v>2234</v>
      </c>
      <c r="AJ235" s="3"/>
      <c r="AK235" s="3"/>
      <c r="AL235" s="3"/>
      <c r="AM235" s="1" t="s">
        <v>3968</v>
      </c>
      <c r="AN235" s="7" t="s">
        <v>3969</v>
      </c>
      <c r="AO235" s="8" t="str">
        <f>HYPERLINK("https://docs.google.com/document/d/1Q983xRMoYW6c89GrpC7KFXdWHThbMmKg-MhZXOvrBPk/edit?usp=drivesdk","Al-Wildan 1 Gading Serpong_Moch. Reza Fachlevy, A.Md._Alqur'an dan Diniyah")</f>
        <v>Al-Wildan 1 Gading Serpong_Moch. Reza Fachlevy, A.Md._Alqur'an dan Diniyah</v>
      </c>
      <c r="AP235" s="1" t="s">
        <v>3970</v>
      </c>
    </row>
    <row r="236">
      <c r="A236" s="6">
        <v>44139.8059384375</v>
      </c>
      <c r="B236" s="7" t="s">
        <v>3971</v>
      </c>
      <c r="C236" s="8" t="s">
        <v>3972</v>
      </c>
      <c r="D236" s="1" t="s">
        <v>3973</v>
      </c>
      <c r="E236" s="9" t="s">
        <v>3974</v>
      </c>
      <c r="F236" s="1" t="s">
        <v>3975</v>
      </c>
      <c r="G236" s="1" t="s">
        <v>3976</v>
      </c>
      <c r="H236" s="1" t="s">
        <v>768</v>
      </c>
      <c r="I236" s="1">
        <v>1.1021998E7</v>
      </c>
      <c r="J236" s="1" t="s">
        <v>3977</v>
      </c>
      <c r="K236" s="1" t="s">
        <v>102</v>
      </c>
      <c r="L236" s="1" t="s">
        <v>103</v>
      </c>
      <c r="M236" s="1" t="s">
        <v>104</v>
      </c>
      <c r="N236" s="1" t="s">
        <v>3978</v>
      </c>
      <c r="O236" s="1" t="s">
        <v>312</v>
      </c>
      <c r="P236" s="1" t="s">
        <v>107</v>
      </c>
      <c r="Q236" s="1" t="s">
        <v>3979</v>
      </c>
      <c r="R236" s="1" t="s">
        <v>3980</v>
      </c>
      <c r="S236" s="1" t="s">
        <v>740</v>
      </c>
      <c r="Z236" s="1" t="s">
        <v>3981</v>
      </c>
      <c r="AA236" s="10">
        <v>5000000.0</v>
      </c>
      <c r="AB236" s="1" t="s">
        <v>1575</v>
      </c>
      <c r="AC236" s="10">
        <v>3000000.0</v>
      </c>
      <c r="AD236" s="1" t="s">
        <v>3982</v>
      </c>
      <c r="AE236" s="10">
        <v>3250000.0</v>
      </c>
      <c r="AF236" s="1" t="s">
        <v>3983</v>
      </c>
      <c r="AG236" s="9" t="s">
        <v>3984</v>
      </c>
      <c r="AI236" s="1" t="s">
        <v>3985</v>
      </c>
      <c r="AJ236" s="3"/>
      <c r="AK236" s="3"/>
      <c r="AL236" s="3"/>
      <c r="AM236" s="1" t="s">
        <v>3986</v>
      </c>
      <c r="AN236" s="7" t="s">
        <v>3987</v>
      </c>
      <c r="AO236" s="8" t="str">
        <f>HYPERLINK("https://docs.google.com/document/d/1wZ9vTrv84oADcQK5diQue8oBIDxyivXIJEK7Baj2_Qk/edit?usp=drivesdk","Al-Wildan 1 Gading Serpong_Nur Dahlia, A.Md._Al quran, Akidah, Fikih, Arabic")</f>
        <v>Al-Wildan 1 Gading Serpong_Nur Dahlia, A.Md._Al quran, Akidah, Fikih, Arabic</v>
      </c>
      <c r="AP236" s="1" t="s">
        <v>3988</v>
      </c>
    </row>
    <row r="237">
      <c r="A237" s="6">
        <v>44139.869777581014</v>
      </c>
      <c r="B237" s="7" t="s">
        <v>3989</v>
      </c>
      <c r="C237" s="8" t="s">
        <v>3990</v>
      </c>
      <c r="D237" s="1" t="s">
        <v>3991</v>
      </c>
      <c r="E237" s="9" t="s">
        <v>3992</v>
      </c>
      <c r="F237" s="1" t="s">
        <v>3993</v>
      </c>
      <c r="G237" s="1" t="s">
        <v>3994</v>
      </c>
      <c r="H237" s="1" t="s">
        <v>3995</v>
      </c>
      <c r="I237" s="9" t="s">
        <v>3996</v>
      </c>
      <c r="J237" s="1" t="s">
        <v>3997</v>
      </c>
      <c r="K237" s="1" t="s">
        <v>102</v>
      </c>
      <c r="L237" s="1" t="s">
        <v>103</v>
      </c>
      <c r="M237" s="1" t="s">
        <v>104</v>
      </c>
      <c r="N237" s="1" t="s">
        <v>3998</v>
      </c>
      <c r="O237" s="1" t="s">
        <v>312</v>
      </c>
      <c r="P237" s="1" t="s">
        <v>107</v>
      </c>
      <c r="Q237" s="1" t="s">
        <v>3999</v>
      </c>
      <c r="R237" s="1" t="s">
        <v>1790</v>
      </c>
      <c r="S237" s="1" t="s">
        <v>4000</v>
      </c>
      <c r="T237" s="1" t="s">
        <v>4001</v>
      </c>
      <c r="U237" s="1" t="s">
        <v>1790</v>
      </c>
      <c r="V237" s="1" t="s">
        <v>1023</v>
      </c>
      <c r="Z237" s="1" t="s">
        <v>4002</v>
      </c>
      <c r="AA237" s="1" t="s">
        <v>4003</v>
      </c>
      <c r="AB237" s="1" t="s">
        <v>4004</v>
      </c>
      <c r="AC237" s="1" t="s">
        <v>4005</v>
      </c>
      <c r="AD237" s="1" t="s">
        <v>4006</v>
      </c>
      <c r="AE237" s="1" t="s">
        <v>4007</v>
      </c>
      <c r="AF237" s="1" t="s">
        <v>4005</v>
      </c>
      <c r="AG237" s="9" t="s">
        <v>4008</v>
      </c>
      <c r="AI237" s="1" t="s">
        <v>782</v>
      </c>
      <c r="AJ237" s="3"/>
      <c r="AK237" s="3"/>
      <c r="AL237" s="3"/>
      <c r="AM237" s="1" t="s">
        <v>4009</v>
      </c>
      <c r="AN237" s="7" t="s">
        <v>4010</v>
      </c>
      <c r="AO237" s="8" t="str">
        <f>HYPERLINK("https://docs.google.com/document/d/1QbsG7ZmA41-v7x6bCY6zRFNyJF1gaVz3puA19_-9Ynk/edit?usp=drivesdk","Al-Wildan 1 Gading Serpong_SRI HASTUTI, M. PD_MATH, SCIENCE, ENGLISH")</f>
        <v>Al-Wildan 1 Gading Serpong_SRI HASTUTI, M. PD_MATH, SCIENCE, ENGLISH</v>
      </c>
      <c r="AP237" s="1" t="s">
        <v>4011</v>
      </c>
    </row>
    <row r="238">
      <c r="A238" s="6">
        <v>44140.32384386574</v>
      </c>
      <c r="B238" s="7" t="s">
        <v>4012</v>
      </c>
      <c r="C238" s="8" t="s">
        <v>4013</v>
      </c>
      <c r="D238" s="1" t="s">
        <v>4014</v>
      </c>
      <c r="E238" s="9" t="s">
        <v>4015</v>
      </c>
      <c r="F238" s="1" t="s">
        <v>4016</v>
      </c>
      <c r="G238" s="1" t="s">
        <v>4017</v>
      </c>
      <c r="H238" s="1" t="s">
        <v>944</v>
      </c>
      <c r="I238" s="9" t="s">
        <v>4018</v>
      </c>
      <c r="J238" s="1">
        <v>30.0</v>
      </c>
      <c r="K238" s="1" t="s">
        <v>102</v>
      </c>
      <c r="L238" s="1" t="s">
        <v>329</v>
      </c>
      <c r="M238" s="1" t="s">
        <v>104</v>
      </c>
      <c r="N238" s="1" t="s">
        <v>4019</v>
      </c>
      <c r="O238" s="1" t="s">
        <v>1202</v>
      </c>
      <c r="P238" s="1" t="s">
        <v>107</v>
      </c>
      <c r="Q238" s="1" t="s">
        <v>4020</v>
      </c>
      <c r="R238" s="1" t="s">
        <v>235</v>
      </c>
      <c r="S238" s="1" t="s">
        <v>4021</v>
      </c>
      <c r="T238" s="1" t="s">
        <v>4022</v>
      </c>
      <c r="U238" s="1" t="s">
        <v>4023</v>
      </c>
      <c r="V238" s="1" t="s">
        <v>537</v>
      </c>
      <c r="Z238" s="1" t="s">
        <v>4024</v>
      </c>
      <c r="AA238" s="10">
        <v>5000000.0</v>
      </c>
      <c r="AG238" s="9" t="s">
        <v>4025</v>
      </c>
      <c r="AI238" s="1" t="s">
        <v>178</v>
      </c>
      <c r="AJ238" s="3"/>
      <c r="AK238" s="3"/>
      <c r="AL238" s="3"/>
      <c r="AM238" s="1" t="s">
        <v>4026</v>
      </c>
      <c r="AN238" s="7" t="s">
        <v>4027</v>
      </c>
      <c r="AO238" s="8" t="str">
        <f>HYPERLINK("https://docs.google.com/document/d/1t4cTi0ZJuP9O4hQZBeQcnjClG4U0dJcqZfMjDt1WYCY/edit?usp=drivesdk","Al-Wildan 1 Gading Serpong_SRI NADIATI_Diniah")</f>
        <v>Al-Wildan 1 Gading Serpong_SRI NADIATI_Diniah</v>
      </c>
      <c r="AP238" s="1" t="s">
        <v>4028</v>
      </c>
    </row>
    <row r="239">
      <c r="A239" s="6">
        <v>44140.41676649306</v>
      </c>
      <c r="B239" s="7" t="s">
        <v>4029</v>
      </c>
      <c r="C239" s="8" t="s">
        <v>4030</v>
      </c>
      <c r="D239" s="1" t="s">
        <v>4031</v>
      </c>
      <c r="E239" s="9" t="s">
        <v>4032</v>
      </c>
      <c r="F239" s="1" t="s">
        <v>4033</v>
      </c>
      <c r="G239" s="1" t="s">
        <v>4034</v>
      </c>
      <c r="H239" s="1" t="s">
        <v>2914</v>
      </c>
      <c r="I239" s="9" t="s">
        <v>4035</v>
      </c>
      <c r="J239" s="1" t="s">
        <v>4036</v>
      </c>
      <c r="K239" s="1" t="s">
        <v>151</v>
      </c>
      <c r="L239" s="1" t="s">
        <v>329</v>
      </c>
      <c r="M239" s="1" t="s">
        <v>104</v>
      </c>
      <c r="N239" s="1" t="s">
        <v>4037</v>
      </c>
      <c r="O239" s="1" t="s">
        <v>127</v>
      </c>
      <c r="P239" s="1" t="s">
        <v>107</v>
      </c>
      <c r="Q239" s="1" t="s">
        <v>236</v>
      </c>
      <c r="R239" s="1" t="s">
        <v>217</v>
      </c>
      <c r="S239" s="1" t="s">
        <v>217</v>
      </c>
      <c r="T239" s="1" t="s">
        <v>217</v>
      </c>
      <c r="U239" s="1" t="s">
        <v>217</v>
      </c>
      <c r="V239" s="1" t="s">
        <v>217</v>
      </c>
      <c r="W239" s="1" t="s">
        <v>217</v>
      </c>
      <c r="X239" s="1" t="s">
        <v>217</v>
      </c>
      <c r="Z239" s="1" t="s">
        <v>4038</v>
      </c>
      <c r="AA239" s="1" t="s">
        <v>217</v>
      </c>
      <c r="AB239" s="1" t="s">
        <v>4039</v>
      </c>
      <c r="AC239" s="10">
        <v>2750000.0</v>
      </c>
      <c r="AG239" s="9" t="s">
        <v>4040</v>
      </c>
      <c r="AI239" s="1" t="s">
        <v>159</v>
      </c>
      <c r="AJ239" s="3"/>
      <c r="AK239" s="3"/>
      <c r="AL239" s="3"/>
      <c r="AM239" s="1" t="s">
        <v>4041</v>
      </c>
      <c r="AN239" s="7" t="s">
        <v>4042</v>
      </c>
      <c r="AO239" s="8" t="str">
        <f>HYPERLINK("https://docs.google.com/document/d/1RN39bkNiSvnDq5Uh7l73hVA2wAnv2F4NyVF1BG_6Oyg/edit?usp=drivesdk","Al-Wildan 1 Gading Serpong_Fathmah Mar'atus Sholihah_AL QUR'AN")</f>
        <v>Al-Wildan 1 Gading Serpong_Fathmah Mar'atus Sholihah_AL QUR'AN</v>
      </c>
      <c r="AP239" s="1" t="s">
        <v>4043</v>
      </c>
    </row>
    <row r="240">
      <c r="A240" s="6">
        <v>44140.460127928236</v>
      </c>
      <c r="B240" s="7" t="s">
        <v>4044</v>
      </c>
      <c r="C240" s="8" t="s">
        <v>4045</v>
      </c>
      <c r="D240" s="1" t="s">
        <v>4046</v>
      </c>
      <c r="E240" s="9" t="s">
        <v>4047</v>
      </c>
      <c r="F240" s="1" t="s">
        <v>4048</v>
      </c>
      <c r="G240" s="1" t="s">
        <v>4049</v>
      </c>
      <c r="H240" s="1" t="s">
        <v>4050</v>
      </c>
      <c r="I240" s="9" t="s">
        <v>4051</v>
      </c>
      <c r="J240" s="1" t="s">
        <v>2737</v>
      </c>
      <c r="K240" s="1" t="s">
        <v>102</v>
      </c>
      <c r="L240" s="1" t="s">
        <v>256</v>
      </c>
      <c r="M240" s="1" t="s">
        <v>104</v>
      </c>
      <c r="N240" s="1" t="s">
        <v>3444</v>
      </c>
      <c r="O240" s="1" t="s">
        <v>127</v>
      </c>
      <c r="P240" s="1" t="s">
        <v>107</v>
      </c>
      <c r="Q240" s="1" t="s">
        <v>217</v>
      </c>
      <c r="R240" s="1" t="s">
        <v>217</v>
      </c>
      <c r="S240" s="1" t="s">
        <v>217</v>
      </c>
      <c r="T240" s="1" t="s">
        <v>217</v>
      </c>
      <c r="U240" s="1" t="s">
        <v>217</v>
      </c>
      <c r="V240" s="1" t="s">
        <v>217</v>
      </c>
      <c r="W240" s="1" t="s">
        <v>217</v>
      </c>
      <c r="X240" s="1" t="s">
        <v>217</v>
      </c>
      <c r="Z240" s="1" t="s">
        <v>4052</v>
      </c>
      <c r="AA240" s="10">
        <v>3000000.0</v>
      </c>
      <c r="AF240" s="10">
        <v>3500000.0</v>
      </c>
      <c r="AG240" s="9" t="s">
        <v>4053</v>
      </c>
      <c r="AI240" s="1" t="s">
        <v>782</v>
      </c>
      <c r="AJ240" s="3"/>
      <c r="AK240" s="3"/>
      <c r="AL240" s="3"/>
      <c r="AM240" s="1" t="s">
        <v>4054</v>
      </c>
      <c r="AN240" s="7" t="s">
        <v>4055</v>
      </c>
      <c r="AO240" s="8" t="str">
        <f>HYPERLINK("https://docs.google.com/document/d/1rAotGYIBekmwi-UAjwF1lO8lBAmiyTnUrI-Sy3aoBq8/edit?usp=drivesdk","Al-Wildan 1 Gading Serpong_Aghniya Siti Fatimah Al-Hafidzhoh_Al-Quran")</f>
        <v>Al-Wildan 1 Gading Serpong_Aghniya Siti Fatimah Al-Hafidzhoh_Al-Quran</v>
      </c>
      <c r="AP240" s="1" t="s">
        <v>4056</v>
      </c>
    </row>
    <row r="241">
      <c r="A241" s="6">
        <v>44140.472248125</v>
      </c>
      <c r="B241" s="7" t="s">
        <v>4057</v>
      </c>
      <c r="C241" s="8" t="s">
        <v>4058</v>
      </c>
      <c r="D241" s="1" t="s">
        <v>4059</v>
      </c>
      <c r="E241" s="9" t="s">
        <v>4060</v>
      </c>
      <c r="F241" s="1" t="s">
        <v>4061</v>
      </c>
      <c r="G241" s="1" t="s">
        <v>1555</v>
      </c>
      <c r="H241" s="1" t="s">
        <v>1555</v>
      </c>
      <c r="I241" s="9" t="s">
        <v>4062</v>
      </c>
      <c r="J241" s="1" t="s">
        <v>392</v>
      </c>
      <c r="K241" s="1" t="s">
        <v>151</v>
      </c>
      <c r="L241" s="1" t="s">
        <v>329</v>
      </c>
      <c r="M241" s="1" t="s">
        <v>104</v>
      </c>
      <c r="N241" s="1" t="s">
        <v>4063</v>
      </c>
      <c r="O241" s="1" t="s">
        <v>127</v>
      </c>
      <c r="P241" s="1" t="s">
        <v>107</v>
      </c>
      <c r="Q241" s="1" t="s">
        <v>217</v>
      </c>
      <c r="R241" s="1" t="s">
        <v>217</v>
      </c>
      <c r="S241" s="1" t="s">
        <v>217</v>
      </c>
      <c r="T241" s="1" t="s">
        <v>217</v>
      </c>
      <c r="U241" s="1" t="s">
        <v>217</v>
      </c>
      <c r="V241" s="1" t="s">
        <v>217</v>
      </c>
      <c r="W241" s="1" t="s">
        <v>217</v>
      </c>
      <c r="X241" s="1" t="s">
        <v>217</v>
      </c>
      <c r="Z241" s="1" t="s">
        <v>4064</v>
      </c>
      <c r="AA241" s="1" t="s">
        <v>4065</v>
      </c>
      <c r="AB241" s="1" t="s">
        <v>4066</v>
      </c>
      <c r="AC241" s="10">
        <v>3500000.0</v>
      </c>
      <c r="AD241" s="1" t="s">
        <v>4067</v>
      </c>
      <c r="AE241" s="10">
        <v>3000000.0</v>
      </c>
      <c r="AF241" s="10">
        <v>3500000.0</v>
      </c>
      <c r="AG241" s="9" t="s">
        <v>4068</v>
      </c>
      <c r="AI241" s="1" t="s">
        <v>655</v>
      </c>
      <c r="AJ241" s="3"/>
      <c r="AK241" s="3"/>
      <c r="AL241" s="3"/>
      <c r="AM241" s="1" t="s">
        <v>4069</v>
      </c>
      <c r="AN241" s="7" t="s">
        <v>4070</v>
      </c>
      <c r="AO241" s="8" t="str">
        <f>HYPERLINK("https://docs.google.com/document/d/1Gk-kBBnFyLE8hBG8PAyAcqHVRKJqFhDNLg_Y5vadZMo/edit?usp=drivesdk","Al-Wildan 1 Gading Serpong_Siva Tuni Kartina_Al-Quran (Markaz) ")</f>
        <v>Al-Wildan 1 Gading Serpong_Siva Tuni Kartina_Al-Quran (Markaz) </v>
      </c>
      <c r="AP241" s="1" t="s">
        <v>4071</v>
      </c>
    </row>
    <row r="242">
      <c r="A242" s="6">
        <v>44140.5066355787</v>
      </c>
      <c r="B242" s="7" t="s">
        <v>4072</v>
      </c>
      <c r="C242" s="8" t="s">
        <v>4073</v>
      </c>
      <c r="D242" s="1" t="s">
        <v>4074</v>
      </c>
      <c r="E242" s="9" t="s">
        <v>4075</v>
      </c>
      <c r="F242" s="1" t="s">
        <v>4076</v>
      </c>
      <c r="G242" s="1" t="s">
        <v>4077</v>
      </c>
      <c r="H242" s="1" t="s">
        <v>308</v>
      </c>
      <c r="I242" s="9" t="s">
        <v>4078</v>
      </c>
      <c r="J242" s="1" t="s">
        <v>2246</v>
      </c>
      <c r="K242" s="1" t="s">
        <v>102</v>
      </c>
      <c r="L242" s="1" t="s">
        <v>329</v>
      </c>
      <c r="M242" s="1" t="s">
        <v>104</v>
      </c>
      <c r="N242" s="1" t="s">
        <v>771</v>
      </c>
      <c r="O242" s="1" t="s">
        <v>1202</v>
      </c>
      <c r="P242" s="1" t="s">
        <v>107</v>
      </c>
      <c r="Q242" s="1" t="s">
        <v>4079</v>
      </c>
      <c r="R242" s="1" t="s">
        <v>152</v>
      </c>
      <c r="S242" s="1" t="s">
        <v>1624</v>
      </c>
      <c r="Z242" s="1" t="s">
        <v>4080</v>
      </c>
      <c r="AF242" s="1" t="s">
        <v>4081</v>
      </c>
      <c r="AG242" s="9" t="s">
        <v>4082</v>
      </c>
      <c r="AI242" s="1" t="s">
        <v>782</v>
      </c>
      <c r="AJ242" s="3"/>
      <c r="AK242" s="3"/>
      <c r="AL242" s="3"/>
      <c r="AM242" s="1" t="s">
        <v>4083</v>
      </c>
      <c r="AN242" s="7" t="s">
        <v>4084</v>
      </c>
      <c r="AO242" s="8" t="str">
        <f>HYPERLINK("https://docs.google.com/document/d/1_Vq9t2i7oZCFGrcMF8tp6Ln-SDFSwTnpUGbHfYGPsAQ/edit?usp=drivesdk","Al-Wildan 1 Gading Serpong_Nur eva putriani, S.Pd_English")</f>
        <v>Al-Wildan 1 Gading Serpong_Nur eva putriani, S.Pd_English</v>
      </c>
      <c r="AP242" s="1" t="s">
        <v>4085</v>
      </c>
    </row>
    <row r="243">
      <c r="A243" s="6">
        <v>44140.54351564815</v>
      </c>
      <c r="B243" s="7" t="s">
        <v>4086</v>
      </c>
      <c r="C243" s="8" t="s">
        <v>4087</v>
      </c>
      <c r="D243" s="1" t="s">
        <v>4088</v>
      </c>
      <c r="E243" s="9" t="s">
        <v>4089</v>
      </c>
      <c r="F243" s="1" t="s">
        <v>4090</v>
      </c>
      <c r="G243" s="1" t="s">
        <v>4091</v>
      </c>
      <c r="H243" s="1" t="s">
        <v>4092</v>
      </c>
      <c r="I243" s="9" t="s">
        <v>4093</v>
      </c>
      <c r="J243" s="1" t="s">
        <v>2246</v>
      </c>
      <c r="K243" s="1" t="s">
        <v>102</v>
      </c>
      <c r="L243" s="1" t="s">
        <v>329</v>
      </c>
      <c r="M243" s="1" t="s">
        <v>104</v>
      </c>
      <c r="N243" s="1" t="s">
        <v>4094</v>
      </c>
      <c r="O243" s="1" t="s">
        <v>1202</v>
      </c>
      <c r="P243" s="1" t="s">
        <v>107</v>
      </c>
      <c r="Q243" s="1" t="s">
        <v>4095</v>
      </c>
      <c r="R243" s="1" t="s">
        <v>4096</v>
      </c>
      <c r="S243" s="1" t="s">
        <v>4097</v>
      </c>
      <c r="Z243" s="1" t="s">
        <v>4098</v>
      </c>
      <c r="AA243" s="10">
        <v>3000000.0</v>
      </c>
      <c r="AF243" s="10">
        <v>6500000.0</v>
      </c>
      <c r="AG243" s="9" t="s">
        <v>4099</v>
      </c>
      <c r="AI243" s="1" t="s">
        <v>4100</v>
      </c>
      <c r="AJ243" s="3"/>
      <c r="AK243" s="3"/>
      <c r="AL243" s="3"/>
      <c r="AM243" s="1" t="s">
        <v>4101</v>
      </c>
      <c r="AN243" s="7" t="s">
        <v>4102</v>
      </c>
      <c r="AO243" s="8" t="str">
        <f>HYPERLINK("https://docs.google.com/document/d/1F1-Phf4pQcmmr3UgyEtwhS7rxUYRqq2DlHUyUuSv67o/edit?usp=drivesdk","Al-Wildan 1 Gading Serpong_Efhila Gabriela Melisa,Lc_Guru Diniyyah")</f>
        <v>Al-Wildan 1 Gading Serpong_Efhila Gabriela Melisa,Lc_Guru Diniyyah</v>
      </c>
      <c r="AP243" s="1" t="s">
        <v>4103</v>
      </c>
    </row>
    <row r="244">
      <c r="A244" s="6">
        <v>44140.56364436343</v>
      </c>
      <c r="B244" s="7" t="s">
        <v>4104</v>
      </c>
      <c r="C244" s="8" t="s">
        <v>4105</v>
      </c>
      <c r="D244" s="1" t="s">
        <v>4106</v>
      </c>
      <c r="E244" s="1">
        <v>9.0</v>
      </c>
      <c r="F244" s="1" t="s">
        <v>217</v>
      </c>
      <c r="G244" s="1" t="s">
        <v>4107</v>
      </c>
      <c r="H244" s="1" t="s">
        <v>217</v>
      </c>
      <c r="I244" s="1" t="s">
        <v>217</v>
      </c>
      <c r="J244" s="1">
        <v>20.0</v>
      </c>
      <c r="K244" s="1" t="s">
        <v>151</v>
      </c>
      <c r="L244" s="1" t="s">
        <v>329</v>
      </c>
      <c r="M244" s="1" t="s">
        <v>104</v>
      </c>
      <c r="N244" s="1" t="s">
        <v>217</v>
      </c>
      <c r="O244" s="1" t="s">
        <v>312</v>
      </c>
      <c r="P244" s="1" t="s">
        <v>107</v>
      </c>
      <c r="Q244" s="1" t="s">
        <v>217</v>
      </c>
      <c r="R244" s="1" t="s">
        <v>217</v>
      </c>
      <c r="S244" s="1" t="s">
        <v>217</v>
      </c>
      <c r="T244" s="1" t="s">
        <v>1007</v>
      </c>
      <c r="U244" s="1" t="s">
        <v>1007</v>
      </c>
      <c r="V244" s="1" t="s">
        <v>217</v>
      </c>
      <c r="W244" s="1" t="s">
        <v>1007</v>
      </c>
      <c r="X244" s="1" t="s">
        <v>1007</v>
      </c>
      <c r="Y244" s="1">
        <v>0.0</v>
      </c>
      <c r="Z244" s="1" t="s">
        <v>4108</v>
      </c>
      <c r="AA244" s="1" t="s">
        <v>4109</v>
      </c>
      <c r="AB244" s="1" t="s">
        <v>4110</v>
      </c>
      <c r="AC244" s="1" t="s">
        <v>4111</v>
      </c>
      <c r="AD244" s="1" t="s">
        <v>1575</v>
      </c>
      <c r="AE244" s="1" t="s">
        <v>4112</v>
      </c>
      <c r="AF244" s="1" t="s">
        <v>4113</v>
      </c>
      <c r="AM244" s="1" t="s">
        <v>4114</v>
      </c>
      <c r="AN244" s="7" t="s">
        <v>4115</v>
      </c>
      <c r="AO244" s="8" t="str">
        <f>HYPERLINK("https://docs.google.com/document/d/1TNU4YDtZV6AOXtwna-4jCoCXNW0UKdgEKZ1YLceoERU/edit?usp=drivesdk","Al-Wildan 1 Gading Serpong_Vionita Amalia_-")</f>
        <v>Al-Wildan 1 Gading Serpong_Vionita Amalia_-</v>
      </c>
      <c r="AP244" s="1" t="s">
        <v>4116</v>
      </c>
    </row>
    <row r="245">
      <c r="A245" s="6">
        <v>44140.61283946759</v>
      </c>
      <c r="B245" s="7" t="s">
        <v>4117</v>
      </c>
      <c r="C245" s="8" t="s">
        <v>4118</v>
      </c>
      <c r="D245" s="1" t="s">
        <v>4119</v>
      </c>
      <c r="E245" s="9" t="s">
        <v>4120</v>
      </c>
      <c r="F245" s="1" t="s">
        <v>4121</v>
      </c>
      <c r="G245" s="1" t="s">
        <v>4122</v>
      </c>
      <c r="H245" s="1" t="s">
        <v>148</v>
      </c>
      <c r="I245" s="9" t="s">
        <v>4123</v>
      </c>
      <c r="J245" s="1" t="s">
        <v>190</v>
      </c>
      <c r="K245" s="1" t="s">
        <v>102</v>
      </c>
      <c r="L245" s="1" t="s">
        <v>256</v>
      </c>
      <c r="M245" s="1" t="s">
        <v>104</v>
      </c>
      <c r="N245" s="1" t="s">
        <v>771</v>
      </c>
      <c r="O245" s="1" t="s">
        <v>1202</v>
      </c>
      <c r="P245" s="1" t="s">
        <v>107</v>
      </c>
      <c r="Q245" s="1" t="s">
        <v>4124</v>
      </c>
      <c r="R245" s="1" t="s">
        <v>4125</v>
      </c>
      <c r="S245" s="1">
        <v>3.32</v>
      </c>
      <c r="Z245" s="1" t="s">
        <v>4126</v>
      </c>
      <c r="AA245" s="10">
        <v>1000000.0</v>
      </c>
      <c r="AB245" s="1" t="s">
        <v>4127</v>
      </c>
      <c r="AC245" s="10">
        <v>1000000.0</v>
      </c>
      <c r="AD245" s="1" t="s">
        <v>4128</v>
      </c>
      <c r="AE245" s="10">
        <v>1500000.0</v>
      </c>
      <c r="AF245" s="10">
        <v>5000000.0</v>
      </c>
      <c r="AG245" s="9" t="s">
        <v>4129</v>
      </c>
      <c r="AH245" s="9" t="s">
        <v>4129</v>
      </c>
      <c r="AI245" s="1" t="s">
        <v>782</v>
      </c>
      <c r="AJ245" s="3"/>
      <c r="AK245" s="3"/>
      <c r="AL245" s="3"/>
      <c r="AM245" s="1" t="s">
        <v>4130</v>
      </c>
      <c r="AN245" s="7" t="s">
        <v>4131</v>
      </c>
      <c r="AO245" s="8" t="str">
        <f>HYPERLINK("https://docs.google.com/document/d/1ES1D8Z0Wv3qiTag2oWWNyRIwAId5ct5qZeRi-IQuzZg/edit?usp=drivesdk","Al-Wildan 1 Gading Serpong_Amelia Dian Utari S.Pd_English")</f>
        <v>Al-Wildan 1 Gading Serpong_Amelia Dian Utari S.Pd_English</v>
      </c>
      <c r="AP245" s="1" t="s">
        <v>4132</v>
      </c>
    </row>
    <row r="246">
      <c r="A246" s="6">
        <v>44140.69358287037</v>
      </c>
      <c r="B246" s="7" t="s">
        <v>4133</v>
      </c>
      <c r="C246" s="8" t="s">
        <v>4134</v>
      </c>
      <c r="D246" s="1" t="s">
        <v>4135</v>
      </c>
      <c r="E246" s="1" t="s">
        <v>4136</v>
      </c>
      <c r="F246" s="1" t="s">
        <v>4137</v>
      </c>
      <c r="G246" s="1" t="s">
        <v>4138</v>
      </c>
      <c r="H246" s="1" t="s">
        <v>4139</v>
      </c>
      <c r="I246" s="9" t="s">
        <v>4140</v>
      </c>
      <c r="J246" s="1" t="s">
        <v>4141</v>
      </c>
      <c r="K246" s="1" t="s">
        <v>151</v>
      </c>
      <c r="L246" s="1" t="s">
        <v>329</v>
      </c>
      <c r="M246" s="1" t="s">
        <v>104</v>
      </c>
      <c r="N246" s="1" t="s">
        <v>4142</v>
      </c>
      <c r="O246" s="1" t="s">
        <v>1202</v>
      </c>
      <c r="P246" s="1" t="s">
        <v>107</v>
      </c>
      <c r="Z246" s="1" t="s">
        <v>4143</v>
      </c>
      <c r="AA246" s="10">
        <v>600000.0</v>
      </c>
      <c r="AB246" s="1" t="s">
        <v>4144</v>
      </c>
      <c r="AC246" s="10">
        <v>800000.0</v>
      </c>
      <c r="AF246" s="10">
        <v>3500000.0</v>
      </c>
      <c r="AG246" s="9" t="s">
        <v>4145</v>
      </c>
      <c r="AI246" s="1" t="s">
        <v>178</v>
      </c>
      <c r="AJ246" s="3"/>
      <c r="AK246" s="3"/>
      <c r="AL246" s="3"/>
      <c r="AM246" s="1" t="s">
        <v>4146</v>
      </c>
      <c r="AN246" s="7" t="s">
        <v>4147</v>
      </c>
      <c r="AO246" s="8" t="str">
        <f>HYPERLINK("https://docs.google.com/document/d/1U2pDWO0WkcSlJfh9C2qEN1hhHApcKvW5H9vqCAhTlXc/edit?usp=drivesdk","Al-Wildan 1 Gading Serpong_Aulia Zarah_Tahfidz - Arabic - Nuronniyah - Hadits - Do'a")</f>
        <v>Al-Wildan 1 Gading Serpong_Aulia Zarah_Tahfidz - Arabic - Nuronniyah - Hadits - Do'a</v>
      </c>
      <c r="AP246" s="1" t="s">
        <v>4148</v>
      </c>
    </row>
    <row r="247">
      <c r="A247" s="6">
        <v>44140.71411202547</v>
      </c>
      <c r="B247" s="7" t="s">
        <v>4149</v>
      </c>
      <c r="C247" s="8" t="s">
        <v>4150</v>
      </c>
      <c r="D247" s="1" t="s">
        <v>4151</v>
      </c>
      <c r="E247" s="9" t="s">
        <v>4152</v>
      </c>
      <c r="F247" s="1" t="s">
        <v>4153</v>
      </c>
      <c r="G247" s="1" t="s">
        <v>4154</v>
      </c>
      <c r="H247" s="1" t="s">
        <v>4092</v>
      </c>
      <c r="I247" s="9" t="s">
        <v>4155</v>
      </c>
      <c r="J247" s="1" t="s">
        <v>4156</v>
      </c>
      <c r="K247" s="1" t="s">
        <v>151</v>
      </c>
      <c r="L247" s="1" t="s">
        <v>329</v>
      </c>
      <c r="M247" s="1" t="s">
        <v>104</v>
      </c>
      <c r="N247" s="1" t="s">
        <v>771</v>
      </c>
      <c r="O247" s="1" t="s">
        <v>1202</v>
      </c>
      <c r="P247" s="1" t="s">
        <v>107</v>
      </c>
      <c r="Q247" s="1" t="s">
        <v>4157</v>
      </c>
      <c r="R247" s="1" t="s">
        <v>238</v>
      </c>
      <c r="S247" s="9" t="s">
        <v>796</v>
      </c>
      <c r="Z247" s="1" t="s">
        <v>4158</v>
      </c>
      <c r="AA247" s="10">
        <v>3000000.0</v>
      </c>
      <c r="AB247" s="1" t="s">
        <v>4158</v>
      </c>
      <c r="AC247" s="10">
        <v>4000000.0</v>
      </c>
      <c r="AD247" s="1" t="s">
        <v>4158</v>
      </c>
      <c r="AE247" s="10">
        <v>4000000.0</v>
      </c>
      <c r="AF247" s="10">
        <v>5000000.0</v>
      </c>
      <c r="AG247" s="9" t="s">
        <v>4159</v>
      </c>
      <c r="AI247" s="1" t="s">
        <v>178</v>
      </c>
      <c r="AJ247" s="3"/>
      <c r="AK247" s="3"/>
      <c r="AL247" s="3"/>
      <c r="AM247" s="1" t="s">
        <v>4160</v>
      </c>
      <c r="AN247" s="7" t="s">
        <v>4161</v>
      </c>
      <c r="AO247" s="8" t="str">
        <f>HYPERLINK("https://docs.google.com/document/d/1Au20NFj8iwhMGMaBcg-wDg1655h4V6g5ufp66mitUDg/edit?usp=drivesdk","Al-Wildan 1 Gading Serpong_Nove Kurnia S.Pd.I_English")</f>
        <v>Al-Wildan 1 Gading Serpong_Nove Kurnia S.Pd.I_English</v>
      </c>
      <c r="AP247" s="1" t="s">
        <v>4162</v>
      </c>
    </row>
    <row r="248">
      <c r="A248" s="6">
        <v>44140.718752534725</v>
      </c>
      <c r="B248" s="7" t="s">
        <v>4163</v>
      </c>
      <c r="C248" s="8" t="s">
        <v>4164</v>
      </c>
      <c r="D248" s="1" t="s">
        <v>4165</v>
      </c>
      <c r="E248" s="9" t="s">
        <v>4166</v>
      </c>
      <c r="F248" s="1" t="s">
        <v>4167</v>
      </c>
      <c r="G248" s="1" t="s">
        <v>4168</v>
      </c>
      <c r="H248" s="1" t="s">
        <v>148</v>
      </c>
      <c r="I248" s="9" t="s">
        <v>4169</v>
      </c>
      <c r="J248" s="1" t="s">
        <v>4170</v>
      </c>
      <c r="K248" s="1" t="s">
        <v>102</v>
      </c>
      <c r="L248" s="1" t="s">
        <v>103</v>
      </c>
      <c r="M248" s="1" t="s">
        <v>104</v>
      </c>
      <c r="N248" s="1" t="s">
        <v>4171</v>
      </c>
      <c r="O248" s="1" t="s">
        <v>1202</v>
      </c>
      <c r="P248" s="1" t="s">
        <v>107</v>
      </c>
      <c r="Q248" s="1" t="s">
        <v>4172</v>
      </c>
      <c r="R248" s="1" t="s">
        <v>4173</v>
      </c>
      <c r="S248" s="1" t="s">
        <v>2181</v>
      </c>
      <c r="Z248" s="1" t="s">
        <v>4174</v>
      </c>
      <c r="AA248" s="10">
        <v>2500000.0</v>
      </c>
      <c r="AB248" s="1" t="s">
        <v>4175</v>
      </c>
      <c r="AC248" s="10">
        <v>2300000.0</v>
      </c>
      <c r="AD248" s="1" t="s">
        <v>4176</v>
      </c>
      <c r="AE248" s="10">
        <v>2200000.0</v>
      </c>
      <c r="AF248" s="10">
        <v>3500000.0</v>
      </c>
      <c r="AG248" s="9" t="s">
        <v>4177</v>
      </c>
      <c r="AI248" s="1" t="s">
        <v>178</v>
      </c>
      <c r="AJ248" s="3"/>
      <c r="AK248" s="3"/>
      <c r="AL248" s="3"/>
      <c r="AM248" s="1" t="s">
        <v>4178</v>
      </c>
      <c r="AN248" s="7" t="s">
        <v>4179</v>
      </c>
      <c r="AO248" s="8" t="str">
        <f>HYPERLINK("https://docs.google.com/document/d/19QRHkj0KpuUGaTTkddHnuSSZ6PKeE7w3otES0j08rGs/edit?usp=drivesdk","Al-Wildan 1 Gading Serpong_Yati Rahmayati, A.md_Guru Tk")</f>
        <v>Al-Wildan 1 Gading Serpong_Yati Rahmayati, A.md_Guru Tk</v>
      </c>
      <c r="AP248" s="1" t="s">
        <v>4180</v>
      </c>
    </row>
    <row r="249">
      <c r="A249" s="6">
        <v>44140.73897194445</v>
      </c>
      <c r="B249" s="7" t="s">
        <v>4181</v>
      </c>
      <c r="C249" s="8" t="s">
        <v>4182</v>
      </c>
      <c r="D249" s="1" t="s">
        <v>4183</v>
      </c>
      <c r="E249" s="9" t="s">
        <v>4184</v>
      </c>
      <c r="F249" s="1" t="s">
        <v>4185</v>
      </c>
      <c r="G249" s="1" t="s">
        <v>4186</v>
      </c>
      <c r="H249" s="1" t="s">
        <v>4187</v>
      </c>
      <c r="I249" s="9" t="s">
        <v>4188</v>
      </c>
      <c r="J249" s="1">
        <v>51.0</v>
      </c>
      <c r="K249" s="1" t="s">
        <v>102</v>
      </c>
      <c r="L249" s="1" t="s">
        <v>256</v>
      </c>
      <c r="M249" s="1" t="s">
        <v>104</v>
      </c>
      <c r="N249" s="1" t="s">
        <v>4189</v>
      </c>
      <c r="O249" s="1" t="s">
        <v>1202</v>
      </c>
      <c r="P249" s="1" t="s">
        <v>107</v>
      </c>
      <c r="Q249" s="1" t="s">
        <v>4190</v>
      </c>
      <c r="R249" s="1" t="s">
        <v>4191</v>
      </c>
      <c r="S249" s="1" t="s">
        <v>4192</v>
      </c>
      <c r="Z249" s="1" t="s">
        <v>4193</v>
      </c>
      <c r="AA249" s="1" t="s">
        <v>4194</v>
      </c>
      <c r="AB249" s="1" t="s">
        <v>4195</v>
      </c>
      <c r="AC249" s="1" t="s">
        <v>4196</v>
      </c>
      <c r="AD249" s="1" t="s">
        <v>4197</v>
      </c>
      <c r="AE249" s="1" t="s">
        <v>4198</v>
      </c>
      <c r="AF249" s="1" t="s">
        <v>4199</v>
      </c>
      <c r="AG249" s="1">
        <v>8.22799133E8</v>
      </c>
      <c r="AI249" s="1" t="s">
        <v>782</v>
      </c>
      <c r="AJ249" s="3"/>
      <c r="AK249" s="3"/>
      <c r="AL249" s="3"/>
      <c r="AM249" s="1" t="s">
        <v>4200</v>
      </c>
      <c r="AN249" s="7" t="s">
        <v>4201</v>
      </c>
      <c r="AO249" s="8" t="str">
        <f>HYPERLINK("https://docs.google.com/document/d/1y5K0WCjPym9FQB6qBlUiumvAXyikuoyeSnns0n2-1G8/edit?usp=drivesdk","Al-Wildan 1 Gading Serpong_Fathiyah Bahram Mukhtar_Native Arabic")</f>
        <v>Al-Wildan 1 Gading Serpong_Fathiyah Bahram Mukhtar_Native Arabic</v>
      </c>
      <c r="AP249" s="1" t="s">
        <v>4202</v>
      </c>
    </row>
    <row r="250">
      <c r="A250" s="6">
        <v>44140.75426648148</v>
      </c>
      <c r="B250" s="7" t="s">
        <v>4203</v>
      </c>
      <c r="C250" s="8" t="s">
        <v>4204</v>
      </c>
      <c r="D250" s="1" t="s">
        <v>4205</v>
      </c>
      <c r="E250" s="9" t="s">
        <v>4206</v>
      </c>
      <c r="F250" s="1" t="s">
        <v>4207</v>
      </c>
      <c r="G250" s="1" t="s">
        <v>99</v>
      </c>
      <c r="H250" s="1" t="s">
        <v>1255</v>
      </c>
      <c r="I250" s="9" t="s">
        <v>4208</v>
      </c>
      <c r="J250" s="1" t="s">
        <v>4209</v>
      </c>
      <c r="K250" s="1" t="s">
        <v>102</v>
      </c>
      <c r="L250" s="1" t="s">
        <v>329</v>
      </c>
      <c r="M250" s="1" t="s">
        <v>104</v>
      </c>
      <c r="N250" s="1" t="s">
        <v>1634</v>
      </c>
      <c r="O250" s="1" t="s">
        <v>1202</v>
      </c>
      <c r="P250" s="1" t="s">
        <v>107</v>
      </c>
      <c r="Q250" s="1" t="s">
        <v>4210</v>
      </c>
      <c r="R250" s="1" t="s">
        <v>771</v>
      </c>
      <c r="S250" s="1" t="s">
        <v>240</v>
      </c>
      <c r="T250" s="1" t="s">
        <v>3348</v>
      </c>
      <c r="U250" s="1" t="s">
        <v>3348</v>
      </c>
      <c r="V250" s="1" t="s">
        <v>3348</v>
      </c>
      <c r="W250" s="1" t="s">
        <v>3348</v>
      </c>
      <c r="X250" s="1" t="s">
        <v>3348</v>
      </c>
      <c r="Y250" s="1">
        <v>0.0</v>
      </c>
      <c r="Z250" s="1" t="s">
        <v>1998</v>
      </c>
      <c r="AA250" s="10">
        <v>3250000.0</v>
      </c>
      <c r="AB250" s="1" t="s">
        <v>1998</v>
      </c>
      <c r="AC250" s="10">
        <v>3250000.0</v>
      </c>
      <c r="AD250" s="1" t="s">
        <v>1998</v>
      </c>
      <c r="AE250" s="10">
        <v>3250000.0</v>
      </c>
      <c r="AF250" s="10">
        <v>5000000.0</v>
      </c>
      <c r="AG250" s="9" t="s">
        <v>4211</v>
      </c>
      <c r="AH250" s="1">
        <v>0.0</v>
      </c>
      <c r="AI250" s="1" t="s">
        <v>782</v>
      </c>
      <c r="AJ250" s="3"/>
      <c r="AK250" s="3"/>
      <c r="AL250" s="3"/>
      <c r="AM250" s="1" t="s">
        <v>4212</v>
      </c>
      <c r="AN250" s="7" t="s">
        <v>4213</v>
      </c>
      <c r="AO250" s="8" t="str">
        <f>HYPERLINK("https://docs.google.com/document/d/1L0ZhwbBVdsDm4wZ_ZpHqReynT9tj38HXZ-NaOzuNUYI/edit?usp=drivesdk","Al-Wildan 1 Gading Serpong_Irma Suciningsih A.Md_Diniyah")</f>
        <v>Al-Wildan 1 Gading Serpong_Irma Suciningsih A.Md_Diniyah</v>
      </c>
      <c r="AP250" s="1" t="s">
        <v>4214</v>
      </c>
    </row>
    <row r="251">
      <c r="A251" s="6">
        <v>44140.795032662034</v>
      </c>
      <c r="B251" s="7" t="s">
        <v>4215</v>
      </c>
      <c r="C251" s="8" t="s">
        <v>4216</v>
      </c>
      <c r="D251" s="1" t="s">
        <v>4217</v>
      </c>
      <c r="E251" s="9" t="s">
        <v>4218</v>
      </c>
      <c r="F251" s="1" t="s">
        <v>4219</v>
      </c>
      <c r="G251" s="1" t="s">
        <v>4220</v>
      </c>
      <c r="H251" s="1" t="s">
        <v>253</v>
      </c>
      <c r="I251" s="9" t="s">
        <v>4221</v>
      </c>
      <c r="J251" s="1" t="s">
        <v>4222</v>
      </c>
      <c r="K251" s="1" t="s">
        <v>151</v>
      </c>
      <c r="L251" s="1" t="s">
        <v>329</v>
      </c>
      <c r="M251" s="1" t="s">
        <v>104</v>
      </c>
      <c r="N251" s="1" t="s">
        <v>274</v>
      </c>
      <c r="O251" s="1" t="s">
        <v>1202</v>
      </c>
      <c r="P251" s="1" t="s">
        <v>107</v>
      </c>
      <c r="Z251" s="1" t="s">
        <v>4223</v>
      </c>
      <c r="AA251" s="10">
        <v>2.2E7</v>
      </c>
      <c r="AB251" s="1" t="s">
        <v>4224</v>
      </c>
      <c r="AC251" s="10">
        <v>2000000.0</v>
      </c>
      <c r="AF251" s="10">
        <v>4.0E7</v>
      </c>
      <c r="AG251" s="9" t="s">
        <v>4225</v>
      </c>
      <c r="AM251" s="1" t="s">
        <v>4226</v>
      </c>
      <c r="AN251" s="7" t="s">
        <v>4227</v>
      </c>
      <c r="AO251" s="8" t="str">
        <f>HYPERLINK("https://docs.google.com/document/d/1PgydvdUUzddExzVQ8pE49FiAtviFCsd_S4rnL6HnltA/edit?usp=drivesdk","Al-Wildan 1 Gading Serpong_Anisyatus Sholehah_Diniyyah")</f>
        <v>Al-Wildan 1 Gading Serpong_Anisyatus Sholehah_Diniyyah</v>
      </c>
      <c r="AP251" s="1" t="s">
        <v>4228</v>
      </c>
    </row>
    <row r="252">
      <c r="A252" s="6">
        <v>44140.80444024305</v>
      </c>
      <c r="B252" s="7" t="s">
        <v>4229</v>
      </c>
      <c r="C252" s="8" t="s">
        <v>4230</v>
      </c>
      <c r="D252" s="1" t="s">
        <v>4231</v>
      </c>
      <c r="E252" s="9" t="s">
        <v>4232</v>
      </c>
      <c r="F252" s="1">
        <v>3.60328660165003E14</v>
      </c>
      <c r="G252" s="1" t="s">
        <v>4233</v>
      </c>
      <c r="H252" s="1" t="s">
        <v>722</v>
      </c>
      <c r="I252" s="9" t="s">
        <v>4234</v>
      </c>
      <c r="J252" s="1" t="s">
        <v>4235</v>
      </c>
      <c r="K252" s="1" t="s">
        <v>1235</v>
      </c>
      <c r="L252" s="1" t="s">
        <v>329</v>
      </c>
      <c r="M252" s="1" t="s">
        <v>104</v>
      </c>
      <c r="N252" s="1" t="s">
        <v>105</v>
      </c>
      <c r="O252" s="1" t="s">
        <v>312</v>
      </c>
      <c r="P252" s="1" t="s">
        <v>107</v>
      </c>
      <c r="Q252" s="1" t="s">
        <v>4236</v>
      </c>
      <c r="R252" s="1" t="s">
        <v>4237</v>
      </c>
      <c r="S252" s="1" t="s">
        <v>4238</v>
      </c>
      <c r="AM252" s="1" t="s">
        <v>4239</v>
      </c>
      <c r="AN252" s="7" t="s">
        <v>4240</v>
      </c>
      <c r="AO252" s="8" t="str">
        <f>HYPERLINK("https://docs.google.com/document/d/1xb0mYtx_iJ1FBt4wi_ZEf5Y14nc9CFOPzxTbreD9ACQ/edit?usp=drivesdk","Al-Wildan 1 Gading Serpong_Ruhyati, S.Pd_Bahasa Indonesia")</f>
        <v>Al-Wildan 1 Gading Serpong_Ruhyati, S.Pd_Bahasa Indonesia</v>
      </c>
      <c r="AP252" s="1" t="s">
        <v>4241</v>
      </c>
    </row>
    <row r="253">
      <c r="A253" s="6">
        <v>44140.83228079861</v>
      </c>
      <c r="B253" s="7" t="s">
        <v>4242</v>
      </c>
      <c r="C253" s="8" t="s">
        <v>4243</v>
      </c>
      <c r="D253" s="1" t="s">
        <v>4244</v>
      </c>
      <c r="E253" s="9" t="s">
        <v>4245</v>
      </c>
      <c r="F253" s="1" t="s">
        <v>4246</v>
      </c>
      <c r="G253" s="1" t="s">
        <v>4247</v>
      </c>
      <c r="H253" s="1" t="s">
        <v>3817</v>
      </c>
      <c r="I253" s="1">
        <v>2.7021966E7</v>
      </c>
      <c r="J253" s="1" t="s">
        <v>4248</v>
      </c>
      <c r="K253" s="1" t="s">
        <v>102</v>
      </c>
      <c r="L253" s="1" t="s">
        <v>256</v>
      </c>
      <c r="M253" s="1" t="s">
        <v>104</v>
      </c>
      <c r="N253" s="1" t="s">
        <v>4249</v>
      </c>
      <c r="O253" s="1" t="s">
        <v>1202</v>
      </c>
      <c r="P253" s="1" t="s">
        <v>107</v>
      </c>
      <c r="Q253" s="1" t="s">
        <v>4250</v>
      </c>
      <c r="R253" s="1" t="s">
        <v>4251</v>
      </c>
      <c r="S253" s="1">
        <v>3.0</v>
      </c>
      <c r="Z253" s="1" t="s">
        <v>4252</v>
      </c>
      <c r="AF253" s="1">
        <v>3500000.0</v>
      </c>
      <c r="AG253" s="9" t="s">
        <v>4253</v>
      </c>
      <c r="AM253" s="1" t="s">
        <v>4254</v>
      </c>
      <c r="AN253" s="7" t="s">
        <v>4255</v>
      </c>
      <c r="AO253" s="8" t="str">
        <f>HYPERLINK("https://docs.google.com/document/d/1JuM5QAwO0HzeoK-ReLWWJMgn9S9hKndqDsUIpcctCcA/edit?usp=drivesdk","Al-Wildan 1 Gading Serpong_Damarwanti, A.Md._English, Phonics, Math")</f>
        <v>Al-Wildan 1 Gading Serpong_Damarwanti, A.Md._English, Phonics, Math</v>
      </c>
      <c r="AP253" s="1" t="s">
        <v>4256</v>
      </c>
    </row>
    <row r="254">
      <c r="A254" s="6">
        <v>44140.88325623843</v>
      </c>
      <c r="B254" s="7" t="s">
        <v>4257</v>
      </c>
      <c r="C254" s="8" t="s">
        <v>4258</v>
      </c>
      <c r="D254" s="1" t="s">
        <v>4259</v>
      </c>
      <c r="E254" s="9" t="s">
        <v>4260</v>
      </c>
      <c r="F254" s="1" t="s">
        <v>4261</v>
      </c>
      <c r="G254" s="1" t="s">
        <v>4262</v>
      </c>
      <c r="H254" s="1" t="s">
        <v>2076</v>
      </c>
      <c r="I254" s="9" t="s">
        <v>4263</v>
      </c>
      <c r="J254" s="1" t="s">
        <v>4264</v>
      </c>
      <c r="K254" s="1" t="s">
        <v>1707</v>
      </c>
      <c r="L254" s="1" t="s">
        <v>329</v>
      </c>
      <c r="M254" s="1" t="s">
        <v>104</v>
      </c>
      <c r="N254" s="1" t="s">
        <v>311</v>
      </c>
      <c r="O254" s="1" t="s">
        <v>127</v>
      </c>
      <c r="P254" s="1" t="s">
        <v>107</v>
      </c>
      <c r="Q254" s="1" t="s">
        <v>4265</v>
      </c>
      <c r="R254" s="1" t="s">
        <v>217</v>
      </c>
      <c r="S254" s="1" t="s">
        <v>217</v>
      </c>
      <c r="T254" s="1" t="s">
        <v>217</v>
      </c>
      <c r="U254" s="1" t="s">
        <v>217</v>
      </c>
      <c r="V254" s="1" t="s">
        <v>217</v>
      </c>
      <c r="W254" s="1" t="s">
        <v>217</v>
      </c>
      <c r="X254" s="1" t="s">
        <v>217</v>
      </c>
      <c r="Y254" s="1">
        <v>0.0</v>
      </c>
      <c r="Z254" s="1" t="s">
        <v>4266</v>
      </c>
      <c r="AA254" s="1" t="s">
        <v>4267</v>
      </c>
      <c r="AB254" s="1" t="s">
        <v>4268</v>
      </c>
      <c r="AC254" s="10">
        <v>3000000.0</v>
      </c>
      <c r="AD254" s="1" t="s">
        <v>4269</v>
      </c>
      <c r="AE254" s="10">
        <v>2500000.0</v>
      </c>
      <c r="AF254" s="10">
        <v>5000000.0</v>
      </c>
      <c r="AG254" s="9" t="s">
        <v>4270</v>
      </c>
      <c r="AH254" s="1">
        <v>0.0</v>
      </c>
      <c r="AI254" s="1" t="s">
        <v>782</v>
      </c>
      <c r="AJ254" s="3"/>
      <c r="AK254" s="3"/>
      <c r="AL254" s="3"/>
      <c r="AM254" s="1" t="s">
        <v>4271</v>
      </c>
      <c r="AN254" s="7" t="s">
        <v>4272</v>
      </c>
      <c r="AO254" s="8" t="str">
        <f>HYPERLINK("https://docs.google.com/document/d/1dhi0MWoqes1NFTOoVkZiqPvU8I6-Ocld7tU3lHLrb9s/edit?usp=drivesdk","Al-Wildan 1 Gading Serpong_Baik Indiani_Al Qur'an")</f>
        <v>Al-Wildan 1 Gading Serpong_Baik Indiani_Al Qur'an</v>
      </c>
      <c r="AP254" s="1" t="s">
        <v>4273</v>
      </c>
    </row>
    <row r="255">
      <c r="A255" s="6">
        <v>44141.57587078704</v>
      </c>
      <c r="B255" s="7" t="s">
        <v>4274</v>
      </c>
      <c r="C255" s="8" t="s">
        <v>4275</v>
      </c>
      <c r="D255" s="1" t="s">
        <v>4276</v>
      </c>
      <c r="E255" s="9" t="s">
        <v>97</v>
      </c>
      <c r="F255" s="1" t="s">
        <v>4277</v>
      </c>
      <c r="G255" s="1" t="s">
        <v>98</v>
      </c>
      <c r="H255" s="1" t="s">
        <v>99</v>
      </c>
      <c r="I255" s="9" t="s">
        <v>4278</v>
      </c>
      <c r="J255" s="1" t="s">
        <v>4279</v>
      </c>
      <c r="K255" s="1" t="s">
        <v>102</v>
      </c>
      <c r="L255" s="1" t="s">
        <v>103</v>
      </c>
      <c r="M255" s="1" t="s">
        <v>104</v>
      </c>
      <c r="N255" s="1" t="s">
        <v>105</v>
      </c>
      <c r="O255" s="1" t="s">
        <v>127</v>
      </c>
      <c r="P255" s="1" t="s">
        <v>107</v>
      </c>
      <c r="Q255" s="1" t="s">
        <v>108</v>
      </c>
      <c r="R255" s="1" t="s">
        <v>109</v>
      </c>
      <c r="S255" s="1" t="s">
        <v>110</v>
      </c>
      <c r="Z255" s="1" t="s">
        <v>4280</v>
      </c>
      <c r="AA255" s="10">
        <v>4250000.0</v>
      </c>
      <c r="AG255" s="9" t="s">
        <v>114</v>
      </c>
      <c r="AM255" s="1" t="s">
        <v>4281</v>
      </c>
      <c r="AN255" s="7" t="s">
        <v>4282</v>
      </c>
      <c r="AO255" s="8" t="str">
        <f>HYPERLINK("https://docs.google.com/document/d/1dE3Hz66DeZxT7iVxV5-ap_SbQF-RBzfpEKlspnkg0CU/edit?usp=drivesdk","Al-Wildan 1 Gading Serpong_Siti Hajrul Janilah, S.Pd_Bahasa Indonesia")</f>
        <v>Al-Wildan 1 Gading Serpong_Siti Hajrul Janilah, S.Pd_Bahasa Indonesia</v>
      </c>
      <c r="AP255" s="1" t="s">
        <v>4283</v>
      </c>
    </row>
    <row r="256">
      <c r="A256" s="6">
        <v>44141.58805160879</v>
      </c>
      <c r="B256" s="7" t="s">
        <v>4284</v>
      </c>
      <c r="C256" s="8" t="s">
        <v>4285</v>
      </c>
      <c r="D256" s="1" t="s">
        <v>4286</v>
      </c>
      <c r="E256" s="9" t="s">
        <v>4287</v>
      </c>
      <c r="F256" s="1" t="s">
        <v>4288</v>
      </c>
      <c r="G256" s="1" t="s">
        <v>4289</v>
      </c>
      <c r="H256" s="1" t="s">
        <v>169</v>
      </c>
      <c r="I256" s="1" t="s">
        <v>4290</v>
      </c>
      <c r="J256" s="1" t="s">
        <v>4291</v>
      </c>
      <c r="K256" s="1" t="s">
        <v>151</v>
      </c>
      <c r="L256" s="1" t="s">
        <v>827</v>
      </c>
      <c r="M256" s="1" t="s">
        <v>104</v>
      </c>
      <c r="N256" s="1" t="s">
        <v>4292</v>
      </c>
      <c r="O256" s="1" t="s">
        <v>312</v>
      </c>
      <c r="P256" s="1" t="s">
        <v>107</v>
      </c>
      <c r="Z256" s="1" t="s">
        <v>4293</v>
      </c>
      <c r="AA256" s="10">
        <v>1500000.0</v>
      </c>
      <c r="AG256" s="9" t="s">
        <v>4294</v>
      </c>
      <c r="AI256" s="1" t="s">
        <v>178</v>
      </c>
      <c r="AJ256" s="3"/>
      <c r="AK256" s="3"/>
      <c r="AL256" s="3"/>
      <c r="AM256" s="1" t="s">
        <v>4295</v>
      </c>
      <c r="AN256" s="7" t="s">
        <v>4296</v>
      </c>
      <c r="AO256" s="8" t="str">
        <f>HYPERLINK("https://docs.google.com/document/d/1gxGvqPj9EAVDJTvtUlYQHDGAeCR-GrC4snKNrWVaxJQ/edit?usp=drivesdk","Al-Wildan 1 Gading Serpong_Sayyidatu Rifdah Berelvi Khairani_Al Qur'an dan Fikih Ibadah")</f>
        <v>Al-Wildan 1 Gading Serpong_Sayyidatu Rifdah Berelvi Khairani_Al Qur'an dan Fikih Ibadah</v>
      </c>
      <c r="AP256" s="1" t="s">
        <v>4297</v>
      </c>
    </row>
    <row r="257">
      <c r="A257" s="6">
        <v>44141.656292430554</v>
      </c>
      <c r="B257" s="7" t="s">
        <v>4298</v>
      </c>
      <c r="C257" s="8" t="s">
        <v>4299</v>
      </c>
      <c r="D257" s="1" t="s">
        <v>922</v>
      </c>
      <c r="E257" s="9" t="s">
        <v>923</v>
      </c>
      <c r="F257" s="1" t="s">
        <v>924</v>
      </c>
      <c r="G257" s="1" t="s">
        <v>4300</v>
      </c>
      <c r="H257" s="1" t="s">
        <v>169</v>
      </c>
      <c r="I257" s="9" t="s">
        <v>4301</v>
      </c>
      <c r="J257" s="1" t="s">
        <v>4302</v>
      </c>
      <c r="K257" s="1" t="s">
        <v>102</v>
      </c>
      <c r="L257" s="1" t="s">
        <v>310</v>
      </c>
      <c r="M257" s="1" t="s">
        <v>104</v>
      </c>
      <c r="N257" s="1" t="s">
        <v>4303</v>
      </c>
      <c r="O257" s="1" t="s">
        <v>312</v>
      </c>
      <c r="P257" s="1" t="s">
        <v>107</v>
      </c>
      <c r="Q257" s="1" t="s">
        <v>275</v>
      </c>
      <c r="R257" s="1" t="s">
        <v>930</v>
      </c>
      <c r="S257" s="1" t="s">
        <v>931</v>
      </c>
      <c r="Z257" s="1" t="s">
        <v>4304</v>
      </c>
      <c r="AA257" s="10">
        <v>9200000.0</v>
      </c>
      <c r="AB257" s="1" t="s">
        <v>934</v>
      </c>
      <c r="AF257" s="10">
        <v>5500000.0</v>
      </c>
      <c r="AG257" s="9" t="s">
        <v>935</v>
      </c>
      <c r="AM257" s="1" t="s">
        <v>4305</v>
      </c>
      <c r="AN257" s="7" t="s">
        <v>4306</v>
      </c>
      <c r="AO257" s="8" t="str">
        <f>HYPERLINK("https://docs.google.com/document/d/1ZyFGbmCAG2jqNgHzHm3WKDD4Rw7DAsFme99s196bxPY/edit?usp=drivesdk","Al-Wildan 1 Gading Serpong_Marliza, S.T._Mathematics English Science")</f>
        <v>Al-Wildan 1 Gading Serpong_Marliza, S.T._Mathematics English Science</v>
      </c>
      <c r="AP257" s="1" t="s">
        <v>4307</v>
      </c>
    </row>
    <row r="258">
      <c r="A258" s="6">
        <v>44141.662265798615</v>
      </c>
      <c r="B258" s="7" t="s">
        <v>4308</v>
      </c>
      <c r="C258" s="8" t="s">
        <v>4309</v>
      </c>
      <c r="D258" s="1" t="s">
        <v>1354</v>
      </c>
      <c r="E258" s="9" t="s">
        <v>1355</v>
      </c>
      <c r="F258" s="1" t="s">
        <v>1356</v>
      </c>
      <c r="G258" s="1" t="s">
        <v>4310</v>
      </c>
      <c r="H258" s="1" t="s">
        <v>1358</v>
      </c>
      <c r="I258" s="9" t="s">
        <v>1359</v>
      </c>
      <c r="J258" s="1" t="s">
        <v>4311</v>
      </c>
      <c r="K258" s="1" t="s">
        <v>151</v>
      </c>
      <c r="L258" s="1" t="s">
        <v>103</v>
      </c>
      <c r="M258" s="1" t="s">
        <v>104</v>
      </c>
      <c r="N258" s="1" t="s">
        <v>4312</v>
      </c>
      <c r="O258" s="1" t="s">
        <v>312</v>
      </c>
      <c r="P258" s="1" t="s">
        <v>107</v>
      </c>
      <c r="Q258" s="1" t="s">
        <v>1362</v>
      </c>
      <c r="R258" s="1" t="s">
        <v>1363</v>
      </c>
      <c r="S258" s="1" t="s">
        <v>1364</v>
      </c>
      <c r="T258" s="1" t="s">
        <v>1362</v>
      </c>
      <c r="U258" s="1" t="s">
        <v>1365</v>
      </c>
      <c r="V258" s="1" t="s">
        <v>1366</v>
      </c>
      <c r="Z258" s="1" t="s">
        <v>4313</v>
      </c>
      <c r="AA258" s="10">
        <v>7000000.0</v>
      </c>
      <c r="AF258" s="10">
        <v>7000000.0</v>
      </c>
      <c r="AG258" s="9" t="s">
        <v>4314</v>
      </c>
      <c r="AM258" s="1" t="s">
        <v>4315</v>
      </c>
      <c r="AN258" s="7" t="s">
        <v>4316</v>
      </c>
      <c r="AO258" s="8" t="str">
        <f>HYPERLINK("https://docs.google.com/document/d/1kM-F0gdPnW74Q6C71pQ6ItLjz9ZeDqTnjfqsjlU2PeM/edit?usp=drivesdk","Al-Wildan 1 Gading Serpong_Mia Clarissa Dewi., SE., M.Si_Science")</f>
        <v>Al-Wildan 1 Gading Serpong_Mia Clarissa Dewi., SE., M.Si_Science</v>
      </c>
      <c r="AP258" s="1" t="s">
        <v>4317</v>
      </c>
    </row>
    <row r="259">
      <c r="A259" s="6">
        <v>44141.696822893515</v>
      </c>
      <c r="B259" s="7" t="s">
        <v>4318</v>
      </c>
      <c r="C259" s="8" t="s">
        <v>4319</v>
      </c>
      <c r="D259" s="1" t="s">
        <v>4320</v>
      </c>
      <c r="E259" s="9" t="s">
        <v>2535</v>
      </c>
      <c r="F259" s="1" t="s">
        <v>2536</v>
      </c>
      <c r="G259" s="1" t="s">
        <v>4321</v>
      </c>
      <c r="H259" s="1" t="s">
        <v>2538</v>
      </c>
      <c r="I259" s="9" t="s">
        <v>2291</v>
      </c>
      <c r="J259" s="1" t="s">
        <v>4322</v>
      </c>
      <c r="K259" s="1" t="s">
        <v>151</v>
      </c>
      <c r="L259" s="1" t="s">
        <v>329</v>
      </c>
      <c r="M259" s="1" t="s">
        <v>104</v>
      </c>
      <c r="N259" s="1" t="s">
        <v>4323</v>
      </c>
      <c r="O259" s="1" t="s">
        <v>312</v>
      </c>
      <c r="P259" s="1" t="s">
        <v>107</v>
      </c>
      <c r="AF259" s="1" t="s">
        <v>4324</v>
      </c>
      <c r="AG259" s="9" t="s">
        <v>2540</v>
      </c>
      <c r="AI259" s="1" t="s">
        <v>782</v>
      </c>
      <c r="AJ259" s="3"/>
      <c r="AK259" s="3"/>
      <c r="AL259" s="3"/>
      <c r="AM259" s="1" t="s">
        <v>4325</v>
      </c>
      <c r="AN259" s="7" t="s">
        <v>4326</v>
      </c>
      <c r="AO259" s="8" t="str">
        <f>HYPERLINK("https://docs.google.com/document/d/1rJvuNhpkHGzriKdzdhoav1PiJ0LsOUjk4qpOFa5H3NA/edit?usp=drivesdk","Al-Wildan 1 Gading Serpong_Afifah Muthmainnah_Tahfidz Qur'an")</f>
        <v>Al-Wildan 1 Gading Serpong_Afifah Muthmainnah_Tahfidz Qur'an</v>
      </c>
      <c r="AP259" s="1" t="s">
        <v>4327</v>
      </c>
    </row>
    <row r="260">
      <c r="A260" s="6">
        <v>44141.69942130787</v>
      </c>
      <c r="B260" s="7" t="s">
        <v>4328</v>
      </c>
      <c r="C260" s="8" t="s">
        <v>4329</v>
      </c>
      <c r="D260" s="1" t="s">
        <v>4330</v>
      </c>
      <c r="E260" s="9" t="s">
        <v>822</v>
      </c>
      <c r="F260" s="1" t="s">
        <v>823</v>
      </c>
      <c r="G260" s="1" t="s">
        <v>4331</v>
      </c>
      <c r="H260" s="1" t="s">
        <v>169</v>
      </c>
      <c r="I260" s="9" t="s">
        <v>825</v>
      </c>
      <c r="J260" s="1" t="s">
        <v>826</v>
      </c>
      <c r="K260" s="1" t="s">
        <v>102</v>
      </c>
      <c r="L260" s="1" t="s">
        <v>827</v>
      </c>
      <c r="M260" s="1" t="s">
        <v>104</v>
      </c>
      <c r="N260" s="1" t="s">
        <v>4332</v>
      </c>
      <c r="O260" s="1" t="s">
        <v>312</v>
      </c>
      <c r="P260" s="1" t="s">
        <v>107</v>
      </c>
      <c r="Q260" s="1" t="s">
        <v>4333</v>
      </c>
      <c r="R260" s="1" t="s">
        <v>4334</v>
      </c>
      <c r="S260" s="1" t="s">
        <v>831</v>
      </c>
      <c r="T260" s="1" t="s">
        <v>4335</v>
      </c>
      <c r="U260" s="1" t="s">
        <v>833</v>
      </c>
      <c r="V260" s="1" t="s">
        <v>908</v>
      </c>
      <c r="Z260" s="1" t="s">
        <v>4336</v>
      </c>
      <c r="AA260" s="10">
        <v>3500000.0</v>
      </c>
      <c r="AB260" s="1" t="s">
        <v>4337</v>
      </c>
      <c r="AC260" s="1" t="s">
        <v>4338</v>
      </c>
      <c r="AD260" s="1" t="s">
        <v>4339</v>
      </c>
      <c r="AE260" s="10">
        <v>3500000.0</v>
      </c>
      <c r="AF260" s="10">
        <v>4500000.0</v>
      </c>
      <c r="AG260" s="9" t="s">
        <v>838</v>
      </c>
      <c r="AI260" s="1" t="s">
        <v>159</v>
      </c>
      <c r="AJ260" s="3"/>
      <c r="AK260" s="3"/>
      <c r="AL260" s="3"/>
      <c r="AM260" s="1" t="s">
        <v>4340</v>
      </c>
      <c r="AN260" s="7" t="s">
        <v>4341</v>
      </c>
      <c r="AO260" s="8" t="str">
        <f>HYPERLINK("https://docs.google.com/document/d/1k6yC_-zuLeF844V-rMYTnQlfrtxJjpZkYNC5j2kntI8/edit?usp=drivesdk","Al-Wildan 1 Gading Serpong_Nurul Azizah, Lc. MH_arabic")</f>
        <v>Al-Wildan 1 Gading Serpong_Nurul Azizah, Lc. MH_arabic</v>
      </c>
      <c r="AP260" s="1" t="s">
        <v>4342</v>
      </c>
    </row>
    <row r="261">
      <c r="A261" s="6">
        <v>44144.5167568287</v>
      </c>
      <c r="B261" s="7" t="s">
        <v>4343</v>
      </c>
      <c r="C261" s="8" t="s">
        <v>4344</v>
      </c>
      <c r="D261" s="1" t="s">
        <v>4345</v>
      </c>
      <c r="E261" s="9" t="s">
        <v>4346</v>
      </c>
      <c r="F261" s="1" t="s">
        <v>4347</v>
      </c>
      <c r="G261" s="1" t="s">
        <v>188</v>
      </c>
      <c r="H261" s="1" t="s">
        <v>188</v>
      </c>
      <c r="I261" s="9" t="s">
        <v>4348</v>
      </c>
      <c r="J261" s="1" t="s">
        <v>1822</v>
      </c>
      <c r="K261" s="1" t="s">
        <v>151</v>
      </c>
      <c r="L261" s="1" t="s">
        <v>329</v>
      </c>
      <c r="M261" s="1" t="s">
        <v>104</v>
      </c>
      <c r="N261" s="1" t="s">
        <v>4349</v>
      </c>
      <c r="O261" s="1" t="s">
        <v>312</v>
      </c>
      <c r="P261" s="1" t="s">
        <v>107</v>
      </c>
      <c r="Z261" s="1" t="s">
        <v>4350</v>
      </c>
      <c r="AA261" s="10">
        <v>2500000.0</v>
      </c>
      <c r="AF261" s="10">
        <v>3000000.0</v>
      </c>
      <c r="AG261" s="9" t="s">
        <v>4351</v>
      </c>
      <c r="AI261" s="1" t="s">
        <v>1315</v>
      </c>
      <c r="AJ261" s="3"/>
      <c r="AK261" s="3"/>
      <c r="AL261" s="3"/>
      <c r="AM261" s="1" t="s">
        <v>4352</v>
      </c>
      <c r="AN261" s="7" t="s">
        <v>4353</v>
      </c>
      <c r="AO261" s="8" t="str">
        <f>HYPERLINK("https://docs.google.com/document/d/1WzflRtAwY9vaGD7DCHR4QSxiZbjJSAGmz3a8Kxcsbr8/edit?usp=drivesdk","Al-Wildan 1 Gading Serpong_Salsabila Octaviana_Al Qur'an , Fikih")</f>
        <v>Al-Wildan 1 Gading Serpong_Salsabila Octaviana_Al Qur'an , Fikih</v>
      </c>
      <c r="AP261" s="1" t="s">
        <v>4354</v>
      </c>
    </row>
    <row r="262">
      <c r="A262" s="6">
        <v>44144.565156400466</v>
      </c>
      <c r="B262" s="7" t="s">
        <v>4355</v>
      </c>
      <c r="C262" s="8" t="s">
        <v>4356</v>
      </c>
      <c r="D262" s="1" t="s">
        <v>4357</v>
      </c>
      <c r="E262" s="9" t="s">
        <v>4358</v>
      </c>
      <c r="F262" s="1" t="s">
        <v>4359</v>
      </c>
      <c r="G262" s="1" t="s">
        <v>4360</v>
      </c>
      <c r="H262" s="1" t="s">
        <v>685</v>
      </c>
      <c r="I262" s="9" t="s">
        <v>4361</v>
      </c>
      <c r="J262" s="1" t="s">
        <v>1360</v>
      </c>
      <c r="K262" s="1" t="s">
        <v>102</v>
      </c>
      <c r="L262" s="1" t="s">
        <v>103</v>
      </c>
      <c r="M262" s="1" t="s">
        <v>104</v>
      </c>
      <c r="N262" s="1" t="s">
        <v>4362</v>
      </c>
      <c r="O262" s="1" t="s">
        <v>312</v>
      </c>
      <c r="P262" s="1" t="s">
        <v>107</v>
      </c>
      <c r="Q262" s="1" t="s">
        <v>4363</v>
      </c>
      <c r="R262" s="1" t="s">
        <v>4364</v>
      </c>
      <c r="S262" s="1">
        <v>3.44</v>
      </c>
      <c r="Z262" s="1" t="s">
        <v>4365</v>
      </c>
      <c r="AA262" s="10">
        <v>5000000.0</v>
      </c>
      <c r="AB262" s="1" t="s">
        <v>4366</v>
      </c>
      <c r="AC262" s="10">
        <v>5000000.0</v>
      </c>
      <c r="AD262" s="1" t="s">
        <v>4367</v>
      </c>
      <c r="AE262" s="1" t="s">
        <v>217</v>
      </c>
      <c r="AF262" s="10">
        <v>7000000.0</v>
      </c>
      <c r="AG262" s="9" t="s">
        <v>4368</v>
      </c>
      <c r="AM262" s="1" t="s">
        <v>4369</v>
      </c>
      <c r="AN262" s="7" t="s">
        <v>4370</v>
      </c>
      <c r="AO262" s="8" t="str">
        <f>HYPERLINK("https://docs.google.com/document/d/1j_n1wSswrJa3TZsvcxE1BWjMR_SCDA9QQptLjaH8gL8/edit?usp=drivesdk","Al-Wildan 1 Gading Serpong_YUSEP SUPRIATNA_SCIENCE, ENGLISH, MATH")</f>
        <v>Al-Wildan 1 Gading Serpong_YUSEP SUPRIATNA_SCIENCE, ENGLISH, MATH</v>
      </c>
      <c r="AP262" s="1" t="s">
        <v>4371</v>
      </c>
    </row>
    <row r="263">
      <c r="A263" s="6">
        <v>44144.58782771991</v>
      </c>
      <c r="B263" s="7" t="s">
        <v>4372</v>
      </c>
      <c r="C263" s="8" t="s">
        <v>4373</v>
      </c>
      <c r="D263" s="1" t="s">
        <v>4374</v>
      </c>
      <c r="E263" s="1">
        <v>8.2311810083E10</v>
      </c>
      <c r="F263" s="1" t="s">
        <v>4375</v>
      </c>
      <c r="G263" s="1" t="s">
        <v>4376</v>
      </c>
      <c r="H263" s="1" t="s">
        <v>4377</v>
      </c>
      <c r="I263" s="1">
        <v>1.7041991E7</v>
      </c>
      <c r="J263" s="1" t="s">
        <v>1274</v>
      </c>
      <c r="K263" s="1" t="s">
        <v>151</v>
      </c>
      <c r="L263" s="1" t="s">
        <v>329</v>
      </c>
      <c r="M263" s="1" t="s">
        <v>104</v>
      </c>
      <c r="N263" s="1" t="s">
        <v>4378</v>
      </c>
      <c r="O263" s="1" t="s">
        <v>312</v>
      </c>
      <c r="P263" s="1" t="s">
        <v>107</v>
      </c>
      <c r="Q263" s="1" t="s">
        <v>4379</v>
      </c>
      <c r="R263" s="1" t="s">
        <v>4380</v>
      </c>
      <c r="S263" s="1" t="s">
        <v>4381</v>
      </c>
      <c r="T263" s="1" t="s">
        <v>4382</v>
      </c>
      <c r="U263" s="1" t="s">
        <v>4383</v>
      </c>
      <c r="Z263" s="1" t="s">
        <v>4384</v>
      </c>
      <c r="AA263" s="1" t="s">
        <v>4385</v>
      </c>
      <c r="AB263" s="1" t="s">
        <v>4386</v>
      </c>
      <c r="AC263" s="1" t="s">
        <v>4385</v>
      </c>
      <c r="AD263" s="1" t="s">
        <v>4386</v>
      </c>
      <c r="AE263" s="1" t="s">
        <v>4387</v>
      </c>
      <c r="AF263" s="10">
        <v>5000000.0</v>
      </c>
      <c r="AG263" s="9" t="s">
        <v>4388</v>
      </c>
      <c r="AI263" s="1" t="s">
        <v>1402</v>
      </c>
      <c r="AJ263" s="3"/>
      <c r="AK263" s="3"/>
      <c r="AL263" s="3"/>
      <c r="AM263" s="1" t="s">
        <v>4389</v>
      </c>
      <c r="AN263" s="7" t="s">
        <v>4390</v>
      </c>
      <c r="AO263" s="8" t="str">
        <f>HYPERLINK("https://docs.google.com/document/d/1ApqVA0Uj9Go7sBREZtphOskLspJL1i4G7t-NbmTSYhU/edit?usp=drivesdk","Al-Wildan 1 Gading Serpong_Nur hasanah, S.Pd_Quran, bahasa arab, ski, akidah, fikih")</f>
        <v>Al-Wildan 1 Gading Serpong_Nur hasanah, S.Pd_Quran, bahasa arab, ski, akidah, fikih</v>
      </c>
      <c r="AP263" s="1" t="s">
        <v>4391</v>
      </c>
    </row>
    <row r="264">
      <c r="A264" s="6">
        <v>44148.62609611111</v>
      </c>
      <c r="B264" s="7" t="s">
        <v>4392</v>
      </c>
      <c r="C264" s="8" t="s">
        <v>4393</v>
      </c>
      <c r="D264" s="1" t="s">
        <v>1031</v>
      </c>
      <c r="E264" s="9" t="s">
        <v>1032</v>
      </c>
      <c r="F264" s="1" t="s">
        <v>1033</v>
      </c>
      <c r="G264" s="1" t="s">
        <v>99</v>
      </c>
      <c r="H264" s="1" t="s">
        <v>99</v>
      </c>
      <c r="I264" s="9" t="s">
        <v>1034</v>
      </c>
      <c r="J264" s="1" t="s">
        <v>3619</v>
      </c>
      <c r="K264" s="1" t="s">
        <v>102</v>
      </c>
      <c r="L264" s="1" t="s">
        <v>103</v>
      </c>
      <c r="M264" s="1" t="s">
        <v>104</v>
      </c>
      <c r="N264" s="1" t="s">
        <v>771</v>
      </c>
      <c r="O264" s="1" t="s">
        <v>312</v>
      </c>
      <c r="P264" s="1" t="s">
        <v>107</v>
      </c>
      <c r="Q264" s="1" t="s">
        <v>1058</v>
      </c>
      <c r="R264" s="1" t="s">
        <v>172</v>
      </c>
      <c r="S264" s="1" t="s">
        <v>292</v>
      </c>
      <c r="Z264" s="1" t="s">
        <v>756</v>
      </c>
      <c r="AA264" s="1">
        <v>4250000.0</v>
      </c>
      <c r="AC264" s="1" t="s">
        <v>217</v>
      </c>
      <c r="AD264" s="1" t="s">
        <v>217</v>
      </c>
      <c r="AE264" s="1" t="s">
        <v>217</v>
      </c>
      <c r="AF264" s="1" t="s">
        <v>217</v>
      </c>
      <c r="AG264" s="9" t="s">
        <v>4394</v>
      </c>
      <c r="AI264" s="1" t="s">
        <v>178</v>
      </c>
      <c r="AJ264" s="3"/>
      <c r="AK264" s="3"/>
      <c r="AL264" s="3"/>
      <c r="AM264" s="1" t="s">
        <v>4395</v>
      </c>
      <c r="AN264" s="7" t="s">
        <v>4396</v>
      </c>
      <c r="AO264" s="8" t="str">
        <f>HYPERLINK("https://docs.google.com/document/d/1zT1YAlNrKAYur-WvYywot4HcUyDYIWQDEg9Ouu3rMnI/edit?usp=drivesdk","Al-Wildan 1 Gading Serpong_Uswatun Khasanah_English")</f>
        <v>Al-Wildan 1 Gading Serpong_Uswatun Khasanah_English</v>
      </c>
      <c r="AP264" s="1" t="s">
        <v>4397</v>
      </c>
    </row>
    <row r="265">
      <c r="A265" s="6">
        <v>44150.585032222225</v>
      </c>
      <c r="B265" s="7" t="s">
        <v>4398</v>
      </c>
      <c r="C265" s="8" t="s">
        <v>4399</v>
      </c>
      <c r="D265" s="1" t="s">
        <v>4400</v>
      </c>
      <c r="E265" s="9" t="s">
        <v>4401</v>
      </c>
      <c r="F265" s="1" t="s">
        <v>4402</v>
      </c>
      <c r="G265" s="1" t="s">
        <v>4403</v>
      </c>
      <c r="H265" s="1" t="s">
        <v>4404</v>
      </c>
      <c r="I265" s="9" t="s">
        <v>4405</v>
      </c>
      <c r="J265" s="1" t="s">
        <v>4406</v>
      </c>
      <c r="K265" s="1" t="s">
        <v>102</v>
      </c>
      <c r="L265" s="1" t="s">
        <v>103</v>
      </c>
      <c r="M265" s="1" t="s">
        <v>104</v>
      </c>
      <c r="N265" s="1" t="s">
        <v>4407</v>
      </c>
      <c r="O265" s="1" t="s">
        <v>127</v>
      </c>
      <c r="P265" s="1" t="s">
        <v>107</v>
      </c>
      <c r="Q265" s="1" t="s">
        <v>4408</v>
      </c>
      <c r="R265" s="1" t="s">
        <v>4409</v>
      </c>
      <c r="S265" s="1" t="s">
        <v>1084</v>
      </c>
      <c r="Z265" s="1" t="s">
        <v>4407</v>
      </c>
      <c r="AA265" s="10">
        <v>3.5E8</v>
      </c>
      <c r="AB265" s="10">
        <v>6.5E7</v>
      </c>
      <c r="AF265" s="10">
        <v>1.0E8</v>
      </c>
      <c r="AG265" s="9" t="s">
        <v>4410</v>
      </c>
      <c r="AI265" s="1" t="s">
        <v>178</v>
      </c>
      <c r="AJ265" s="3"/>
      <c r="AK265" s="3"/>
      <c r="AL265" s="3"/>
      <c r="AM265" s="1" t="s">
        <v>4411</v>
      </c>
      <c r="AN265" s="7" t="s">
        <v>4412</v>
      </c>
      <c r="AO265" s="8" t="str">
        <f>HYPERLINK("https://docs.google.com/document/d/1tnuUb9BqNx6xR7-k_cObkv5FP4YSMyAsrnt5s4kG_Os/edit?usp=drivesdk","Al-Wildan 1 Gading Serpong_Erica Livingston Syakti BBA_Native English")</f>
        <v>Al-Wildan 1 Gading Serpong_Erica Livingston Syakti BBA_Native English</v>
      </c>
      <c r="AP265" s="1" t="s">
        <v>4413</v>
      </c>
    </row>
    <row r="266">
      <c r="A266" s="6">
        <v>44152.424363252314</v>
      </c>
      <c r="B266" s="7" t="s">
        <v>4414</v>
      </c>
      <c r="C266" s="8" t="s">
        <v>4415</v>
      </c>
      <c r="D266" s="1" t="s">
        <v>4416</v>
      </c>
      <c r="E266" s="9" t="s">
        <v>1096</v>
      </c>
      <c r="F266" s="1" t="s">
        <v>1097</v>
      </c>
      <c r="G266" s="1" t="s">
        <v>4417</v>
      </c>
      <c r="H266" s="1" t="s">
        <v>99</v>
      </c>
      <c r="I266" s="9" t="s">
        <v>4418</v>
      </c>
      <c r="J266" s="1" t="s">
        <v>4419</v>
      </c>
      <c r="K266" s="1" t="s">
        <v>102</v>
      </c>
      <c r="L266" s="1" t="s">
        <v>103</v>
      </c>
      <c r="M266" s="1" t="s">
        <v>104</v>
      </c>
      <c r="N266" s="1" t="s">
        <v>4420</v>
      </c>
      <c r="O266" s="1" t="s">
        <v>312</v>
      </c>
      <c r="P266" s="1" t="s">
        <v>107</v>
      </c>
      <c r="Q266" s="1" t="s">
        <v>1022</v>
      </c>
      <c r="R266" s="1" t="s">
        <v>193</v>
      </c>
      <c r="S266" s="9" t="s">
        <v>4421</v>
      </c>
      <c r="Z266" s="1" t="s">
        <v>4422</v>
      </c>
      <c r="AA266" s="10">
        <v>5000000.0</v>
      </c>
      <c r="AF266" s="10">
        <v>6000000.0</v>
      </c>
      <c r="AG266" s="9" t="s">
        <v>1104</v>
      </c>
      <c r="AI266" s="1" t="s">
        <v>178</v>
      </c>
      <c r="AJ266" s="3"/>
      <c r="AK266" s="3"/>
      <c r="AL266" s="3"/>
      <c r="AM266" s="1" t="s">
        <v>4423</v>
      </c>
      <c r="AN266" s="7" t="s">
        <v>4424</v>
      </c>
      <c r="AO266" s="8" t="str">
        <f>HYPERLINK("https://docs.google.com/document/d/1Txa-bu2Vw2NyFsB18wqijG3gQJSGcm-b6U8rHPYiGqs/edit?usp=drivesdk","Al-Wildan 1 Gading Serpong_dadang suherman, Lc_Bahasa Arab/Al-Quran/Fiqih")</f>
        <v>Al-Wildan 1 Gading Serpong_dadang suherman, Lc_Bahasa Arab/Al-Quran/Fiqih</v>
      </c>
      <c r="AP266" s="1" t="s">
        <v>4425</v>
      </c>
    </row>
    <row r="267">
      <c r="A267" s="6">
        <v>44155.92243795139</v>
      </c>
      <c r="B267" s="7" t="s">
        <v>4426</v>
      </c>
      <c r="C267" s="8" t="s">
        <v>4427</v>
      </c>
      <c r="D267" s="1" t="s">
        <v>4428</v>
      </c>
      <c r="E267" s="9" t="s">
        <v>4429</v>
      </c>
      <c r="F267" s="1" t="s">
        <v>4430</v>
      </c>
      <c r="G267" s="1" t="s">
        <v>4431</v>
      </c>
      <c r="H267" s="1" t="s">
        <v>4432</v>
      </c>
      <c r="I267" s="1" t="s">
        <v>4433</v>
      </c>
      <c r="J267" s="1">
        <v>20.0</v>
      </c>
      <c r="K267" s="1" t="s">
        <v>151</v>
      </c>
      <c r="L267" s="1" t="s">
        <v>329</v>
      </c>
      <c r="M267" s="1" t="s">
        <v>104</v>
      </c>
      <c r="N267" s="1" t="s">
        <v>311</v>
      </c>
      <c r="O267" s="1" t="s">
        <v>312</v>
      </c>
      <c r="P267" s="1" t="s">
        <v>107</v>
      </c>
      <c r="Q267" s="1" t="s">
        <v>217</v>
      </c>
      <c r="R267" s="1" t="s">
        <v>217</v>
      </c>
      <c r="S267" s="1" t="s">
        <v>217</v>
      </c>
      <c r="T267" s="1" t="s">
        <v>217</v>
      </c>
      <c r="U267" s="1" t="s">
        <v>217</v>
      </c>
      <c r="V267" s="1" t="s">
        <v>217</v>
      </c>
      <c r="W267" s="1" t="s">
        <v>217</v>
      </c>
      <c r="X267" s="1" t="s">
        <v>217</v>
      </c>
      <c r="Z267" s="1" t="s">
        <v>4434</v>
      </c>
      <c r="AA267" s="1" t="s">
        <v>217</v>
      </c>
      <c r="AB267" s="1" t="s">
        <v>4435</v>
      </c>
      <c r="AF267" s="1" t="s">
        <v>217</v>
      </c>
      <c r="AH267" s="9" t="s">
        <v>4436</v>
      </c>
      <c r="AI267" s="1" t="s">
        <v>2407</v>
      </c>
      <c r="AJ267" s="3"/>
      <c r="AK267" s="3"/>
      <c r="AL267" s="3"/>
      <c r="AM267" s="1" t="s">
        <v>4437</v>
      </c>
      <c r="AN267" s="7" t="s">
        <v>4438</v>
      </c>
      <c r="AO267" s="8" t="str">
        <f>HYPERLINK("https://docs.google.com/document/d/1za_7yOqTib1NPMSh4IbFSA-dtAiSNJgyO-MfswdGlpc/edit?usp=drivesdk","Al-Wildan 1 Gading Serpong_PUTRI DEWI_Al Qur'an")</f>
        <v>Al-Wildan 1 Gading Serpong_PUTRI DEWI_Al Qur'an</v>
      </c>
      <c r="AP267" s="1" t="s">
        <v>4439</v>
      </c>
    </row>
    <row r="268">
      <c r="A268" s="6">
        <v>44163.86181783565</v>
      </c>
      <c r="B268" s="7" t="s">
        <v>4440</v>
      </c>
      <c r="C268" s="8" t="s">
        <v>4441</v>
      </c>
      <c r="D268" s="1" t="s">
        <v>4442</v>
      </c>
      <c r="E268" s="9" t="s">
        <v>4443</v>
      </c>
      <c r="F268" s="1" t="s">
        <v>2663</v>
      </c>
      <c r="G268" s="1" t="s">
        <v>4444</v>
      </c>
      <c r="H268" s="1" t="s">
        <v>4445</v>
      </c>
      <c r="I268" s="9" t="s">
        <v>4446</v>
      </c>
      <c r="J268" s="1" t="s">
        <v>4447</v>
      </c>
      <c r="K268" s="1" t="s">
        <v>151</v>
      </c>
      <c r="L268" s="1" t="s">
        <v>329</v>
      </c>
      <c r="M268" s="1" t="s">
        <v>104</v>
      </c>
      <c r="N268" s="1" t="s">
        <v>4448</v>
      </c>
      <c r="O268" s="1" t="s">
        <v>312</v>
      </c>
      <c r="P268" s="1" t="s">
        <v>107</v>
      </c>
      <c r="AF268" s="10">
        <v>1500000.0</v>
      </c>
      <c r="AG268" s="1">
        <v>1.045196924E9</v>
      </c>
      <c r="AI268" s="1" t="s">
        <v>782</v>
      </c>
      <c r="AJ268" s="3"/>
      <c r="AK268" s="3"/>
      <c r="AL268" s="3"/>
      <c r="AM268" s="1" t="s">
        <v>4449</v>
      </c>
      <c r="AN268" s="7" t="s">
        <v>4450</v>
      </c>
      <c r="AO268" s="8" t="str">
        <f>HYPERLINK("https://docs.google.com/document/d/1jKqBMnZmMLHBr6QFSN2FBS7WvqOvhKmaqlUBXN8Phjo/edit?usp=drivesdk","Al-Wildan 1 Gading Serpong_BAIQ ZAUZAINI_AL-QURAN ")</f>
        <v>Al-Wildan 1 Gading Serpong_BAIQ ZAUZAINI_AL-QURAN </v>
      </c>
      <c r="AP268" s="1" t="s">
        <v>4451</v>
      </c>
    </row>
    <row r="269">
      <c r="A269" s="6">
        <v>44173.626244328705</v>
      </c>
      <c r="B269" s="7" t="s">
        <v>4452</v>
      </c>
      <c r="C269" s="8" t="s">
        <v>4453</v>
      </c>
      <c r="D269" s="1" t="s">
        <v>4454</v>
      </c>
      <c r="E269" s="9" t="s">
        <v>4455</v>
      </c>
      <c r="F269" s="1" t="s">
        <v>4456</v>
      </c>
      <c r="G269" s="1" t="s">
        <v>4457</v>
      </c>
      <c r="H269" s="1" t="s">
        <v>4458</v>
      </c>
      <c r="I269" s="9" t="s">
        <v>4459</v>
      </c>
      <c r="J269" s="1" t="s">
        <v>4460</v>
      </c>
      <c r="K269" s="1" t="s">
        <v>102</v>
      </c>
      <c r="L269" s="1" t="s">
        <v>103</v>
      </c>
      <c r="M269" s="1" t="s">
        <v>104</v>
      </c>
      <c r="N269" s="1" t="s">
        <v>1623</v>
      </c>
      <c r="O269" s="1" t="s">
        <v>106</v>
      </c>
      <c r="P269" s="1" t="s">
        <v>128</v>
      </c>
      <c r="T269" s="1" t="s">
        <v>4461</v>
      </c>
      <c r="U269" s="1" t="s">
        <v>1083</v>
      </c>
      <c r="V269" s="1" t="s">
        <v>4462</v>
      </c>
      <c r="Z269" s="1" t="s">
        <v>4463</v>
      </c>
      <c r="AA269" s="10">
        <v>6000000.0</v>
      </c>
      <c r="AB269" s="1" t="s">
        <v>4464</v>
      </c>
      <c r="AC269" s="10">
        <v>6300000.0</v>
      </c>
      <c r="AF269" s="10">
        <v>7000000.0</v>
      </c>
      <c r="AM269" s="1" t="s">
        <v>4465</v>
      </c>
      <c r="AN269" s="7" t="s">
        <v>4466</v>
      </c>
      <c r="AO269" s="8" t="str">
        <f>HYPERLINK("https://docs.google.com/document/d/1aByeZzGGLYDt9qTmhauoFgyrLrHaKkPkTZD8yzHw59Y/edit?usp=drivesdk","Al-Wildan 3 BSD_M. Rasyid Ridha Hamzah, M.Irkh_PAI")</f>
        <v>Al-Wildan 3 BSD_M. Rasyid Ridha Hamzah, M.Irkh_PAI</v>
      </c>
      <c r="AP269" s="1" t="s">
        <v>4467</v>
      </c>
    </row>
    <row r="270">
      <c r="A270" s="6">
        <v>44186.71633976852</v>
      </c>
      <c r="B270" s="7" t="s">
        <v>4468</v>
      </c>
      <c r="C270" s="8" t="s">
        <v>4469</v>
      </c>
      <c r="D270" s="1" t="s">
        <v>4470</v>
      </c>
      <c r="E270" s="9" t="s">
        <v>4471</v>
      </c>
      <c r="F270" s="1" t="s">
        <v>4472</v>
      </c>
      <c r="G270" s="1" t="s">
        <v>4473</v>
      </c>
      <c r="H270" s="1" t="s">
        <v>4474</v>
      </c>
      <c r="I270" s="9" t="s">
        <v>4475</v>
      </c>
      <c r="J270" s="1" t="s">
        <v>4476</v>
      </c>
      <c r="K270" s="1" t="s">
        <v>151</v>
      </c>
      <c r="L270" s="1" t="s">
        <v>103</v>
      </c>
      <c r="M270" s="1" t="s">
        <v>213</v>
      </c>
      <c r="O270" s="1" t="s">
        <v>1693</v>
      </c>
      <c r="P270" s="1" t="s">
        <v>107</v>
      </c>
      <c r="Q270" s="1" t="s">
        <v>4477</v>
      </c>
      <c r="R270" s="1" t="s">
        <v>4478</v>
      </c>
      <c r="S270" s="1" t="s">
        <v>4479</v>
      </c>
      <c r="Z270" s="1" t="s">
        <v>4480</v>
      </c>
      <c r="AA270" s="10">
        <v>3500000.0</v>
      </c>
      <c r="AB270" s="1" t="s">
        <v>4481</v>
      </c>
      <c r="AC270" s="10">
        <v>3800000.0</v>
      </c>
      <c r="AD270" s="1" t="s">
        <v>4482</v>
      </c>
      <c r="AE270" s="10">
        <v>4750000.0</v>
      </c>
      <c r="AF270" s="10">
        <v>5500000.0</v>
      </c>
      <c r="AG270" s="1">
        <v>9.000030335559E12</v>
      </c>
      <c r="AI270" s="1" t="s">
        <v>4483</v>
      </c>
      <c r="AJ270" s="3"/>
      <c r="AK270" s="3"/>
      <c r="AL270" s="3"/>
      <c r="AM270" s="1" t="s">
        <v>4484</v>
      </c>
      <c r="AN270" s="7" t="s">
        <v>4485</v>
      </c>
      <c r="AO270" s="8" t="str">
        <f>HYPERLINK("https://docs.google.com/document/d/1NyYc0OvM0dteHkZ5ikhTTB1P2ortxVjSS5aB7F16PGY/edit?usp=drivesdk","Al-Wildan 1 Gading Serpong_R Dewi Sinta Susilowati S.E_")</f>
        <v>Al-Wildan 1 Gading Serpong_R Dewi Sinta Susilowati S.E_</v>
      </c>
      <c r="AP270" s="1" t="s">
        <v>4486</v>
      </c>
    </row>
    <row r="271">
      <c r="A271" s="6">
        <v>44238.265141446755</v>
      </c>
      <c r="B271" s="7" t="s">
        <v>4487</v>
      </c>
      <c r="C271" s="8" t="s">
        <v>4488</v>
      </c>
      <c r="D271" s="1" t="s">
        <v>4489</v>
      </c>
      <c r="E271" s="9" t="s">
        <v>4490</v>
      </c>
      <c r="F271" s="1" t="s">
        <v>4491</v>
      </c>
      <c r="G271" s="1" t="s">
        <v>4492</v>
      </c>
      <c r="H271" s="1" t="s">
        <v>4493</v>
      </c>
      <c r="I271" s="1">
        <v>1.0042E7</v>
      </c>
      <c r="J271" s="1" t="s">
        <v>4494</v>
      </c>
      <c r="K271" s="1" t="s">
        <v>151</v>
      </c>
      <c r="L271" s="1" t="s">
        <v>329</v>
      </c>
      <c r="M271" s="1" t="s">
        <v>104</v>
      </c>
      <c r="N271" s="1" t="s">
        <v>4495</v>
      </c>
      <c r="O271" s="1" t="s">
        <v>312</v>
      </c>
      <c r="P271" s="1" t="s">
        <v>107</v>
      </c>
      <c r="Z271" s="1" t="s">
        <v>4496</v>
      </c>
      <c r="AA271" s="1" t="s">
        <v>217</v>
      </c>
      <c r="AB271" s="1" t="s">
        <v>3774</v>
      </c>
      <c r="AC271" s="1" t="s">
        <v>217</v>
      </c>
      <c r="AG271" s="1">
        <v>1.173110258E9</v>
      </c>
      <c r="AI271" s="1" t="s">
        <v>993</v>
      </c>
      <c r="AJ271" s="3"/>
      <c r="AK271" s="3"/>
      <c r="AL271" s="3"/>
      <c r="AM271" s="1" t="s">
        <v>4497</v>
      </c>
      <c r="AN271" s="7" t="s">
        <v>4498</v>
      </c>
      <c r="AO271" s="8" t="str">
        <f>HYPERLINK("https://docs.google.com/document/d/1PFzpZmQB-mKWkBWO5YVv_Mop0XsnG4HLYfSXwZ8ZrsU/edit?usp=drivesdk","Al-Wildan 1 Gading Serpong_ANNISA INDYANTI AZZAHRA_AlQuran ")</f>
        <v>Al-Wildan 1 Gading Serpong_ANNISA INDYANTI AZZAHRA_AlQuran </v>
      </c>
      <c r="AP271" s="1" t="s">
        <v>4499</v>
      </c>
    </row>
    <row r="272">
      <c r="A272" s="6">
        <v>44262.80234782408</v>
      </c>
      <c r="B272" s="7" t="s">
        <v>4500</v>
      </c>
      <c r="C272" s="8" t="s">
        <v>4501</v>
      </c>
      <c r="D272" s="1" t="s">
        <v>4502</v>
      </c>
      <c r="E272" s="9" t="s">
        <v>4503</v>
      </c>
      <c r="F272" s="1" t="s">
        <v>4504</v>
      </c>
      <c r="G272" s="1" t="s">
        <v>4505</v>
      </c>
      <c r="H272" s="1" t="s">
        <v>4506</v>
      </c>
      <c r="I272" s="9" t="s">
        <v>4507</v>
      </c>
      <c r="J272" s="1" t="s">
        <v>4508</v>
      </c>
      <c r="K272" s="1" t="s">
        <v>151</v>
      </c>
      <c r="L272" s="1" t="s">
        <v>496</v>
      </c>
      <c r="M272" s="1" t="s">
        <v>104</v>
      </c>
      <c r="N272" s="1" t="s">
        <v>439</v>
      </c>
      <c r="O272" s="1" t="s">
        <v>236</v>
      </c>
      <c r="P272" s="1" t="s">
        <v>107</v>
      </c>
      <c r="Q272" s="1" t="s">
        <v>4509</v>
      </c>
      <c r="R272" s="1" t="s">
        <v>4510</v>
      </c>
      <c r="S272" s="1" t="s">
        <v>537</v>
      </c>
      <c r="T272" s="1" t="s">
        <v>4511</v>
      </c>
      <c r="U272" s="1" t="s">
        <v>4512</v>
      </c>
      <c r="V272" s="1" t="s">
        <v>4513</v>
      </c>
      <c r="W272" s="1" t="s">
        <v>217</v>
      </c>
      <c r="X272" s="1" t="s">
        <v>217</v>
      </c>
      <c r="Z272" s="1" t="s">
        <v>4514</v>
      </c>
      <c r="AA272" s="10">
        <v>5500000.0</v>
      </c>
      <c r="AB272" s="1" t="s">
        <v>4515</v>
      </c>
      <c r="AC272" s="10">
        <v>5000000.0</v>
      </c>
      <c r="AF272" s="10">
        <v>8000000.0</v>
      </c>
      <c r="AM272" s="1" t="s">
        <v>4516</v>
      </c>
      <c r="AN272" s="7" t="s">
        <v>4517</v>
      </c>
      <c r="AO272" s="8" t="str">
        <f>HYPERLINK("https://docs.google.com/document/d/1DfaoRxeDORcZcE3qe12AMnUDr-EEJro6FMxZM5j1UTw/edit?usp=drivesdk","Al-Wildan 1 Gading Serpong_Putri Anita Rahman.S.Pd.M.Pd_Sosiologi")</f>
        <v>Al-Wildan 1 Gading Serpong_Putri Anita Rahman.S.Pd.M.Pd_Sosiologi</v>
      </c>
      <c r="AP272" s="1" t="s">
        <v>4518</v>
      </c>
    </row>
    <row r="273">
      <c r="A273" s="6">
        <v>44267.73260408565</v>
      </c>
      <c r="B273" s="7" t="s">
        <v>4519</v>
      </c>
      <c r="C273" s="8" t="s">
        <v>4520</v>
      </c>
      <c r="D273" s="1" t="s">
        <v>4521</v>
      </c>
      <c r="E273" s="9" t="s">
        <v>4522</v>
      </c>
      <c r="F273" s="1" t="s">
        <v>4523</v>
      </c>
      <c r="G273" s="1" t="s">
        <v>4524</v>
      </c>
      <c r="H273" s="1" t="s">
        <v>722</v>
      </c>
      <c r="I273" s="9" t="s">
        <v>4525</v>
      </c>
      <c r="J273" s="1" t="s">
        <v>4526</v>
      </c>
      <c r="K273" s="1" t="s">
        <v>151</v>
      </c>
      <c r="L273" s="1" t="s">
        <v>256</v>
      </c>
      <c r="M273" s="1" t="s">
        <v>104</v>
      </c>
      <c r="N273" s="1" t="s">
        <v>4527</v>
      </c>
      <c r="O273" s="1" t="s">
        <v>236</v>
      </c>
      <c r="P273" s="1" t="s">
        <v>107</v>
      </c>
      <c r="Q273" s="1" t="s">
        <v>4528</v>
      </c>
      <c r="R273" s="1" t="s">
        <v>4529</v>
      </c>
      <c r="S273" s="1" t="s">
        <v>2181</v>
      </c>
      <c r="Z273" s="1" t="s">
        <v>4530</v>
      </c>
      <c r="AA273" s="10">
        <v>1200000.0</v>
      </c>
      <c r="AF273" s="10">
        <v>5000000.0</v>
      </c>
      <c r="AG273" s="9" t="s">
        <v>4531</v>
      </c>
      <c r="AI273" s="1" t="s">
        <v>712</v>
      </c>
      <c r="AJ273" s="3"/>
      <c r="AK273" s="3"/>
      <c r="AL273" s="3"/>
      <c r="AM273" s="1" t="s">
        <v>4532</v>
      </c>
      <c r="AN273" s="7" t="s">
        <v>4533</v>
      </c>
      <c r="AO273" s="8" t="str">
        <f>HYPERLINK("https://docs.google.com/document/d/1lPnbiW6OaBjj5hh-4i9johlMy28taTUxrmtd77bx2QM/edit?usp=drivesdk","Al-Wildan 1 Gading Serpong_Dea Setiyawati, S.Pd_Sosiologi ")</f>
        <v>Al-Wildan 1 Gading Serpong_Dea Setiyawati, S.Pd_Sosiologi </v>
      </c>
      <c r="AP273" s="1" t="s">
        <v>4534</v>
      </c>
    </row>
    <row r="274">
      <c r="A274" s="6">
        <v>44271.51325157407</v>
      </c>
      <c r="B274" s="7" t="s">
        <v>4535</v>
      </c>
      <c r="C274" s="8" t="s">
        <v>4536</v>
      </c>
      <c r="D274" s="1" t="s">
        <v>4537</v>
      </c>
      <c r="E274" s="9" t="s">
        <v>4538</v>
      </c>
      <c r="F274" s="1" t="s">
        <v>4539</v>
      </c>
      <c r="G274" s="1" t="s">
        <v>4540</v>
      </c>
      <c r="H274" s="1" t="s">
        <v>169</v>
      </c>
      <c r="I274" s="1" t="s">
        <v>4541</v>
      </c>
      <c r="J274" s="1" t="s">
        <v>4542</v>
      </c>
      <c r="K274" s="1" t="s">
        <v>151</v>
      </c>
      <c r="L274" s="1" t="s">
        <v>103</v>
      </c>
      <c r="M274" s="1" t="s">
        <v>104</v>
      </c>
      <c r="N274" s="1" t="s">
        <v>439</v>
      </c>
      <c r="O274" s="1" t="s">
        <v>236</v>
      </c>
      <c r="P274" s="1" t="s">
        <v>128</v>
      </c>
      <c r="Q274" s="1" t="s">
        <v>108</v>
      </c>
      <c r="R274" s="1" t="s">
        <v>441</v>
      </c>
      <c r="S274" s="1" t="s">
        <v>442</v>
      </c>
      <c r="Z274" s="1" t="s">
        <v>4543</v>
      </c>
      <c r="AA274" s="10">
        <v>2000000.0</v>
      </c>
      <c r="AB274" s="1" t="s">
        <v>4544</v>
      </c>
      <c r="AC274" s="10">
        <v>2000000.0</v>
      </c>
      <c r="AD274" s="1" t="s">
        <v>4545</v>
      </c>
      <c r="AE274" s="1" t="s">
        <v>217</v>
      </c>
      <c r="AF274" s="10">
        <v>4200000.0</v>
      </c>
      <c r="AH274" s="1">
        <v>2.860363146E9</v>
      </c>
      <c r="AI274" s="1" t="s">
        <v>4546</v>
      </c>
      <c r="AJ274" s="3"/>
      <c r="AK274" s="3"/>
      <c r="AL274" s="3"/>
      <c r="AM274" s="1" t="s">
        <v>4547</v>
      </c>
      <c r="AN274" s="7" t="s">
        <v>4548</v>
      </c>
      <c r="AO274" s="8" t="str">
        <f>HYPERLINK("https://docs.google.com/document/d/16GKLsKjsHRmWfObfN6vOe_ViDxA3Yx3mD5bMD5-u2_8/edit?usp=drivesdk","Al-Wildan 3 BSD_Filman Zulfikar_Sosiologi")</f>
        <v>Al-Wildan 3 BSD_Filman Zulfikar_Sosiologi</v>
      </c>
      <c r="AP274" s="1" t="s">
        <v>4549</v>
      </c>
    </row>
    <row r="275">
      <c r="A275" s="6">
        <v>44271.527968124996</v>
      </c>
      <c r="B275" s="7" t="s">
        <v>4550</v>
      </c>
      <c r="C275" s="8" t="s">
        <v>4551</v>
      </c>
      <c r="D275" s="1" t="s">
        <v>4552</v>
      </c>
      <c r="E275" s="9" t="s">
        <v>4553</v>
      </c>
      <c r="F275" s="1" t="s">
        <v>4554</v>
      </c>
      <c r="G275" s="1" t="s">
        <v>4555</v>
      </c>
      <c r="H275" s="1" t="s">
        <v>4556</v>
      </c>
      <c r="I275" s="9" t="s">
        <v>4557</v>
      </c>
      <c r="J275" s="1" t="s">
        <v>4558</v>
      </c>
      <c r="K275" s="1" t="s">
        <v>151</v>
      </c>
      <c r="L275" s="1" t="s">
        <v>256</v>
      </c>
      <c r="M275" s="1" t="s">
        <v>104</v>
      </c>
      <c r="N275" s="1" t="s">
        <v>439</v>
      </c>
      <c r="O275" s="1" t="s">
        <v>312</v>
      </c>
      <c r="P275" s="1" t="s">
        <v>107</v>
      </c>
      <c r="Q275" s="1" t="s">
        <v>1362</v>
      </c>
      <c r="R275" s="1" t="s">
        <v>4559</v>
      </c>
      <c r="S275" s="1" t="s">
        <v>240</v>
      </c>
      <c r="Z275" s="1" t="s">
        <v>4560</v>
      </c>
      <c r="AA275" s="10">
        <v>3500000.0</v>
      </c>
      <c r="AF275" s="10">
        <v>4300000.0</v>
      </c>
      <c r="AG275" s="9" t="s">
        <v>4561</v>
      </c>
      <c r="AI275" s="1" t="s">
        <v>712</v>
      </c>
      <c r="AJ275" s="3"/>
      <c r="AK275" s="3"/>
      <c r="AL275" s="3"/>
      <c r="AM275" s="1" t="s">
        <v>4562</v>
      </c>
      <c r="AN275" s="7" t="s">
        <v>4563</v>
      </c>
      <c r="AO275" s="8" t="str">
        <f>HYPERLINK("https://docs.google.com/document/d/1fLRLd_RCrXR2Kd_11IxIiTHTxFb9mwSi9UtqzoqAeh8/edit?usp=drivesdk","Al-Wildan 1 Gading Serpong_Siti Nuratiah Hafsah KA S.Si_Sosiologi")</f>
        <v>Al-Wildan 1 Gading Serpong_Siti Nuratiah Hafsah KA S.Si_Sosiologi</v>
      </c>
      <c r="AP275" s="1" t="s">
        <v>4564</v>
      </c>
    </row>
    <row r="276">
      <c r="A276" s="6">
        <v>44271.568011979165</v>
      </c>
      <c r="B276" s="7" t="s">
        <v>4565</v>
      </c>
      <c r="C276" s="8" t="s">
        <v>4566</v>
      </c>
      <c r="D276" s="1" t="s">
        <v>4567</v>
      </c>
      <c r="E276" s="9" t="s">
        <v>4568</v>
      </c>
      <c r="F276" s="1" t="s">
        <v>4569</v>
      </c>
      <c r="G276" s="1" t="s">
        <v>4570</v>
      </c>
      <c r="H276" s="1" t="s">
        <v>169</v>
      </c>
      <c r="I276" s="9" t="s">
        <v>4571</v>
      </c>
      <c r="J276" s="1" t="s">
        <v>2496</v>
      </c>
      <c r="K276" s="1" t="s">
        <v>151</v>
      </c>
      <c r="L276" s="1" t="s">
        <v>103</v>
      </c>
      <c r="M276" s="1" t="s">
        <v>104</v>
      </c>
      <c r="N276" s="1" t="s">
        <v>4572</v>
      </c>
      <c r="O276" s="1" t="s">
        <v>127</v>
      </c>
      <c r="P276" s="1" t="s">
        <v>128</v>
      </c>
      <c r="Q276" s="1" t="s">
        <v>4573</v>
      </c>
      <c r="R276" s="1" t="s">
        <v>4574</v>
      </c>
      <c r="S276" s="1" t="s">
        <v>753</v>
      </c>
      <c r="Z276" s="1" t="s">
        <v>4575</v>
      </c>
      <c r="AF276" s="10">
        <v>5500000.0</v>
      </c>
      <c r="AH276" s="1">
        <v>8.691303934E9</v>
      </c>
      <c r="AI276" s="1" t="s">
        <v>222</v>
      </c>
      <c r="AJ276" s="3"/>
      <c r="AK276" s="3"/>
      <c r="AL276" s="3"/>
      <c r="AM276" s="1" t="s">
        <v>4576</v>
      </c>
      <c r="AN276" s="7" t="s">
        <v>4577</v>
      </c>
      <c r="AO276" s="8" t="str">
        <f>HYPERLINK("https://docs.google.com/document/d/1odlMozNNBGfdL2K4gnB7plyKr7fFRXJg1p1E0hSauhs/edit?usp=drivesdk","Al-Wildan 3 BSD_Aprilia Heriati, S. Sos_Sociology")</f>
        <v>Al-Wildan 3 BSD_Aprilia Heriati, S. Sos_Sociology</v>
      </c>
      <c r="AP276" s="1" t="s">
        <v>4578</v>
      </c>
    </row>
    <row r="277">
      <c r="A277" s="6">
        <v>44271.57320005787</v>
      </c>
      <c r="B277" s="7" t="s">
        <v>4579</v>
      </c>
      <c r="C277" s="8" t="s">
        <v>4580</v>
      </c>
      <c r="D277" s="1" t="s">
        <v>4581</v>
      </c>
      <c r="E277" s="1" t="s">
        <v>4582</v>
      </c>
      <c r="F277" s="1" t="s">
        <v>4583</v>
      </c>
      <c r="G277" s="1" t="s">
        <v>4584</v>
      </c>
      <c r="H277" s="1" t="s">
        <v>4585</v>
      </c>
      <c r="I277" s="9" t="s">
        <v>4586</v>
      </c>
      <c r="J277" s="1" t="s">
        <v>4587</v>
      </c>
      <c r="K277" s="1" t="s">
        <v>102</v>
      </c>
      <c r="L277" s="1" t="s">
        <v>256</v>
      </c>
      <c r="M277" s="1" t="s">
        <v>104</v>
      </c>
      <c r="N277" s="1" t="s">
        <v>4588</v>
      </c>
      <c r="O277" s="1" t="s">
        <v>127</v>
      </c>
      <c r="P277" s="1" t="s">
        <v>128</v>
      </c>
      <c r="Q277" s="1" t="s">
        <v>4589</v>
      </c>
      <c r="R277" s="1" t="s">
        <v>4590</v>
      </c>
      <c r="S277" s="1" t="s">
        <v>990</v>
      </c>
      <c r="T277" s="1" t="s">
        <v>4591</v>
      </c>
      <c r="U277" s="1" t="s">
        <v>4592</v>
      </c>
      <c r="V277" s="1" t="s">
        <v>411</v>
      </c>
      <c r="Z277" s="1" t="s">
        <v>4593</v>
      </c>
      <c r="AA277" s="10">
        <v>5000000.0</v>
      </c>
      <c r="AF277" s="1" t="s">
        <v>4594</v>
      </c>
      <c r="AG277" s="9" t="s">
        <v>4595</v>
      </c>
      <c r="AI277" s="1" t="s">
        <v>178</v>
      </c>
      <c r="AJ277" s="3"/>
      <c r="AK277" s="3"/>
      <c r="AL277" s="3"/>
      <c r="AM277" s="1" t="s">
        <v>4596</v>
      </c>
      <c r="AN277" s="7" t="s">
        <v>4597</v>
      </c>
      <c r="AO277" s="8" t="str">
        <f>HYPERLINK("https://docs.google.com/document/d/1Ij7-8Y1-7ad5y9LgSilbpQ5JvSgheidIyezE-zlsNO8/edit?usp=drivesdk","Al-Wildan 3 BSD_Muhammad Ali Akbar Aidid_Sosiology")</f>
        <v>Al-Wildan 3 BSD_Muhammad Ali Akbar Aidid_Sosiology</v>
      </c>
      <c r="AP277" s="1" t="s">
        <v>4598</v>
      </c>
    </row>
    <row r="278">
      <c r="A278" s="6">
        <v>44286.42888585648</v>
      </c>
      <c r="B278" s="7" t="s">
        <v>4599</v>
      </c>
      <c r="C278" s="8" t="s">
        <v>4600</v>
      </c>
      <c r="D278" s="1" t="s">
        <v>4601</v>
      </c>
      <c r="E278" s="9" t="s">
        <v>4602</v>
      </c>
      <c r="F278" s="1" t="s">
        <v>4603</v>
      </c>
      <c r="G278" s="1" t="s">
        <v>99</v>
      </c>
      <c r="H278" s="1" t="s">
        <v>99</v>
      </c>
      <c r="I278" s="9" t="s">
        <v>4604</v>
      </c>
      <c r="J278" s="1" t="s">
        <v>2481</v>
      </c>
      <c r="K278" s="1" t="s">
        <v>1235</v>
      </c>
      <c r="L278" s="1" t="s">
        <v>256</v>
      </c>
      <c r="M278" s="1" t="s">
        <v>104</v>
      </c>
      <c r="N278" s="1" t="s">
        <v>2197</v>
      </c>
      <c r="O278" s="1" t="s">
        <v>106</v>
      </c>
      <c r="P278" s="1" t="s">
        <v>237</v>
      </c>
      <c r="Q278" s="1" t="s">
        <v>4210</v>
      </c>
      <c r="R278" s="1" t="s">
        <v>571</v>
      </c>
      <c r="Z278" s="1" t="s">
        <v>4605</v>
      </c>
      <c r="AA278" s="10">
        <v>1300000.0</v>
      </c>
      <c r="AB278" s="1" t="s">
        <v>4606</v>
      </c>
      <c r="AC278" s="10">
        <v>3000000.0</v>
      </c>
      <c r="AD278" s="1" t="s">
        <v>4607</v>
      </c>
      <c r="AE278" s="10">
        <v>2000000.0</v>
      </c>
      <c r="AF278" s="1" t="s">
        <v>4608</v>
      </c>
      <c r="AG278" s="9" t="s">
        <v>4609</v>
      </c>
      <c r="AI278" s="1" t="s">
        <v>782</v>
      </c>
      <c r="AJ278" s="1">
        <v>155.0</v>
      </c>
      <c r="AK278" s="1">
        <v>48.0</v>
      </c>
      <c r="AL278" s="3"/>
      <c r="AM278" s="1" t="s">
        <v>4610</v>
      </c>
      <c r="AN278" s="7" t="s">
        <v>4611</v>
      </c>
      <c r="AO278" s="8" t="str">
        <f>HYPERLINK("https://docs.google.com/document/d/1fw1p2KTTYdhKsoekmLIKq5IpDL5d9djKPcaPapXA4_Y/edit?usp=drivesdk","Al-Wildan 4 Lebak Bulus_Yusliha Syifani_Al-Qur'an")</f>
        <v>Al-Wildan 4 Lebak Bulus_Yusliha Syifani_Al-Qur'an</v>
      </c>
      <c r="AP278" s="1" t="s">
        <v>4612</v>
      </c>
    </row>
    <row r="279">
      <c r="A279" s="6">
        <v>44286.49873556713</v>
      </c>
      <c r="B279" s="7" t="s">
        <v>4613</v>
      </c>
      <c r="C279" s="8" t="s">
        <v>4614</v>
      </c>
      <c r="D279" s="1" t="s">
        <v>4615</v>
      </c>
      <c r="E279" s="9" t="s">
        <v>4616</v>
      </c>
      <c r="F279" s="1" t="s">
        <v>4617</v>
      </c>
      <c r="G279" s="1" t="s">
        <v>4618</v>
      </c>
      <c r="H279" s="1" t="s">
        <v>4619</v>
      </c>
      <c r="I279" s="9" t="s">
        <v>4620</v>
      </c>
      <c r="J279" s="1" t="s">
        <v>4621</v>
      </c>
      <c r="K279" s="1" t="s">
        <v>151</v>
      </c>
      <c r="L279" s="1" t="s">
        <v>103</v>
      </c>
      <c r="M279" s="1" t="s">
        <v>377</v>
      </c>
      <c r="O279" s="1" t="s">
        <v>1693</v>
      </c>
      <c r="P279" s="1" t="s">
        <v>107</v>
      </c>
      <c r="Q279" s="1" t="s">
        <v>4622</v>
      </c>
      <c r="R279" s="1" t="s">
        <v>4623</v>
      </c>
      <c r="S279" s="1" t="s">
        <v>426</v>
      </c>
      <c r="Z279" s="1" t="s">
        <v>4624</v>
      </c>
      <c r="AA279" s="1" t="s">
        <v>3412</v>
      </c>
      <c r="AB279" s="1" t="s">
        <v>4625</v>
      </c>
      <c r="AC279" s="1" t="s">
        <v>4626</v>
      </c>
      <c r="AF279" s="1" t="s">
        <v>4627</v>
      </c>
      <c r="AG279" s="9" t="s">
        <v>4628</v>
      </c>
      <c r="AI279" s="1" t="s">
        <v>178</v>
      </c>
      <c r="AJ279" s="1">
        <v>163.0</v>
      </c>
      <c r="AK279" s="1">
        <v>54.0</v>
      </c>
      <c r="AL279" s="3"/>
      <c r="AM279" s="1" t="s">
        <v>4629</v>
      </c>
      <c r="AN279" s="7" t="s">
        <v>4630</v>
      </c>
      <c r="AO279" s="8" t="str">
        <f>HYPERLINK("https://docs.google.com/document/d/1UQjVybVC4b0RtDJRWA-wMQuGWqOVXuuw488E9tp0aYk/edit?usp=drivesdk","Al-Wildan 1 Gading Serpong_RAHMAT MAULANA_")</f>
        <v>Al-Wildan 1 Gading Serpong_RAHMAT MAULANA_</v>
      </c>
      <c r="AP279" s="1" t="s">
        <v>4631</v>
      </c>
    </row>
    <row r="280">
      <c r="A280" s="6">
        <v>44292.402064317124</v>
      </c>
      <c r="B280" s="7" t="s">
        <v>4632</v>
      </c>
      <c r="C280" s="8" t="s">
        <v>4633</v>
      </c>
      <c r="D280" s="1" t="s">
        <v>4634</v>
      </c>
      <c r="E280" s="9" t="s">
        <v>4635</v>
      </c>
      <c r="F280" s="1" t="s">
        <v>4636</v>
      </c>
      <c r="G280" s="1" t="s">
        <v>4637</v>
      </c>
      <c r="H280" s="1" t="s">
        <v>4638</v>
      </c>
      <c r="I280" s="9" t="s">
        <v>4639</v>
      </c>
      <c r="J280" s="1">
        <v>30.0</v>
      </c>
      <c r="K280" s="1" t="s">
        <v>102</v>
      </c>
      <c r="L280" s="1" t="s">
        <v>103</v>
      </c>
      <c r="M280" s="1" t="s">
        <v>377</v>
      </c>
      <c r="O280" s="1" t="s">
        <v>1693</v>
      </c>
      <c r="P280" s="1" t="s">
        <v>107</v>
      </c>
      <c r="Q280" s="1" t="s">
        <v>4640</v>
      </c>
      <c r="R280" s="1" t="s">
        <v>536</v>
      </c>
      <c r="S280" s="1" t="s">
        <v>1084</v>
      </c>
      <c r="Z280" s="1" t="s">
        <v>4641</v>
      </c>
      <c r="AA280" s="10">
        <v>7000000.0</v>
      </c>
      <c r="AF280" s="10">
        <v>7000000.0</v>
      </c>
      <c r="AG280" s="9" t="s">
        <v>4642</v>
      </c>
      <c r="AI280" s="1" t="s">
        <v>782</v>
      </c>
      <c r="AJ280" s="1">
        <v>165.0</v>
      </c>
      <c r="AK280" s="1">
        <v>69.0</v>
      </c>
      <c r="AL280" s="3"/>
      <c r="AM280" s="1" t="s">
        <v>4643</v>
      </c>
      <c r="AN280" s="7" t="s">
        <v>4644</v>
      </c>
      <c r="AO280" s="8" t="str">
        <f>HYPERLINK("https://docs.google.com/document/d/1Aa4H1kM0Vvch4jaU9PbtbQ2q1875aZ8w3eXqoVok1kY/edit?usp=drivesdk","Al-Wildan 1 Gading Serpong_PARDIMIN, S.Pd_")</f>
        <v>Al-Wildan 1 Gading Serpong_PARDIMIN, S.Pd_</v>
      </c>
      <c r="AP280" s="1" t="s">
        <v>4645</v>
      </c>
    </row>
    <row r="281">
      <c r="A281" s="6">
        <v>44293.608852627316</v>
      </c>
      <c r="B281" s="7" t="s">
        <v>4646</v>
      </c>
      <c r="C281" s="8" t="s">
        <v>4647</v>
      </c>
      <c r="D281" s="1" t="s">
        <v>4648</v>
      </c>
      <c r="E281" s="9" t="s">
        <v>4649</v>
      </c>
      <c r="F281" s="1" t="s">
        <v>4650</v>
      </c>
      <c r="G281" s="1" t="s">
        <v>4651</v>
      </c>
      <c r="H281" s="1" t="s">
        <v>4652</v>
      </c>
      <c r="I281" s="9" t="s">
        <v>4653</v>
      </c>
      <c r="J281" s="1" t="s">
        <v>4654</v>
      </c>
      <c r="K281" s="1" t="s">
        <v>102</v>
      </c>
      <c r="L281" s="1" t="s">
        <v>103</v>
      </c>
      <c r="M281" s="1" t="s">
        <v>1692</v>
      </c>
      <c r="O281" s="1" t="s">
        <v>1693</v>
      </c>
      <c r="P281" s="1" t="s">
        <v>107</v>
      </c>
      <c r="Q281" s="1" t="s">
        <v>4655</v>
      </c>
      <c r="R281" s="1" t="s">
        <v>238</v>
      </c>
      <c r="S281" s="1">
        <v>3.41</v>
      </c>
      <c r="Z281" s="1" t="s">
        <v>4656</v>
      </c>
      <c r="AB281" s="1" t="s">
        <v>4657</v>
      </c>
      <c r="AD281" s="1" t="s">
        <v>4658</v>
      </c>
      <c r="AE281" s="10">
        <v>3000000.0</v>
      </c>
      <c r="AG281" s="9" t="s">
        <v>4659</v>
      </c>
      <c r="AI281" s="1" t="s">
        <v>178</v>
      </c>
      <c r="AJ281" s="1">
        <v>47.0</v>
      </c>
      <c r="AK281" s="1">
        <v>50.0</v>
      </c>
      <c r="AL281" s="3"/>
      <c r="AM281" s="1" t="s">
        <v>4660</v>
      </c>
      <c r="AN281" s="7" t="s">
        <v>4661</v>
      </c>
      <c r="AO281" s="8" t="str">
        <f>HYPERLINK("https://docs.google.com/document/d/1DInvM1ZnERpnVU7X3GBLSVrv6djswXUhOd9vUOMlHE8/edit?usp=drivesdk","Al-Wildan 1 Gading Serpong_Misbahul Jannah S.Farm_")</f>
        <v>Al-Wildan 1 Gading Serpong_Misbahul Jannah S.Farm_</v>
      </c>
      <c r="AP281" s="1" t="s">
        <v>4662</v>
      </c>
    </row>
    <row r="282">
      <c r="A282" s="6">
        <v>44312.63414587963</v>
      </c>
      <c r="B282" s="7" t="s">
        <v>4663</v>
      </c>
      <c r="C282" s="8" t="s">
        <v>4664</v>
      </c>
      <c r="D282" s="1" t="s">
        <v>4665</v>
      </c>
      <c r="E282" s="9" t="s">
        <v>4666</v>
      </c>
      <c r="F282" s="1" t="s">
        <v>4667</v>
      </c>
      <c r="G282" s="1" t="s">
        <v>4668</v>
      </c>
      <c r="H282" s="1" t="s">
        <v>169</v>
      </c>
      <c r="I282" s="9" t="s">
        <v>4669</v>
      </c>
      <c r="J282" s="1" t="s">
        <v>4670</v>
      </c>
      <c r="K282" s="1" t="s">
        <v>102</v>
      </c>
      <c r="L282" s="1" t="s">
        <v>103</v>
      </c>
      <c r="M282" s="1" t="s">
        <v>377</v>
      </c>
      <c r="O282" s="1" t="s">
        <v>1693</v>
      </c>
      <c r="P282" s="1" t="s">
        <v>128</v>
      </c>
      <c r="Q282" s="1" t="s">
        <v>4671</v>
      </c>
      <c r="R282" s="1" t="s">
        <v>259</v>
      </c>
      <c r="S282" s="1" t="s">
        <v>4672</v>
      </c>
      <c r="Z282" s="1" t="s">
        <v>4673</v>
      </c>
      <c r="AA282" s="1" t="s">
        <v>4674</v>
      </c>
      <c r="AF282" s="10">
        <v>4700000.0</v>
      </c>
      <c r="AG282" s="9" t="s">
        <v>4675</v>
      </c>
      <c r="AI282" s="1" t="s">
        <v>178</v>
      </c>
      <c r="AJ282" s="1">
        <v>165.0</v>
      </c>
      <c r="AK282" s="1">
        <v>57.0</v>
      </c>
      <c r="AL282" s="3"/>
      <c r="AM282" s="1" t="s">
        <v>4676</v>
      </c>
      <c r="AN282" s="7" t="s">
        <v>4677</v>
      </c>
      <c r="AO282" s="8" t="str">
        <f>HYPERLINK("https://docs.google.com/document/d/1Sr9RjkL8RyDtNGgDoNnCVauSfIOSo9yQGGkTk7Gp0Ks/edit?usp=drivesdk","Al-Wildan 3 BSD_Abdul Hanan_")</f>
        <v>Al-Wildan 3 BSD_Abdul Hanan_</v>
      </c>
      <c r="AP282" s="1" t="s">
        <v>4678</v>
      </c>
    </row>
    <row r="283">
      <c r="A283" s="6">
        <v>44312.63876596065</v>
      </c>
      <c r="B283" s="7" t="s">
        <v>4679</v>
      </c>
      <c r="C283" s="8" t="s">
        <v>4680</v>
      </c>
      <c r="D283" s="1" t="s">
        <v>4681</v>
      </c>
      <c r="E283" s="9" t="s">
        <v>4682</v>
      </c>
      <c r="F283" s="1" t="s">
        <v>4683</v>
      </c>
      <c r="G283" s="1" t="s">
        <v>4684</v>
      </c>
      <c r="H283" s="1" t="s">
        <v>99</v>
      </c>
      <c r="I283" s="9" t="s">
        <v>4685</v>
      </c>
      <c r="J283" s="1">
        <v>42.0</v>
      </c>
      <c r="K283" s="1" t="s">
        <v>102</v>
      </c>
      <c r="L283" s="1" t="s">
        <v>103</v>
      </c>
      <c r="M283" s="1" t="s">
        <v>377</v>
      </c>
      <c r="O283" s="1" t="s">
        <v>1693</v>
      </c>
      <c r="P283" s="1" t="s">
        <v>107</v>
      </c>
      <c r="Q283" s="1" t="s">
        <v>4686</v>
      </c>
      <c r="R283" s="1" t="s">
        <v>4687</v>
      </c>
      <c r="S283" s="1" t="s">
        <v>4462</v>
      </c>
      <c r="Z283" s="1" t="s">
        <v>2805</v>
      </c>
      <c r="AA283" s="10">
        <v>3000000.0</v>
      </c>
      <c r="AF283" s="10">
        <v>5000000.0</v>
      </c>
      <c r="AG283" s="1">
        <v>1.037889403E9</v>
      </c>
      <c r="AI283" s="1" t="s">
        <v>4688</v>
      </c>
      <c r="AJ283" s="1">
        <v>168.0</v>
      </c>
      <c r="AK283" s="1">
        <v>70.0</v>
      </c>
      <c r="AL283" s="3"/>
      <c r="AM283" s="1" t="s">
        <v>4689</v>
      </c>
      <c r="AN283" s="7" t="s">
        <v>4690</v>
      </c>
      <c r="AO283" s="8" t="str">
        <f>HYPERLINK("https://docs.google.com/document/d/1QkddpbUPuAiCdGzmwjA_U5hExbIxGEdQKBWWXeXQix4/edit?usp=drivesdk","Al-Wildan 1 Gading Serpong_Ahmad Jahruddin, SP_")</f>
        <v>Al-Wildan 1 Gading Serpong_Ahmad Jahruddin, SP_</v>
      </c>
      <c r="AP283" s="1" t="s">
        <v>4691</v>
      </c>
    </row>
    <row r="284">
      <c r="A284" s="6">
        <v>44334.39978910879</v>
      </c>
      <c r="B284" s="7" t="s">
        <v>4692</v>
      </c>
      <c r="C284" s="8" t="s">
        <v>4693</v>
      </c>
      <c r="D284" s="1" t="s">
        <v>4694</v>
      </c>
      <c r="E284" s="9" t="s">
        <v>4695</v>
      </c>
      <c r="F284" s="1" t="s">
        <v>4696</v>
      </c>
      <c r="G284" s="1" t="s">
        <v>4697</v>
      </c>
      <c r="H284" s="1" t="s">
        <v>169</v>
      </c>
      <c r="I284" s="9" t="s">
        <v>4698</v>
      </c>
      <c r="J284" s="1" t="s">
        <v>1557</v>
      </c>
      <c r="K284" s="1" t="s">
        <v>151</v>
      </c>
      <c r="L284" s="1" t="s">
        <v>103</v>
      </c>
      <c r="M284" s="1" t="s">
        <v>1692</v>
      </c>
      <c r="O284" s="1" t="s">
        <v>1693</v>
      </c>
      <c r="P284" s="1" t="s">
        <v>128</v>
      </c>
      <c r="Q284" s="1" t="s">
        <v>4699</v>
      </c>
      <c r="R284" s="1" t="s">
        <v>4700</v>
      </c>
      <c r="S284" s="1" t="s">
        <v>4701</v>
      </c>
      <c r="Z284" s="1" t="s">
        <v>4702</v>
      </c>
      <c r="AA284" s="10">
        <v>5500000.0</v>
      </c>
      <c r="AB284" s="1" t="s">
        <v>4703</v>
      </c>
      <c r="AC284" s="10">
        <v>6500000.0</v>
      </c>
      <c r="AD284" s="1" t="s">
        <v>4704</v>
      </c>
      <c r="AE284" s="10">
        <v>7000000.0</v>
      </c>
      <c r="AF284" s="10">
        <v>7000000.0</v>
      </c>
      <c r="AH284" s="1">
        <v>4.740475393E9</v>
      </c>
      <c r="AI284" s="1" t="s">
        <v>4705</v>
      </c>
      <c r="AJ284" s="1">
        <v>173.0</v>
      </c>
      <c r="AK284" s="1">
        <v>75.0</v>
      </c>
      <c r="AL284" s="3"/>
      <c r="AM284" s="1" t="s">
        <v>4706</v>
      </c>
      <c r="AN284" s="7" t="s">
        <v>4707</v>
      </c>
      <c r="AO284" s="8" t="str">
        <f>HYPERLINK("https://docs.google.com/document/d/1yprtjI9fpMGvp6yP4Ezor3pptZaWxNgJqVNrPTS9dok/edit?usp=drivesdk","Al-Wildan 3 BSD_Muhamad Dwiyan Yulio Arifin S.Ds_")</f>
        <v>Al-Wildan 3 BSD_Muhamad Dwiyan Yulio Arifin S.Ds_</v>
      </c>
      <c r="AP284" s="1" t="s">
        <v>4708</v>
      </c>
    </row>
    <row r="285">
      <c r="A285" s="6">
        <v>44341.44908398148</v>
      </c>
      <c r="B285" s="7" t="s">
        <v>4709</v>
      </c>
      <c r="C285" s="8" t="s">
        <v>4710</v>
      </c>
      <c r="D285" s="7" t="s">
        <v>4711</v>
      </c>
      <c r="E285" s="9" t="s">
        <v>4712</v>
      </c>
      <c r="F285" s="1">
        <v>3.32003040290003E14</v>
      </c>
      <c r="G285" s="1" t="s">
        <v>4713</v>
      </c>
      <c r="H285" s="1" t="s">
        <v>4714</v>
      </c>
      <c r="I285" s="1" t="s">
        <v>4715</v>
      </c>
      <c r="J285" s="1" t="s">
        <v>4716</v>
      </c>
      <c r="K285" s="1" t="s">
        <v>102</v>
      </c>
      <c r="L285" s="1" t="s">
        <v>103</v>
      </c>
      <c r="M285" s="1" t="s">
        <v>104</v>
      </c>
      <c r="N285" s="1" t="s">
        <v>4717</v>
      </c>
      <c r="O285" s="1" t="s">
        <v>127</v>
      </c>
      <c r="P285" s="1" t="s">
        <v>107</v>
      </c>
      <c r="Q285" s="1" t="s">
        <v>192</v>
      </c>
      <c r="R285" s="1" t="s">
        <v>193</v>
      </c>
      <c r="S285" s="1">
        <v>3.65</v>
      </c>
      <c r="T285" s="1" t="s">
        <v>217</v>
      </c>
      <c r="U285" s="1" t="s">
        <v>217</v>
      </c>
      <c r="V285" s="1" t="s">
        <v>217</v>
      </c>
      <c r="W285" s="1" t="s">
        <v>217</v>
      </c>
      <c r="X285" s="1" t="s">
        <v>217</v>
      </c>
      <c r="Y285" s="1">
        <v>0.0</v>
      </c>
      <c r="Z285" s="1" t="s">
        <v>4718</v>
      </c>
      <c r="AA285" s="10">
        <v>3500000.0</v>
      </c>
      <c r="AB285" s="1" t="s">
        <v>4719</v>
      </c>
      <c r="AC285" s="1" t="s">
        <v>4720</v>
      </c>
      <c r="AD285" s="1" t="s">
        <v>217</v>
      </c>
      <c r="AE285" s="1" t="s">
        <v>217</v>
      </c>
      <c r="AF285" s="1" t="s">
        <v>4721</v>
      </c>
      <c r="AG285" s="1">
        <v>7.622190801E11</v>
      </c>
      <c r="AH285" s="9" t="s">
        <v>4722</v>
      </c>
      <c r="AI285" s="1" t="s">
        <v>4723</v>
      </c>
      <c r="AJ285" s="1">
        <v>162.0</v>
      </c>
      <c r="AK285" s="1">
        <v>50.0</v>
      </c>
      <c r="AL285" s="3"/>
      <c r="AM285" s="1" t="s">
        <v>4724</v>
      </c>
      <c r="AN285" s="7" t="s">
        <v>4725</v>
      </c>
      <c r="AO285" s="8" t="str">
        <f>HYPERLINK("https://docs.google.com/document/d/16eNUbD8K39rOf81icESx1-WUy8RbWzI-ImUIceZCn7g/edit?usp=drivesdk","Al-Wildan 1 Gading Serpong_Syaifuddin.Lc_Ulum syar'i / diniyah")</f>
        <v>Al-Wildan 1 Gading Serpong_Syaifuddin.Lc_Ulum syar'i / diniyah</v>
      </c>
      <c r="AP285" s="1" t="s">
        <v>4726</v>
      </c>
    </row>
    <row r="286">
      <c r="A286" s="6">
        <v>44348.429714224534</v>
      </c>
      <c r="B286" s="7" t="s">
        <v>4727</v>
      </c>
      <c r="C286" s="8" t="s">
        <v>4728</v>
      </c>
      <c r="D286" s="1" t="s">
        <v>4729</v>
      </c>
      <c r="E286" s="9" t="s">
        <v>4730</v>
      </c>
      <c r="F286" s="1" t="s">
        <v>4731</v>
      </c>
      <c r="G286" s="1" t="s">
        <v>4732</v>
      </c>
      <c r="H286" s="1" t="s">
        <v>4733</v>
      </c>
      <c r="I286" s="1">
        <v>2.6031978E7</v>
      </c>
      <c r="J286" s="1" t="s">
        <v>4734</v>
      </c>
      <c r="K286" s="1" t="s">
        <v>102</v>
      </c>
      <c r="L286" s="1" t="s">
        <v>103</v>
      </c>
      <c r="M286" s="1" t="s">
        <v>1692</v>
      </c>
      <c r="O286" s="1" t="s">
        <v>1693</v>
      </c>
      <c r="P286" s="1" t="s">
        <v>107</v>
      </c>
      <c r="Q286" s="1" t="s">
        <v>1694</v>
      </c>
      <c r="R286" s="1" t="s">
        <v>4735</v>
      </c>
      <c r="S286" s="9" t="s">
        <v>4736</v>
      </c>
      <c r="Z286" s="1" t="s">
        <v>4737</v>
      </c>
      <c r="AA286" s="10">
        <v>7000000.0</v>
      </c>
      <c r="AF286" s="10">
        <v>7200000.0</v>
      </c>
      <c r="AG286" s="9" t="s">
        <v>4738</v>
      </c>
      <c r="AI286" s="1" t="s">
        <v>4739</v>
      </c>
      <c r="AJ286" s="1">
        <v>170.0</v>
      </c>
      <c r="AK286" s="1">
        <v>60.0</v>
      </c>
      <c r="AL286" s="3"/>
      <c r="AM286" s="1" t="s">
        <v>4740</v>
      </c>
      <c r="AN286" s="7" t="s">
        <v>4741</v>
      </c>
      <c r="AO286" s="8" t="str">
        <f>HYPERLINK("https://docs.google.com/document/d/1gBnPWJ7fmuvDGeZG0BJ_g5gj5BdWvan8HLkc7fQWG_w/edit?usp=drivesdk","Al-Wildan 1 Gading Serpong_Sandi Ginanjar_")</f>
        <v>Al-Wildan 1 Gading Serpong_Sandi Ginanjar_</v>
      </c>
      <c r="AP286" s="1" t="s">
        <v>4742</v>
      </c>
    </row>
    <row r="287">
      <c r="A287" s="6">
        <v>44351.46493346065</v>
      </c>
      <c r="B287" s="7" t="s">
        <v>4743</v>
      </c>
      <c r="C287" s="8" t="s">
        <v>4744</v>
      </c>
      <c r="D287" s="1" t="s">
        <v>4745</v>
      </c>
      <c r="E287" s="9" t="s">
        <v>4746</v>
      </c>
      <c r="F287" s="1" t="s">
        <v>4747</v>
      </c>
      <c r="G287" s="1" t="s">
        <v>4748</v>
      </c>
      <c r="H287" s="1" t="s">
        <v>169</v>
      </c>
      <c r="I287" s="1" t="s">
        <v>4749</v>
      </c>
      <c r="J287" s="1" t="s">
        <v>1519</v>
      </c>
      <c r="K287" s="1" t="s">
        <v>102</v>
      </c>
      <c r="L287" s="1" t="s">
        <v>256</v>
      </c>
      <c r="M287" s="1" t="s">
        <v>104</v>
      </c>
      <c r="N287" s="1" t="s">
        <v>1275</v>
      </c>
      <c r="O287" s="1" t="s">
        <v>236</v>
      </c>
      <c r="P287" s="1" t="s">
        <v>107</v>
      </c>
      <c r="Q287" s="1" t="s">
        <v>153</v>
      </c>
      <c r="R287" s="1" t="s">
        <v>989</v>
      </c>
      <c r="S287" s="1" t="s">
        <v>4750</v>
      </c>
      <c r="T287" s="1" t="s">
        <v>108</v>
      </c>
      <c r="U287" s="1" t="s">
        <v>989</v>
      </c>
      <c r="V287" s="1" t="s">
        <v>4751</v>
      </c>
      <c r="Z287" s="1" t="s">
        <v>4752</v>
      </c>
      <c r="AA287" s="10">
        <v>4000000.0</v>
      </c>
      <c r="AB287" s="1" t="s">
        <v>4753</v>
      </c>
      <c r="AC287" s="10">
        <v>1500000.0</v>
      </c>
      <c r="AF287" s="10">
        <v>5000000.0</v>
      </c>
      <c r="AG287" s="9" t="s">
        <v>4754</v>
      </c>
      <c r="AI287" s="1" t="s">
        <v>178</v>
      </c>
      <c r="AJ287" s="1">
        <v>155.0</v>
      </c>
      <c r="AK287" s="1">
        <v>41.0</v>
      </c>
      <c r="AL287" s="3"/>
      <c r="AM287" s="1" t="s">
        <v>4755</v>
      </c>
      <c r="AN287" s="7" t="s">
        <v>4756</v>
      </c>
      <c r="AO287" s="8" t="str">
        <f>HYPERLINK("https://docs.google.com/document/d/1_BtTE32Ws8o5NbETRNtGgX_S3jgomQ0sZzGZGbwh-ZY/edit?usp=drivesdk","Al-Wildan 1 Gading Serpong_Dwi Puji Rizkiandini, M.Pd_Biologi")</f>
        <v>Al-Wildan 1 Gading Serpong_Dwi Puji Rizkiandini, M.Pd_Biologi</v>
      </c>
      <c r="AP287" s="1" t="s">
        <v>4757</v>
      </c>
    </row>
    <row r="288">
      <c r="A288" s="6">
        <v>44351.57750893518</v>
      </c>
      <c r="B288" s="7" t="s">
        <v>4758</v>
      </c>
      <c r="C288" s="8" t="s">
        <v>4759</v>
      </c>
      <c r="D288" s="1" t="s">
        <v>4760</v>
      </c>
      <c r="E288" s="9" t="s">
        <v>4761</v>
      </c>
      <c r="F288" s="1" t="s">
        <v>4762</v>
      </c>
      <c r="G288" s="1" t="s">
        <v>3157</v>
      </c>
      <c r="H288" s="1" t="s">
        <v>1975</v>
      </c>
      <c r="I288" s="9" t="s">
        <v>4763</v>
      </c>
      <c r="J288" s="1" t="s">
        <v>724</v>
      </c>
      <c r="K288" s="1" t="s">
        <v>102</v>
      </c>
      <c r="L288" s="1" t="s">
        <v>103</v>
      </c>
      <c r="M288" s="1" t="s">
        <v>104</v>
      </c>
      <c r="N288" s="1" t="s">
        <v>1275</v>
      </c>
      <c r="O288" s="1" t="s">
        <v>236</v>
      </c>
      <c r="P288" s="1" t="s">
        <v>128</v>
      </c>
      <c r="Q288" s="1" t="s">
        <v>4764</v>
      </c>
      <c r="R288" s="1" t="s">
        <v>1523</v>
      </c>
      <c r="S288" s="9" t="s">
        <v>2722</v>
      </c>
      <c r="Z288" s="1" t="s">
        <v>4765</v>
      </c>
      <c r="AA288" s="10">
        <v>3000000.0</v>
      </c>
      <c r="AF288" s="1">
        <v>5000000.0</v>
      </c>
      <c r="AG288" s="1">
        <v>7.58935125E8</v>
      </c>
      <c r="AI288" s="1" t="s">
        <v>4766</v>
      </c>
      <c r="AJ288" s="1">
        <v>165.0</v>
      </c>
      <c r="AK288" s="1">
        <v>65.0</v>
      </c>
      <c r="AL288" s="3"/>
      <c r="AM288" s="1" t="s">
        <v>4767</v>
      </c>
      <c r="AN288" s="7" t="s">
        <v>4768</v>
      </c>
      <c r="AO288" s="8" t="str">
        <f>HYPERLINK("https://docs.google.com/document/d/1M12K_RZEdy3V-H0t7g34n4RkwfBKmyOkhldUctq9EZI/edit?usp=drivesdk","Al-Wildan 3 BSD_Edy Sudrajat, S.Si._Biologi")</f>
        <v>Al-Wildan 3 BSD_Edy Sudrajat, S.Si._Biologi</v>
      </c>
      <c r="AP288" s="1" t="s">
        <v>4769</v>
      </c>
    </row>
    <row r="289">
      <c r="A289" s="6">
        <v>44352.345610648146</v>
      </c>
      <c r="B289" s="7" t="s">
        <v>4770</v>
      </c>
      <c r="C289" s="8" t="s">
        <v>4771</v>
      </c>
      <c r="D289" s="1" t="s">
        <v>4772</v>
      </c>
      <c r="E289" s="9" t="s">
        <v>4773</v>
      </c>
      <c r="F289" s="1" t="s">
        <v>4774</v>
      </c>
      <c r="G289" s="1" t="s">
        <v>4775</v>
      </c>
      <c r="H289" s="1" t="s">
        <v>2689</v>
      </c>
      <c r="I289" s="9" t="s">
        <v>4776</v>
      </c>
      <c r="J289" s="1" t="s">
        <v>4777</v>
      </c>
      <c r="K289" s="1" t="s">
        <v>151</v>
      </c>
      <c r="L289" s="1" t="s">
        <v>103</v>
      </c>
      <c r="M289" s="1" t="s">
        <v>104</v>
      </c>
      <c r="N289" s="1" t="s">
        <v>1275</v>
      </c>
      <c r="O289" s="1" t="s">
        <v>127</v>
      </c>
      <c r="P289" s="1" t="s">
        <v>128</v>
      </c>
      <c r="Q289" s="1" t="s">
        <v>2927</v>
      </c>
      <c r="R289" s="1" t="s">
        <v>4778</v>
      </c>
      <c r="S289" s="1" t="s">
        <v>110</v>
      </c>
      <c r="T289" s="1" t="s">
        <v>217</v>
      </c>
      <c r="U289" s="1" t="s">
        <v>217</v>
      </c>
      <c r="V289" s="1" t="s">
        <v>217</v>
      </c>
      <c r="W289" s="1" t="s">
        <v>217</v>
      </c>
      <c r="X289" s="1" t="s">
        <v>217</v>
      </c>
      <c r="Z289" s="1" t="s">
        <v>4779</v>
      </c>
      <c r="AA289" s="10">
        <v>1500000.0</v>
      </c>
      <c r="AB289" s="1" t="s">
        <v>4780</v>
      </c>
      <c r="AC289" s="10">
        <v>1765000.0</v>
      </c>
      <c r="AD289" s="1" t="s">
        <v>217</v>
      </c>
      <c r="AE289" s="1" t="s">
        <v>217</v>
      </c>
      <c r="AF289" s="10">
        <v>3200000.0</v>
      </c>
      <c r="AG289" s="9" t="s">
        <v>4781</v>
      </c>
      <c r="AJ289" s="1">
        <v>157.0</v>
      </c>
      <c r="AK289" s="1">
        <v>50.0</v>
      </c>
      <c r="AL289" s="3"/>
      <c r="AM289" s="1" t="s">
        <v>4782</v>
      </c>
      <c r="AN289" s="7" t="s">
        <v>4783</v>
      </c>
      <c r="AO289" s="8" t="str">
        <f>HYPERLINK("https://docs.google.com/document/d/1QOpwynkhm74O_FT2P7Pzhxi3PwDAGvGKwGgKUI3sD5Y/edit?usp=drivesdk","Al-Wildan 3 BSD_Melati Puspadewi, S.Si._Biologi")</f>
        <v>Al-Wildan 3 BSD_Melati Puspadewi, S.Si._Biologi</v>
      </c>
      <c r="AP289" s="1" t="s">
        <v>4784</v>
      </c>
    </row>
    <row r="290">
      <c r="A290" s="6">
        <v>44370.88377929398</v>
      </c>
      <c r="B290" s="7" t="s">
        <v>4785</v>
      </c>
      <c r="C290" s="8" t="s">
        <v>4786</v>
      </c>
      <c r="D290" s="1" t="s">
        <v>4787</v>
      </c>
      <c r="E290" s="9" t="s">
        <v>4788</v>
      </c>
      <c r="F290" s="1" t="s">
        <v>4789</v>
      </c>
      <c r="G290" s="1" t="s">
        <v>4790</v>
      </c>
      <c r="H290" s="1" t="s">
        <v>169</v>
      </c>
      <c r="I290" s="9" t="s">
        <v>4791</v>
      </c>
      <c r="J290" s="1" t="s">
        <v>628</v>
      </c>
      <c r="K290" s="1" t="s">
        <v>102</v>
      </c>
      <c r="L290" s="1" t="s">
        <v>103</v>
      </c>
      <c r="M290" s="1" t="s">
        <v>104</v>
      </c>
      <c r="N290" s="1" t="s">
        <v>1634</v>
      </c>
      <c r="O290" s="1" t="s">
        <v>127</v>
      </c>
      <c r="P290" s="1" t="s">
        <v>128</v>
      </c>
      <c r="Q290" s="1" t="s">
        <v>4792</v>
      </c>
      <c r="R290" s="1" t="s">
        <v>4793</v>
      </c>
      <c r="S290" s="1" t="s">
        <v>4794</v>
      </c>
      <c r="AG290" s="9" t="s">
        <v>4795</v>
      </c>
      <c r="AI290" s="1" t="s">
        <v>993</v>
      </c>
      <c r="AJ290" s="1">
        <v>156.0</v>
      </c>
      <c r="AK290" s="1">
        <v>49.0</v>
      </c>
      <c r="AL290" s="3"/>
      <c r="AM290" s="1" t="s">
        <v>4796</v>
      </c>
      <c r="AN290" s="7" t="s">
        <v>4797</v>
      </c>
      <c r="AO290" s="8" t="str">
        <f>HYPERLINK("https://docs.google.com/document/d/1cq-UpJZ7EN_fjLos7EFv4y2cIu78Zxs_clKM-ew7WvI/edit?usp=drivesdk","Al-Wildan 3 BSD_Jundi jundullah LC_Diniyah")</f>
        <v>Al-Wildan 3 BSD_Jundi jundullah LC_Diniyah</v>
      </c>
      <c r="AP290" s="1" t="s">
        <v>4798</v>
      </c>
    </row>
    <row r="291">
      <c r="A291" s="6">
        <v>44381.51086895833</v>
      </c>
      <c r="B291" s="7" t="s">
        <v>4799</v>
      </c>
      <c r="C291" s="8" t="s">
        <v>4800</v>
      </c>
      <c r="D291" s="1" t="s">
        <v>4801</v>
      </c>
      <c r="E291" s="9" t="s">
        <v>4802</v>
      </c>
      <c r="F291" s="1" t="s">
        <v>4803</v>
      </c>
      <c r="G291" s="1" t="s">
        <v>169</v>
      </c>
      <c r="H291" s="1" t="s">
        <v>169</v>
      </c>
      <c r="I291" s="9" t="s">
        <v>1169</v>
      </c>
      <c r="J291" s="1" t="s">
        <v>3942</v>
      </c>
      <c r="K291" s="1" t="s">
        <v>151</v>
      </c>
      <c r="L291" s="1" t="s">
        <v>103</v>
      </c>
      <c r="M291" s="1" t="s">
        <v>104</v>
      </c>
      <c r="N291" s="1" t="s">
        <v>4804</v>
      </c>
      <c r="O291" s="1" t="s">
        <v>236</v>
      </c>
      <c r="P291" s="1" t="s">
        <v>128</v>
      </c>
      <c r="Q291" s="1" t="s">
        <v>192</v>
      </c>
      <c r="R291" s="1" t="s">
        <v>4805</v>
      </c>
      <c r="S291" s="1" t="s">
        <v>4806</v>
      </c>
      <c r="Z291" s="1" t="s">
        <v>4807</v>
      </c>
      <c r="AA291" s="10">
        <v>500000.0</v>
      </c>
      <c r="AB291" s="1" t="s">
        <v>4808</v>
      </c>
      <c r="AC291" s="1" t="s">
        <v>4809</v>
      </c>
      <c r="AF291" s="1" t="s">
        <v>4810</v>
      </c>
      <c r="AG291" s="1">
        <v>6.92846862E8</v>
      </c>
      <c r="AJ291" s="1">
        <v>174.0</v>
      </c>
      <c r="AK291" s="1">
        <v>64.0</v>
      </c>
      <c r="AL291" s="3"/>
      <c r="AM291" s="1" t="s">
        <v>4811</v>
      </c>
      <c r="AN291" s="7" t="s">
        <v>4812</v>
      </c>
      <c r="AO291" s="8" t="str">
        <f>HYPERLINK("https://docs.google.com/document/d/12ZdZ4CMF39zlQUs0xRxUulBP_H6EZxVcLrjgOen1gh8/edit?usp=drivesdk","Al-Wildan 3 BSD_Anas Daud Rasyid,Lc._Bahasas arab ( Nahwu, dll)")</f>
        <v>Al-Wildan 3 BSD_Anas Daud Rasyid,Lc._Bahasas arab ( Nahwu, dll)</v>
      </c>
      <c r="AP291" s="1" t="s">
        <v>4813</v>
      </c>
    </row>
    <row r="292">
      <c r="A292" s="6">
        <v>44381.91980472222</v>
      </c>
      <c r="B292" s="7" t="s">
        <v>4814</v>
      </c>
      <c r="C292" s="8" t="s">
        <v>4815</v>
      </c>
      <c r="D292" s="1" t="s">
        <v>4816</v>
      </c>
      <c r="E292" s="9" t="s">
        <v>4817</v>
      </c>
      <c r="F292" s="1" t="s">
        <v>4818</v>
      </c>
      <c r="G292" s="1" t="s">
        <v>4819</v>
      </c>
      <c r="H292" s="1" t="s">
        <v>169</v>
      </c>
      <c r="I292" s="9" t="s">
        <v>1556</v>
      </c>
      <c r="J292" s="1" t="s">
        <v>628</v>
      </c>
      <c r="K292" s="1" t="s">
        <v>102</v>
      </c>
      <c r="L292" s="1" t="s">
        <v>103</v>
      </c>
      <c r="M292" s="1" t="s">
        <v>104</v>
      </c>
      <c r="N292" s="1" t="s">
        <v>105</v>
      </c>
      <c r="O292" s="1" t="s">
        <v>127</v>
      </c>
      <c r="P292" s="1" t="s">
        <v>128</v>
      </c>
      <c r="Q292" s="1" t="s">
        <v>153</v>
      </c>
      <c r="R292" s="1" t="s">
        <v>109</v>
      </c>
      <c r="S292" s="1">
        <v>3.32</v>
      </c>
      <c r="Z292" s="1" t="s">
        <v>4820</v>
      </c>
      <c r="AA292" s="1" t="s">
        <v>4821</v>
      </c>
      <c r="AF292" s="1" t="s">
        <v>4822</v>
      </c>
      <c r="AH292" s="1">
        <v>5.395071553E9</v>
      </c>
      <c r="AI292" s="1" t="s">
        <v>222</v>
      </c>
      <c r="AJ292" s="1">
        <v>155.0</v>
      </c>
      <c r="AK292" s="1">
        <v>53.0</v>
      </c>
      <c r="AL292" s="3"/>
      <c r="AM292" s="1" t="s">
        <v>4823</v>
      </c>
      <c r="AN292" s="7" t="s">
        <v>4824</v>
      </c>
      <c r="AO292" s="8" t="str">
        <f>HYPERLINK("https://docs.google.com/document/d/1noHjAItxnoQOoezULaVObZl6-TQBe3dW1lbHfFLo134/edit?usp=drivesdk","Al-Wildan 3 BSD_Diniek Wahyuni, S.Pd._Bahasa Indonesia")</f>
        <v>Al-Wildan 3 BSD_Diniek Wahyuni, S.Pd._Bahasa Indonesia</v>
      </c>
      <c r="AP292" s="1" t="s">
        <v>4825</v>
      </c>
    </row>
    <row r="293">
      <c r="A293" s="6">
        <v>44382.04547265046</v>
      </c>
      <c r="B293" s="7" t="s">
        <v>4826</v>
      </c>
      <c r="C293" s="8" t="s">
        <v>4827</v>
      </c>
      <c r="D293" s="1" t="s">
        <v>4828</v>
      </c>
      <c r="E293" s="9" t="s">
        <v>4829</v>
      </c>
      <c r="F293" s="1" t="s">
        <v>4830</v>
      </c>
      <c r="G293" s="1" t="s">
        <v>4831</v>
      </c>
      <c r="H293" s="1" t="s">
        <v>4832</v>
      </c>
      <c r="I293" s="9" t="s">
        <v>4833</v>
      </c>
      <c r="J293" s="1" t="s">
        <v>4834</v>
      </c>
      <c r="K293" s="1" t="s">
        <v>151</v>
      </c>
      <c r="L293" s="1" t="s">
        <v>310</v>
      </c>
      <c r="M293" s="1" t="s">
        <v>104</v>
      </c>
      <c r="N293" s="1" t="s">
        <v>4835</v>
      </c>
      <c r="O293" s="1" t="s">
        <v>312</v>
      </c>
      <c r="P293" s="1" t="s">
        <v>107</v>
      </c>
      <c r="Q293" s="1" t="s">
        <v>4836</v>
      </c>
      <c r="R293" s="1" t="s">
        <v>4837</v>
      </c>
      <c r="S293" s="1" t="s">
        <v>3589</v>
      </c>
      <c r="Z293" s="1" t="s">
        <v>4838</v>
      </c>
      <c r="AA293" s="10">
        <v>5500000.0</v>
      </c>
      <c r="AB293" s="1" t="s">
        <v>4839</v>
      </c>
      <c r="AC293" s="10">
        <v>4500000.0</v>
      </c>
      <c r="AF293" s="10">
        <v>8000000.0</v>
      </c>
      <c r="AG293" s="9" t="s">
        <v>4840</v>
      </c>
      <c r="AI293" s="1" t="s">
        <v>178</v>
      </c>
      <c r="AJ293" s="1">
        <v>155.0</v>
      </c>
      <c r="AK293" s="1">
        <v>60.0</v>
      </c>
      <c r="AL293" s="3"/>
      <c r="AM293" s="1" t="s">
        <v>4841</v>
      </c>
      <c r="AN293" s="7" t="s">
        <v>4842</v>
      </c>
      <c r="AO293" s="8" t="str">
        <f>HYPERLINK("https://docs.google.com/document/d/1bWYaTVxM2TKYs90ngt4tBsZRb8_u5FL6S_9pY-v7vh0/edit?usp=drivesdk","Al-Wildan 1 Gading Serpong_Ade Irma Rahmawati, S.Si_Chemistry- Science")</f>
        <v>Al-Wildan 1 Gading Serpong_Ade Irma Rahmawati, S.Si_Chemistry- Science</v>
      </c>
      <c r="AP293" s="1" t="s">
        <v>4843</v>
      </c>
    </row>
    <row r="294">
      <c r="A294" s="6">
        <v>44382.35899634259</v>
      </c>
      <c r="B294" s="7" t="s">
        <v>4844</v>
      </c>
      <c r="C294" s="8" t="s">
        <v>4845</v>
      </c>
      <c r="D294" s="1" t="s">
        <v>4846</v>
      </c>
      <c r="E294" s="9" t="s">
        <v>4847</v>
      </c>
      <c r="F294" s="1" t="s">
        <v>4848</v>
      </c>
      <c r="G294" s="1" t="s">
        <v>4849</v>
      </c>
      <c r="H294" s="1" t="s">
        <v>4850</v>
      </c>
      <c r="I294" s="9" t="s">
        <v>4851</v>
      </c>
      <c r="J294" s="1" t="s">
        <v>3221</v>
      </c>
      <c r="K294" s="1" t="s">
        <v>102</v>
      </c>
      <c r="L294" s="1" t="s">
        <v>103</v>
      </c>
      <c r="M294" s="1" t="s">
        <v>104</v>
      </c>
      <c r="N294" s="1" t="s">
        <v>105</v>
      </c>
      <c r="O294" s="1" t="s">
        <v>127</v>
      </c>
      <c r="P294" s="1" t="s">
        <v>237</v>
      </c>
      <c r="Q294" s="1" t="s">
        <v>275</v>
      </c>
      <c r="R294" s="1" t="s">
        <v>4852</v>
      </c>
      <c r="S294" s="1" t="s">
        <v>155</v>
      </c>
      <c r="Z294" s="1" t="s">
        <v>4853</v>
      </c>
      <c r="AA294" s="10">
        <v>2500000.0</v>
      </c>
      <c r="AB294" s="1" t="s">
        <v>4854</v>
      </c>
      <c r="AC294" s="10">
        <v>3000000.0</v>
      </c>
      <c r="AD294" s="1" t="s">
        <v>4855</v>
      </c>
      <c r="AE294" s="10">
        <v>6000000.0</v>
      </c>
      <c r="AF294" s="10">
        <v>4000000.0</v>
      </c>
      <c r="AH294" s="1">
        <v>7.101736077E9</v>
      </c>
      <c r="AI294" s="1" t="s">
        <v>4856</v>
      </c>
      <c r="AJ294" s="1">
        <v>156.0</v>
      </c>
      <c r="AK294" s="1">
        <v>56.0</v>
      </c>
      <c r="AL294" s="3"/>
      <c r="AM294" s="1" t="s">
        <v>4857</v>
      </c>
      <c r="AN294" s="7" t="s">
        <v>4858</v>
      </c>
      <c r="AO294" s="8" t="str">
        <f>HYPERLINK("https://docs.google.com/document/d/1iJ6vaKqqIolSRfAsGCxtGKJVMEfRLr5ptKIKWjaYXE4/edit?usp=drivesdk","Al-Wildan 4 Lebak Bulus_Tiya Noviyasari, S. Hum._Bahasa Indonesia")</f>
        <v>Al-Wildan 4 Lebak Bulus_Tiya Noviyasari, S. Hum._Bahasa Indonesia</v>
      </c>
      <c r="AP294" s="1" t="s">
        <v>4859</v>
      </c>
    </row>
    <row r="295">
      <c r="A295" s="6">
        <v>44383.37801001157</v>
      </c>
      <c r="B295" s="7" t="s">
        <v>4860</v>
      </c>
      <c r="C295" s="8" t="s">
        <v>4861</v>
      </c>
      <c r="D295" s="1" t="s">
        <v>4862</v>
      </c>
      <c r="E295" s="1" t="s">
        <v>4863</v>
      </c>
      <c r="F295" s="1" t="s">
        <v>4864</v>
      </c>
      <c r="G295" s="1" t="s">
        <v>4865</v>
      </c>
      <c r="H295" s="1" t="s">
        <v>4866</v>
      </c>
      <c r="I295" s="1" t="s">
        <v>4867</v>
      </c>
      <c r="J295" s="1">
        <v>32.0</v>
      </c>
      <c r="K295" s="1" t="s">
        <v>102</v>
      </c>
      <c r="L295" s="1" t="s">
        <v>310</v>
      </c>
      <c r="M295" s="1" t="s">
        <v>104</v>
      </c>
      <c r="N295" s="1" t="s">
        <v>771</v>
      </c>
      <c r="O295" s="1" t="s">
        <v>312</v>
      </c>
      <c r="P295" s="1" t="s">
        <v>107</v>
      </c>
      <c r="Q295" s="1" t="s">
        <v>4868</v>
      </c>
      <c r="R295" s="1" t="s">
        <v>4869</v>
      </c>
      <c r="Z295" s="1" t="s">
        <v>4870</v>
      </c>
      <c r="AA295" s="1" t="s">
        <v>4871</v>
      </c>
      <c r="AB295" s="1" t="s">
        <v>4872</v>
      </c>
      <c r="AC295" s="1" t="s">
        <v>4873</v>
      </c>
      <c r="AD295" s="1" t="s">
        <v>4874</v>
      </c>
      <c r="AE295" s="1" t="s">
        <v>4875</v>
      </c>
      <c r="AF295" s="1" t="s">
        <v>4876</v>
      </c>
      <c r="AJ295" s="1">
        <v>166.0</v>
      </c>
      <c r="AK295" s="1">
        <v>66.0</v>
      </c>
      <c r="AL295" s="3"/>
      <c r="AM295" s="1" t="s">
        <v>4877</v>
      </c>
      <c r="AN295" s="7" t="s">
        <v>4878</v>
      </c>
      <c r="AO295" s="8" t="str">
        <f>HYPERLINK("https://docs.google.com/document/d/1p-n8bm8GwgC1MAzuzZy83wq7_u0zruF6Dqkxgl5mn30/edit?usp=drivesdk","Al-Wildan 1 Gading Serpong_Mohamed Hamdy Elsayed_English")</f>
        <v>Al-Wildan 1 Gading Serpong_Mohamed Hamdy Elsayed_English</v>
      </c>
      <c r="AP295" s="1" t="s">
        <v>4879</v>
      </c>
    </row>
    <row r="296">
      <c r="A296" s="6">
        <v>44383.413503055555</v>
      </c>
      <c r="B296" s="7" t="s">
        <v>4880</v>
      </c>
      <c r="C296" s="8" t="s">
        <v>4881</v>
      </c>
      <c r="D296" s="1" t="s">
        <v>4882</v>
      </c>
      <c r="E296" s="9" t="s">
        <v>4883</v>
      </c>
      <c r="F296" s="1" t="s">
        <v>4884</v>
      </c>
      <c r="G296" s="1" t="s">
        <v>4885</v>
      </c>
      <c r="H296" s="1" t="s">
        <v>169</v>
      </c>
      <c r="I296" s="9" t="s">
        <v>4886</v>
      </c>
      <c r="J296" s="1" t="s">
        <v>4887</v>
      </c>
      <c r="K296" s="1" t="s">
        <v>102</v>
      </c>
      <c r="L296" s="1" t="s">
        <v>103</v>
      </c>
      <c r="M296" s="1" t="s">
        <v>104</v>
      </c>
      <c r="N296" s="1" t="s">
        <v>4888</v>
      </c>
      <c r="O296" s="1" t="s">
        <v>236</v>
      </c>
      <c r="P296" s="1" t="s">
        <v>128</v>
      </c>
      <c r="Q296" s="1" t="s">
        <v>1056</v>
      </c>
      <c r="R296" s="1" t="s">
        <v>154</v>
      </c>
      <c r="S296" s="1" t="s">
        <v>4889</v>
      </c>
      <c r="T296" s="1" t="s">
        <v>4890</v>
      </c>
      <c r="U296" s="1" t="s">
        <v>4891</v>
      </c>
      <c r="V296" s="1" t="s">
        <v>4892</v>
      </c>
      <c r="Z296" s="1" t="s">
        <v>4893</v>
      </c>
      <c r="AA296" s="10">
        <v>6201089.0</v>
      </c>
      <c r="AB296" s="1" t="s">
        <v>4894</v>
      </c>
      <c r="AC296" s="10">
        <v>7391806.0</v>
      </c>
      <c r="AF296" s="10">
        <v>8000000.0</v>
      </c>
      <c r="AG296" s="9" t="s">
        <v>4895</v>
      </c>
      <c r="AI296" s="1" t="s">
        <v>178</v>
      </c>
      <c r="AJ296" s="1">
        <v>166.0</v>
      </c>
      <c r="AK296" s="1">
        <v>78.0</v>
      </c>
      <c r="AL296" s="3"/>
      <c r="AM296" s="1" t="s">
        <v>4896</v>
      </c>
      <c r="AN296" s="7" t="s">
        <v>4897</v>
      </c>
      <c r="AO296" s="8" t="str">
        <f>HYPERLINK("https://docs.google.com/document/d/1xCbwAhkk5mKeEk8oCv5lp71arHZgKtK2SsTxd6kNgSA/edit?usp=drivesdk","Al-Wildan 3 BSD_Willy Utomo, M.Si_English (Cambridge AS Level)")</f>
        <v>Al-Wildan 3 BSD_Willy Utomo, M.Si_English (Cambridge AS Level)</v>
      </c>
      <c r="AP296" s="1" t="s">
        <v>4898</v>
      </c>
    </row>
    <row r="297">
      <c r="A297" s="6">
        <v>44383.46343883102</v>
      </c>
      <c r="B297" s="7" t="s">
        <v>4899</v>
      </c>
      <c r="C297" s="8" t="s">
        <v>4900</v>
      </c>
      <c r="D297" s="1" t="s">
        <v>4901</v>
      </c>
      <c r="E297" s="9" t="s">
        <v>4902</v>
      </c>
      <c r="F297" s="1" t="s">
        <v>4903</v>
      </c>
      <c r="G297" s="1" t="s">
        <v>4904</v>
      </c>
      <c r="H297" s="1" t="s">
        <v>4905</v>
      </c>
      <c r="I297" s="9" t="s">
        <v>4906</v>
      </c>
      <c r="J297" s="1" t="s">
        <v>4907</v>
      </c>
      <c r="K297" s="1" t="s">
        <v>151</v>
      </c>
      <c r="L297" s="1" t="s">
        <v>103</v>
      </c>
      <c r="M297" s="1" t="s">
        <v>104</v>
      </c>
      <c r="N297" s="1" t="s">
        <v>771</v>
      </c>
      <c r="O297" s="1" t="s">
        <v>127</v>
      </c>
      <c r="P297" s="1" t="s">
        <v>128</v>
      </c>
      <c r="Q297" s="1" t="s">
        <v>4908</v>
      </c>
      <c r="R297" s="1" t="s">
        <v>4909</v>
      </c>
      <c r="S297" s="1" t="s">
        <v>333</v>
      </c>
      <c r="T297" s="1" t="s">
        <v>217</v>
      </c>
      <c r="U297" s="1" t="s">
        <v>217</v>
      </c>
      <c r="V297" s="1">
        <v>0.0</v>
      </c>
      <c r="W297" s="1" t="s">
        <v>217</v>
      </c>
      <c r="X297" s="1" t="s">
        <v>217</v>
      </c>
      <c r="Y297" s="1">
        <v>0.0</v>
      </c>
      <c r="Z297" s="1" t="s">
        <v>4910</v>
      </c>
      <c r="AA297" s="10">
        <v>4350000.0</v>
      </c>
      <c r="AB297" s="1" t="s">
        <v>4911</v>
      </c>
      <c r="AC297" s="10">
        <v>4200000.0</v>
      </c>
      <c r="AD297" s="1" t="s">
        <v>4912</v>
      </c>
      <c r="AE297" s="10">
        <v>4200000.0</v>
      </c>
      <c r="AF297" s="10">
        <v>4500000.0</v>
      </c>
      <c r="AG297" s="9" t="s">
        <v>4913</v>
      </c>
      <c r="AH297" s="1">
        <v>0.0</v>
      </c>
      <c r="AI297" s="1" t="s">
        <v>178</v>
      </c>
      <c r="AJ297" s="1">
        <v>160.0</v>
      </c>
      <c r="AK297" s="1">
        <v>52.0</v>
      </c>
      <c r="AL297" s="3"/>
      <c r="AM297" s="1" t="s">
        <v>4914</v>
      </c>
      <c r="AN297" s="7" t="s">
        <v>4915</v>
      </c>
      <c r="AO297" s="8" t="str">
        <f>HYPERLINK("https://docs.google.com/document/d/1xMcy-fHIjg_kdhtgfa-Mie4oRmvgUqE_v82S65hgkuc/edit?usp=drivesdk","Al-Wildan 3 BSD_Lukman Bhakti Hudaya, S.Pd_English")</f>
        <v>Al-Wildan 3 BSD_Lukman Bhakti Hudaya, S.Pd_English</v>
      </c>
      <c r="AP297" s="1" t="s">
        <v>4916</v>
      </c>
    </row>
    <row r="298">
      <c r="A298" s="6">
        <v>44386.44212472222</v>
      </c>
      <c r="B298" s="7" t="s">
        <v>4917</v>
      </c>
      <c r="C298" s="8" t="s">
        <v>4918</v>
      </c>
      <c r="D298" s="1" t="s">
        <v>4919</v>
      </c>
      <c r="E298" s="9" t="s">
        <v>4920</v>
      </c>
      <c r="F298" s="1" t="s">
        <v>4921</v>
      </c>
      <c r="G298" s="1" t="s">
        <v>4922</v>
      </c>
      <c r="H298" s="1" t="s">
        <v>169</v>
      </c>
      <c r="I298" s="9" t="s">
        <v>4923</v>
      </c>
      <c r="J298" s="1" t="s">
        <v>4924</v>
      </c>
      <c r="K298" s="1" t="s">
        <v>102</v>
      </c>
      <c r="L298" s="1" t="s">
        <v>310</v>
      </c>
      <c r="M298" s="1" t="s">
        <v>104</v>
      </c>
      <c r="N298" s="1" t="s">
        <v>4925</v>
      </c>
      <c r="O298" s="1" t="s">
        <v>106</v>
      </c>
      <c r="P298" s="1" t="s">
        <v>107</v>
      </c>
      <c r="Q298" s="1" t="s">
        <v>4926</v>
      </c>
      <c r="R298" s="1" t="s">
        <v>4927</v>
      </c>
      <c r="S298" s="1">
        <v>3.42</v>
      </c>
      <c r="Z298" s="1" t="s">
        <v>4928</v>
      </c>
      <c r="AA298" s="10">
        <v>3.0E7</v>
      </c>
      <c r="AB298" s="1" t="s">
        <v>4108</v>
      </c>
      <c r="AC298" s="10">
        <v>4000000.0</v>
      </c>
      <c r="AD298" s="1" t="s">
        <v>629</v>
      </c>
      <c r="AE298" s="10">
        <v>3000000.0</v>
      </c>
      <c r="AF298" s="10">
        <v>1.0E7</v>
      </c>
      <c r="AG298" s="1">
        <v>7.611001111E9</v>
      </c>
      <c r="AI298" s="1" t="s">
        <v>4929</v>
      </c>
      <c r="AJ298" s="1">
        <v>170.0</v>
      </c>
      <c r="AK298" s="1">
        <v>59.0</v>
      </c>
      <c r="AL298" s="3"/>
      <c r="AM298" s="1" t="s">
        <v>4930</v>
      </c>
      <c r="AN298" s="7" t="s">
        <v>4931</v>
      </c>
      <c r="AO298" s="8" t="str">
        <f>HYPERLINK("https://docs.google.com/document/d/1h-Gow7vHSEea2WJLeFXqVQAU12EVPG_LijpwGDbj8L0/edit?usp=drivesdk","Al-Wildan 1 Gading Serpong_Muhamad Taufan SE_Bahasa Inggris, Bahasa Arab, Matematika, Ekonomi")</f>
        <v>Al-Wildan 1 Gading Serpong_Muhamad Taufan SE_Bahasa Inggris, Bahasa Arab, Matematika, Ekonomi</v>
      </c>
      <c r="AP298" s="1" t="s">
        <v>4932</v>
      </c>
    </row>
    <row r="299">
      <c r="A299" s="6">
        <v>44389.31970734954</v>
      </c>
      <c r="B299" s="7" t="s">
        <v>4933</v>
      </c>
      <c r="C299" s="8" t="s">
        <v>4934</v>
      </c>
      <c r="D299" s="1" t="s">
        <v>4935</v>
      </c>
      <c r="E299" s="9" t="s">
        <v>4936</v>
      </c>
      <c r="F299" s="1" t="s">
        <v>4937</v>
      </c>
      <c r="G299" s="1" t="s">
        <v>4938</v>
      </c>
      <c r="H299" s="1" t="s">
        <v>2076</v>
      </c>
      <c r="I299" s="9" t="s">
        <v>4939</v>
      </c>
      <c r="J299" s="1" t="s">
        <v>986</v>
      </c>
      <c r="K299" s="1" t="s">
        <v>151</v>
      </c>
      <c r="L299" s="1" t="s">
        <v>256</v>
      </c>
      <c r="M299" s="1" t="s">
        <v>104</v>
      </c>
      <c r="N299" s="1" t="s">
        <v>771</v>
      </c>
      <c r="O299" s="1" t="s">
        <v>127</v>
      </c>
      <c r="P299" s="1" t="s">
        <v>237</v>
      </c>
      <c r="Q299" s="1" t="s">
        <v>590</v>
      </c>
      <c r="R299" s="1" t="s">
        <v>172</v>
      </c>
      <c r="S299" s="1" t="s">
        <v>442</v>
      </c>
      <c r="Z299" s="1" t="s">
        <v>4940</v>
      </c>
      <c r="AA299" s="10">
        <v>2500000.0</v>
      </c>
      <c r="AH299" s="1">
        <v>1.610006073089E12</v>
      </c>
      <c r="AI299" s="1" t="s">
        <v>4483</v>
      </c>
      <c r="AJ299" s="1">
        <v>154.0</v>
      </c>
      <c r="AK299" s="1">
        <v>48.0</v>
      </c>
      <c r="AL299" s="1" t="s">
        <v>4941</v>
      </c>
      <c r="AM299" s="1" t="s">
        <v>4942</v>
      </c>
      <c r="AN299" s="7" t="s">
        <v>4943</v>
      </c>
      <c r="AO299" s="8" t="str">
        <f>HYPERLINK("https://docs.google.com/document/d/11qr_FUe2wKhmfhPvA6-Wlx50nKsFgFUCjsMp-12EAJE/edit?usp=drivesdk","Al-Wildan 4 Lebak Bulus_Wendri Susanti, S.Pd._English")</f>
        <v>Al-Wildan 4 Lebak Bulus_Wendri Susanti, S.Pd._English</v>
      </c>
      <c r="AP299" s="1" t="s">
        <v>4944</v>
      </c>
    </row>
    <row r="300">
      <c r="A300" s="6">
        <v>44389.334409166666</v>
      </c>
      <c r="B300" s="7" t="s">
        <v>4945</v>
      </c>
      <c r="C300" s="8" t="s">
        <v>4946</v>
      </c>
      <c r="D300" s="1" t="s">
        <v>4947</v>
      </c>
      <c r="E300" s="9" t="s">
        <v>4948</v>
      </c>
      <c r="F300" s="1" t="s">
        <v>4949</v>
      </c>
      <c r="G300" s="1" t="s">
        <v>4950</v>
      </c>
      <c r="H300" s="1" t="s">
        <v>4951</v>
      </c>
      <c r="I300" s="9" t="s">
        <v>4952</v>
      </c>
      <c r="J300" s="1" t="s">
        <v>4953</v>
      </c>
      <c r="K300" s="1" t="s">
        <v>151</v>
      </c>
      <c r="L300" s="1" t="s">
        <v>329</v>
      </c>
      <c r="M300" s="1" t="s">
        <v>4954</v>
      </c>
      <c r="N300" s="1" t="s">
        <v>1328</v>
      </c>
      <c r="O300" s="1" t="s">
        <v>312</v>
      </c>
      <c r="P300" s="1" t="s">
        <v>107</v>
      </c>
      <c r="Q300" s="1" t="s">
        <v>4955</v>
      </c>
      <c r="R300" s="1" t="s">
        <v>4956</v>
      </c>
      <c r="Z300" s="1" t="s">
        <v>4957</v>
      </c>
      <c r="AA300" s="10">
        <v>700000.0</v>
      </c>
      <c r="AB300" s="1" t="s">
        <v>4958</v>
      </c>
      <c r="AC300" s="10">
        <v>2000000.0</v>
      </c>
      <c r="AF300" s="10">
        <v>3500000.0</v>
      </c>
      <c r="AG300" s="9" t="s">
        <v>4959</v>
      </c>
      <c r="AJ300" s="1">
        <v>147.0</v>
      </c>
      <c r="AK300" s="1">
        <v>39.0</v>
      </c>
      <c r="AL300" s="1" t="s">
        <v>4960</v>
      </c>
      <c r="AM300" s="1" t="s">
        <v>4961</v>
      </c>
      <c r="AN300" s="7" t="s">
        <v>4962</v>
      </c>
      <c r="AO300" s="8" t="str">
        <f>HYPERLINK("https://docs.google.com/document/d/1zcNerjTe2_PYeyIqk0m2YiKLWIpd8WmoSihiSlWmjQo/edit?usp=drivesdk","Al-Wildan 1 Gading Serpong_Nurul Hidayah_Alqur'an")</f>
        <v>Al-Wildan 1 Gading Serpong_Nurul Hidayah_Alqur'an</v>
      </c>
      <c r="AP300" s="1" t="s">
        <v>4963</v>
      </c>
    </row>
    <row r="301">
      <c r="A301" s="6">
        <v>44389.35990256944</v>
      </c>
      <c r="B301" s="7" t="s">
        <v>4964</v>
      </c>
      <c r="C301" s="8" t="s">
        <v>4965</v>
      </c>
      <c r="D301" s="1" t="s">
        <v>4966</v>
      </c>
      <c r="E301" s="9" t="s">
        <v>4967</v>
      </c>
      <c r="F301" s="1" t="s">
        <v>4968</v>
      </c>
      <c r="G301" s="1" t="s">
        <v>4969</v>
      </c>
      <c r="H301" s="1" t="s">
        <v>944</v>
      </c>
      <c r="I301" s="9" t="s">
        <v>4970</v>
      </c>
      <c r="J301" s="1" t="s">
        <v>4971</v>
      </c>
      <c r="K301" s="1" t="s">
        <v>151</v>
      </c>
      <c r="L301" s="1" t="s">
        <v>329</v>
      </c>
      <c r="M301" s="1" t="s">
        <v>4954</v>
      </c>
      <c r="N301" s="1" t="s">
        <v>311</v>
      </c>
      <c r="O301" s="1" t="s">
        <v>312</v>
      </c>
      <c r="P301" s="1" t="s">
        <v>237</v>
      </c>
      <c r="AH301" s="1">
        <v>4.71201027771536E14</v>
      </c>
      <c r="AI301" s="1" t="s">
        <v>2407</v>
      </c>
      <c r="AJ301" s="1">
        <v>155.0</v>
      </c>
      <c r="AK301" s="1">
        <v>41.0</v>
      </c>
      <c r="AL301" s="1" t="s">
        <v>4972</v>
      </c>
      <c r="AM301" s="1" t="s">
        <v>4973</v>
      </c>
      <c r="AN301" s="7" t="s">
        <v>4974</v>
      </c>
      <c r="AO301" s="8" t="str">
        <f>HYPERLINK("https://docs.google.com/document/d/1SUNZ2MxtMQu-tbqs7r1BWIiqxFrySL5Txsnisb1vUuc/edit?usp=drivesdk","Al-Wildan 4 Lebak Bulus_Magfirati azizah_Al Qur'an")</f>
        <v>Al-Wildan 4 Lebak Bulus_Magfirati azizah_Al Qur'an</v>
      </c>
      <c r="AP301" s="1" t="s">
        <v>4975</v>
      </c>
    </row>
    <row r="302">
      <c r="A302" s="6">
        <v>44389.406584641205</v>
      </c>
      <c r="B302" s="7" t="s">
        <v>4976</v>
      </c>
      <c r="C302" s="8" t="s">
        <v>4977</v>
      </c>
      <c r="D302" s="1" t="s">
        <v>4978</v>
      </c>
      <c r="E302" s="9" t="s">
        <v>4979</v>
      </c>
      <c r="F302" s="1" t="s">
        <v>4980</v>
      </c>
      <c r="G302" s="1" t="s">
        <v>4981</v>
      </c>
      <c r="H302" s="1" t="s">
        <v>148</v>
      </c>
      <c r="I302" s="9" t="s">
        <v>4982</v>
      </c>
      <c r="J302" s="1" t="s">
        <v>4983</v>
      </c>
      <c r="K302" s="1" t="s">
        <v>151</v>
      </c>
      <c r="L302" s="1" t="s">
        <v>496</v>
      </c>
      <c r="M302" s="1" t="s">
        <v>4954</v>
      </c>
      <c r="N302" s="1" t="s">
        <v>2197</v>
      </c>
      <c r="O302" s="1" t="s">
        <v>127</v>
      </c>
      <c r="P302" s="1" t="s">
        <v>107</v>
      </c>
      <c r="Z302" s="1" t="s">
        <v>4984</v>
      </c>
      <c r="AA302" s="10">
        <v>1000000.0</v>
      </c>
      <c r="AB302" s="1" t="s">
        <v>4985</v>
      </c>
      <c r="AC302" s="10">
        <v>1000000.0</v>
      </c>
      <c r="AD302" s="1" t="s">
        <v>4986</v>
      </c>
      <c r="AE302" s="10">
        <v>2500000.0</v>
      </c>
      <c r="AF302" s="10">
        <v>3000000.0</v>
      </c>
      <c r="AG302" s="9" t="s">
        <v>4987</v>
      </c>
      <c r="AI302" s="1" t="s">
        <v>782</v>
      </c>
      <c r="AJ302" s="1">
        <v>158.0</v>
      </c>
      <c r="AK302" s="1">
        <v>50.0</v>
      </c>
      <c r="AL302" s="1" t="s">
        <v>4988</v>
      </c>
      <c r="AM302" s="1" t="s">
        <v>4989</v>
      </c>
      <c r="AN302" s="7" t="s">
        <v>4990</v>
      </c>
      <c r="AO302" s="8" t="str">
        <f>HYPERLINK("https://docs.google.com/document/d/1g8JMeV5Py0IAc1YKZ2xKput6KPmAKAzMybLM7dATQuc/edit?usp=drivesdk","Al-Wildan 1 Gading Serpong_Hamidah Ulfah_Al-Qur'an")</f>
        <v>Al-Wildan 1 Gading Serpong_Hamidah Ulfah_Al-Qur'an</v>
      </c>
      <c r="AP302" s="1" t="s">
        <v>4991</v>
      </c>
    </row>
    <row r="303">
      <c r="A303" s="6">
        <v>44389.42617278935</v>
      </c>
      <c r="B303" s="7" t="s">
        <v>4992</v>
      </c>
      <c r="C303" s="8" t="s">
        <v>4993</v>
      </c>
      <c r="D303" s="1" t="s">
        <v>4994</v>
      </c>
      <c r="E303" s="9" t="s">
        <v>4995</v>
      </c>
      <c r="F303" s="1" t="s">
        <v>4996</v>
      </c>
      <c r="G303" s="1" t="s">
        <v>4997</v>
      </c>
      <c r="H303" s="1" t="s">
        <v>4998</v>
      </c>
      <c r="I303" s="9" t="s">
        <v>4999</v>
      </c>
      <c r="J303" s="1" t="s">
        <v>5000</v>
      </c>
      <c r="K303" s="1" t="s">
        <v>151</v>
      </c>
      <c r="L303" s="1" t="s">
        <v>256</v>
      </c>
      <c r="M303" s="1" t="s">
        <v>104</v>
      </c>
      <c r="N303" s="1" t="s">
        <v>3123</v>
      </c>
      <c r="O303" s="1" t="s">
        <v>106</v>
      </c>
      <c r="P303" s="1" t="s">
        <v>237</v>
      </c>
      <c r="Q303" s="1">
        <v>0.0</v>
      </c>
      <c r="R303" s="1">
        <v>0.0</v>
      </c>
      <c r="S303" s="1">
        <v>0.0</v>
      </c>
      <c r="T303" s="1">
        <v>0.0</v>
      </c>
      <c r="U303" s="1">
        <v>0.0</v>
      </c>
      <c r="V303" s="1">
        <v>0.0</v>
      </c>
      <c r="W303" s="1">
        <v>0.0</v>
      </c>
      <c r="X303" s="1">
        <v>0.0</v>
      </c>
      <c r="Y303" s="1">
        <v>0.0</v>
      </c>
      <c r="Z303" s="1">
        <v>0.0</v>
      </c>
      <c r="AA303" s="1">
        <v>0.0</v>
      </c>
      <c r="AB303" s="1">
        <v>0.0</v>
      </c>
      <c r="AC303" s="1">
        <v>0.0</v>
      </c>
      <c r="AD303" s="1">
        <v>0.0</v>
      </c>
      <c r="AE303" s="1">
        <v>0.0</v>
      </c>
      <c r="AG303" s="1">
        <v>9.13726082E8</v>
      </c>
      <c r="AH303" s="1">
        <v>0.0</v>
      </c>
      <c r="AI303" s="1" t="s">
        <v>159</v>
      </c>
      <c r="AJ303" s="1">
        <v>148.0</v>
      </c>
      <c r="AK303" s="1">
        <v>40.0</v>
      </c>
      <c r="AL303" s="1" t="s">
        <v>5001</v>
      </c>
      <c r="AM303" s="1" t="s">
        <v>5002</v>
      </c>
      <c r="AN303" s="7" t="s">
        <v>5003</v>
      </c>
      <c r="AO303" s="8" t="str">
        <f>HYPERLINK("https://docs.google.com/document/d/1wxfuOrbvVlApISxhA3jDmMSUfUg2zJE4aNVFgeC8tSc/edit?usp=drivesdk","Al-Wildan 4 Lebak Bulus_NURBAITILLAH_AL-QURAN")</f>
        <v>Al-Wildan 4 Lebak Bulus_NURBAITILLAH_AL-QURAN</v>
      </c>
      <c r="AP303" s="1" t="s">
        <v>5004</v>
      </c>
    </row>
    <row r="304">
      <c r="A304" s="6">
        <v>44389.47010398148</v>
      </c>
      <c r="B304" s="7" t="s">
        <v>5005</v>
      </c>
      <c r="C304" s="8" t="s">
        <v>5006</v>
      </c>
      <c r="D304" s="1" t="s">
        <v>5007</v>
      </c>
      <c r="E304" s="9" t="s">
        <v>5008</v>
      </c>
      <c r="F304" s="1" t="s">
        <v>5009</v>
      </c>
      <c r="G304" s="1" t="s">
        <v>5010</v>
      </c>
      <c r="H304" s="1" t="s">
        <v>722</v>
      </c>
      <c r="I304" s="9" t="s">
        <v>5011</v>
      </c>
      <c r="J304" s="1" t="s">
        <v>1822</v>
      </c>
      <c r="K304" s="1" t="s">
        <v>151</v>
      </c>
      <c r="L304" s="1" t="s">
        <v>496</v>
      </c>
      <c r="M304" s="1" t="s">
        <v>5012</v>
      </c>
      <c r="O304" s="1" t="s">
        <v>236</v>
      </c>
      <c r="P304" s="1" t="s">
        <v>107</v>
      </c>
      <c r="Q304" s="1" t="s">
        <v>3361</v>
      </c>
      <c r="R304" s="1" t="s">
        <v>5013</v>
      </c>
      <c r="Z304" s="1" t="s">
        <v>1575</v>
      </c>
      <c r="AB304" s="1" t="s">
        <v>1575</v>
      </c>
      <c r="AF304" s="10">
        <v>2500000.0</v>
      </c>
      <c r="AG304" s="9" t="s">
        <v>5014</v>
      </c>
      <c r="AH304" s="9" t="s">
        <v>5014</v>
      </c>
      <c r="AI304" s="1" t="s">
        <v>5015</v>
      </c>
      <c r="AJ304" s="1">
        <v>155.0</v>
      </c>
      <c r="AK304" s="1">
        <v>50.0</v>
      </c>
      <c r="AL304" s="1" t="s">
        <v>5016</v>
      </c>
      <c r="AM304" s="1" t="s">
        <v>5017</v>
      </c>
      <c r="AN304" s="7" t="s">
        <v>5018</v>
      </c>
      <c r="AO304" s="8" t="str">
        <f>HYPERLINK("https://docs.google.com/document/d/1hWFT5XeSE9pnPQHuXCrVhSmnKF4fWeQbAF5p7qh_Rsw/edit?usp=drivesdk","Al-Wildan 1 Gading Serpong_Yulinda Rahayu_")</f>
        <v>Al-Wildan 1 Gading Serpong_Yulinda Rahayu_</v>
      </c>
      <c r="AP304" s="1" t="s">
        <v>5019</v>
      </c>
    </row>
    <row r="305">
      <c r="A305" s="6">
        <v>44389.47567760416</v>
      </c>
      <c r="B305" s="7" t="s">
        <v>5020</v>
      </c>
      <c r="C305" s="8" t="s">
        <v>5021</v>
      </c>
      <c r="D305" s="1" t="s">
        <v>5022</v>
      </c>
      <c r="E305" s="9" t="s">
        <v>5023</v>
      </c>
      <c r="F305" s="1" t="s">
        <v>5024</v>
      </c>
      <c r="G305" s="1" t="s">
        <v>5025</v>
      </c>
      <c r="H305" s="1" t="s">
        <v>5026</v>
      </c>
      <c r="I305" s="9" t="s">
        <v>5027</v>
      </c>
      <c r="J305" s="1" t="s">
        <v>5028</v>
      </c>
      <c r="K305" s="1" t="s">
        <v>151</v>
      </c>
      <c r="L305" s="1" t="s">
        <v>496</v>
      </c>
      <c r="M305" s="1" t="s">
        <v>5012</v>
      </c>
      <c r="N305" s="1" t="s">
        <v>217</v>
      </c>
      <c r="O305" s="1" t="s">
        <v>236</v>
      </c>
      <c r="P305" s="1" t="s">
        <v>107</v>
      </c>
      <c r="Q305" s="1" t="s">
        <v>217</v>
      </c>
      <c r="R305" s="1" t="s">
        <v>5029</v>
      </c>
      <c r="S305" s="1" t="s">
        <v>217</v>
      </c>
      <c r="T305" s="1" t="s">
        <v>217</v>
      </c>
      <c r="U305" s="1" t="s">
        <v>217</v>
      </c>
      <c r="V305" s="1" t="s">
        <v>217</v>
      </c>
      <c r="W305" s="1" t="s">
        <v>217</v>
      </c>
      <c r="X305" s="1" t="s">
        <v>217</v>
      </c>
      <c r="Z305" s="1" t="s">
        <v>217</v>
      </c>
      <c r="AB305" s="1" t="s">
        <v>5030</v>
      </c>
      <c r="AF305" s="10">
        <v>2500000.0</v>
      </c>
      <c r="AG305" s="1">
        <v>7.142124275E9</v>
      </c>
      <c r="AI305" s="1" t="s">
        <v>3241</v>
      </c>
      <c r="AJ305" s="1">
        <v>160.0</v>
      </c>
      <c r="AK305" s="1">
        <v>43.0</v>
      </c>
      <c r="AL305" s="1" t="s">
        <v>5031</v>
      </c>
      <c r="AM305" s="1" t="s">
        <v>5032</v>
      </c>
      <c r="AN305" s="7" t="s">
        <v>5033</v>
      </c>
      <c r="AO305" s="8" t="str">
        <f>HYPERLINK("https://docs.google.com/document/d/1vx_tMDafIkJy4pwQjLei6oekRZGdpbOXUfrfGNEaVIo/edit?usp=drivesdk","Al-Wildan 1 Gading Serpong_Meha Mardina_-")</f>
        <v>Al-Wildan 1 Gading Serpong_Meha Mardina_-</v>
      </c>
      <c r="AP305" s="1" t="s">
        <v>5034</v>
      </c>
    </row>
    <row r="306">
      <c r="A306" s="6">
        <v>44389.479002685184</v>
      </c>
      <c r="B306" s="7" t="s">
        <v>5035</v>
      </c>
      <c r="C306" s="8" t="s">
        <v>5036</v>
      </c>
      <c r="D306" s="1" t="s">
        <v>5037</v>
      </c>
      <c r="E306" s="9" t="s">
        <v>5038</v>
      </c>
      <c r="F306" s="1" t="s">
        <v>5039</v>
      </c>
      <c r="G306" s="1" t="s">
        <v>5040</v>
      </c>
      <c r="H306" s="1" t="s">
        <v>1555</v>
      </c>
      <c r="I306" s="9" t="s">
        <v>5041</v>
      </c>
      <c r="J306" s="1" t="s">
        <v>1775</v>
      </c>
      <c r="K306" s="1" t="s">
        <v>151</v>
      </c>
      <c r="L306" s="1" t="s">
        <v>496</v>
      </c>
      <c r="M306" s="1" t="s">
        <v>5012</v>
      </c>
      <c r="N306" s="1" t="s">
        <v>217</v>
      </c>
      <c r="O306" s="1" t="s">
        <v>127</v>
      </c>
      <c r="P306" s="1" t="s">
        <v>107</v>
      </c>
      <c r="Q306" s="1" t="s">
        <v>5042</v>
      </c>
      <c r="R306" s="1" t="s">
        <v>5043</v>
      </c>
      <c r="Z306" s="1" t="s">
        <v>5044</v>
      </c>
      <c r="AF306" s="10">
        <v>2500000.0</v>
      </c>
      <c r="AG306" s="1">
        <v>4.46401012023531E14</v>
      </c>
      <c r="AI306" s="1" t="s">
        <v>2407</v>
      </c>
      <c r="AJ306" s="1">
        <v>155.0</v>
      </c>
      <c r="AK306" s="1">
        <v>53.0</v>
      </c>
      <c r="AL306" s="1" t="s">
        <v>5045</v>
      </c>
      <c r="AM306" s="1" t="s">
        <v>5046</v>
      </c>
      <c r="AN306" s="7" t="s">
        <v>5047</v>
      </c>
      <c r="AO306" s="8" t="str">
        <f>HYPERLINK("https://docs.google.com/document/d/1VCC3l8kUrtesd-tstRZ0-L-pcrQwdV5o_YaIO_x7rg0/edit?usp=drivesdk","Al-Wildan 1 Gading Serpong_Teti Sunarwati_-")</f>
        <v>Al-Wildan 1 Gading Serpong_Teti Sunarwati_-</v>
      </c>
      <c r="AP306" s="1" t="s">
        <v>5048</v>
      </c>
    </row>
    <row r="307">
      <c r="A307" s="6">
        <v>44389.5014590162</v>
      </c>
      <c r="B307" s="7" t="s">
        <v>5049</v>
      </c>
      <c r="C307" s="8" t="s">
        <v>5050</v>
      </c>
      <c r="D307" s="1" t="s">
        <v>5051</v>
      </c>
      <c r="E307" s="9" t="s">
        <v>5052</v>
      </c>
      <c r="F307" s="1" t="s">
        <v>5053</v>
      </c>
      <c r="G307" s="1" t="s">
        <v>99</v>
      </c>
      <c r="H307" s="1" t="s">
        <v>99</v>
      </c>
      <c r="I307" s="9" t="s">
        <v>3881</v>
      </c>
      <c r="J307" s="1" t="s">
        <v>5054</v>
      </c>
      <c r="K307" s="1" t="s">
        <v>151</v>
      </c>
      <c r="L307" s="1" t="s">
        <v>496</v>
      </c>
      <c r="M307" s="1" t="s">
        <v>5012</v>
      </c>
      <c r="N307" s="1" t="s">
        <v>2197</v>
      </c>
      <c r="O307" s="1" t="s">
        <v>236</v>
      </c>
      <c r="P307" s="1" t="s">
        <v>128</v>
      </c>
      <c r="Z307" s="1" t="s">
        <v>5055</v>
      </c>
      <c r="AA307" s="10">
        <v>3000000.0</v>
      </c>
      <c r="AB307" s="1" t="s">
        <v>5056</v>
      </c>
      <c r="AC307" s="10">
        <v>5000000.0</v>
      </c>
      <c r="AF307" s="10">
        <v>2500000.0</v>
      </c>
      <c r="AH307" s="1">
        <v>7.122481861E9</v>
      </c>
      <c r="AI307" s="1" t="s">
        <v>5057</v>
      </c>
      <c r="AJ307" s="1">
        <v>178.0</v>
      </c>
      <c r="AK307" s="1">
        <v>61.0</v>
      </c>
      <c r="AL307" s="1" t="s">
        <v>5058</v>
      </c>
      <c r="AM307" s="1" t="s">
        <v>5059</v>
      </c>
      <c r="AN307" s="7" t="s">
        <v>5060</v>
      </c>
      <c r="AO307" s="8" t="str">
        <f>HYPERLINK("https://docs.google.com/document/d/1cJCYtRv9hrHnwgbgCezlgteBuHLAbnavwmAPrtDqMyc/edit?usp=drivesdk","Al-Wildan 3 BSD_Imam Nur Rahman_Al-Qur'an")</f>
        <v>Al-Wildan 3 BSD_Imam Nur Rahman_Al-Qur'an</v>
      </c>
      <c r="AP307" s="1" t="s">
        <v>5061</v>
      </c>
    </row>
    <row r="308">
      <c r="A308" s="6">
        <v>44389.53194060185</v>
      </c>
      <c r="B308" s="7" t="s">
        <v>5062</v>
      </c>
      <c r="C308" s="8" t="s">
        <v>5063</v>
      </c>
      <c r="D308" s="1" t="s">
        <v>5064</v>
      </c>
      <c r="E308" s="9" t="s">
        <v>5065</v>
      </c>
      <c r="F308" s="1" t="s">
        <v>5066</v>
      </c>
      <c r="G308" s="1" t="s">
        <v>5067</v>
      </c>
      <c r="H308" s="1" t="s">
        <v>99</v>
      </c>
      <c r="I308" s="9" t="s">
        <v>5068</v>
      </c>
      <c r="J308" s="1" t="s">
        <v>5069</v>
      </c>
      <c r="K308" s="1" t="s">
        <v>151</v>
      </c>
      <c r="L308" s="1" t="s">
        <v>256</v>
      </c>
      <c r="M308" s="1" t="s">
        <v>4954</v>
      </c>
      <c r="N308" s="1" t="s">
        <v>3444</v>
      </c>
      <c r="O308" s="1" t="s">
        <v>312</v>
      </c>
      <c r="P308" s="1" t="s">
        <v>237</v>
      </c>
      <c r="AF308" s="10">
        <v>1500000.0</v>
      </c>
      <c r="AH308" s="9" t="s">
        <v>5070</v>
      </c>
      <c r="AI308" s="1" t="s">
        <v>2407</v>
      </c>
      <c r="AJ308" s="1">
        <v>159.0</v>
      </c>
      <c r="AK308" s="1">
        <v>65.0</v>
      </c>
      <c r="AL308" s="1" t="s">
        <v>5071</v>
      </c>
      <c r="AM308" s="1" t="s">
        <v>5072</v>
      </c>
      <c r="AN308" s="7" t="s">
        <v>5073</v>
      </c>
      <c r="AO308" s="8" t="str">
        <f>HYPERLINK("https://docs.google.com/document/d/1vo5y-PeEpf9vl7aKTdAUfo-FbYnd21b3XJq0K7iwyZ4/edit?usp=drivesdk","Al-Wildan 4 Lebak Bulus_Nuraida_Al-Quran")</f>
        <v>Al-Wildan 4 Lebak Bulus_Nuraida_Al-Quran</v>
      </c>
      <c r="AP308" s="1" t="s">
        <v>5074</v>
      </c>
    </row>
    <row r="309">
      <c r="A309" s="6">
        <v>44389.56053635417</v>
      </c>
      <c r="B309" s="7" t="s">
        <v>5075</v>
      </c>
      <c r="C309" s="8" t="s">
        <v>5076</v>
      </c>
      <c r="D309" s="1" t="s">
        <v>5077</v>
      </c>
      <c r="E309" s="9" t="s">
        <v>5078</v>
      </c>
      <c r="F309" s="1" t="s">
        <v>5079</v>
      </c>
      <c r="G309" s="1" t="s">
        <v>5080</v>
      </c>
      <c r="H309" s="1" t="s">
        <v>2026</v>
      </c>
      <c r="I309" s="9" t="s">
        <v>5081</v>
      </c>
      <c r="J309" s="1" t="s">
        <v>5082</v>
      </c>
      <c r="K309" s="1" t="s">
        <v>151</v>
      </c>
      <c r="L309" s="1" t="s">
        <v>496</v>
      </c>
      <c r="M309" s="1" t="s">
        <v>4954</v>
      </c>
      <c r="N309" s="1" t="s">
        <v>5083</v>
      </c>
      <c r="O309" s="1" t="s">
        <v>312</v>
      </c>
      <c r="P309" s="1" t="s">
        <v>237</v>
      </c>
      <c r="AF309" s="1" t="s">
        <v>5084</v>
      </c>
      <c r="AG309" s="9" t="s">
        <v>5085</v>
      </c>
      <c r="AI309" s="1" t="s">
        <v>5086</v>
      </c>
      <c r="AJ309" s="1">
        <v>165.0</v>
      </c>
      <c r="AK309" s="1">
        <v>55.0</v>
      </c>
      <c r="AL309" s="1" t="s">
        <v>5087</v>
      </c>
      <c r="AM309" s="1" t="s">
        <v>5088</v>
      </c>
      <c r="AN309" s="7" t="s">
        <v>5089</v>
      </c>
      <c r="AO309" s="8" t="str">
        <f>HYPERLINK("https://docs.google.com/document/d/1Yz6ZnZH80rL74qUXxj4CB5HuY5_IxVcHsty7SkJ2G5k/edit?usp=drivesdk","Al-Wildan 4 Lebak Bulus_Aditya Anfaris_Tahfid Al Qur'an")</f>
        <v>Al-Wildan 4 Lebak Bulus_Aditya Anfaris_Tahfid Al Qur'an</v>
      </c>
      <c r="AP309" s="1" t="s">
        <v>5090</v>
      </c>
    </row>
    <row r="310">
      <c r="A310" s="6">
        <v>44389.74116181713</v>
      </c>
      <c r="B310" s="7" t="s">
        <v>5091</v>
      </c>
      <c r="C310" s="8" t="s">
        <v>5092</v>
      </c>
      <c r="D310" s="1" t="s">
        <v>5093</v>
      </c>
      <c r="E310" s="9" t="s">
        <v>2628</v>
      </c>
      <c r="F310" s="1" t="s">
        <v>2629</v>
      </c>
      <c r="G310" s="1" t="s">
        <v>5094</v>
      </c>
      <c r="H310" s="1" t="s">
        <v>5095</v>
      </c>
      <c r="I310" s="9" t="s">
        <v>2632</v>
      </c>
      <c r="J310" s="1" t="s">
        <v>4036</v>
      </c>
      <c r="K310" s="1" t="s">
        <v>151</v>
      </c>
      <c r="L310" s="1" t="s">
        <v>329</v>
      </c>
      <c r="M310" s="1" t="s">
        <v>4954</v>
      </c>
      <c r="N310" s="1" t="s">
        <v>1006</v>
      </c>
      <c r="O310" s="1" t="s">
        <v>312</v>
      </c>
      <c r="P310" s="1" t="s">
        <v>107</v>
      </c>
      <c r="Q310" s="9" t="s">
        <v>5096</v>
      </c>
      <c r="R310" s="1" t="s">
        <v>5097</v>
      </c>
      <c r="S310" s="1" t="s">
        <v>217</v>
      </c>
      <c r="T310" s="1" t="s">
        <v>217</v>
      </c>
      <c r="U310" s="1" t="s">
        <v>217</v>
      </c>
      <c r="V310" s="1" t="s">
        <v>217</v>
      </c>
      <c r="W310" s="1" t="s">
        <v>217</v>
      </c>
      <c r="X310" s="1" t="s">
        <v>217</v>
      </c>
      <c r="Z310" s="1" t="s">
        <v>5098</v>
      </c>
      <c r="AA310" s="10">
        <v>2000000.0</v>
      </c>
      <c r="AF310" s="1" t="s">
        <v>5099</v>
      </c>
      <c r="AG310" s="1">
        <v>8.52433058E8</v>
      </c>
      <c r="AI310" s="1" t="s">
        <v>5100</v>
      </c>
      <c r="AJ310" s="1">
        <v>154.0</v>
      </c>
      <c r="AK310" s="1">
        <v>43.0</v>
      </c>
      <c r="AL310" s="1" t="s">
        <v>5101</v>
      </c>
      <c r="AM310" s="1" t="s">
        <v>5102</v>
      </c>
      <c r="AN310" s="7" t="s">
        <v>5103</v>
      </c>
      <c r="AO310" s="8" t="str">
        <f>HYPERLINK("https://docs.google.com/document/d/1m_CoDgCNcacKTVgWqUVF0d3Q3UCW-N-3RTapGuAgUs4/edit?usp=drivesdk","Al-Wildan 1 Gading Serpong_yasinta maulida_Al qur'an")</f>
        <v>Al-Wildan 1 Gading Serpong_yasinta maulida_Al qur'an</v>
      </c>
      <c r="AP310" s="1" t="s">
        <v>5104</v>
      </c>
    </row>
    <row r="311">
      <c r="A311" s="6">
        <v>44390.426629016205</v>
      </c>
      <c r="B311" s="7" t="s">
        <v>5105</v>
      </c>
      <c r="C311" s="8" t="s">
        <v>5106</v>
      </c>
      <c r="D311" s="1" t="s">
        <v>5107</v>
      </c>
      <c r="E311" s="9" t="s">
        <v>5108</v>
      </c>
      <c r="F311" s="1" t="s">
        <v>5109</v>
      </c>
      <c r="G311" s="1" t="s">
        <v>5110</v>
      </c>
      <c r="H311" s="1" t="s">
        <v>4585</v>
      </c>
      <c r="I311" s="9" t="s">
        <v>5111</v>
      </c>
      <c r="J311" s="1" t="s">
        <v>5112</v>
      </c>
      <c r="K311" s="1" t="s">
        <v>151</v>
      </c>
      <c r="L311" s="1" t="s">
        <v>329</v>
      </c>
      <c r="M311" s="1" t="s">
        <v>5012</v>
      </c>
      <c r="O311" s="1" t="s">
        <v>127</v>
      </c>
      <c r="P311" s="1" t="s">
        <v>107</v>
      </c>
      <c r="AH311" s="1">
        <v>9.81982513E9</v>
      </c>
      <c r="AI311" s="1" t="s">
        <v>5113</v>
      </c>
      <c r="AJ311" s="1">
        <v>150.0</v>
      </c>
      <c r="AK311" s="1">
        <v>42.0</v>
      </c>
      <c r="AL311" s="1" t="s">
        <v>5114</v>
      </c>
      <c r="AM311" s="1" t="s">
        <v>5115</v>
      </c>
      <c r="AN311" s="7" t="s">
        <v>5116</v>
      </c>
      <c r="AO311" s="8" t="str">
        <f>HYPERLINK("https://docs.google.com/document/d/1eMVmxgQKozZA3JJ2eGI6iO_3XPudOXaXhJnMsO-Cv4w/edit?usp=drivesdk","Al-Wildan 1 Gading Serpong_Ummu Amirah Husnah_")</f>
        <v>Al-Wildan 1 Gading Serpong_Ummu Amirah Husnah_</v>
      </c>
      <c r="AP311" s="1" t="s">
        <v>5117</v>
      </c>
    </row>
    <row r="312">
      <c r="A312" s="6">
        <v>44390.49260668982</v>
      </c>
      <c r="B312" s="7" t="s">
        <v>5118</v>
      </c>
      <c r="C312" s="8" t="s">
        <v>5119</v>
      </c>
      <c r="D312" s="1" t="s">
        <v>5120</v>
      </c>
      <c r="E312" s="9" t="s">
        <v>5121</v>
      </c>
      <c r="F312" s="1" t="s">
        <v>5122</v>
      </c>
      <c r="G312" s="1" t="s">
        <v>5123</v>
      </c>
      <c r="H312" s="1" t="s">
        <v>2458</v>
      </c>
      <c r="I312" s="9" t="s">
        <v>5124</v>
      </c>
      <c r="J312" s="1" t="s">
        <v>2496</v>
      </c>
      <c r="K312" s="1" t="s">
        <v>151</v>
      </c>
      <c r="L312" s="1" t="s">
        <v>329</v>
      </c>
      <c r="M312" s="1" t="s">
        <v>104</v>
      </c>
      <c r="N312" s="1" t="s">
        <v>5125</v>
      </c>
      <c r="O312" s="1" t="s">
        <v>312</v>
      </c>
      <c r="P312" s="1" t="s">
        <v>107</v>
      </c>
      <c r="Q312" s="1" t="s">
        <v>5126</v>
      </c>
      <c r="R312" s="1" t="s">
        <v>5127</v>
      </c>
      <c r="S312" s="1" t="s">
        <v>5128</v>
      </c>
      <c r="Z312" s="1" t="s">
        <v>5129</v>
      </c>
      <c r="AA312" s="10">
        <v>1500000.0</v>
      </c>
      <c r="AB312" s="1" t="s">
        <v>5130</v>
      </c>
      <c r="AC312" s="10">
        <v>500000.0</v>
      </c>
      <c r="AF312" s="10">
        <v>5000000.0</v>
      </c>
      <c r="AG312" s="1">
        <v>7.165799784E9</v>
      </c>
      <c r="AI312" s="1" t="s">
        <v>5131</v>
      </c>
      <c r="AJ312" s="1">
        <v>156.0</v>
      </c>
      <c r="AK312" s="1">
        <v>46.0</v>
      </c>
      <c r="AL312" s="1" t="s">
        <v>5132</v>
      </c>
      <c r="AM312" s="1" t="s">
        <v>5133</v>
      </c>
      <c r="AN312" s="7" t="s">
        <v>5134</v>
      </c>
      <c r="AO312" s="8" t="str">
        <f>HYPERLINK("https://docs.google.com/document/d/1cfiBEGapQrBrK8QVl1GcV9ea3a-0kVFWQTjRiyO7de4/edit?usp=drivesdk","Al-Wildan 1 Gading Serpong_Fathya Mumtaz, S.H._Bahasa Arab, Pendidikan Agama Islam, Al-Qur'an")</f>
        <v>Al-Wildan 1 Gading Serpong_Fathya Mumtaz, S.H._Bahasa Arab, Pendidikan Agama Islam, Al-Qur'an</v>
      </c>
      <c r="AP312" s="1" t="s">
        <v>5135</v>
      </c>
    </row>
    <row r="313">
      <c r="A313" s="6">
        <v>44390.50415</v>
      </c>
      <c r="B313" s="7" t="s">
        <v>5136</v>
      </c>
      <c r="C313" s="8" t="s">
        <v>5137</v>
      </c>
      <c r="D313" s="1" t="s">
        <v>5138</v>
      </c>
      <c r="E313" s="9" t="s">
        <v>5139</v>
      </c>
      <c r="F313" s="1" t="s">
        <v>5140</v>
      </c>
      <c r="G313" s="1" t="s">
        <v>5141</v>
      </c>
      <c r="H313" s="1" t="s">
        <v>5142</v>
      </c>
      <c r="I313" s="9" t="s">
        <v>5143</v>
      </c>
      <c r="J313" s="1" t="s">
        <v>5144</v>
      </c>
      <c r="K313" s="1" t="s">
        <v>102</v>
      </c>
      <c r="L313" s="1" t="s">
        <v>827</v>
      </c>
      <c r="M313" s="1" t="s">
        <v>104</v>
      </c>
      <c r="N313" s="1" t="s">
        <v>126</v>
      </c>
      <c r="O313" s="1" t="s">
        <v>312</v>
      </c>
      <c r="P313" s="1" t="s">
        <v>107</v>
      </c>
      <c r="Q313" s="1" t="s">
        <v>5145</v>
      </c>
      <c r="R313" s="1" t="s">
        <v>130</v>
      </c>
      <c r="S313" s="1" t="s">
        <v>1522</v>
      </c>
      <c r="T313" s="1" t="s">
        <v>5146</v>
      </c>
      <c r="U313" s="1" t="s">
        <v>130</v>
      </c>
      <c r="V313" s="1" t="s">
        <v>1084</v>
      </c>
      <c r="W313" s="1" t="s">
        <v>217</v>
      </c>
      <c r="X313" s="1" t="s">
        <v>217</v>
      </c>
      <c r="Z313" s="1" t="s">
        <v>5147</v>
      </c>
      <c r="AA313" s="1" t="s">
        <v>217</v>
      </c>
      <c r="AB313" s="1" t="s">
        <v>217</v>
      </c>
      <c r="AC313" s="1" t="s">
        <v>217</v>
      </c>
      <c r="AD313" s="1" t="s">
        <v>217</v>
      </c>
      <c r="AE313" s="1" t="s">
        <v>217</v>
      </c>
      <c r="AF313" s="10">
        <v>5000000.0</v>
      </c>
      <c r="AG313" s="9" t="s">
        <v>5148</v>
      </c>
      <c r="AI313" s="1" t="s">
        <v>178</v>
      </c>
      <c r="AJ313" s="1">
        <v>167.0</v>
      </c>
      <c r="AK313" s="1">
        <v>70.0</v>
      </c>
      <c r="AL313" s="1" t="s">
        <v>5149</v>
      </c>
      <c r="AM313" s="1" t="s">
        <v>5150</v>
      </c>
      <c r="AN313" s="7" t="s">
        <v>5151</v>
      </c>
      <c r="AO313" s="8" t="str">
        <f>HYPERLINK("https://docs.google.com/document/d/1hADVLQI_d6bAUGctxKZGtWsRgvWBe1nU5EA6QNt57g4/edit?usp=drivesdk","Al-Wildan 1 Gading Serpong_Nurhidayah, M.Pd_Matematika")</f>
        <v>Al-Wildan 1 Gading Serpong_Nurhidayah, M.Pd_Matematika</v>
      </c>
      <c r="AP313" s="1" t="s">
        <v>5152</v>
      </c>
    </row>
    <row r="314">
      <c r="A314" s="6">
        <v>44390.557444942126</v>
      </c>
      <c r="B314" s="7" t="s">
        <v>5153</v>
      </c>
      <c r="C314" s="8" t="s">
        <v>5154</v>
      </c>
      <c r="D314" s="1" t="s">
        <v>5155</v>
      </c>
      <c r="E314" s="9" t="s">
        <v>5156</v>
      </c>
      <c r="F314" s="1" t="s">
        <v>5157</v>
      </c>
      <c r="G314" s="1" t="s">
        <v>5158</v>
      </c>
      <c r="H314" s="1" t="s">
        <v>5159</v>
      </c>
      <c r="I314" s="9" t="s">
        <v>5160</v>
      </c>
      <c r="J314" s="1" t="s">
        <v>5161</v>
      </c>
      <c r="K314" s="1" t="s">
        <v>151</v>
      </c>
      <c r="L314" s="1" t="s">
        <v>329</v>
      </c>
      <c r="M314" s="1" t="s">
        <v>5012</v>
      </c>
      <c r="O314" s="1" t="s">
        <v>236</v>
      </c>
      <c r="P314" s="1" t="s">
        <v>107</v>
      </c>
      <c r="Z314" s="1" t="s">
        <v>4171</v>
      </c>
      <c r="AA314" s="10">
        <v>1500000.0</v>
      </c>
      <c r="AB314" s="1" t="s">
        <v>1575</v>
      </c>
      <c r="AC314" s="10">
        <v>1750000.0</v>
      </c>
      <c r="AG314" s="9" t="s">
        <v>5162</v>
      </c>
      <c r="AI314" s="1" t="s">
        <v>178</v>
      </c>
      <c r="AJ314" s="1">
        <v>155.0</v>
      </c>
      <c r="AK314" s="1">
        <v>40.0</v>
      </c>
      <c r="AL314" s="1" t="s">
        <v>5163</v>
      </c>
      <c r="AM314" s="1" t="s">
        <v>5164</v>
      </c>
      <c r="AN314" s="7" t="s">
        <v>5165</v>
      </c>
      <c r="AO314" s="8" t="str">
        <f>HYPERLINK("https://docs.google.com/document/d/1mTVxgQxGUNgceFHmygO74u7D1M1xKO7YnSMCc3MQfMM/edit?usp=drivesdk","Al-Wildan 1 Gading Serpong_Putri Anggra Sari_")</f>
        <v>Al-Wildan 1 Gading Serpong_Putri Anggra Sari_</v>
      </c>
      <c r="AP314" s="1" t="s">
        <v>5166</v>
      </c>
    </row>
    <row r="315">
      <c r="A315" s="6">
        <v>44390.68642230324</v>
      </c>
      <c r="B315" s="7" t="s">
        <v>5167</v>
      </c>
      <c r="C315" s="8" t="s">
        <v>5168</v>
      </c>
      <c r="D315" s="1" t="s">
        <v>5169</v>
      </c>
      <c r="E315" s="9" t="s">
        <v>5170</v>
      </c>
      <c r="F315" s="1" t="s">
        <v>5171</v>
      </c>
      <c r="G315" s="1" t="s">
        <v>5172</v>
      </c>
      <c r="H315" s="1" t="s">
        <v>99</v>
      </c>
      <c r="I315" s="9" t="s">
        <v>5173</v>
      </c>
      <c r="J315" s="1" t="s">
        <v>5174</v>
      </c>
      <c r="K315" s="1" t="s">
        <v>151</v>
      </c>
      <c r="L315" s="1" t="s">
        <v>329</v>
      </c>
      <c r="M315" s="1" t="s">
        <v>5012</v>
      </c>
      <c r="O315" s="1" t="s">
        <v>127</v>
      </c>
      <c r="P315" s="1" t="s">
        <v>107</v>
      </c>
      <c r="Z315" s="1" t="s">
        <v>1575</v>
      </c>
      <c r="AF315" s="10">
        <v>3000000.0</v>
      </c>
      <c r="AG315" s="9" t="s">
        <v>5175</v>
      </c>
      <c r="AJ315" s="1">
        <v>155.0</v>
      </c>
      <c r="AK315" s="1">
        <v>55.0</v>
      </c>
      <c r="AL315" s="1" t="s">
        <v>5176</v>
      </c>
      <c r="AM315" s="1" t="s">
        <v>5177</v>
      </c>
      <c r="AN315" s="7" t="s">
        <v>5178</v>
      </c>
      <c r="AO315" s="8" t="str">
        <f>HYPERLINK("https://docs.google.com/document/d/1yA2H68qyTNIc7alKd6Sti3oIHLI3ou2yBTO9dyNPbtw/edit?usp=drivesdk","Al-Wildan 1 Gading Serpong_Rosyidah_")</f>
        <v>Al-Wildan 1 Gading Serpong_Rosyidah_</v>
      </c>
      <c r="AP315" s="1" t="s">
        <v>5179</v>
      </c>
    </row>
    <row r="316">
      <c r="A316" s="6">
        <v>44390.84354217593</v>
      </c>
      <c r="B316" s="7" t="s">
        <v>5180</v>
      </c>
      <c r="C316" s="8" t="s">
        <v>5181</v>
      </c>
      <c r="D316" s="1" t="s">
        <v>5182</v>
      </c>
      <c r="E316" s="9" t="s">
        <v>5183</v>
      </c>
      <c r="F316" s="1" t="s">
        <v>5184</v>
      </c>
      <c r="G316" s="1" t="s">
        <v>5185</v>
      </c>
      <c r="H316" s="1" t="s">
        <v>5186</v>
      </c>
      <c r="I316" s="9" t="s">
        <v>5187</v>
      </c>
      <c r="J316" s="1">
        <v>21.0</v>
      </c>
      <c r="K316" s="1" t="s">
        <v>151</v>
      </c>
      <c r="L316" s="1" t="s">
        <v>496</v>
      </c>
      <c r="M316" s="1" t="s">
        <v>5012</v>
      </c>
      <c r="O316" s="1" t="s">
        <v>312</v>
      </c>
      <c r="P316" s="1" t="s">
        <v>107</v>
      </c>
      <c r="Z316" s="1" t="s">
        <v>5188</v>
      </c>
      <c r="AA316" s="10">
        <v>1000000.0</v>
      </c>
      <c r="AH316" s="1">
        <v>7.165725168E9</v>
      </c>
      <c r="AI316" s="1" t="s">
        <v>5189</v>
      </c>
      <c r="AJ316" s="1">
        <v>160.0</v>
      </c>
      <c r="AK316" s="1">
        <v>45.0</v>
      </c>
      <c r="AL316" s="1" t="s">
        <v>5190</v>
      </c>
      <c r="AM316" s="1" t="s">
        <v>5191</v>
      </c>
      <c r="AN316" s="7" t="s">
        <v>5192</v>
      </c>
      <c r="AO316" s="8" t="str">
        <f>HYPERLINK("https://docs.google.com/document/d/1kjLaLUL3_UzdTyEwo324d2fMQm_HgTQjsPWC_Oavs10/edit?usp=drivesdk","Al-Wildan 1 Gading Serpong_ERNA SAHFITRI_")</f>
        <v>Al-Wildan 1 Gading Serpong_ERNA SAHFITRI_</v>
      </c>
      <c r="AP316" s="1" t="s">
        <v>5193</v>
      </c>
    </row>
    <row r="317">
      <c r="A317" s="6">
        <v>44391.80432408565</v>
      </c>
      <c r="B317" s="7" t="s">
        <v>5194</v>
      </c>
      <c r="C317" s="8" t="s">
        <v>5195</v>
      </c>
      <c r="D317" s="1" t="s">
        <v>5196</v>
      </c>
      <c r="E317" s="9" t="s">
        <v>5197</v>
      </c>
      <c r="F317" s="1" t="s">
        <v>5198</v>
      </c>
      <c r="G317" s="1" t="s">
        <v>5199</v>
      </c>
      <c r="H317" s="1" t="s">
        <v>148</v>
      </c>
      <c r="I317" s="9" t="s">
        <v>5200</v>
      </c>
      <c r="J317" s="1" t="s">
        <v>5201</v>
      </c>
      <c r="K317" s="1" t="s">
        <v>151</v>
      </c>
      <c r="L317" s="1" t="s">
        <v>827</v>
      </c>
      <c r="M317" s="1" t="s">
        <v>4954</v>
      </c>
      <c r="O317" s="1" t="s">
        <v>312</v>
      </c>
      <c r="P317" s="1" t="s">
        <v>128</v>
      </c>
      <c r="AJ317" s="1">
        <v>160.0</v>
      </c>
      <c r="AK317" s="1">
        <v>55.0</v>
      </c>
      <c r="AL317" s="1" t="s">
        <v>5202</v>
      </c>
      <c r="AM317" s="1" t="s">
        <v>5203</v>
      </c>
      <c r="AN317" s="7" t="s">
        <v>5204</v>
      </c>
      <c r="AO317" s="8" t="str">
        <f>HYPERLINK("https://docs.google.com/document/d/1XI0kWoaelsoAwZ04uyywtuquOloFJgF7beFRgRn7p_E/edit?usp=drivesdk","Al-Wildan 3 BSD_Abdulbasith_")</f>
        <v>Al-Wildan 3 BSD_Abdulbasith_</v>
      </c>
      <c r="AP317" s="1" t="s">
        <v>5205</v>
      </c>
    </row>
    <row r="318">
      <c r="A318" s="6">
        <v>44393.64716010417</v>
      </c>
      <c r="B318" s="7" t="s">
        <v>5206</v>
      </c>
      <c r="C318" s="8" t="s">
        <v>5207</v>
      </c>
      <c r="D318" s="1" t="s">
        <v>5208</v>
      </c>
      <c r="E318" s="9" t="s">
        <v>5209</v>
      </c>
      <c r="F318" s="1" t="s">
        <v>5210</v>
      </c>
      <c r="G318" s="1" t="s">
        <v>148</v>
      </c>
      <c r="H318" s="1" t="s">
        <v>169</v>
      </c>
      <c r="I318" s="9" t="s">
        <v>5211</v>
      </c>
      <c r="J318" s="1" t="s">
        <v>5212</v>
      </c>
      <c r="K318" s="1" t="s">
        <v>151</v>
      </c>
      <c r="L318" s="1" t="s">
        <v>103</v>
      </c>
      <c r="M318" s="1" t="s">
        <v>2677</v>
      </c>
      <c r="O318" s="1" t="s">
        <v>1693</v>
      </c>
      <c r="P318" s="1" t="s">
        <v>5213</v>
      </c>
      <c r="Z318" s="1" t="s">
        <v>5214</v>
      </c>
      <c r="AA318" s="1" t="s">
        <v>5215</v>
      </c>
      <c r="AB318" s="1" t="s">
        <v>5216</v>
      </c>
      <c r="AC318" s="1" t="s">
        <v>5217</v>
      </c>
      <c r="AD318" s="1" t="s">
        <v>5218</v>
      </c>
      <c r="AE318" s="1" t="s">
        <v>5219</v>
      </c>
      <c r="AF318" s="1" t="s">
        <v>5220</v>
      </c>
      <c r="AH318" s="1">
        <v>8.700146139E9</v>
      </c>
      <c r="AI318" s="1" t="s">
        <v>222</v>
      </c>
      <c r="AJ318" s="1">
        <v>178.0</v>
      </c>
      <c r="AK318" s="1">
        <v>56.0</v>
      </c>
      <c r="AL318" s="1" t="s">
        <v>5221</v>
      </c>
      <c r="AM318" s="1" t="s">
        <v>5222</v>
      </c>
      <c r="AN318" s="7" t="s">
        <v>5223</v>
      </c>
      <c r="AO318" s="8" t="str">
        <f>HYPERLINK("https://docs.google.com/document/d/1am7l1rpCBu7_8GrKHY-tXOe1T9QdAnX6qkqK1gm90mw/edit?usp=drivesdk","Al-Wildan 2 Bekasi_Surya Herawan, A.Md., M.I._")</f>
        <v>Al-Wildan 2 Bekasi_Surya Herawan, A.Md., M.I._</v>
      </c>
      <c r="AP318" s="1" t="s">
        <v>5224</v>
      </c>
    </row>
    <row r="319">
      <c r="A319" s="6">
        <v>44396.40214236111</v>
      </c>
      <c r="B319" s="7" t="s">
        <v>5225</v>
      </c>
      <c r="C319" s="8" t="s">
        <v>5226</v>
      </c>
      <c r="D319" s="1" t="s">
        <v>5227</v>
      </c>
      <c r="E319" s="9" t="s">
        <v>5228</v>
      </c>
      <c r="F319" s="10">
        <v>3.27401051288E15</v>
      </c>
      <c r="G319" s="1" t="s">
        <v>5229</v>
      </c>
      <c r="H319" s="1" t="s">
        <v>5230</v>
      </c>
      <c r="I319" s="9" t="s">
        <v>5231</v>
      </c>
      <c r="J319" s="1" t="s">
        <v>5232</v>
      </c>
      <c r="K319" s="1" t="s">
        <v>102</v>
      </c>
      <c r="L319" s="1" t="s">
        <v>310</v>
      </c>
      <c r="M319" s="1" t="s">
        <v>104</v>
      </c>
      <c r="N319" s="1" t="s">
        <v>5233</v>
      </c>
      <c r="O319" s="1" t="s">
        <v>127</v>
      </c>
      <c r="P319" s="1" t="s">
        <v>128</v>
      </c>
      <c r="Q319" s="1" t="s">
        <v>192</v>
      </c>
      <c r="R319" s="1" t="s">
        <v>193</v>
      </c>
      <c r="S319" s="1">
        <v>3.23</v>
      </c>
      <c r="Z319" s="1" t="s">
        <v>5234</v>
      </c>
      <c r="AA319" s="10">
        <v>4500000.0</v>
      </c>
      <c r="AB319" s="1" t="s">
        <v>5235</v>
      </c>
      <c r="AC319" s="10">
        <v>4000000.0</v>
      </c>
      <c r="AF319" s="10">
        <v>6000000.0</v>
      </c>
      <c r="AG319" s="9" t="s">
        <v>5236</v>
      </c>
      <c r="AH319" s="9" t="s">
        <v>5236</v>
      </c>
      <c r="AI319" s="1" t="s">
        <v>178</v>
      </c>
      <c r="AJ319" s="1">
        <v>179.0</v>
      </c>
      <c r="AK319" s="1">
        <v>95.0</v>
      </c>
      <c r="AL319" s="1" t="s">
        <v>5237</v>
      </c>
      <c r="AM319" s="1" t="s">
        <v>5238</v>
      </c>
      <c r="AN319" s="7" t="s">
        <v>5239</v>
      </c>
      <c r="AO319" s="8" t="str">
        <f>HYPERLINK("https://docs.google.com/document/d/1pDM4ipt7en7JHJYgT767CzXFLI4rLkqv_F18LfzSnx8/edit?usp=drivesdk","Al-Wildan 3 BSD_Kamaluddin BA _Arabic ")</f>
        <v>Al-Wildan 3 BSD_Kamaluddin BA _Arabic </v>
      </c>
      <c r="AP319" s="1" t="s">
        <v>5240</v>
      </c>
    </row>
    <row r="320">
      <c r="A320" s="6">
        <v>44396.41061057871</v>
      </c>
      <c r="B320" s="7" t="s">
        <v>5241</v>
      </c>
      <c r="C320" s="8" t="s">
        <v>5242</v>
      </c>
      <c r="D320" s="1" t="s">
        <v>5243</v>
      </c>
      <c r="E320" s="9" t="s">
        <v>5244</v>
      </c>
      <c r="F320" s="1" t="s">
        <v>5245</v>
      </c>
      <c r="G320" s="1" t="s">
        <v>5246</v>
      </c>
      <c r="H320" s="1" t="s">
        <v>5247</v>
      </c>
      <c r="I320" s="9" t="s">
        <v>5248</v>
      </c>
      <c r="J320" s="1" t="s">
        <v>5249</v>
      </c>
      <c r="K320" s="1" t="s">
        <v>102</v>
      </c>
      <c r="L320" s="1" t="s">
        <v>103</v>
      </c>
      <c r="M320" s="1" t="s">
        <v>104</v>
      </c>
      <c r="N320" s="1" t="s">
        <v>5250</v>
      </c>
      <c r="O320" s="1" t="s">
        <v>236</v>
      </c>
      <c r="P320" s="1" t="s">
        <v>237</v>
      </c>
      <c r="Q320" s="1" t="s">
        <v>108</v>
      </c>
      <c r="R320" s="1" t="s">
        <v>410</v>
      </c>
      <c r="S320" s="1" t="s">
        <v>2181</v>
      </c>
      <c r="T320" s="1" t="s">
        <v>2927</v>
      </c>
      <c r="U320" s="1" t="s">
        <v>552</v>
      </c>
      <c r="V320" s="1" t="s">
        <v>277</v>
      </c>
      <c r="Z320" s="1" t="s">
        <v>5251</v>
      </c>
      <c r="AA320" s="10">
        <v>6000000.0</v>
      </c>
      <c r="AB320" s="1" t="s">
        <v>5252</v>
      </c>
      <c r="AC320" s="10">
        <v>6000000.0</v>
      </c>
      <c r="AD320" s="1" t="s">
        <v>5253</v>
      </c>
      <c r="AE320" s="10">
        <v>7000000.0</v>
      </c>
      <c r="AF320" s="1" t="s">
        <v>5254</v>
      </c>
      <c r="AG320" s="9" t="s">
        <v>5255</v>
      </c>
      <c r="AI320" s="1" t="s">
        <v>5256</v>
      </c>
      <c r="AJ320" s="1">
        <v>165.0</v>
      </c>
      <c r="AK320" s="1">
        <v>63.0</v>
      </c>
      <c r="AL320" s="1" t="s">
        <v>5257</v>
      </c>
      <c r="AM320" s="1" t="s">
        <v>5258</v>
      </c>
      <c r="AN320" s="7" t="s">
        <v>5259</v>
      </c>
      <c r="AO320" s="8" t="str">
        <f>HYPERLINK("https://docs.google.com/document/d/17SGAY1CO3JOr4hl7U0QonCOZx5iWi59ZTErwoz7aHZg/edit?usp=drivesdk","Al-Wildan 4 Lebak Bulus_Adhi Kusumadjati S.Pd, M.Si_Fisika/IPA")</f>
        <v>Al-Wildan 4 Lebak Bulus_Adhi Kusumadjati S.Pd, M.Si_Fisika/IPA</v>
      </c>
      <c r="AP320" s="1" t="s">
        <v>5260</v>
      </c>
    </row>
    <row r="321">
      <c r="A321" s="6">
        <v>44396.42775145834</v>
      </c>
      <c r="B321" s="7" t="s">
        <v>5261</v>
      </c>
      <c r="C321" s="8" t="s">
        <v>5262</v>
      </c>
      <c r="D321" s="1" t="s">
        <v>5263</v>
      </c>
      <c r="E321" s="9" t="s">
        <v>5264</v>
      </c>
      <c r="F321" s="1" t="s">
        <v>5265</v>
      </c>
      <c r="G321" s="1" t="s">
        <v>5266</v>
      </c>
      <c r="H321" s="1" t="s">
        <v>685</v>
      </c>
      <c r="I321" s="9" t="s">
        <v>5267</v>
      </c>
      <c r="J321" s="1" t="s">
        <v>5268</v>
      </c>
      <c r="K321" s="1" t="s">
        <v>151</v>
      </c>
      <c r="L321" s="1" t="s">
        <v>256</v>
      </c>
      <c r="M321" s="1" t="s">
        <v>104</v>
      </c>
      <c r="N321" s="1" t="s">
        <v>235</v>
      </c>
      <c r="O321" s="1" t="s">
        <v>106</v>
      </c>
      <c r="P321" s="1" t="s">
        <v>128</v>
      </c>
      <c r="Q321" s="1" t="s">
        <v>5269</v>
      </c>
      <c r="R321" s="1" t="s">
        <v>193</v>
      </c>
      <c r="S321" s="1" t="s">
        <v>5270</v>
      </c>
      <c r="AF321" s="10">
        <v>5000000.0</v>
      </c>
      <c r="AG321" s="1">
        <v>9.000044979095E12</v>
      </c>
      <c r="AI321" s="1" t="s">
        <v>5271</v>
      </c>
      <c r="AJ321" s="1">
        <v>174.0</v>
      </c>
      <c r="AK321" s="1">
        <v>73.0</v>
      </c>
      <c r="AL321" s="1" t="s">
        <v>5272</v>
      </c>
      <c r="AM321" s="1" t="s">
        <v>5273</v>
      </c>
      <c r="AN321" s="7" t="s">
        <v>5274</v>
      </c>
      <c r="AO321" s="8" t="str">
        <f>HYPERLINK("https://docs.google.com/document/d/1F72u5EYV2UGvmjtuA6UkEFpzc6ntG28uNaa12AS5ZIk/edit?usp=drivesdk","Al-Wildan 3 BSD_Muhammad Ihsan, Lc. _Bahasa Arab")</f>
        <v>Al-Wildan 3 BSD_Muhammad Ihsan, Lc. _Bahasa Arab</v>
      </c>
      <c r="AP321" s="1" t="s">
        <v>5275</v>
      </c>
    </row>
    <row r="322">
      <c r="A322" s="6">
        <v>44396.435542164356</v>
      </c>
      <c r="B322" s="7" t="s">
        <v>5276</v>
      </c>
      <c r="C322" s="8" t="s">
        <v>5277</v>
      </c>
      <c r="D322" s="1" t="s">
        <v>5278</v>
      </c>
      <c r="E322" s="1" t="s">
        <v>5279</v>
      </c>
      <c r="F322" s="1" t="s">
        <v>5280</v>
      </c>
      <c r="G322" s="1" t="s">
        <v>5281</v>
      </c>
      <c r="H322" s="1" t="s">
        <v>5282</v>
      </c>
      <c r="I322" s="9" t="s">
        <v>5283</v>
      </c>
      <c r="J322" s="1" t="s">
        <v>5284</v>
      </c>
      <c r="K322" s="1" t="s">
        <v>102</v>
      </c>
      <c r="L322" s="1" t="s">
        <v>256</v>
      </c>
      <c r="M322" s="1" t="s">
        <v>104</v>
      </c>
      <c r="N322" s="1" t="s">
        <v>5285</v>
      </c>
      <c r="O322" s="1" t="s">
        <v>127</v>
      </c>
      <c r="P322" s="1" t="s">
        <v>237</v>
      </c>
      <c r="Q322" s="1" t="s">
        <v>5286</v>
      </c>
      <c r="R322" s="1" t="s">
        <v>5285</v>
      </c>
      <c r="S322" s="1" t="s">
        <v>990</v>
      </c>
      <c r="Z322" s="1" t="s">
        <v>5287</v>
      </c>
      <c r="AA322" s="10">
        <v>1.4E7</v>
      </c>
      <c r="AB322" s="1" t="s">
        <v>5288</v>
      </c>
      <c r="AC322" s="10">
        <v>1.5E7</v>
      </c>
      <c r="AD322" s="1" t="s">
        <v>5289</v>
      </c>
      <c r="AE322" s="10">
        <v>6500000.0</v>
      </c>
      <c r="AF322" s="10">
        <v>1.5E7</v>
      </c>
      <c r="AH322" s="9" t="s">
        <v>5290</v>
      </c>
      <c r="AI322" s="1" t="s">
        <v>5288</v>
      </c>
      <c r="AJ322" s="1">
        <v>173.0</v>
      </c>
      <c r="AK322" s="1">
        <v>79.0</v>
      </c>
      <c r="AL322" s="1" t="s">
        <v>5291</v>
      </c>
      <c r="AM322" s="1" t="s">
        <v>5292</v>
      </c>
      <c r="AN322" s="7" t="s">
        <v>5293</v>
      </c>
      <c r="AO322" s="8" t="str">
        <f>HYPERLINK("https://docs.google.com/document/d/1GcFQ0_YPNM1Z1FeHGjnl8yBTPMw8g-wcDZ-bJ-CZmbA/edit?usp=drivesdk","Al-Wildan 4 Lebak Bulus_DENGARA PARULIAN PARLINDUNGAN, S.Si_MATEMATIKA")</f>
        <v>Al-Wildan 4 Lebak Bulus_DENGARA PARULIAN PARLINDUNGAN, S.Si_MATEMATIKA</v>
      </c>
      <c r="AP322" s="1" t="s">
        <v>5294</v>
      </c>
    </row>
    <row r="323">
      <c r="A323" s="6">
        <v>44396.49918568287</v>
      </c>
      <c r="B323" s="7" t="s">
        <v>5295</v>
      </c>
      <c r="C323" s="8" t="s">
        <v>5296</v>
      </c>
      <c r="D323" s="1" t="s">
        <v>5297</v>
      </c>
      <c r="E323" s="9" t="s">
        <v>5298</v>
      </c>
      <c r="F323" s="1" t="s">
        <v>5299</v>
      </c>
      <c r="G323" s="1" t="s">
        <v>5300</v>
      </c>
      <c r="H323" s="1" t="s">
        <v>1664</v>
      </c>
      <c r="I323" s="9" t="s">
        <v>5301</v>
      </c>
      <c r="J323" s="1" t="s">
        <v>5302</v>
      </c>
      <c r="K323" s="1" t="s">
        <v>102</v>
      </c>
      <c r="L323" s="1" t="s">
        <v>103</v>
      </c>
      <c r="M323" s="1" t="s">
        <v>104</v>
      </c>
      <c r="N323" s="1" t="s">
        <v>5303</v>
      </c>
      <c r="O323" s="1" t="s">
        <v>127</v>
      </c>
      <c r="P323" s="1" t="s">
        <v>237</v>
      </c>
      <c r="Q323" s="1" t="s">
        <v>1667</v>
      </c>
      <c r="R323" s="1" t="s">
        <v>5304</v>
      </c>
      <c r="S323" s="1" t="s">
        <v>755</v>
      </c>
      <c r="AJ323" s="1">
        <v>155.0</v>
      </c>
      <c r="AK323" s="1">
        <v>55.0</v>
      </c>
      <c r="AL323" s="1" t="s">
        <v>5305</v>
      </c>
      <c r="AM323" s="1" t="s">
        <v>5306</v>
      </c>
      <c r="AN323" s="7" t="s">
        <v>5307</v>
      </c>
      <c r="AO323" s="8" t="str">
        <f>HYPERLINK("https://docs.google.com/document/d/1rqjk-gsjbHePiRP3NJPKyfTaOrzxeliLuT3CYfOLHxY/edit?usp=drivesdk","Al-Wildan 4 Lebak Bulus_Diana Wulan Primasari S.Pd Si_Matematika ")</f>
        <v>Al-Wildan 4 Lebak Bulus_Diana Wulan Primasari S.Pd Si_Matematika </v>
      </c>
      <c r="AP323" s="1" t="s">
        <v>5308</v>
      </c>
    </row>
    <row r="324">
      <c r="A324" s="6">
        <v>44396.92101259259</v>
      </c>
      <c r="B324" s="7" t="s">
        <v>5309</v>
      </c>
      <c r="C324" s="8" t="s">
        <v>5310</v>
      </c>
      <c r="D324" s="1" t="s">
        <v>5311</v>
      </c>
      <c r="E324" s="9" t="s">
        <v>5312</v>
      </c>
      <c r="F324" s="1" t="s">
        <v>5313</v>
      </c>
      <c r="G324" s="1" t="s">
        <v>5314</v>
      </c>
      <c r="H324" s="1" t="s">
        <v>4139</v>
      </c>
      <c r="I324" s="9" t="s">
        <v>5315</v>
      </c>
      <c r="J324" s="1">
        <v>24.0</v>
      </c>
      <c r="K324" s="1" t="s">
        <v>151</v>
      </c>
      <c r="L324" s="1" t="s">
        <v>329</v>
      </c>
      <c r="M324" s="1" t="s">
        <v>4954</v>
      </c>
      <c r="N324" s="1" t="s">
        <v>2263</v>
      </c>
      <c r="O324" s="1" t="s">
        <v>312</v>
      </c>
      <c r="P324" s="1" t="s">
        <v>107</v>
      </c>
      <c r="R324" s="1" t="s">
        <v>3361</v>
      </c>
      <c r="AD324" s="1" t="s">
        <v>5316</v>
      </c>
      <c r="AG324" s="9" t="s">
        <v>5317</v>
      </c>
      <c r="AI324" s="1" t="s">
        <v>782</v>
      </c>
      <c r="AJ324" s="1">
        <v>156.0</v>
      </c>
      <c r="AK324" s="1">
        <v>40.0</v>
      </c>
      <c r="AL324" s="1" t="s">
        <v>5318</v>
      </c>
      <c r="AM324" s="1" t="s">
        <v>5319</v>
      </c>
      <c r="AN324" s="7" t="s">
        <v>5320</v>
      </c>
      <c r="AO324" s="8" t="str">
        <f>HYPERLINK("https://docs.google.com/document/d/16aejRMIPdqsKO_7SHnZNhavVORh2vgHP3JyoLHBakuc/edit?usp=drivesdk","Al-Wildan 1 Gading Serpong_Amrina rosyada_Qur'an")</f>
        <v>Al-Wildan 1 Gading Serpong_Amrina rosyada_Qur'an</v>
      </c>
      <c r="AP324" s="1" t="s">
        <v>5321</v>
      </c>
    </row>
    <row r="325">
      <c r="A325" s="6">
        <v>44396.98664313657</v>
      </c>
      <c r="B325" s="7" t="s">
        <v>5322</v>
      </c>
      <c r="C325" s="8" t="s">
        <v>5323</v>
      </c>
      <c r="D325" s="1" t="s">
        <v>5324</v>
      </c>
      <c r="E325" s="9" t="s">
        <v>5325</v>
      </c>
      <c r="F325" s="1" t="s">
        <v>5326</v>
      </c>
      <c r="G325" s="1" t="s">
        <v>5327</v>
      </c>
      <c r="H325" s="1" t="s">
        <v>5328</v>
      </c>
      <c r="I325" s="9" t="s">
        <v>5329</v>
      </c>
      <c r="J325" s="1" t="s">
        <v>5330</v>
      </c>
      <c r="K325" s="1" t="s">
        <v>151</v>
      </c>
      <c r="L325" s="1" t="s">
        <v>329</v>
      </c>
      <c r="M325" s="1" t="s">
        <v>4954</v>
      </c>
      <c r="N325" s="1" t="s">
        <v>5331</v>
      </c>
      <c r="O325" s="1" t="s">
        <v>127</v>
      </c>
      <c r="P325" s="1" t="s">
        <v>107</v>
      </c>
      <c r="Z325" s="1" t="s">
        <v>5332</v>
      </c>
      <c r="AA325" s="10">
        <v>1500000.0</v>
      </c>
      <c r="AB325" s="1" t="s">
        <v>5333</v>
      </c>
      <c r="AC325" s="10">
        <v>1750000.0</v>
      </c>
      <c r="AF325" s="10">
        <v>3000000.0</v>
      </c>
      <c r="AG325" s="9" t="s">
        <v>5334</v>
      </c>
      <c r="AI325" s="1" t="s">
        <v>178</v>
      </c>
      <c r="AJ325" s="1">
        <v>150.0</v>
      </c>
      <c r="AK325" s="1">
        <v>38.0</v>
      </c>
      <c r="AL325" s="1" t="s">
        <v>5335</v>
      </c>
      <c r="AM325" s="1" t="s">
        <v>5336</v>
      </c>
      <c r="AN325" s="7" t="s">
        <v>5337</v>
      </c>
      <c r="AO325" s="8" t="str">
        <f>HYPERLINK("https://docs.google.com/document/d/13RYl16PpJQONAhX9CsU-F0imSUWIy3ZCpu9FZcooCPA/edit?usp=drivesdk","Al-Wildan 1 Gading Serpong_Wahidatus Salamah_AlQuran")</f>
        <v>Al-Wildan 1 Gading Serpong_Wahidatus Salamah_AlQuran</v>
      </c>
      <c r="AP325" s="1" t="s">
        <v>5338</v>
      </c>
    </row>
    <row r="326">
      <c r="A326" s="6">
        <v>44396.9990371875</v>
      </c>
      <c r="B326" s="7" t="s">
        <v>5339</v>
      </c>
      <c r="C326" s="8" t="s">
        <v>5340</v>
      </c>
      <c r="D326" s="1" t="s">
        <v>5341</v>
      </c>
      <c r="E326" s="1">
        <v>8.5235472688E10</v>
      </c>
      <c r="F326" s="1" t="s">
        <v>5342</v>
      </c>
      <c r="G326" s="1" t="s">
        <v>5343</v>
      </c>
      <c r="H326" s="1" t="s">
        <v>5344</v>
      </c>
      <c r="I326" s="1" t="s">
        <v>5345</v>
      </c>
      <c r="J326" s="1" t="s">
        <v>5346</v>
      </c>
      <c r="K326" s="1" t="s">
        <v>151</v>
      </c>
      <c r="L326" s="1" t="s">
        <v>329</v>
      </c>
      <c r="M326" s="1" t="s">
        <v>4954</v>
      </c>
      <c r="N326" s="1" t="s">
        <v>5347</v>
      </c>
      <c r="O326" s="1" t="s">
        <v>127</v>
      </c>
      <c r="P326" s="1" t="s">
        <v>107</v>
      </c>
      <c r="AH326" s="1">
        <v>8.45098415E9</v>
      </c>
      <c r="AI326" s="1" t="s">
        <v>5113</v>
      </c>
      <c r="AJ326" s="1">
        <v>155.0</v>
      </c>
      <c r="AK326" s="1">
        <v>38.0</v>
      </c>
      <c r="AL326" s="1" t="s">
        <v>5348</v>
      </c>
      <c r="AM326" s="1" t="s">
        <v>5349</v>
      </c>
      <c r="AN326" s="7" t="s">
        <v>5350</v>
      </c>
      <c r="AO326" s="8" t="str">
        <f>HYPERLINK("https://docs.google.com/document/d/1H_F1WuHZj8WC89pDRjgsUln8WfuRjVVzKSG4St5gtrU/edit?usp=drivesdk","Al-Wildan 1 Gading Serpong_Asma' Al Khontsa _Tahfidz Al Qur'an ")</f>
        <v>Al-Wildan 1 Gading Serpong_Asma' Al Khontsa _Tahfidz Al Qur'an </v>
      </c>
      <c r="AP326" s="1" t="s">
        <v>5351</v>
      </c>
    </row>
    <row r="327">
      <c r="A327" s="6">
        <v>44397.77578465278</v>
      </c>
      <c r="B327" s="7" t="s">
        <v>5352</v>
      </c>
      <c r="C327" s="8" t="s">
        <v>5353</v>
      </c>
      <c r="D327" s="1" t="s">
        <v>5354</v>
      </c>
      <c r="E327" s="9" t="s">
        <v>5355</v>
      </c>
      <c r="F327" s="1" t="s">
        <v>5356</v>
      </c>
      <c r="G327" s="1" t="s">
        <v>1851</v>
      </c>
      <c r="H327" s="1" t="s">
        <v>2026</v>
      </c>
      <c r="I327" s="9" t="s">
        <v>5357</v>
      </c>
      <c r="J327" s="1">
        <v>22.0</v>
      </c>
      <c r="K327" s="1" t="s">
        <v>151</v>
      </c>
      <c r="L327" s="1" t="s">
        <v>329</v>
      </c>
      <c r="M327" s="1" t="s">
        <v>5012</v>
      </c>
      <c r="O327" s="1" t="s">
        <v>106</v>
      </c>
      <c r="P327" s="1" t="s">
        <v>107</v>
      </c>
      <c r="AA327" s="1">
        <v>1750000.0</v>
      </c>
      <c r="AB327" s="1" t="s">
        <v>1840</v>
      </c>
      <c r="AC327" s="1">
        <v>1750000.0</v>
      </c>
      <c r="AD327" s="1" t="s">
        <v>1840</v>
      </c>
      <c r="AE327" s="1">
        <v>1750000.0</v>
      </c>
      <c r="AF327" s="1">
        <v>3000000.0</v>
      </c>
      <c r="AG327" s="9" t="s">
        <v>5358</v>
      </c>
      <c r="AI327" s="1" t="s">
        <v>993</v>
      </c>
      <c r="AJ327" s="1">
        <v>159.0</v>
      </c>
      <c r="AK327" s="1">
        <v>45.0</v>
      </c>
      <c r="AL327" s="1" t="s">
        <v>5359</v>
      </c>
      <c r="AM327" s="1" t="s">
        <v>5360</v>
      </c>
      <c r="AN327" s="7" t="s">
        <v>5361</v>
      </c>
      <c r="AO327" s="8" t="str">
        <f>HYPERLINK("https://docs.google.com/document/d/1FRTLkCvvMj7mrMXT-4ykV27BllTW39GTTlWH5Vm1Wt4/edit?usp=drivesdk","Al-Wildan 1 Gading Serpong_Nur Azizah_")</f>
        <v>Al-Wildan 1 Gading Serpong_Nur Azizah_</v>
      </c>
      <c r="AP327" s="1" t="s">
        <v>5362</v>
      </c>
    </row>
    <row r="328">
      <c r="A328" s="6">
        <v>44398.24589895833</v>
      </c>
      <c r="B328" s="7" t="s">
        <v>5363</v>
      </c>
      <c r="C328" s="8" t="s">
        <v>5364</v>
      </c>
      <c r="D328" s="1" t="s">
        <v>5365</v>
      </c>
      <c r="E328" s="9" t="s">
        <v>5366</v>
      </c>
      <c r="F328" s="1" t="s">
        <v>5367</v>
      </c>
      <c r="G328" s="1" t="s">
        <v>5368</v>
      </c>
      <c r="H328" s="1" t="s">
        <v>1868</v>
      </c>
      <c r="I328" s="9" t="s">
        <v>5369</v>
      </c>
      <c r="J328" s="1">
        <v>19.0</v>
      </c>
      <c r="K328" s="1" t="s">
        <v>151</v>
      </c>
      <c r="L328" s="1" t="s">
        <v>256</v>
      </c>
      <c r="M328" s="1" t="s">
        <v>4954</v>
      </c>
      <c r="N328" s="1" t="s">
        <v>2769</v>
      </c>
      <c r="O328" s="1" t="s">
        <v>312</v>
      </c>
      <c r="P328" s="1" t="s">
        <v>107</v>
      </c>
      <c r="Z328" s="1" t="s">
        <v>5370</v>
      </c>
      <c r="AJ328" s="1">
        <v>155.0</v>
      </c>
      <c r="AK328" s="1">
        <v>45.0</v>
      </c>
      <c r="AL328" s="1" t="s">
        <v>5371</v>
      </c>
      <c r="AM328" s="1" t="s">
        <v>5372</v>
      </c>
      <c r="AN328" s="7" t="s">
        <v>5373</v>
      </c>
      <c r="AO328" s="8" t="str">
        <f>HYPERLINK("https://docs.google.com/document/d/1Ve3gbAvSDEqfjchSpba--bT_D8LzXxAC_DktuMEMGto/edit?usp=drivesdk","Al-Wildan 1 Gading Serpong_Fatimah Thalib _Arabic")</f>
        <v>Al-Wildan 1 Gading Serpong_Fatimah Thalib _Arabic</v>
      </c>
      <c r="AP328" s="1" t="s">
        <v>5374</v>
      </c>
    </row>
    <row r="329">
      <c r="A329" s="6">
        <v>44400.35117540509</v>
      </c>
      <c r="B329" s="7" t="s">
        <v>5375</v>
      </c>
      <c r="C329" s="8" t="s">
        <v>5376</v>
      </c>
      <c r="D329" s="1" t="s">
        <v>5377</v>
      </c>
      <c r="E329" s="9" t="s">
        <v>5378</v>
      </c>
      <c r="F329" s="1" t="s">
        <v>5379</v>
      </c>
      <c r="G329" s="1" t="s">
        <v>5380</v>
      </c>
      <c r="H329" s="1" t="s">
        <v>5381</v>
      </c>
      <c r="I329" s="9" t="s">
        <v>5382</v>
      </c>
      <c r="J329" s="1" t="s">
        <v>667</v>
      </c>
      <c r="K329" s="1" t="s">
        <v>151</v>
      </c>
      <c r="L329" s="1" t="s">
        <v>329</v>
      </c>
      <c r="M329" s="1" t="s">
        <v>104</v>
      </c>
      <c r="N329" s="1" t="s">
        <v>5383</v>
      </c>
      <c r="O329" s="1" t="s">
        <v>127</v>
      </c>
      <c r="P329" s="1" t="s">
        <v>237</v>
      </c>
      <c r="Q329" s="1" t="s">
        <v>5126</v>
      </c>
      <c r="R329" s="1" t="s">
        <v>5384</v>
      </c>
      <c r="S329" s="1" t="s">
        <v>5385</v>
      </c>
      <c r="T329" s="1" t="s">
        <v>217</v>
      </c>
      <c r="U329" s="1" t="s">
        <v>217</v>
      </c>
      <c r="V329" s="1" t="s">
        <v>217</v>
      </c>
      <c r="W329" s="1" t="s">
        <v>217</v>
      </c>
      <c r="X329" s="1" t="s">
        <v>217</v>
      </c>
      <c r="AF329" s="10">
        <v>6000000.0</v>
      </c>
      <c r="AG329" s="9" t="s">
        <v>5386</v>
      </c>
      <c r="AI329" s="1" t="s">
        <v>178</v>
      </c>
      <c r="AJ329" s="1">
        <v>158.0</v>
      </c>
      <c r="AK329" s="1">
        <v>54.0</v>
      </c>
      <c r="AL329" s="1" t="s">
        <v>5387</v>
      </c>
      <c r="AM329" s="1" t="s">
        <v>5388</v>
      </c>
      <c r="AN329" s="7" t="s">
        <v>5389</v>
      </c>
      <c r="AO329" s="8" t="str">
        <f>HYPERLINK("https://docs.google.com/document/d/1n1NWNP9otDMqrb4n9ZuU_Hln5x9xOIm4HnQVPLcbvsQ/edit?usp=drivesdk","Al-Wildan 4 Lebak Bulus_Millati Aulia Hasanah, S.H._Arabic &amp; Diniyyah")</f>
        <v>Al-Wildan 4 Lebak Bulus_Millati Aulia Hasanah, S.H._Arabic &amp; Diniyyah</v>
      </c>
      <c r="AP329" s="1" t="s">
        <v>5390</v>
      </c>
    </row>
    <row r="330">
      <c r="A330" s="6">
        <v>44400.539225</v>
      </c>
      <c r="B330" s="7" t="s">
        <v>5391</v>
      </c>
      <c r="C330" s="8" t="s">
        <v>5392</v>
      </c>
      <c r="D330" s="1" t="s">
        <v>5393</v>
      </c>
      <c r="E330" s="9" t="s">
        <v>5394</v>
      </c>
      <c r="F330" s="1" t="s">
        <v>5395</v>
      </c>
      <c r="G330" s="1" t="s">
        <v>5396</v>
      </c>
      <c r="H330" s="1" t="s">
        <v>685</v>
      </c>
      <c r="I330" s="9" t="s">
        <v>5397</v>
      </c>
      <c r="J330" s="1" t="s">
        <v>5398</v>
      </c>
      <c r="K330" s="1" t="s">
        <v>151</v>
      </c>
      <c r="L330" s="1" t="s">
        <v>256</v>
      </c>
      <c r="M330" s="1" t="s">
        <v>104</v>
      </c>
      <c r="N330" s="1" t="s">
        <v>126</v>
      </c>
      <c r="O330" s="1" t="s">
        <v>236</v>
      </c>
      <c r="P330" s="1" t="s">
        <v>237</v>
      </c>
      <c r="Q330" s="1" t="s">
        <v>275</v>
      </c>
      <c r="R330" s="1" t="s">
        <v>126</v>
      </c>
      <c r="S330" s="1" t="s">
        <v>4021</v>
      </c>
      <c r="T330" s="1" t="s">
        <v>275</v>
      </c>
      <c r="U330" s="1" t="s">
        <v>126</v>
      </c>
      <c r="V330" s="1" t="s">
        <v>5399</v>
      </c>
      <c r="Z330" s="1" t="s">
        <v>5400</v>
      </c>
      <c r="AA330" s="10">
        <v>5250000.0</v>
      </c>
      <c r="AB330" s="1" t="s">
        <v>5401</v>
      </c>
      <c r="AC330" s="10">
        <v>6000000.0</v>
      </c>
      <c r="AF330" s="10">
        <v>8000000.0</v>
      </c>
      <c r="AH330" s="1">
        <v>8.830634062E9</v>
      </c>
      <c r="AI330" s="1" t="s">
        <v>222</v>
      </c>
      <c r="AJ330" s="1">
        <v>157.0</v>
      </c>
      <c r="AK330" s="1">
        <v>58.0</v>
      </c>
      <c r="AL330" s="1" t="s">
        <v>5402</v>
      </c>
      <c r="AM330" s="1" t="s">
        <v>5403</v>
      </c>
      <c r="AN330" s="7" t="s">
        <v>5404</v>
      </c>
      <c r="AO330" s="8" t="str">
        <f>HYPERLINK("https://docs.google.com/document/d/1Bf75Utx9NSkyZdvcqSdSBYKpP2D_L2XLwEAUiPPFLH4/edit?usp=drivesdk","Al-Wildan 4 Lebak Bulus_Budi Utami, M.Si._Matematika")</f>
        <v>Al-Wildan 4 Lebak Bulus_Budi Utami, M.Si._Matematika</v>
      </c>
      <c r="AP330" s="1" t="s">
        <v>5405</v>
      </c>
    </row>
    <row r="331">
      <c r="A331" s="6">
        <v>44401.90516009259</v>
      </c>
      <c r="B331" s="7" t="s">
        <v>5406</v>
      </c>
      <c r="C331" s="8" t="s">
        <v>5407</v>
      </c>
      <c r="D331" s="1" t="s">
        <v>5408</v>
      </c>
      <c r="E331" s="9" t="s">
        <v>5409</v>
      </c>
      <c r="F331" s="1" t="s">
        <v>5410</v>
      </c>
      <c r="G331" s="1" t="s">
        <v>5411</v>
      </c>
      <c r="H331" s="1" t="s">
        <v>685</v>
      </c>
      <c r="I331" s="9" t="s">
        <v>5412</v>
      </c>
      <c r="J331" s="1" t="s">
        <v>5413</v>
      </c>
      <c r="K331" s="1" t="s">
        <v>102</v>
      </c>
      <c r="L331" s="1" t="s">
        <v>103</v>
      </c>
      <c r="M331" s="1" t="s">
        <v>104</v>
      </c>
      <c r="N331" s="1" t="s">
        <v>1523</v>
      </c>
      <c r="O331" s="1" t="s">
        <v>127</v>
      </c>
      <c r="P331" s="1" t="s">
        <v>237</v>
      </c>
      <c r="Q331" s="1" t="s">
        <v>5414</v>
      </c>
      <c r="R331" s="1" t="s">
        <v>1523</v>
      </c>
      <c r="S331" s="1" t="s">
        <v>726</v>
      </c>
      <c r="T331" s="1" t="s">
        <v>275</v>
      </c>
      <c r="U331" s="1" t="s">
        <v>1523</v>
      </c>
      <c r="V331" s="1" t="s">
        <v>5415</v>
      </c>
      <c r="AA331" s="1">
        <v>1.0E7</v>
      </c>
      <c r="AF331" s="1">
        <v>1.0E7</v>
      </c>
      <c r="AG331" s="1">
        <v>7.063482091E11</v>
      </c>
      <c r="AI331" s="1" t="s">
        <v>4739</v>
      </c>
      <c r="AJ331" s="1">
        <v>155.0</v>
      </c>
      <c r="AK331" s="1">
        <v>55.0</v>
      </c>
      <c r="AL331" s="1" t="s">
        <v>5416</v>
      </c>
      <c r="AM331" s="1" t="s">
        <v>5417</v>
      </c>
      <c r="AN331" s="7" t="s">
        <v>5418</v>
      </c>
      <c r="AO331" s="8" t="str">
        <f>HYPERLINK("https://docs.google.com/document/d/1-BXGDascwv4fwfmL_ZJVEj19mY7__520DNc8YLvVrwA/edit?usp=drivesdk","Al-Wildan 4 Lebak Bulus_Lisnawati Tri Hastuti, S.Si., M.Si_Kimia")</f>
        <v>Al-Wildan 4 Lebak Bulus_Lisnawati Tri Hastuti, S.Si., M.Si_Kimia</v>
      </c>
      <c r="AP331" s="1" t="s">
        <v>5419</v>
      </c>
    </row>
    <row r="332">
      <c r="A332" s="6">
        <v>44402.06708709491</v>
      </c>
      <c r="B332" s="7" t="s">
        <v>5420</v>
      </c>
      <c r="C332" s="8" t="s">
        <v>5421</v>
      </c>
      <c r="D332" s="1" t="s">
        <v>5422</v>
      </c>
      <c r="E332" s="9" t="s">
        <v>5423</v>
      </c>
      <c r="F332" s="1" t="s">
        <v>5424</v>
      </c>
      <c r="G332" s="1" t="s">
        <v>5425</v>
      </c>
      <c r="H332" s="1" t="s">
        <v>5426</v>
      </c>
      <c r="I332" s="9" t="s">
        <v>5427</v>
      </c>
      <c r="J332" s="1" t="s">
        <v>5428</v>
      </c>
      <c r="K332" s="1" t="s">
        <v>151</v>
      </c>
      <c r="L332" s="1" t="s">
        <v>256</v>
      </c>
      <c r="M332" s="1" t="s">
        <v>104</v>
      </c>
      <c r="N332" s="1" t="s">
        <v>5429</v>
      </c>
      <c r="O332" s="1" t="s">
        <v>312</v>
      </c>
      <c r="P332" s="1" t="s">
        <v>237</v>
      </c>
      <c r="Q332" s="1" t="s">
        <v>5430</v>
      </c>
      <c r="R332" s="1" t="s">
        <v>5431</v>
      </c>
      <c r="S332" s="1">
        <v>3.46</v>
      </c>
      <c r="T332" s="1" t="s">
        <v>5432</v>
      </c>
      <c r="U332" s="1" t="s">
        <v>5433</v>
      </c>
      <c r="V332" s="1" t="s">
        <v>3589</v>
      </c>
      <c r="Z332" s="1" t="s">
        <v>5434</v>
      </c>
      <c r="AA332" s="10">
        <v>7000000.0</v>
      </c>
      <c r="AF332" s="10">
        <v>8000000.0</v>
      </c>
      <c r="AG332" s="1">
        <v>7.107091283E9</v>
      </c>
      <c r="AI332" s="1" t="s">
        <v>5435</v>
      </c>
      <c r="AJ332" s="1">
        <v>155.0</v>
      </c>
      <c r="AK332" s="1">
        <v>57.0</v>
      </c>
      <c r="AL332" s="1" t="s">
        <v>5436</v>
      </c>
      <c r="AM332" s="1" t="s">
        <v>5437</v>
      </c>
      <c r="AN332" s="7" t="s">
        <v>5438</v>
      </c>
      <c r="AO332" s="8" t="str">
        <f>HYPERLINK("https://docs.google.com/document/d/1Q9MkW2vqImLVmNLwCeD1Dyc5FkTP6LnYZdJ1D3SmrEg/edit?usp=drivesdk","Al-Wildan 4 Lebak Bulus_Hening Windria, M.Sc._mathematics and science for primary school")</f>
        <v>Al-Wildan 4 Lebak Bulus_Hening Windria, M.Sc._mathematics and science for primary school</v>
      </c>
      <c r="AP332" s="1" t="s">
        <v>5439</v>
      </c>
    </row>
    <row r="333">
      <c r="A333" s="6">
        <v>44402.23942266204</v>
      </c>
      <c r="B333" s="7" t="s">
        <v>5440</v>
      </c>
      <c r="C333" s="8" t="s">
        <v>5441</v>
      </c>
      <c r="D333" s="1" t="s">
        <v>5442</v>
      </c>
      <c r="E333" s="9" t="s">
        <v>5443</v>
      </c>
      <c r="F333" s="1" t="s">
        <v>5444</v>
      </c>
      <c r="G333" s="1" t="s">
        <v>5445</v>
      </c>
      <c r="H333" s="1" t="s">
        <v>2914</v>
      </c>
      <c r="I333" s="9" t="s">
        <v>5446</v>
      </c>
      <c r="J333" s="1" t="s">
        <v>5447</v>
      </c>
      <c r="K333" s="1" t="s">
        <v>151</v>
      </c>
      <c r="L333" s="1" t="s">
        <v>256</v>
      </c>
      <c r="M333" s="1" t="s">
        <v>104</v>
      </c>
      <c r="N333" s="1" t="s">
        <v>5448</v>
      </c>
      <c r="O333" s="1" t="s">
        <v>312</v>
      </c>
      <c r="P333" s="1" t="s">
        <v>237</v>
      </c>
      <c r="Q333" s="1" t="s">
        <v>5449</v>
      </c>
      <c r="R333" s="1" t="s">
        <v>172</v>
      </c>
      <c r="S333" s="1" t="s">
        <v>2181</v>
      </c>
      <c r="Z333" s="1" t="s">
        <v>5450</v>
      </c>
      <c r="AA333" s="10">
        <v>2500000.0</v>
      </c>
      <c r="AF333" s="10">
        <v>4500000.0</v>
      </c>
      <c r="AH333" s="9" t="s">
        <v>5451</v>
      </c>
      <c r="AI333" s="1" t="s">
        <v>5452</v>
      </c>
      <c r="AJ333" s="1">
        <v>150.0</v>
      </c>
      <c r="AK333" s="1">
        <v>47.0</v>
      </c>
      <c r="AL333" s="1" t="s">
        <v>5453</v>
      </c>
      <c r="AM333" s="1" t="s">
        <v>5454</v>
      </c>
      <c r="AN333" s="7" t="s">
        <v>5455</v>
      </c>
      <c r="AO333" s="8" t="str">
        <f>HYPERLINK("https://docs.google.com/document/d/199P77xpMnOB4ldR9BL5ITmmGLjASncCBrJjUGaJ1ioI/edit?usp=drivesdk","Al-Wildan 4 Lebak Bulus_Silma Ikrimah, S. Pd_English, Science, Math")</f>
        <v>Al-Wildan 4 Lebak Bulus_Silma Ikrimah, S. Pd_English, Science, Math</v>
      </c>
      <c r="AP333" s="1" t="s">
        <v>5456</v>
      </c>
    </row>
    <row r="334">
      <c r="A334" s="6">
        <v>44402.373645844906</v>
      </c>
      <c r="B334" s="7" t="s">
        <v>5457</v>
      </c>
      <c r="C334" s="8" t="s">
        <v>5458</v>
      </c>
      <c r="D334" s="1" t="s">
        <v>5459</v>
      </c>
      <c r="E334" s="9" t="s">
        <v>5460</v>
      </c>
      <c r="F334" s="1" t="s">
        <v>5461</v>
      </c>
      <c r="G334" s="1" t="s">
        <v>5462</v>
      </c>
      <c r="H334" s="1" t="s">
        <v>4850</v>
      </c>
      <c r="I334" s="9" t="s">
        <v>5463</v>
      </c>
      <c r="J334" s="1" t="s">
        <v>5464</v>
      </c>
      <c r="K334" s="1" t="s">
        <v>102</v>
      </c>
      <c r="L334" s="1" t="s">
        <v>827</v>
      </c>
      <c r="M334" s="1" t="s">
        <v>104</v>
      </c>
      <c r="N334" s="1" t="s">
        <v>152</v>
      </c>
      <c r="O334" s="1" t="s">
        <v>312</v>
      </c>
      <c r="P334" s="1" t="s">
        <v>237</v>
      </c>
      <c r="Q334" s="1" t="s">
        <v>347</v>
      </c>
      <c r="R334" s="1" t="s">
        <v>172</v>
      </c>
      <c r="S334" s="1" t="s">
        <v>110</v>
      </c>
      <c r="Z334" s="1" t="s">
        <v>5465</v>
      </c>
      <c r="AF334" s="10">
        <v>4500000.0</v>
      </c>
      <c r="AH334" s="1">
        <v>1.27001008178506E14</v>
      </c>
      <c r="AI334" s="1" t="s">
        <v>5466</v>
      </c>
      <c r="AJ334" s="1">
        <v>162.0</v>
      </c>
      <c r="AK334" s="1">
        <v>62.0</v>
      </c>
      <c r="AL334" s="1" t="s">
        <v>5467</v>
      </c>
      <c r="AM334" s="1" t="s">
        <v>5468</v>
      </c>
      <c r="AN334" s="7" t="s">
        <v>5469</v>
      </c>
      <c r="AO334" s="8" t="str">
        <f>HYPERLINK("https://docs.google.com/document/d/1XVvaU9uRknPwBDNyOS70-bQNjYgeZ23X5yz0rr8uZ70/edit?usp=drivesdk","Al-Wildan 4 Lebak Bulus_Ika Yudi Setianingrum, S.Pd._Bahasa Inggris")</f>
        <v>Al-Wildan 4 Lebak Bulus_Ika Yudi Setianingrum, S.Pd._Bahasa Inggris</v>
      </c>
      <c r="AP334" s="1" t="s">
        <v>5470</v>
      </c>
    </row>
    <row r="335">
      <c r="A335" s="6">
        <v>44404.50453884259</v>
      </c>
      <c r="B335" s="7" t="s">
        <v>5471</v>
      </c>
      <c r="C335" s="8" t="s">
        <v>5472</v>
      </c>
      <c r="D335" s="1" t="s">
        <v>5473</v>
      </c>
      <c r="E335" s="9" t="s">
        <v>5474</v>
      </c>
      <c r="F335" s="1" t="s">
        <v>5475</v>
      </c>
      <c r="G335" s="1" t="s">
        <v>5476</v>
      </c>
      <c r="H335" s="1" t="s">
        <v>5477</v>
      </c>
      <c r="I335" s="9" t="s">
        <v>5478</v>
      </c>
      <c r="J335" s="1" t="s">
        <v>2851</v>
      </c>
      <c r="K335" s="1" t="s">
        <v>151</v>
      </c>
      <c r="L335" s="1" t="s">
        <v>103</v>
      </c>
      <c r="M335" s="1" t="s">
        <v>104</v>
      </c>
      <c r="N335" s="1" t="s">
        <v>5479</v>
      </c>
      <c r="O335" s="1" t="s">
        <v>236</v>
      </c>
      <c r="P335" s="1" t="s">
        <v>237</v>
      </c>
      <c r="Q335" s="1" t="s">
        <v>108</v>
      </c>
      <c r="R335" s="1" t="s">
        <v>410</v>
      </c>
      <c r="S335" s="1" t="s">
        <v>155</v>
      </c>
      <c r="T335" s="1" t="s">
        <v>2927</v>
      </c>
      <c r="U335" s="1" t="s">
        <v>5480</v>
      </c>
      <c r="V335" s="1" t="s">
        <v>2582</v>
      </c>
      <c r="Z335" s="1" t="s">
        <v>5481</v>
      </c>
      <c r="AA335" s="10">
        <v>1.1E7</v>
      </c>
      <c r="AB335" s="1" t="s">
        <v>5482</v>
      </c>
      <c r="AC335" s="10">
        <v>1.4E7</v>
      </c>
      <c r="AF335" s="1" t="s">
        <v>5483</v>
      </c>
      <c r="AG335" s="9" t="s">
        <v>5484</v>
      </c>
      <c r="AI335" s="1" t="s">
        <v>159</v>
      </c>
      <c r="AJ335" s="1">
        <v>185.0</v>
      </c>
      <c r="AK335" s="1">
        <v>60.0</v>
      </c>
      <c r="AL335" s="1" t="s">
        <v>5485</v>
      </c>
      <c r="AM335" s="1" t="s">
        <v>5486</v>
      </c>
      <c r="AN335" s="7" t="s">
        <v>5487</v>
      </c>
      <c r="AO335" s="8" t="str">
        <f>HYPERLINK("https://docs.google.com/document/d/1l4bgbfjIw3ukjwmYXc3O0naV7rv7Kf4JBDHnvKvhxjg/edit?usp=drivesdk","Al-Wildan 4 Lebak Bulus_Muhammad Hafidz, S.Pd, M.T_Guru Fisika")</f>
        <v>Al-Wildan 4 Lebak Bulus_Muhammad Hafidz, S.Pd, M.T_Guru Fisika</v>
      </c>
      <c r="AP335" s="1" t="s">
        <v>5488</v>
      </c>
    </row>
    <row r="336">
      <c r="A336" s="6">
        <v>44405.5693525463</v>
      </c>
      <c r="B336" s="7" t="s">
        <v>5489</v>
      </c>
      <c r="C336" s="8" t="s">
        <v>5490</v>
      </c>
      <c r="D336" s="1" t="s">
        <v>5491</v>
      </c>
      <c r="E336" s="9" t="s">
        <v>5492</v>
      </c>
      <c r="F336" s="1" t="s">
        <v>5493</v>
      </c>
      <c r="G336" s="1" t="s">
        <v>288</v>
      </c>
      <c r="H336" s="1" t="s">
        <v>288</v>
      </c>
      <c r="I336" s="9" t="s">
        <v>5494</v>
      </c>
      <c r="J336" s="1" t="s">
        <v>3619</v>
      </c>
      <c r="K336" s="1" t="s">
        <v>102</v>
      </c>
      <c r="L336" s="1" t="s">
        <v>103</v>
      </c>
      <c r="M336" s="1" t="s">
        <v>104</v>
      </c>
      <c r="N336" s="1" t="s">
        <v>771</v>
      </c>
      <c r="O336" s="1" t="s">
        <v>312</v>
      </c>
      <c r="P336" s="1" t="s">
        <v>107</v>
      </c>
      <c r="Q336" s="1" t="s">
        <v>5495</v>
      </c>
      <c r="R336" s="1" t="s">
        <v>172</v>
      </c>
      <c r="S336" s="1">
        <v>3.34</v>
      </c>
      <c r="Z336" s="1" t="s">
        <v>5496</v>
      </c>
      <c r="AA336" s="10">
        <v>2000000.0</v>
      </c>
      <c r="AB336" s="1" t="s">
        <v>5497</v>
      </c>
      <c r="AC336" s="10">
        <v>3000000.0</v>
      </c>
      <c r="AD336" s="1" t="s">
        <v>5498</v>
      </c>
      <c r="AE336" s="10">
        <v>3000000.0</v>
      </c>
      <c r="AF336" s="10">
        <v>3000000.0</v>
      </c>
      <c r="AG336" s="1">
        <v>4.84301025914537E14</v>
      </c>
      <c r="AH336" s="1">
        <v>4.84301025914537E14</v>
      </c>
      <c r="AI336" s="1" t="s">
        <v>2407</v>
      </c>
      <c r="AJ336" s="1">
        <v>153.0</v>
      </c>
      <c r="AK336" s="1">
        <v>53.0</v>
      </c>
      <c r="AL336" s="1" t="s">
        <v>5499</v>
      </c>
      <c r="AM336" s="1" t="s">
        <v>5500</v>
      </c>
      <c r="AN336" s="7" t="s">
        <v>5501</v>
      </c>
      <c r="AO336" s="8" t="str">
        <f>HYPERLINK("https://docs.google.com/document/d/1Gzs-Fed0z1v_CSC38zG-_pAc_rQhQnmiDVqPjRIeXOU/edit?usp=drivesdk","Al-Wildan 1 Gading Serpong_Tazkiyatul Awaliyah, S.Pd_English")</f>
        <v>Al-Wildan 1 Gading Serpong_Tazkiyatul Awaliyah, S.Pd_English</v>
      </c>
      <c r="AP336" s="1" t="s">
        <v>5502</v>
      </c>
    </row>
    <row r="337">
      <c r="A337" s="6">
        <v>44405.84427905093</v>
      </c>
      <c r="B337" s="7" t="s">
        <v>5503</v>
      </c>
      <c r="C337" s="8" t="s">
        <v>5504</v>
      </c>
      <c r="D337" s="1" t="s">
        <v>5505</v>
      </c>
      <c r="E337" s="9" t="s">
        <v>5506</v>
      </c>
      <c r="F337" s="1" t="s">
        <v>5507</v>
      </c>
      <c r="G337" s="1" t="s">
        <v>5508</v>
      </c>
      <c r="H337" s="1" t="s">
        <v>169</v>
      </c>
      <c r="I337" s="9" t="s">
        <v>5509</v>
      </c>
      <c r="J337" s="1">
        <v>20.0</v>
      </c>
      <c r="K337" s="1" t="s">
        <v>151</v>
      </c>
      <c r="L337" s="1" t="s">
        <v>256</v>
      </c>
      <c r="M337" s="1" t="s">
        <v>104</v>
      </c>
      <c r="N337" s="1" t="s">
        <v>5510</v>
      </c>
      <c r="O337" s="1" t="s">
        <v>312</v>
      </c>
      <c r="P337" s="1" t="s">
        <v>237</v>
      </c>
      <c r="AG337" s="1">
        <v>1.21000994299E12</v>
      </c>
      <c r="AI337" s="1" t="s">
        <v>2119</v>
      </c>
      <c r="AJ337" s="1">
        <v>155.0</v>
      </c>
      <c r="AK337" s="1">
        <v>50.0</v>
      </c>
      <c r="AL337" s="1" t="s">
        <v>5511</v>
      </c>
      <c r="AM337" s="1" t="s">
        <v>5512</v>
      </c>
      <c r="AN337" s="7" t="s">
        <v>5513</v>
      </c>
      <c r="AO337" s="8" t="str">
        <f>HYPERLINK("https://docs.google.com/document/d/11rDd_ybeqYLeQIDnr3SsqyQtNQ-GFTMSpVPXMpvU8Qg/edit?usp=drivesdk","Al-Wildan 4 Lebak Bulus_Naila azkiya_Science English Math (LOWER GRADE)")</f>
        <v>Al-Wildan 4 Lebak Bulus_Naila azkiya_Science English Math (LOWER GRADE)</v>
      </c>
      <c r="AP337" s="1" t="s">
        <v>5514</v>
      </c>
    </row>
    <row r="338">
      <c r="A338" s="6">
        <v>44408.82935886574</v>
      </c>
      <c r="B338" s="7" t="s">
        <v>5515</v>
      </c>
      <c r="C338" s="8" t="s">
        <v>5516</v>
      </c>
      <c r="D338" s="1" t="s">
        <v>5517</v>
      </c>
      <c r="E338" s="9" t="s">
        <v>5518</v>
      </c>
      <c r="F338" s="1" t="s">
        <v>5519</v>
      </c>
      <c r="G338" s="1" t="s">
        <v>5520</v>
      </c>
      <c r="H338" s="1" t="s">
        <v>169</v>
      </c>
      <c r="I338" s="9" t="s">
        <v>5521</v>
      </c>
      <c r="J338" s="1" t="s">
        <v>724</v>
      </c>
      <c r="K338" s="1" t="s">
        <v>102</v>
      </c>
      <c r="L338" s="1" t="s">
        <v>103</v>
      </c>
      <c r="M338" s="1" t="s">
        <v>104</v>
      </c>
      <c r="N338" s="1" t="s">
        <v>3018</v>
      </c>
      <c r="O338" s="1" t="s">
        <v>236</v>
      </c>
      <c r="P338" s="1" t="s">
        <v>237</v>
      </c>
      <c r="Q338" s="1" t="s">
        <v>153</v>
      </c>
      <c r="R338" s="1" t="s">
        <v>536</v>
      </c>
      <c r="S338" s="1" t="s">
        <v>595</v>
      </c>
      <c r="T338" s="1" t="s">
        <v>275</v>
      </c>
      <c r="U338" s="1" t="s">
        <v>5522</v>
      </c>
      <c r="V338" s="1" t="s">
        <v>5523</v>
      </c>
      <c r="Z338" s="1" t="s">
        <v>5524</v>
      </c>
      <c r="AA338" s="10">
        <v>5000000.0</v>
      </c>
      <c r="AB338" s="1" t="s">
        <v>5525</v>
      </c>
      <c r="AC338" s="10">
        <v>4500000.0</v>
      </c>
      <c r="AD338" s="1" t="s">
        <v>5526</v>
      </c>
      <c r="AE338" s="10">
        <v>3000000.0</v>
      </c>
      <c r="AF338" s="10">
        <v>6000000.0</v>
      </c>
      <c r="AG338" s="1">
        <v>1.570000923467E12</v>
      </c>
      <c r="AI338" s="1" t="s">
        <v>2119</v>
      </c>
      <c r="AJ338" s="1">
        <v>168.0</v>
      </c>
      <c r="AK338" s="1">
        <v>65.0</v>
      </c>
      <c r="AL338" s="1" t="s">
        <v>5527</v>
      </c>
      <c r="AM338" s="1" t="s">
        <v>5528</v>
      </c>
      <c r="AN338" s="7" t="s">
        <v>5529</v>
      </c>
      <c r="AO338" s="8" t="str">
        <f>HYPERLINK("https://docs.google.com/document/d/1zyqsNsWOFNsrlbPCZJVCAFZuF1wQHNwc9RoxZs9fyPg/edit?usp=drivesdk","Al-Wildan 4 Lebak Bulus_Tiffa Yuki Dewanti, S.Pd., M.Si._Geografi")</f>
        <v>Al-Wildan 4 Lebak Bulus_Tiffa Yuki Dewanti, S.Pd., M.Si._Geografi</v>
      </c>
      <c r="AP338" s="1" t="s">
        <v>5530</v>
      </c>
    </row>
    <row r="339">
      <c r="A339" s="6">
        <v>44408.84558746528</v>
      </c>
      <c r="B339" s="7" t="s">
        <v>5531</v>
      </c>
      <c r="C339" s="8" t="s">
        <v>5532</v>
      </c>
      <c r="D339" s="1" t="s">
        <v>5533</v>
      </c>
      <c r="E339" s="9" t="s">
        <v>5534</v>
      </c>
      <c r="F339" s="1" t="s">
        <v>5535</v>
      </c>
      <c r="G339" s="1" t="s">
        <v>5536</v>
      </c>
      <c r="H339" s="1" t="s">
        <v>2176</v>
      </c>
      <c r="I339" s="9" t="s">
        <v>5537</v>
      </c>
      <c r="J339" s="1" t="s">
        <v>5538</v>
      </c>
      <c r="K339" s="1" t="s">
        <v>151</v>
      </c>
      <c r="L339" s="1" t="s">
        <v>496</v>
      </c>
      <c r="M339" s="1" t="s">
        <v>4954</v>
      </c>
      <c r="N339" s="1" t="s">
        <v>3444</v>
      </c>
      <c r="O339" s="1" t="s">
        <v>106</v>
      </c>
      <c r="P339" s="1" t="s">
        <v>237</v>
      </c>
      <c r="Z339" s="1" t="s">
        <v>5539</v>
      </c>
      <c r="AA339" s="10">
        <v>800000.0</v>
      </c>
      <c r="AB339" s="1" t="s">
        <v>5540</v>
      </c>
      <c r="AC339" s="10">
        <v>800000.0</v>
      </c>
      <c r="AF339" s="10">
        <v>3000000.0</v>
      </c>
      <c r="AG339" s="9" t="s">
        <v>5541</v>
      </c>
      <c r="AI339" s="1" t="s">
        <v>178</v>
      </c>
      <c r="AJ339" s="1">
        <v>165.0</v>
      </c>
      <c r="AK339" s="1">
        <v>46.0</v>
      </c>
      <c r="AL339" s="1" t="s">
        <v>5542</v>
      </c>
      <c r="AM339" s="1" t="s">
        <v>5543</v>
      </c>
      <c r="AN339" s="7" t="s">
        <v>5544</v>
      </c>
      <c r="AO339" s="8" t="str">
        <f>HYPERLINK("https://docs.google.com/document/d/1UYSRI4bDZl6KJhFj-7gdltXTvGTM5aawVpfJ_Z2cwVQ/edit?usp=drivesdk","Al-Wildan 4 Lebak Bulus_Hasby Ramli_Al-Quran")</f>
        <v>Al-Wildan 4 Lebak Bulus_Hasby Ramli_Al-Quran</v>
      </c>
      <c r="AP339" s="1" t="s">
        <v>5545</v>
      </c>
    </row>
    <row r="340">
      <c r="A340" s="6">
        <v>44408.91630428241</v>
      </c>
      <c r="B340" s="7" t="s">
        <v>5546</v>
      </c>
      <c r="C340" s="8" t="s">
        <v>5547</v>
      </c>
      <c r="D340" s="1" t="s">
        <v>5548</v>
      </c>
      <c r="E340" s="9" t="s">
        <v>5549</v>
      </c>
      <c r="F340" s="1" t="s">
        <v>5550</v>
      </c>
      <c r="G340" s="1" t="s">
        <v>5551</v>
      </c>
      <c r="H340" s="1" t="s">
        <v>5552</v>
      </c>
      <c r="I340" s="9" t="s">
        <v>5553</v>
      </c>
      <c r="J340" s="1" t="s">
        <v>5554</v>
      </c>
      <c r="K340" s="1" t="s">
        <v>102</v>
      </c>
      <c r="L340" s="1" t="s">
        <v>256</v>
      </c>
      <c r="M340" s="1" t="s">
        <v>104</v>
      </c>
      <c r="N340" s="1" t="s">
        <v>235</v>
      </c>
      <c r="O340" s="1" t="s">
        <v>106</v>
      </c>
      <c r="P340" s="1" t="s">
        <v>237</v>
      </c>
      <c r="Q340" s="1" t="s">
        <v>5555</v>
      </c>
      <c r="R340" s="1" t="s">
        <v>5556</v>
      </c>
      <c r="S340" s="1">
        <v>3.61</v>
      </c>
      <c r="T340" s="1" t="s">
        <v>5557</v>
      </c>
      <c r="U340" s="1" t="s">
        <v>5556</v>
      </c>
      <c r="Z340" s="1" t="s">
        <v>5558</v>
      </c>
      <c r="AA340" s="10">
        <v>4500000.0</v>
      </c>
      <c r="AB340" s="1" t="s">
        <v>5559</v>
      </c>
      <c r="AD340" s="1" t="s">
        <v>5560</v>
      </c>
      <c r="AF340" s="10">
        <v>5000000.0</v>
      </c>
      <c r="AG340" s="1">
        <v>8.35212166E9</v>
      </c>
      <c r="AI340" s="1" t="s">
        <v>5561</v>
      </c>
      <c r="AJ340" s="1">
        <v>165.0</v>
      </c>
      <c r="AK340" s="1">
        <v>60.0</v>
      </c>
      <c r="AL340" s="1" t="s">
        <v>5562</v>
      </c>
      <c r="AM340" s="1" t="s">
        <v>5563</v>
      </c>
      <c r="AN340" s="7" t="s">
        <v>5564</v>
      </c>
      <c r="AO340" s="8" t="str">
        <f>HYPERLINK("https://docs.google.com/document/d/10ZCVii8xpQGPVmF4VZH4rFSOdideapzhTGt5WZwQoGk/edit?usp=drivesdk","Al-Wildan 4 Lebak Bulus_Akhmad Johar Paridi, S.Pd_Bahasa Arab")</f>
        <v>Al-Wildan 4 Lebak Bulus_Akhmad Johar Paridi, S.Pd_Bahasa Arab</v>
      </c>
      <c r="AP340" s="1" t="s">
        <v>5565</v>
      </c>
    </row>
    <row r="341">
      <c r="A341" s="6">
        <v>44408.94674280092</v>
      </c>
      <c r="B341" s="7" t="s">
        <v>5566</v>
      </c>
      <c r="C341" s="8" t="s">
        <v>5567</v>
      </c>
      <c r="D341" s="1" t="s">
        <v>5568</v>
      </c>
      <c r="E341" s="9" t="s">
        <v>5569</v>
      </c>
      <c r="F341" s="1" t="s">
        <v>5570</v>
      </c>
      <c r="G341" s="1" t="s">
        <v>5571</v>
      </c>
      <c r="H341" s="1" t="s">
        <v>4585</v>
      </c>
      <c r="I341" s="9" t="s">
        <v>5572</v>
      </c>
      <c r="J341" s="1" t="s">
        <v>5573</v>
      </c>
      <c r="K341" s="1" t="s">
        <v>151</v>
      </c>
      <c r="L341" s="1" t="s">
        <v>103</v>
      </c>
      <c r="M341" s="1" t="s">
        <v>104</v>
      </c>
      <c r="N341" s="1" t="s">
        <v>5574</v>
      </c>
      <c r="O341" s="1" t="s">
        <v>236</v>
      </c>
      <c r="P341" s="1" t="s">
        <v>237</v>
      </c>
      <c r="Q341" s="1" t="s">
        <v>4589</v>
      </c>
      <c r="R341" s="1" t="s">
        <v>5575</v>
      </c>
      <c r="S341" s="1">
        <v>3.56</v>
      </c>
      <c r="Z341" s="1" t="s">
        <v>5576</v>
      </c>
      <c r="AA341" s="10">
        <v>2500000.0</v>
      </c>
      <c r="AF341" s="10">
        <v>5000000.0</v>
      </c>
      <c r="AH341" s="9" t="s">
        <v>5577</v>
      </c>
      <c r="AI341" s="1" t="s">
        <v>2407</v>
      </c>
      <c r="AJ341" s="1">
        <v>156.0</v>
      </c>
      <c r="AK341" s="1">
        <v>51.0</v>
      </c>
      <c r="AL341" s="1" t="s">
        <v>5578</v>
      </c>
      <c r="AM341" s="1" t="s">
        <v>5579</v>
      </c>
      <c r="AN341" s="7" t="s">
        <v>5580</v>
      </c>
      <c r="AO341" s="8" t="str">
        <f>HYPERLINK("https://docs.google.com/document/d/1l-djuS8FZ_hJ1SOFgY-MjwYkPzOKoe4Nn5HQkGVz1oE/edit?usp=drivesdk","Al-Wildan 4 Lebak Bulus_Wahyudi Husain, S.E._Ekonomi dan Sosiologi")</f>
        <v>Al-Wildan 4 Lebak Bulus_Wahyudi Husain, S.E._Ekonomi dan Sosiologi</v>
      </c>
      <c r="AP341" s="1" t="s">
        <v>5581</v>
      </c>
    </row>
    <row r="342">
      <c r="A342" s="6">
        <v>44411.893620891206</v>
      </c>
      <c r="B342" s="7" t="s">
        <v>5582</v>
      </c>
      <c r="C342" s="8" t="s">
        <v>5583</v>
      </c>
      <c r="D342" s="1" t="s">
        <v>5584</v>
      </c>
      <c r="E342" s="9" t="s">
        <v>5585</v>
      </c>
      <c r="F342" s="1" t="s">
        <v>5586</v>
      </c>
      <c r="G342" s="1" t="s">
        <v>5587</v>
      </c>
      <c r="H342" s="1" t="s">
        <v>169</v>
      </c>
      <c r="I342" s="1" t="s">
        <v>5588</v>
      </c>
      <c r="J342" s="1" t="s">
        <v>2131</v>
      </c>
      <c r="K342" s="1" t="s">
        <v>151</v>
      </c>
      <c r="L342" s="1" t="s">
        <v>256</v>
      </c>
      <c r="M342" s="1" t="s">
        <v>104</v>
      </c>
      <c r="N342" s="1" t="s">
        <v>152</v>
      </c>
      <c r="O342" s="1" t="s">
        <v>127</v>
      </c>
      <c r="P342" s="1" t="s">
        <v>237</v>
      </c>
      <c r="Q342" s="1" t="s">
        <v>5589</v>
      </c>
      <c r="R342" s="1" t="s">
        <v>172</v>
      </c>
      <c r="S342" s="1" t="s">
        <v>5590</v>
      </c>
      <c r="Z342" s="1" t="s">
        <v>5591</v>
      </c>
      <c r="AA342" s="1" t="s">
        <v>5592</v>
      </c>
      <c r="AB342" s="1" t="s">
        <v>5593</v>
      </c>
      <c r="AC342" s="1" t="s">
        <v>5594</v>
      </c>
      <c r="AD342" s="1" t="s">
        <v>5595</v>
      </c>
      <c r="AE342" s="1" t="s">
        <v>5596</v>
      </c>
      <c r="AF342" s="1" t="s">
        <v>5597</v>
      </c>
      <c r="AG342" s="1">
        <v>1.156600402E9</v>
      </c>
      <c r="AJ342" s="1">
        <v>153.0</v>
      </c>
      <c r="AK342" s="1">
        <v>60.0</v>
      </c>
      <c r="AL342" s="1" t="s">
        <v>5598</v>
      </c>
      <c r="AM342" s="1" t="s">
        <v>5599</v>
      </c>
      <c r="AN342" s="7" t="s">
        <v>5600</v>
      </c>
      <c r="AO342" s="8" t="str">
        <f>HYPERLINK("https://docs.google.com/document/d/1cSgR4GkLFuN4O0KBEcRWKtRp-3qvA5snvPaGzuuPhXQ/edit?usp=drivesdk","Al-Wildan 4 Lebak Bulus_Yulvia Zarnis, S.Pd_Bahasa Inggris")</f>
        <v>Al-Wildan 4 Lebak Bulus_Yulvia Zarnis, S.Pd_Bahasa Inggris</v>
      </c>
      <c r="AP342" s="1" t="s">
        <v>5601</v>
      </c>
    </row>
    <row r="343">
      <c r="A343" s="6">
        <v>44411.93560182871</v>
      </c>
      <c r="B343" s="7" t="s">
        <v>5602</v>
      </c>
      <c r="C343" s="8" t="s">
        <v>5603</v>
      </c>
      <c r="D343" s="1" t="s">
        <v>5604</v>
      </c>
      <c r="E343" s="9" t="s">
        <v>5605</v>
      </c>
      <c r="F343" s="1" t="s">
        <v>5606</v>
      </c>
      <c r="G343" s="1" t="s">
        <v>5607</v>
      </c>
      <c r="H343" s="1" t="s">
        <v>5608</v>
      </c>
      <c r="I343" s="9" t="s">
        <v>5609</v>
      </c>
      <c r="J343" s="1" t="s">
        <v>5610</v>
      </c>
      <c r="K343" s="1" t="s">
        <v>102</v>
      </c>
      <c r="L343" s="1" t="s">
        <v>103</v>
      </c>
      <c r="M343" s="1" t="s">
        <v>104</v>
      </c>
      <c r="N343" s="1" t="s">
        <v>152</v>
      </c>
      <c r="O343" s="1" t="s">
        <v>236</v>
      </c>
      <c r="P343" s="1" t="s">
        <v>237</v>
      </c>
      <c r="Q343" s="1" t="s">
        <v>5611</v>
      </c>
      <c r="R343" s="1" t="s">
        <v>5612</v>
      </c>
      <c r="S343" s="9" t="s">
        <v>5613</v>
      </c>
      <c r="T343" s="1" t="s">
        <v>275</v>
      </c>
      <c r="U343" s="1" t="s">
        <v>5614</v>
      </c>
      <c r="V343" s="9" t="s">
        <v>3642</v>
      </c>
      <c r="Z343" s="1" t="s">
        <v>5615</v>
      </c>
      <c r="AB343" s="1" t="s">
        <v>5616</v>
      </c>
      <c r="AD343" s="1" t="s">
        <v>5617</v>
      </c>
      <c r="AG343" s="1">
        <v>7.073492957E9</v>
      </c>
      <c r="AJ343" s="1">
        <v>162.0</v>
      </c>
      <c r="AK343" s="1">
        <v>56.0</v>
      </c>
      <c r="AL343" s="1" t="s">
        <v>5618</v>
      </c>
      <c r="AM343" s="1" t="s">
        <v>5619</v>
      </c>
      <c r="AN343" s="7" t="s">
        <v>5620</v>
      </c>
      <c r="AO343" s="8" t="str">
        <f>HYPERLINK("https://docs.google.com/document/d/18_J5OXm4cZ65BGnCFFGK-bK1W5uPLJuarWT6kcDIIr0/edit?usp=drivesdk","Al-Wildan 4 Lebak Bulus_Stella Zavera Monica, M.Hum_Bahasa Inggris")</f>
        <v>Al-Wildan 4 Lebak Bulus_Stella Zavera Monica, M.Hum_Bahasa Inggris</v>
      </c>
      <c r="AP343" s="1" t="s">
        <v>5621</v>
      </c>
    </row>
    <row r="344">
      <c r="A344" s="6">
        <v>44416.37061027778</v>
      </c>
      <c r="B344" s="7" t="s">
        <v>5622</v>
      </c>
      <c r="C344" s="8" t="s">
        <v>5623</v>
      </c>
      <c r="D344" s="1" t="s">
        <v>5624</v>
      </c>
      <c r="E344" s="9" t="s">
        <v>5625</v>
      </c>
      <c r="F344" s="1" t="s">
        <v>5626</v>
      </c>
      <c r="G344" s="1" t="s">
        <v>5627</v>
      </c>
      <c r="H344" s="1" t="s">
        <v>5628</v>
      </c>
      <c r="I344" s="9" t="s">
        <v>5629</v>
      </c>
      <c r="J344" s="1" t="s">
        <v>5630</v>
      </c>
      <c r="K344" s="1" t="s">
        <v>102</v>
      </c>
      <c r="L344" s="1" t="s">
        <v>103</v>
      </c>
      <c r="M344" s="1" t="s">
        <v>104</v>
      </c>
      <c r="N344" s="1" t="s">
        <v>5631</v>
      </c>
      <c r="O344" s="1" t="s">
        <v>106</v>
      </c>
      <c r="P344" s="1" t="s">
        <v>237</v>
      </c>
      <c r="Q344" s="1" t="s">
        <v>5632</v>
      </c>
      <c r="R344" s="1" t="s">
        <v>5633</v>
      </c>
      <c r="S344" s="1" t="s">
        <v>5634</v>
      </c>
      <c r="T344" s="1" t="s">
        <v>5635</v>
      </c>
      <c r="U344" s="1" t="s">
        <v>259</v>
      </c>
      <c r="W344" s="1" t="s">
        <v>217</v>
      </c>
      <c r="X344" s="1" t="s">
        <v>217</v>
      </c>
      <c r="Z344" s="1" t="s">
        <v>5636</v>
      </c>
      <c r="AA344" s="10">
        <v>4500000.0</v>
      </c>
      <c r="AB344" s="1" t="s">
        <v>5637</v>
      </c>
      <c r="AC344" s="10">
        <v>3000000.0</v>
      </c>
      <c r="AD344" s="1" t="s">
        <v>5638</v>
      </c>
      <c r="AE344" s="1" t="s">
        <v>5639</v>
      </c>
      <c r="AF344" s="10">
        <v>5000000.0</v>
      </c>
      <c r="AG344" s="1">
        <v>7.167050276E9</v>
      </c>
      <c r="AJ344" s="1">
        <v>169.0</v>
      </c>
      <c r="AK344" s="1">
        <v>72.0</v>
      </c>
      <c r="AL344" s="1" t="s">
        <v>5640</v>
      </c>
      <c r="AM344" s="1" t="s">
        <v>5641</v>
      </c>
      <c r="AN344" s="7" t="s">
        <v>5642</v>
      </c>
      <c r="AO344" s="8" t="str">
        <f>HYPERLINK("https://docs.google.com/document/d/1vCL1_2Wib3uB7CSUY0z1lJEvMDHwJjrzxueGJkATUxw/edit?usp=drivesdk","Al-Wildan 4 Lebak Bulus_Edy Yuwono, S.Pd., S.H._Guru Diniyyah (Aqidah, hadist, Siroh, Fiqih)")</f>
        <v>Al-Wildan 4 Lebak Bulus_Edy Yuwono, S.Pd., S.H._Guru Diniyyah (Aqidah, hadist, Siroh, Fiqih)</v>
      </c>
      <c r="AP344" s="1" t="s">
        <v>5643</v>
      </c>
    </row>
    <row r="345">
      <c r="A345" s="6">
        <v>44418.991383506946</v>
      </c>
      <c r="B345" s="7" t="s">
        <v>5644</v>
      </c>
      <c r="C345" s="8" t="s">
        <v>5645</v>
      </c>
      <c r="D345" s="1" t="s">
        <v>5646</v>
      </c>
      <c r="E345" s="9" t="s">
        <v>5647</v>
      </c>
      <c r="F345" s="1" t="s">
        <v>5648</v>
      </c>
      <c r="G345" s="1" t="s">
        <v>5649</v>
      </c>
      <c r="H345" s="1" t="s">
        <v>5650</v>
      </c>
      <c r="I345" s="9" t="s">
        <v>5651</v>
      </c>
      <c r="J345" s="1">
        <v>28.0</v>
      </c>
      <c r="K345" s="1" t="s">
        <v>102</v>
      </c>
      <c r="L345" s="1" t="s">
        <v>103</v>
      </c>
      <c r="M345" s="1" t="s">
        <v>104</v>
      </c>
      <c r="N345" s="1" t="s">
        <v>5652</v>
      </c>
      <c r="O345" s="1" t="s">
        <v>312</v>
      </c>
      <c r="P345" s="1" t="s">
        <v>237</v>
      </c>
      <c r="Q345" s="1" t="s">
        <v>811</v>
      </c>
      <c r="R345" s="1" t="s">
        <v>1102</v>
      </c>
      <c r="S345" s="1">
        <v>4.2</v>
      </c>
      <c r="T345" s="1" t="s">
        <v>217</v>
      </c>
      <c r="U345" s="1" t="s">
        <v>217</v>
      </c>
      <c r="V345" s="1" t="s">
        <v>217</v>
      </c>
      <c r="W345" s="1" t="s">
        <v>217</v>
      </c>
      <c r="X345" s="1" t="s">
        <v>217</v>
      </c>
      <c r="Z345" s="1" t="s">
        <v>5653</v>
      </c>
      <c r="AA345" s="1" t="s">
        <v>217</v>
      </c>
      <c r="AB345" s="1" t="s">
        <v>5654</v>
      </c>
      <c r="AC345" s="1" t="s">
        <v>5655</v>
      </c>
      <c r="AD345" s="1" t="s">
        <v>5656</v>
      </c>
      <c r="AE345" s="1" t="s">
        <v>217</v>
      </c>
      <c r="AF345" s="1" t="s">
        <v>5657</v>
      </c>
      <c r="AG345" s="1">
        <v>4.29161712E9</v>
      </c>
      <c r="AH345" s="9" t="s">
        <v>5658</v>
      </c>
      <c r="AI345" s="1" t="s">
        <v>159</v>
      </c>
      <c r="AJ345" s="1">
        <v>165.0</v>
      </c>
      <c r="AK345" s="1">
        <v>65.0</v>
      </c>
      <c r="AL345" s="1" t="s">
        <v>5659</v>
      </c>
      <c r="AM345" s="1" t="s">
        <v>5660</v>
      </c>
      <c r="AN345" s="7" t="s">
        <v>5661</v>
      </c>
      <c r="AO345" s="8" t="str">
        <f>HYPERLINK("https://docs.google.com/document/d/1Y8vEs_su2Q9OjAESeYZLz6Fxpydyz9klRgkeXzMLHn8/edit?usp=drivesdk","Al-Wildan 4 Lebak Bulus_YONI PUTRA LC._PAI (Wali kelas dikelas 2B boy inter )")</f>
        <v>Al-Wildan 4 Lebak Bulus_YONI PUTRA LC._PAI (Wali kelas dikelas 2B boy inter )</v>
      </c>
      <c r="AP345" s="1" t="s">
        <v>5662</v>
      </c>
    </row>
    <row r="346">
      <c r="A346" s="6">
        <v>44442.59559372685</v>
      </c>
      <c r="B346" s="7" t="s">
        <v>5663</v>
      </c>
      <c r="C346" s="8" t="s">
        <v>5664</v>
      </c>
      <c r="D346" s="1" t="s">
        <v>5665</v>
      </c>
      <c r="E346" s="9" t="s">
        <v>5666</v>
      </c>
      <c r="F346" s="1" t="s">
        <v>5667</v>
      </c>
      <c r="G346" s="1" t="s">
        <v>5668</v>
      </c>
      <c r="H346" s="1" t="s">
        <v>1217</v>
      </c>
      <c r="I346" s="9" t="s">
        <v>5669</v>
      </c>
      <c r="J346" s="1" t="s">
        <v>5670</v>
      </c>
      <c r="K346" s="1" t="s">
        <v>102</v>
      </c>
      <c r="L346" s="1" t="s">
        <v>103</v>
      </c>
      <c r="M346" s="1" t="s">
        <v>5671</v>
      </c>
      <c r="O346" s="1" t="s">
        <v>127</v>
      </c>
      <c r="P346" s="1" t="s">
        <v>128</v>
      </c>
      <c r="Z346" s="1" t="s">
        <v>5672</v>
      </c>
      <c r="AA346" s="1" t="s">
        <v>5673</v>
      </c>
      <c r="AB346" s="1" t="s">
        <v>5674</v>
      </c>
      <c r="AC346" s="10">
        <v>2800000.0</v>
      </c>
      <c r="AF346" s="1" t="s">
        <v>5675</v>
      </c>
      <c r="AG346" s="1">
        <v>4.35984386E9</v>
      </c>
      <c r="AJ346" s="1">
        <v>165.0</v>
      </c>
      <c r="AK346" s="1">
        <v>62.0</v>
      </c>
      <c r="AL346" s="1" t="s">
        <v>5676</v>
      </c>
      <c r="AM346" s="1" t="s">
        <v>5677</v>
      </c>
      <c r="AN346" s="7" t="s">
        <v>5678</v>
      </c>
      <c r="AO346" s="8" t="str">
        <f>HYPERLINK("https://docs.google.com/document/d/1vfLpcW1yL2LjmPffAR8KL9OsmRF35YEeBm28D3eEr_k/edit?usp=drivesdk","Al-Wildan 3 BSD_Ahmad Mukhsin_")</f>
        <v>Al-Wildan 3 BSD_Ahmad Mukhsin_</v>
      </c>
      <c r="AP346" s="1" t="s">
        <v>5679</v>
      </c>
    </row>
    <row r="347">
      <c r="A347" s="6">
        <v>44442.647429641205</v>
      </c>
      <c r="B347" s="7" t="s">
        <v>5680</v>
      </c>
      <c r="C347" s="8" t="s">
        <v>5681</v>
      </c>
      <c r="D347" s="1" t="s">
        <v>5682</v>
      </c>
      <c r="E347" s="9" t="s">
        <v>5683</v>
      </c>
      <c r="F347" s="1" t="s">
        <v>5684</v>
      </c>
      <c r="G347" s="1" t="s">
        <v>288</v>
      </c>
      <c r="H347" s="1" t="s">
        <v>288</v>
      </c>
      <c r="I347" s="9" t="s">
        <v>5685</v>
      </c>
      <c r="J347" s="1" t="s">
        <v>1327</v>
      </c>
      <c r="K347" s="1" t="s">
        <v>151</v>
      </c>
      <c r="L347" s="1" t="s">
        <v>103</v>
      </c>
      <c r="M347" s="1" t="s">
        <v>5671</v>
      </c>
      <c r="N347" s="1" t="s">
        <v>217</v>
      </c>
      <c r="O347" s="1" t="s">
        <v>106</v>
      </c>
      <c r="P347" s="1" t="s">
        <v>128</v>
      </c>
      <c r="Q347" s="1" t="s">
        <v>217</v>
      </c>
      <c r="R347" s="1" t="s">
        <v>217</v>
      </c>
      <c r="S347" s="1" t="s">
        <v>217</v>
      </c>
      <c r="T347" s="1" t="s">
        <v>217</v>
      </c>
      <c r="U347" s="1" t="s">
        <v>217</v>
      </c>
      <c r="V347" s="1" t="s">
        <v>217</v>
      </c>
      <c r="W347" s="1" t="s">
        <v>217</v>
      </c>
      <c r="X347" s="1" t="s">
        <v>217</v>
      </c>
      <c r="Y347" s="1">
        <v>0.0</v>
      </c>
      <c r="Z347" s="1" t="s">
        <v>217</v>
      </c>
      <c r="AA347" s="1" t="s">
        <v>217</v>
      </c>
      <c r="AB347" s="1" t="s">
        <v>217</v>
      </c>
      <c r="AC347" s="1" t="s">
        <v>217</v>
      </c>
      <c r="AD347" s="1" t="s">
        <v>217</v>
      </c>
      <c r="AE347" s="1" t="s">
        <v>217</v>
      </c>
      <c r="AF347" s="10">
        <v>3000000.0</v>
      </c>
      <c r="AG347" s="1">
        <v>7.117305354E9</v>
      </c>
      <c r="AH347" s="1">
        <v>0.0</v>
      </c>
      <c r="AI347" s="1" t="s">
        <v>5686</v>
      </c>
      <c r="AJ347" s="1">
        <v>170.0</v>
      </c>
      <c r="AK347" s="1">
        <v>60.0</v>
      </c>
      <c r="AL347" s="1" t="s">
        <v>5687</v>
      </c>
      <c r="AM347" s="1" t="s">
        <v>5688</v>
      </c>
      <c r="AN347" s="7" t="s">
        <v>5689</v>
      </c>
      <c r="AO347" s="8" t="str">
        <f>HYPERLINK("https://docs.google.com/document/d/148mmXSR3hh70halMEAVYx2glfg3JMkOPEdbaEvmQFNA/edit?usp=drivesdk","Al-Wildan 3 BSD_Ahmad Fauzi Hardiansyah_-")</f>
        <v>Al-Wildan 3 BSD_Ahmad Fauzi Hardiansyah_-</v>
      </c>
      <c r="AP347" s="1" t="s">
        <v>5690</v>
      </c>
    </row>
    <row r="348">
      <c r="A348" s="6">
        <v>44443.44202533565</v>
      </c>
      <c r="C348" s="2" t="s">
        <v>5691</v>
      </c>
      <c r="D348" s="1" t="s">
        <v>5692</v>
      </c>
      <c r="E348" s="9" t="s">
        <v>5693</v>
      </c>
      <c r="F348" s="1" t="s">
        <v>5694</v>
      </c>
      <c r="G348" s="1" t="s">
        <v>5695</v>
      </c>
      <c r="H348" s="1" t="s">
        <v>1411</v>
      </c>
      <c r="I348" s="9" t="s">
        <v>5696</v>
      </c>
      <c r="J348" s="1" t="s">
        <v>4654</v>
      </c>
      <c r="K348" s="1" t="s">
        <v>102</v>
      </c>
      <c r="L348" s="1" t="s">
        <v>103</v>
      </c>
      <c r="M348" s="1" t="s">
        <v>104</v>
      </c>
      <c r="N348" s="1" t="s">
        <v>987</v>
      </c>
      <c r="O348" s="1" t="s">
        <v>236</v>
      </c>
      <c r="P348" s="1" t="s">
        <v>128</v>
      </c>
      <c r="Q348" s="1" t="s">
        <v>108</v>
      </c>
      <c r="R348" s="1" t="s">
        <v>989</v>
      </c>
      <c r="S348" s="1" t="s">
        <v>411</v>
      </c>
      <c r="Z348" s="1" t="s">
        <v>5697</v>
      </c>
      <c r="AA348" s="10">
        <v>4500000.0</v>
      </c>
      <c r="AB348" s="1" t="s">
        <v>5698</v>
      </c>
      <c r="AC348" s="10">
        <v>7000000.0</v>
      </c>
      <c r="AF348" s="10">
        <v>8000000.0</v>
      </c>
      <c r="AJ348" s="1">
        <v>155.0</v>
      </c>
      <c r="AK348" s="1">
        <v>65.0</v>
      </c>
      <c r="AL348" s="1" t="s">
        <v>5699</v>
      </c>
      <c r="AM348" s="1" t="s">
        <v>5700</v>
      </c>
      <c r="AN348" s="7" t="s">
        <v>5701</v>
      </c>
      <c r="AO348" s="8" t="str">
        <f>HYPERLINK("https://docs.google.com/document/d/1z2sF5dRFA5w_0B377d3PnsVKb65osgGBU_Bo8mA_sOA/edit?usp=drivesdk","Al-Wildan 3 BSD_Vika Zakiyatun Nisa, S.Pd_Biology")</f>
        <v>Al-Wildan 3 BSD_Vika Zakiyatun Nisa, S.Pd_Biology</v>
      </c>
      <c r="AP348" s="1" t="s">
        <v>5702</v>
      </c>
    </row>
    <row r="349">
      <c r="A349" s="6">
        <v>44448.40339883102</v>
      </c>
      <c r="B349" s="7" t="s">
        <v>5703</v>
      </c>
      <c r="C349" s="8" t="s">
        <v>5704</v>
      </c>
      <c r="D349" s="1" t="s">
        <v>5705</v>
      </c>
      <c r="E349" s="9" t="s">
        <v>5706</v>
      </c>
      <c r="F349" s="1" t="s">
        <v>5707</v>
      </c>
      <c r="G349" s="1" t="s">
        <v>5708</v>
      </c>
      <c r="H349" s="1" t="s">
        <v>99</v>
      </c>
      <c r="I349" s="9" t="s">
        <v>5709</v>
      </c>
      <c r="J349" s="1" t="s">
        <v>1933</v>
      </c>
      <c r="K349" s="1" t="s">
        <v>102</v>
      </c>
      <c r="L349" s="1" t="s">
        <v>103</v>
      </c>
      <c r="M349" s="1" t="s">
        <v>5710</v>
      </c>
      <c r="O349" s="1" t="s">
        <v>5711</v>
      </c>
      <c r="P349" s="1" t="s">
        <v>5712</v>
      </c>
      <c r="Q349" s="1" t="s">
        <v>5713</v>
      </c>
      <c r="R349" s="1" t="s">
        <v>5714</v>
      </c>
      <c r="S349" s="1" t="s">
        <v>990</v>
      </c>
      <c r="Z349" s="1" t="s">
        <v>5715</v>
      </c>
      <c r="AA349" s="10">
        <v>5000000.0</v>
      </c>
      <c r="AF349" s="10">
        <v>5000000.0</v>
      </c>
      <c r="AH349" s="9" t="s">
        <v>5716</v>
      </c>
      <c r="AI349" s="1" t="s">
        <v>5717</v>
      </c>
      <c r="AJ349" s="1">
        <v>178.0</v>
      </c>
      <c r="AK349" s="1">
        <v>79.0</v>
      </c>
      <c r="AL349" s="1" t="s">
        <v>5718</v>
      </c>
      <c r="AM349" s="1" t="s">
        <v>5719</v>
      </c>
      <c r="AN349" s="7" t="s">
        <v>5720</v>
      </c>
      <c r="AO349" s="8" t="str">
        <f>HYPERLINK("https://docs.google.com/document/d/1xK9nAQhob92kYfLJiVRyF4DjTW8hlzUAfwpJFpytSCU/edit?usp=drivesdk","Al-Wildan 3 BSD City_Zaenudin ramdhani Amd.kep_")</f>
        <v>Al-Wildan 3 BSD City_Zaenudin ramdhani Amd.kep_</v>
      </c>
      <c r="AP349" s="1" t="s">
        <v>5721</v>
      </c>
    </row>
    <row r="350">
      <c r="A350" s="6">
        <v>44453.37343619213</v>
      </c>
      <c r="B350" s="7" t="s">
        <v>5722</v>
      </c>
      <c r="C350" s="8" t="s">
        <v>5723</v>
      </c>
      <c r="D350" s="1" t="s">
        <v>5724</v>
      </c>
      <c r="E350" s="9" t="s">
        <v>5725</v>
      </c>
      <c r="F350" s="1" t="s">
        <v>5726</v>
      </c>
      <c r="G350" s="1" t="s">
        <v>5727</v>
      </c>
      <c r="H350" s="1" t="s">
        <v>5728</v>
      </c>
      <c r="I350" s="9" t="s">
        <v>5729</v>
      </c>
      <c r="J350" s="1" t="s">
        <v>826</v>
      </c>
      <c r="K350" s="1" t="s">
        <v>151</v>
      </c>
      <c r="L350" s="1" t="s">
        <v>329</v>
      </c>
      <c r="M350" s="1" t="s">
        <v>5710</v>
      </c>
      <c r="O350" s="1" t="s">
        <v>5711</v>
      </c>
      <c r="P350" s="1" t="s">
        <v>5712</v>
      </c>
      <c r="Q350" s="1" t="s">
        <v>5730</v>
      </c>
      <c r="R350" s="1" t="s">
        <v>5731</v>
      </c>
      <c r="S350" s="1">
        <v>3.29</v>
      </c>
      <c r="Z350" s="1" t="s">
        <v>5732</v>
      </c>
      <c r="AA350" s="10">
        <v>4000000.0</v>
      </c>
      <c r="AH350" s="9" t="s">
        <v>5733</v>
      </c>
      <c r="AI350" s="1" t="s">
        <v>159</v>
      </c>
      <c r="AJ350" s="1">
        <v>175.0</v>
      </c>
      <c r="AK350" s="1">
        <v>60.0</v>
      </c>
      <c r="AL350" s="1" t="s">
        <v>5734</v>
      </c>
      <c r="AM350" s="1" t="s">
        <v>5735</v>
      </c>
      <c r="AN350" s="7" t="s">
        <v>5736</v>
      </c>
      <c r="AO350" s="8" t="str">
        <f>HYPERLINK("https://docs.google.com/document/d/1wRvtdMLz7YhJcrvRDdJFEkGsnZBJVqiNbmTMT-Rz6Uw/edit?usp=drivesdk","Al-Wildan 3 BSD City_Abdul mujieb S,kep.ners_")</f>
        <v>Al-Wildan 3 BSD City_Abdul mujieb S,kep.ners_</v>
      </c>
      <c r="AP350" s="1" t="s">
        <v>5737</v>
      </c>
    </row>
    <row r="351">
      <c r="A351" s="6">
        <v>44461.80827405093</v>
      </c>
      <c r="B351" s="7" t="s">
        <v>5738</v>
      </c>
      <c r="C351" s="8" t="s">
        <v>5739</v>
      </c>
      <c r="D351" s="1" t="s">
        <v>5740</v>
      </c>
      <c r="E351" s="9" t="s">
        <v>5741</v>
      </c>
      <c r="F351" s="1" t="s">
        <v>5742</v>
      </c>
      <c r="G351" s="1" t="s">
        <v>5743</v>
      </c>
      <c r="H351" s="1" t="s">
        <v>5426</v>
      </c>
      <c r="I351" s="9" t="s">
        <v>5744</v>
      </c>
      <c r="J351" s="1" t="s">
        <v>4834</v>
      </c>
      <c r="K351" s="1" t="s">
        <v>151</v>
      </c>
      <c r="L351" s="1" t="s">
        <v>103</v>
      </c>
      <c r="M351" s="1" t="s">
        <v>104</v>
      </c>
      <c r="N351" s="1" t="s">
        <v>3410</v>
      </c>
      <c r="O351" s="1" t="s">
        <v>312</v>
      </c>
      <c r="P351" s="1" t="s">
        <v>237</v>
      </c>
      <c r="Q351" s="1" t="s">
        <v>1036</v>
      </c>
      <c r="R351" s="1" t="s">
        <v>172</v>
      </c>
      <c r="S351" s="1" t="s">
        <v>2369</v>
      </c>
      <c r="Z351" s="1" t="s">
        <v>5745</v>
      </c>
      <c r="AA351" s="10">
        <v>4000000.0</v>
      </c>
      <c r="AB351" s="1" t="s">
        <v>5746</v>
      </c>
      <c r="AC351" s="10">
        <v>6200000.0</v>
      </c>
      <c r="AD351" s="1" t="s">
        <v>5747</v>
      </c>
      <c r="AE351" s="1" t="s">
        <v>5748</v>
      </c>
      <c r="AF351" s="10">
        <v>5000000.0</v>
      </c>
      <c r="AG351" s="1">
        <v>7.167082127E9</v>
      </c>
      <c r="AJ351" s="1">
        <v>150.0</v>
      </c>
      <c r="AK351" s="1">
        <v>40.0</v>
      </c>
      <c r="AL351" s="1" t="s">
        <v>5749</v>
      </c>
      <c r="AM351" s="1" t="s">
        <v>5750</v>
      </c>
      <c r="AN351" s="7" t="s">
        <v>5751</v>
      </c>
      <c r="AO351" s="8" t="str">
        <f>HYPERLINK("https://docs.google.com/document/d/1VcHnJEvOPSc4hfVSCNR7H9c6aSUYs0Nzm_PiLCwTyZU/edit?usp=drivesdk","Al-Wildan 4 Lebak Bulus_Titi Dwi Rabbani_Guru Bahasa Inggris")</f>
        <v>Al-Wildan 4 Lebak Bulus_Titi Dwi Rabbani_Guru Bahasa Inggris</v>
      </c>
      <c r="AP351" s="1" t="s">
        <v>5752</v>
      </c>
    </row>
    <row r="352">
      <c r="A352" s="6">
        <v>44462.397911319444</v>
      </c>
      <c r="B352" s="7" t="s">
        <v>5753</v>
      </c>
      <c r="C352" s="8" t="s">
        <v>5754</v>
      </c>
      <c r="D352" s="1" t="s">
        <v>5755</v>
      </c>
      <c r="E352" s="9" t="s">
        <v>5756</v>
      </c>
      <c r="F352" s="1" t="s">
        <v>5757</v>
      </c>
      <c r="G352" s="1" t="s">
        <v>5758</v>
      </c>
      <c r="H352" s="1" t="s">
        <v>169</v>
      </c>
      <c r="I352" s="9" t="s">
        <v>5759</v>
      </c>
      <c r="J352" s="1" t="s">
        <v>5760</v>
      </c>
      <c r="K352" s="1" t="s">
        <v>151</v>
      </c>
      <c r="L352" s="1" t="s">
        <v>103</v>
      </c>
      <c r="M352" s="1" t="s">
        <v>5761</v>
      </c>
      <c r="O352" s="1" t="s">
        <v>1693</v>
      </c>
      <c r="P352" s="1" t="s">
        <v>237</v>
      </c>
      <c r="Q352" s="1" t="s">
        <v>108</v>
      </c>
      <c r="R352" s="1" t="s">
        <v>410</v>
      </c>
      <c r="S352" s="1" t="s">
        <v>990</v>
      </c>
      <c r="Z352" s="1" t="s">
        <v>5762</v>
      </c>
      <c r="AA352" s="10">
        <v>2500000.0</v>
      </c>
      <c r="AF352" s="10">
        <v>5000000.0</v>
      </c>
      <c r="AH352" s="9" t="s">
        <v>5763</v>
      </c>
      <c r="AI352" s="1" t="s">
        <v>2119</v>
      </c>
      <c r="AJ352" s="1">
        <v>178.0</v>
      </c>
      <c r="AK352" s="1">
        <v>65.0</v>
      </c>
      <c r="AL352" s="1" t="s">
        <v>5764</v>
      </c>
      <c r="AM352" s="1" t="s">
        <v>5765</v>
      </c>
      <c r="AN352" s="7" t="s">
        <v>5766</v>
      </c>
      <c r="AO352" s="8" t="str">
        <f>HYPERLINK("https://docs.google.com/document/d/1L2dDT88EZmprM6Q0Gj7052hh3xwZ30p82m-W6MMOA7w/edit?usp=drivesdk","Al-Wildan 4 Lebak Bulus_Hafiz Faisal Jamil, S.Pd_")</f>
        <v>Al-Wildan 4 Lebak Bulus_Hafiz Faisal Jamil, S.Pd_</v>
      </c>
      <c r="AP352" s="1" t="s">
        <v>5767</v>
      </c>
    </row>
    <row r="353">
      <c r="A353" s="6">
        <v>44462.59771650463</v>
      </c>
      <c r="B353" s="7" t="s">
        <v>5768</v>
      </c>
      <c r="C353" s="8" t="s">
        <v>5769</v>
      </c>
      <c r="D353" s="1" t="s">
        <v>5770</v>
      </c>
      <c r="E353" s="9" t="s">
        <v>5771</v>
      </c>
      <c r="F353" s="1" t="s">
        <v>5772</v>
      </c>
      <c r="G353" s="1" t="s">
        <v>5773</v>
      </c>
      <c r="H353" s="1" t="s">
        <v>722</v>
      </c>
      <c r="I353" s="9" t="s">
        <v>5382</v>
      </c>
      <c r="J353" s="1" t="s">
        <v>4209</v>
      </c>
      <c r="K353" s="1" t="s">
        <v>151</v>
      </c>
      <c r="L353" s="1" t="s">
        <v>496</v>
      </c>
      <c r="M353" s="1" t="s">
        <v>104</v>
      </c>
      <c r="N353" s="1" t="s">
        <v>5774</v>
      </c>
      <c r="O353" s="1" t="s">
        <v>127</v>
      </c>
      <c r="P353" s="1" t="s">
        <v>107</v>
      </c>
      <c r="R353" s="1" t="s">
        <v>5775</v>
      </c>
      <c r="S353" s="1">
        <v>4.7</v>
      </c>
      <c r="Z353" s="1" t="s">
        <v>5776</v>
      </c>
      <c r="AA353" s="1" t="s">
        <v>5777</v>
      </c>
      <c r="AB353" s="1" t="s">
        <v>5778</v>
      </c>
      <c r="AC353" s="1" t="s">
        <v>5777</v>
      </c>
      <c r="AG353" s="1">
        <v>4.29269239E9</v>
      </c>
      <c r="AJ353" s="1">
        <v>170.0</v>
      </c>
      <c r="AK353" s="1">
        <v>65.0</v>
      </c>
      <c r="AL353" s="1" t="s">
        <v>5779</v>
      </c>
      <c r="AM353" s="1" t="s">
        <v>5780</v>
      </c>
      <c r="AN353" s="7" t="s">
        <v>5781</v>
      </c>
      <c r="AO353" s="8" t="str">
        <f>HYPERLINK("https://docs.google.com/document/d/1DHfpT1JB4PzbFUozE0JnZra3BkUk7r8CUzTp6OhVLaA/edit?usp=drivesdk","Al-Wildan 1 Gading Serpong_Salza Aisyah Manora _diniyyah")</f>
        <v>Al-Wildan 1 Gading Serpong_Salza Aisyah Manora _diniyyah</v>
      </c>
      <c r="AP353" s="1" t="s">
        <v>5782</v>
      </c>
    </row>
    <row r="354">
      <c r="A354" s="6">
        <v>44462.665608043986</v>
      </c>
      <c r="B354" s="7" t="s">
        <v>5783</v>
      </c>
      <c r="C354" s="8" t="s">
        <v>5784</v>
      </c>
      <c r="D354" s="1" t="s">
        <v>5785</v>
      </c>
      <c r="E354" s="9" t="s">
        <v>5786</v>
      </c>
      <c r="F354" s="1" t="s">
        <v>5787</v>
      </c>
      <c r="G354" s="1" t="s">
        <v>5788</v>
      </c>
      <c r="H354" s="1" t="s">
        <v>2458</v>
      </c>
      <c r="I354" s="9" t="s">
        <v>5789</v>
      </c>
      <c r="J354" s="1" t="s">
        <v>1274</v>
      </c>
      <c r="K354" s="1" t="s">
        <v>102</v>
      </c>
      <c r="L354" s="1" t="s">
        <v>103</v>
      </c>
      <c r="M354" s="1" t="s">
        <v>5790</v>
      </c>
      <c r="N354" s="1" t="s">
        <v>217</v>
      </c>
      <c r="O354" s="1" t="s">
        <v>1693</v>
      </c>
      <c r="P354" s="1" t="s">
        <v>5712</v>
      </c>
      <c r="Q354" s="1" t="s">
        <v>5791</v>
      </c>
      <c r="R354" s="1" t="s">
        <v>5792</v>
      </c>
      <c r="S354" s="1" t="s">
        <v>1624</v>
      </c>
      <c r="T354" s="1" t="s">
        <v>217</v>
      </c>
      <c r="U354" s="1" t="s">
        <v>217</v>
      </c>
      <c r="V354" s="1" t="s">
        <v>217</v>
      </c>
      <c r="W354" s="1" t="s">
        <v>217</v>
      </c>
      <c r="X354" s="1" t="s">
        <v>217</v>
      </c>
      <c r="Z354" s="1" t="s">
        <v>5793</v>
      </c>
      <c r="AA354" s="10">
        <v>5000000.0</v>
      </c>
      <c r="AB354" s="1" t="s">
        <v>5794</v>
      </c>
      <c r="AC354" s="10">
        <v>4000000.0</v>
      </c>
      <c r="AD354" s="1" t="s">
        <v>5795</v>
      </c>
      <c r="AE354" s="10">
        <v>2500000.0</v>
      </c>
      <c r="AF354" s="10">
        <v>5500000.0</v>
      </c>
      <c r="AH354" s="1">
        <v>3.920282368E9</v>
      </c>
      <c r="AI354" s="1" t="s">
        <v>5796</v>
      </c>
      <c r="AJ354" s="1">
        <v>176.0</v>
      </c>
      <c r="AK354" s="1">
        <v>84.0</v>
      </c>
      <c r="AL354" s="1" t="s">
        <v>5797</v>
      </c>
      <c r="AM354" s="1" t="s">
        <v>5798</v>
      </c>
      <c r="AN354" s="7" t="s">
        <v>5799</v>
      </c>
      <c r="AO354" s="8" t="str">
        <f>HYPERLINK("https://docs.google.com/document/d/17rRfG4WlhJlmlC8uQcIjX30lJy6WiBhBH-8_Z0xrOXs/edit?usp=drivesdk","Al-Wildan 3 BSD City_Fajar Rahadi Nugroho_-")</f>
        <v>Al-Wildan 3 BSD City_Fajar Rahadi Nugroho_-</v>
      </c>
      <c r="AP354" s="1" t="s">
        <v>5800</v>
      </c>
    </row>
    <row r="355">
      <c r="A355" s="6">
        <v>44469.891507418986</v>
      </c>
      <c r="B355" s="7" t="s">
        <v>5801</v>
      </c>
      <c r="C355" s="8" t="s">
        <v>5802</v>
      </c>
      <c r="D355" s="1" t="s">
        <v>5803</v>
      </c>
      <c r="E355" s="9" t="s">
        <v>5804</v>
      </c>
      <c r="F355" s="1" t="s">
        <v>5805</v>
      </c>
      <c r="G355" s="1" t="s">
        <v>5806</v>
      </c>
      <c r="H355" s="1" t="s">
        <v>5807</v>
      </c>
      <c r="I355" s="9" t="s">
        <v>5808</v>
      </c>
      <c r="J355" s="1" t="s">
        <v>5809</v>
      </c>
      <c r="K355" s="1" t="s">
        <v>151</v>
      </c>
      <c r="L355" s="1" t="s">
        <v>256</v>
      </c>
      <c r="M355" s="1" t="s">
        <v>5790</v>
      </c>
      <c r="O355" s="1" t="s">
        <v>127</v>
      </c>
      <c r="P355" s="1" t="s">
        <v>5712</v>
      </c>
      <c r="Q355" s="1" t="s">
        <v>108</v>
      </c>
      <c r="R355" s="1" t="s">
        <v>552</v>
      </c>
      <c r="S355" s="1" t="s">
        <v>5810</v>
      </c>
      <c r="Z355" s="1" t="s">
        <v>5811</v>
      </c>
      <c r="AA355" s="10">
        <v>2850000.0</v>
      </c>
      <c r="AB355" s="1" t="s">
        <v>5812</v>
      </c>
      <c r="AC355" s="10">
        <v>2500000.0</v>
      </c>
      <c r="AF355" s="10">
        <v>3500000.0</v>
      </c>
      <c r="AH355" s="1">
        <v>7.095551836E9</v>
      </c>
      <c r="AI355" s="1" t="s">
        <v>5813</v>
      </c>
      <c r="AJ355" s="1">
        <v>166.0</v>
      </c>
      <c r="AK355" s="1">
        <v>69.0</v>
      </c>
      <c r="AL355" s="1" t="s">
        <v>5814</v>
      </c>
      <c r="AM355" s="1" t="s">
        <v>5815</v>
      </c>
      <c r="AN355" s="7" t="s">
        <v>5816</v>
      </c>
      <c r="AO355" s="8" t="str">
        <f>HYPERLINK("https://docs.google.com/document/d/142l56Bq5kJ6FGaqJ_atNU6d9HZRClV6JN8ZhQNZrCcQ/edit?usp=drivesdk","Al-Wildan 3 BSD City_Nurul Hudaya, S.Si_")</f>
        <v>Al-Wildan 3 BSD City_Nurul Hudaya, S.Si_</v>
      </c>
      <c r="AP355" s="1" t="s">
        <v>5817</v>
      </c>
    </row>
    <row r="356">
      <c r="A356" s="6">
        <v>44472.613602453705</v>
      </c>
      <c r="B356" s="7" t="s">
        <v>5818</v>
      </c>
      <c r="C356" s="8" t="s">
        <v>5819</v>
      </c>
      <c r="D356" s="1" t="s">
        <v>5820</v>
      </c>
      <c r="E356" s="1" t="s">
        <v>5821</v>
      </c>
      <c r="F356" s="1" t="s">
        <v>5822</v>
      </c>
      <c r="G356" s="1" t="s">
        <v>5823</v>
      </c>
      <c r="H356" s="1" t="s">
        <v>169</v>
      </c>
      <c r="I356" s="9" t="s">
        <v>5824</v>
      </c>
      <c r="J356" s="1" t="s">
        <v>5554</v>
      </c>
      <c r="K356" s="1" t="s">
        <v>151</v>
      </c>
      <c r="L356" s="1" t="s">
        <v>256</v>
      </c>
      <c r="M356" s="1" t="s">
        <v>5710</v>
      </c>
      <c r="O356" s="1" t="s">
        <v>5711</v>
      </c>
      <c r="P356" s="1" t="s">
        <v>107</v>
      </c>
      <c r="Q356" s="1" t="s">
        <v>5825</v>
      </c>
      <c r="R356" s="1" t="s">
        <v>5826</v>
      </c>
      <c r="S356" s="1" t="s">
        <v>1524</v>
      </c>
      <c r="Z356" s="1" t="s">
        <v>5827</v>
      </c>
      <c r="AA356" s="10">
        <v>4500000.0</v>
      </c>
      <c r="AB356" s="1" t="s">
        <v>5828</v>
      </c>
      <c r="AC356" s="10">
        <v>3500000.0</v>
      </c>
      <c r="AF356" s="10">
        <v>4500000.0</v>
      </c>
      <c r="AH356" s="9" t="s">
        <v>5829</v>
      </c>
      <c r="AI356" s="1" t="s">
        <v>2407</v>
      </c>
      <c r="AJ356" s="1">
        <v>155.0</v>
      </c>
      <c r="AK356" s="1">
        <v>67.0</v>
      </c>
      <c r="AL356" s="1" t="s">
        <v>5830</v>
      </c>
      <c r="AM356" s="1" t="s">
        <v>5831</v>
      </c>
      <c r="AN356" s="7" t="s">
        <v>5832</v>
      </c>
      <c r="AO356" s="8" t="str">
        <f>HYPERLINK("https://docs.google.com/document/d/1FXRSYxJTEdFNBaQGGX5aaOPSa-EfpIu13qFSIyDqVYs/edit?usp=drivesdk","Al-Wildan 1 Gading Serpong_Nadia Noerfaradilla, Amd. Keb, SKM. _")</f>
        <v>Al-Wildan 1 Gading Serpong_Nadia Noerfaradilla, Amd. Keb, SKM. _</v>
      </c>
      <c r="AP356" s="1" t="s">
        <v>5833</v>
      </c>
    </row>
    <row r="357">
      <c r="A357" s="6">
        <v>44475.448093506944</v>
      </c>
      <c r="B357" s="7" t="s">
        <v>5834</v>
      </c>
      <c r="C357" s="8" t="s">
        <v>5835</v>
      </c>
      <c r="D357" s="1" t="s">
        <v>5836</v>
      </c>
      <c r="E357" s="9" t="s">
        <v>5837</v>
      </c>
      <c r="F357" s="1">
        <v>3.17150606730009E14</v>
      </c>
      <c r="G357" s="1" t="s">
        <v>5838</v>
      </c>
      <c r="H357" s="1" t="s">
        <v>768</v>
      </c>
      <c r="I357" s="9" t="s">
        <v>5839</v>
      </c>
      <c r="J357" s="1" t="s">
        <v>5840</v>
      </c>
      <c r="K357" s="1" t="s">
        <v>102</v>
      </c>
      <c r="L357" s="1" t="s">
        <v>310</v>
      </c>
      <c r="M357" s="1" t="s">
        <v>5841</v>
      </c>
      <c r="O357" s="1" t="s">
        <v>127</v>
      </c>
      <c r="P357" s="1" t="s">
        <v>5712</v>
      </c>
      <c r="Q357" s="1" t="s">
        <v>5842</v>
      </c>
      <c r="R357" s="1" t="s">
        <v>1057</v>
      </c>
      <c r="S357" s="1">
        <v>3.43</v>
      </c>
      <c r="Z357" s="1" t="s">
        <v>5843</v>
      </c>
      <c r="AA357" s="1" t="s">
        <v>5844</v>
      </c>
      <c r="AB357" s="1" t="s">
        <v>5845</v>
      </c>
      <c r="AF357" s="1" t="s">
        <v>5846</v>
      </c>
      <c r="AG357" s="1">
        <v>7.147252883E9</v>
      </c>
      <c r="AJ357" s="1">
        <v>173.0</v>
      </c>
      <c r="AK357" s="1">
        <v>65.0</v>
      </c>
      <c r="AL357" s="1" t="s">
        <v>5847</v>
      </c>
      <c r="AM357" s="1" t="s">
        <v>5848</v>
      </c>
      <c r="AN357" s="7" t="s">
        <v>5849</v>
      </c>
      <c r="AO357" s="8" t="str">
        <f>HYPERLINK("https://docs.google.com/document/d/1rTuzohmMSDtNTTR_QGFPATIjBxzv18zP34l235HErTg/edit?usp=drivesdk","Al-Wildan 3 BSD City_Yunanto Widyatomo S.Psi,._")</f>
        <v>Al-Wildan 3 BSD City_Yunanto Widyatomo S.Psi,._</v>
      </c>
      <c r="AP357" s="1" t="s">
        <v>5850</v>
      </c>
    </row>
    <row r="358">
      <c r="A358" s="6">
        <v>44480.362124444444</v>
      </c>
      <c r="B358" s="7" t="s">
        <v>5851</v>
      </c>
      <c r="C358" s="8" t="s">
        <v>5852</v>
      </c>
      <c r="D358" s="1" t="s">
        <v>5853</v>
      </c>
      <c r="E358" s="9" t="s">
        <v>5854</v>
      </c>
      <c r="F358" s="1" t="s">
        <v>5855</v>
      </c>
      <c r="G358" s="1" t="s">
        <v>5856</v>
      </c>
      <c r="H358" s="1" t="s">
        <v>722</v>
      </c>
      <c r="I358" s="9" t="s">
        <v>5857</v>
      </c>
      <c r="J358" s="1" t="s">
        <v>4156</v>
      </c>
      <c r="K358" s="1" t="s">
        <v>102</v>
      </c>
      <c r="L358" s="1" t="s">
        <v>103</v>
      </c>
      <c r="M358" s="1" t="s">
        <v>104</v>
      </c>
      <c r="N358" s="1" t="s">
        <v>5858</v>
      </c>
      <c r="O358" s="1" t="s">
        <v>106</v>
      </c>
      <c r="P358" s="1" t="s">
        <v>5712</v>
      </c>
      <c r="Q358" s="1" t="s">
        <v>2927</v>
      </c>
      <c r="R358" s="1" t="s">
        <v>552</v>
      </c>
      <c r="S358" s="1" t="s">
        <v>292</v>
      </c>
      <c r="T358" s="1" t="s">
        <v>5859</v>
      </c>
      <c r="U358" s="1" t="s">
        <v>5860</v>
      </c>
      <c r="V358" s="1" t="s">
        <v>2582</v>
      </c>
      <c r="Z358" s="1" t="s">
        <v>5861</v>
      </c>
      <c r="AA358" s="10">
        <v>3000000.0</v>
      </c>
      <c r="AB358" s="1" t="s">
        <v>5862</v>
      </c>
      <c r="AC358" s="10">
        <v>6000000.0</v>
      </c>
      <c r="AF358" s="10">
        <v>7000000.0</v>
      </c>
      <c r="AG358" s="1">
        <v>7.20561933E9</v>
      </c>
      <c r="AJ358" s="1">
        <v>175.0</v>
      </c>
      <c r="AK358" s="1">
        <v>75.0</v>
      </c>
      <c r="AL358" s="1" t="s">
        <v>5863</v>
      </c>
      <c r="AM358" s="1" t="s">
        <v>5864</v>
      </c>
      <c r="AN358" s="7" t="s">
        <v>5865</v>
      </c>
      <c r="AO358" s="8" t="str">
        <f>HYPERLINK("https://docs.google.com/document/d/1NDNyw6-gBE6SwcxGGcBtygz-QNl4L6tIHkbb36RigvE/edit?usp=drivesdk","Al-Wildan 3 BSD City_Zamzam Ibnu Sina, M.Sc_Matematika Cambridge")</f>
        <v>Al-Wildan 3 BSD City_Zamzam Ibnu Sina, M.Sc_Matematika Cambridge</v>
      </c>
      <c r="AP358" s="1" t="s">
        <v>5866</v>
      </c>
    </row>
    <row r="359">
      <c r="A359" s="6">
        <v>44480.41972310185</v>
      </c>
      <c r="B359" s="7" t="s">
        <v>5867</v>
      </c>
      <c r="C359" s="8" t="s">
        <v>5868</v>
      </c>
      <c r="D359" s="1" t="s">
        <v>5869</v>
      </c>
      <c r="E359" s="9" t="s">
        <v>5870</v>
      </c>
      <c r="F359" s="1" t="s">
        <v>5871</v>
      </c>
      <c r="G359" s="1" t="s">
        <v>5872</v>
      </c>
      <c r="H359" s="1" t="s">
        <v>169</v>
      </c>
      <c r="I359" s="9" t="s">
        <v>5873</v>
      </c>
      <c r="J359" s="1" t="s">
        <v>5874</v>
      </c>
      <c r="K359" s="1" t="s">
        <v>102</v>
      </c>
      <c r="L359" s="1" t="s">
        <v>256</v>
      </c>
      <c r="M359" s="1" t="s">
        <v>104</v>
      </c>
      <c r="N359" s="1" t="s">
        <v>5875</v>
      </c>
      <c r="O359" s="1" t="s">
        <v>127</v>
      </c>
      <c r="P359" s="1" t="s">
        <v>5712</v>
      </c>
      <c r="Q359" s="1" t="s">
        <v>1345</v>
      </c>
      <c r="R359" s="1" t="s">
        <v>552</v>
      </c>
      <c r="S359" s="1" t="s">
        <v>5876</v>
      </c>
      <c r="T359" s="1" t="s">
        <v>5877</v>
      </c>
      <c r="U359" s="1" t="s">
        <v>5878</v>
      </c>
      <c r="V359" s="1" t="s">
        <v>5879</v>
      </c>
      <c r="Z359" s="1" t="s">
        <v>5880</v>
      </c>
      <c r="AA359" s="10">
        <v>4500000.0</v>
      </c>
      <c r="AB359" s="1" t="s">
        <v>5881</v>
      </c>
      <c r="AC359" s="10">
        <v>6000000.0</v>
      </c>
      <c r="AF359" s="10">
        <v>7500000.0</v>
      </c>
      <c r="AH359" s="1">
        <v>7.621179242E11</v>
      </c>
      <c r="AI359" s="1" t="s">
        <v>5882</v>
      </c>
      <c r="AJ359" s="1">
        <v>178.0</v>
      </c>
      <c r="AK359" s="1">
        <v>82.0</v>
      </c>
      <c r="AL359" s="1" t="s">
        <v>5883</v>
      </c>
      <c r="AM359" s="1" t="s">
        <v>5884</v>
      </c>
      <c r="AN359" s="7" t="s">
        <v>5885</v>
      </c>
      <c r="AO359" s="8" t="str">
        <f>HYPERLINK("https://docs.google.com/document/d/1X-P6pmPTTuM4B52gkW3v1cn1juVqjnbfB_Xz3UUJvfQ/edit?usp=drivesdk","Al-Wildan 3 BSD City_Deli Yusuf Saputra, S.Si._Mathematics (Cambridge)")</f>
        <v>Al-Wildan 3 BSD City_Deli Yusuf Saputra, S.Si._Mathematics (Cambridge)</v>
      </c>
      <c r="AP359" s="1" t="s">
        <v>5886</v>
      </c>
    </row>
    <row r="360">
      <c r="A360" s="6">
        <v>44480.58674935185</v>
      </c>
      <c r="B360" s="7" t="s">
        <v>5887</v>
      </c>
      <c r="C360" s="8" t="s">
        <v>5888</v>
      </c>
      <c r="D360" s="1" t="s">
        <v>5889</v>
      </c>
      <c r="E360" s="9" t="s">
        <v>5890</v>
      </c>
      <c r="F360" s="1" t="s">
        <v>5891</v>
      </c>
      <c r="G360" s="1" t="s">
        <v>5892</v>
      </c>
      <c r="H360" s="1" t="s">
        <v>685</v>
      </c>
      <c r="I360" s="9" t="s">
        <v>5893</v>
      </c>
      <c r="J360" s="1" t="s">
        <v>2460</v>
      </c>
      <c r="K360" s="1" t="s">
        <v>102</v>
      </c>
      <c r="L360" s="1" t="s">
        <v>103</v>
      </c>
      <c r="M360" s="1" t="s">
        <v>104</v>
      </c>
      <c r="N360" s="1" t="s">
        <v>152</v>
      </c>
      <c r="O360" s="1" t="s">
        <v>106</v>
      </c>
      <c r="P360" s="1" t="s">
        <v>5712</v>
      </c>
      <c r="Q360" s="1" t="s">
        <v>5894</v>
      </c>
      <c r="R360" s="1" t="s">
        <v>172</v>
      </c>
      <c r="S360" s="1" t="s">
        <v>240</v>
      </c>
      <c r="Z360" s="1" t="s">
        <v>5895</v>
      </c>
      <c r="AA360" s="10">
        <v>3000000.0</v>
      </c>
      <c r="AB360" s="1" t="s">
        <v>4820</v>
      </c>
      <c r="AC360" s="10">
        <v>5000000.0</v>
      </c>
      <c r="AD360" s="1" t="s">
        <v>5896</v>
      </c>
      <c r="AE360" s="10">
        <v>3800000.0</v>
      </c>
      <c r="AF360" s="10">
        <v>7000000.0</v>
      </c>
      <c r="AG360" s="1">
        <v>7.102008019E9</v>
      </c>
      <c r="AJ360" s="1">
        <v>170.0</v>
      </c>
      <c r="AK360" s="1">
        <v>62.0</v>
      </c>
      <c r="AL360" s="1" t="s">
        <v>5897</v>
      </c>
      <c r="AM360" s="1" t="s">
        <v>5898</v>
      </c>
      <c r="AN360" s="7" t="s">
        <v>5899</v>
      </c>
      <c r="AO360" s="8" t="str">
        <f>HYPERLINK("https://docs.google.com/document/d/1UBvS8RdDb2rmki0IUQuSt1pO8zZ0zlCcayfUmnhbnjg/edit?usp=drivesdk","Al-Wildan 3 BSD City_Zaenal Umar Nur Islami, S. Pd. _Bahasa Inggris")</f>
        <v>Al-Wildan 3 BSD City_Zaenal Umar Nur Islami, S. Pd. _Bahasa Inggris</v>
      </c>
      <c r="AP360" s="1" t="s">
        <v>5900</v>
      </c>
    </row>
    <row r="361">
      <c r="A361" s="6">
        <v>44484.411302858796</v>
      </c>
      <c r="B361" s="7" t="s">
        <v>5901</v>
      </c>
      <c r="C361" s="8" t="s">
        <v>5902</v>
      </c>
      <c r="D361" s="1" t="s">
        <v>5903</v>
      </c>
      <c r="E361" s="9" t="s">
        <v>5904</v>
      </c>
      <c r="F361" s="1" t="s">
        <v>5905</v>
      </c>
      <c r="G361" s="1" t="s">
        <v>5906</v>
      </c>
      <c r="H361" s="1" t="s">
        <v>169</v>
      </c>
      <c r="I361" s="9" t="s">
        <v>5907</v>
      </c>
      <c r="J361" s="1" t="s">
        <v>986</v>
      </c>
      <c r="K361" s="1" t="s">
        <v>1235</v>
      </c>
      <c r="L361" s="1" t="s">
        <v>310</v>
      </c>
      <c r="M361" s="1" t="s">
        <v>104</v>
      </c>
      <c r="N361" s="1" t="s">
        <v>5908</v>
      </c>
      <c r="O361" s="1" t="s">
        <v>236</v>
      </c>
      <c r="P361" s="1" t="s">
        <v>107</v>
      </c>
      <c r="Q361" s="1" t="s">
        <v>275</v>
      </c>
      <c r="R361" s="1" t="s">
        <v>5909</v>
      </c>
      <c r="S361" s="1" t="s">
        <v>3589</v>
      </c>
      <c r="Z361" s="1" t="s">
        <v>5910</v>
      </c>
      <c r="AA361" s="10">
        <v>2000000.0</v>
      </c>
      <c r="AB361" s="1" t="s">
        <v>5911</v>
      </c>
      <c r="AC361" s="10">
        <v>3600000.0</v>
      </c>
      <c r="AF361" s="10">
        <v>4000000.0</v>
      </c>
      <c r="AH361" s="9" t="s">
        <v>5912</v>
      </c>
      <c r="AI361" s="1" t="s">
        <v>159</v>
      </c>
      <c r="AJ361" s="1">
        <v>165.0</v>
      </c>
      <c r="AK361" s="1">
        <v>75.0</v>
      </c>
      <c r="AL361" s="1" t="s">
        <v>5913</v>
      </c>
      <c r="AM361" s="1" t="s">
        <v>5914</v>
      </c>
      <c r="AN361" s="7" t="s">
        <v>5915</v>
      </c>
      <c r="AO361" s="8" t="str">
        <f>HYPERLINK("https://docs.google.com/document/d/1bRZ5COWltTKYK_UOEQ1enWkAO2YLjJt5L5a1EjN51iY/edit?usp=drivesdk","Al-Wildan 1 Gading Serpong_Shabrina Aulia, S.IA_sosiologi")</f>
        <v>Al-Wildan 1 Gading Serpong_Shabrina Aulia, S.IA_sosiologi</v>
      </c>
      <c r="AP361" s="1" t="s">
        <v>5916</v>
      </c>
    </row>
    <row r="362">
      <c r="A362" s="6">
        <v>44484.494151527775</v>
      </c>
      <c r="B362" s="7" t="s">
        <v>5917</v>
      </c>
      <c r="C362" s="8" t="s">
        <v>5918</v>
      </c>
      <c r="D362" s="1" t="s">
        <v>5919</v>
      </c>
      <c r="E362" s="1">
        <v>8.2123255383E10</v>
      </c>
      <c r="F362" s="1" t="s">
        <v>5920</v>
      </c>
      <c r="G362" s="1" t="s">
        <v>5921</v>
      </c>
      <c r="H362" s="1" t="s">
        <v>5922</v>
      </c>
      <c r="I362" s="9" t="s">
        <v>2400</v>
      </c>
      <c r="J362" s="1" t="s">
        <v>1591</v>
      </c>
      <c r="K362" s="1" t="s">
        <v>102</v>
      </c>
      <c r="L362" s="1" t="s">
        <v>310</v>
      </c>
      <c r="M362" s="1" t="s">
        <v>213</v>
      </c>
      <c r="O362" s="1" t="s">
        <v>1693</v>
      </c>
      <c r="P362" s="1" t="s">
        <v>107</v>
      </c>
      <c r="Q362" s="1" t="s">
        <v>5414</v>
      </c>
      <c r="R362" s="1" t="s">
        <v>5923</v>
      </c>
      <c r="Z362" s="1" t="s">
        <v>5924</v>
      </c>
      <c r="AA362" s="10">
        <v>2.35E7</v>
      </c>
      <c r="AB362" s="1" t="s">
        <v>5925</v>
      </c>
      <c r="AC362" s="10">
        <v>1.55E7</v>
      </c>
      <c r="AD362" s="1" t="s">
        <v>5926</v>
      </c>
      <c r="AE362" s="10">
        <v>1.0E7</v>
      </c>
      <c r="AF362" s="10">
        <v>2.5E7</v>
      </c>
      <c r="AG362" s="1">
        <v>7.147926191E9</v>
      </c>
      <c r="AJ362" s="1">
        <v>168.0</v>
      </c>
      <c r="AK362" s="1">
        <v>65.0</v>
      </c>
      <c r="AL362" s="1" t="s">
        <v>5927</v>
      </c>
      <c r="AM362" s="1" t="s">
        <v>5928</v>
      </c>
      <c r="AN362" s="7" t="s">
        <v>5929</v>
      </c>
      <c r="AO362" s="8" t="str">
        <f>HYPERLINK("https://docs.google.com/document/d/1L9gl6qfSdzd54mnley6uUFzkTBQwbs-zsLAZ35wniS0/edit?usp=drivesdk","Al-Wildan 1 Gading Serpong_Muhammad Zaelani, S.T _")</f>
        <v>Al-Wildan 1 Gading Serpong_Muhammad Zaelani, S.T _</v>
      </c>
      <c r="AP362" s="1" t="s">
        <v>5930</v>
      </c>
    </row>
    <row r="363">
      <c r="A363" s="6">
        <v>44485.89650162037</v>
      </c>
      <c r="B363" s="7" t="s">
        <v>5931</v>
      </c>
      <c r="C363" s="8" t="s">
        <v>5932</v>
      </c>
      <c r="D363" s="1" t="s">
        <v>5933</v>
      </c>
      <c r="E363" s="9" t="s">
        <v>5934</v>
      </c>
      <c r="F363" s="1" t="s">
        <v>5935</v>
      </c>
      <c r="G363" s="1" t="s">
        <v>1555</v>
      </c>
      <c r="H363" s="1" t="s">
        <v>1555</v>
      </c>
      <c r="I363" s="9" t="s">
        <v>5936</v>
      </c>
      <c r="J363" s="1" t="s">
        <v>407</v>
      </c>
      <c r="K363" s="1" t="s">
        <v>151</v>
      </c>
      <c r="L363" s="1" t="s">
        <v>103</v>
      </c>
      <c r="M363" s="1" t="s">
        <v>104</v>
      </c>
      <c r="N363" s="1" t="s">
        <v>5937</v>
      </c>
      <c r="O363" s="1" t="s">
        <v>106</v>
      </c>
      <c r="P363" s="1" t="s">
        <v>5712</v>
      </c>
      <c r="Q363" s="1" t="s">
        <v>1362</v>
      </c>
      <c r="R363" s="1" t="s">
        <v>1523</v>
      </c>
      <c r="S363" s="1" t="s">
        <v>2582</v>
      </c>
      <c r="Z363" s="1" t="s">
        <v>5938</v>
      </c>
      <c r="AA363" s="10">
        <v>7000000.0</v>
      </c>
      <c r="AF363" s="10">
        <v>5250000.0</v>
      </c>
      <c r="AG363" s="1">
        <v>7.23642211E9</v>
      </c>
      <c r="AJ363" s="1">
        <v>172.0</v>
      </c>
      <c r="AK363" s="1">
        <v>55.0</v>
      </c>
      <c r="AL363" s="1" t="s">
        <v>5939</v>
      </c>
      <c r="AM363" s="1" t="s">
        <v>5940</v>
      </c>
      <c r="AN363" s="7" t="s">
        <v>5941</v>
      </c>
      <c r="AO363" s="8" t="str">
        <f>HYPERLINK("https://docs.google.com/document/d/1i6rgKcmtLoNq5a730gcZM_7Q0iNs_L5QVPUY-3S5D-w/edit?usp=drivesdk","Al-Wildan 3 BSD City_Jihan Muhammad Salik, S.Si_PAI English")</f>
        <v>Al-Wildan 3 BSD City_Jihan Muhammad Salik, S.Si_PAI English</v>
      </c>
      <c r="AP363" s="1" t="s">
        <v>5942</v>
      </c>
    </row>
    <row r="364">
      <c r="A364" s="6">
        <v>44490.639660092595</v>
      </c>
      <c r="B364" s="7" t="s">
        <v>5943</v>
      </c>
      <c r="C364" s="8" t="s">
        <v>5944</v>
      </c>
      <c r="D364" s="1" t="s">
        <v>5945</v>
      </c>
      <c r="E364" s="9" t="s">
        <v>5946</v>
      </c>
      <c r="F364" s="1" t="s">
        <v>5947</v>
      </c>
      <c r="G364" s="1" t="s">
        <v>5948</v>
      </c>
      <c r="H364" s="1" t="s">
        <v>288</v>
      </c>
      <c r="I364" s="9" t="s">
        <v>5949</v>
      </c>
      <c r="J364" s="1" t="s">
        <v>5950</v>
      </c>
      <c r="K364" s="1" t="s">
        <v>102</v>
      </c>
      <c r="L364" s="1" t="s">
        <v>256</v>
      </c>
      <c r="M364" s="1" t="s">
        <v>104</v>
      </c>
      <c r="N364" s="1" t="s">
        <v>152</v>
      </c>
      <c r="O364" s="1" t="s">
        <v>127</v>
      </c>
      <c r="P364" s="1" t="s">
        <v>5712</v>
      </c>
      <c r="Q364" s="1" t="s">
        <v>5951</v>
      </c>
      <c r="R364" s="1" t="s">
        <v>5952</v>
      </c>
      <c r="S364" s="1">
        <v>3.2</v>
      </c>
      <c r="T364" s="1" t="s">
        <v>5953</v>
      </c>
      <c r="U364" s="1" t="s">
        <v>172</v>
      </c>
      <c r="V364" s="1">
        <v>3.87</v>
      </c>
      <c r="Z364" s="1" t="s">
        <v>5954</v>
      </c>
      <c r="AA364" s="1" t="s">
        <v>5955</v>
      </c>
      <c r="AF364" s="1" t="s">
        <v>5956</v>
      </c>
      <c r="AH364" s="1">
        <v>7.25301019950533E14</v>
      </c>
      <c r="AI364" s="1" t="s">
        <v>2407</v>
      </c>
      <c r="AJ364" s="1">
        <v>155.0</v>
      </c>
      <c r="AK364" s="1">
        <v>51.0</v>
      </c>
      <c r="AL364" s="1" t="s">
        <v>5957</v>
      </c>
      <c r="AM364" s="1" t="s">
        <v>5958</v>
      </c>
      <c r="AN364" s="7" t="s">
        <v>5959</v>
      </c>
      <c r="AO364" s="8" t="str">
        <f>HYPERLINK("https://docs.google.com/document/d/1mvzookh4xk1f3Y_esp6j9a1h3z7lx73mr5th6sebz1c/edit?usp=drivesdk","Al-Wildan 3 BSD City_Yuto Wahyuto, S.E_Bahasa Inggris")</f>
        <v>Al-Wildan 3 BSD City_Yuto Wahyuto, S.E_Bahasa Inggris</v>
      </c>
      <c r="AP364" s="1" t="s">
        <v>5960</v>
      </c>
    </row>
    <row r="365">
      <c r="A365" s="6">
        <v>44495.04788405093</v>
      </c>
      <c r="B365" s="7" t="s">
        <v>5961</v>
      </c>
      <c r="C365" s="8" t="s">
        <v>5962</v>
      </c>
      <c r="D365" s="1" t="s">
        <v>5963</v>
      </c>
      <c r="E365" s="9" t="s">
        <v>5964</v>
      </c>
      <c r="F365" s="1" t="s">
        <v>5965</v>
      </c>
      <c r="G365" s="1" t="s">
        <v>5966</v>
      </c>
      <c r="H365" s="1" t="s">
        <v>4585</v>
      </c>
      <c r="I365" s="9" t="s">
        <v>5967</v>
      </c>
      <c r="J365" s="1" t="s">
        <v>5968</v>
      </c>
      <c r="K365" s="1" t="s">
        <v>151</v>
      </c>
      <c r="L365" s="1" t="s">
        <v>496</v>
      </c>
      <c r="M365" s="1" t="s">
        <v>5671</v>
      </c>
      <c r="O365" s="1" t="s">
        <v>1693</v>
      </c>
      <c r="P365" s="1" t="s">
        <v>5712</v>
      </c>
      <c r="Z365" s="1" t="s">
        <v>5969</v>
      </c>
      <c r="AA365" s="10">
        <v>750000.0</v>
      </c>
      <c r="AF365" s="1">
        <v>2000000.0</v>
      </c>
      <c r="AG365" s="1">
        <v>5.84073948E9</v>
      </c>
      <c r="AJ365" s="1">
        <v>166.0</v>
      </c>
      <c r="AK365" s="1">
        <v>50.0</v>
      </c>
      <c r="AL365" s="1" t="s">
        <v>5970</v>
      </c>
      <c r="AM365" s="1" t="s">
        <v>5971</v>
      </c>
      <c r="AN365" s="7" t="s">
        <v>5972</v>
      </c>
      <c r="AO365" s="8" t="str">
        <f>HYPERLINK("https://docs.google.com/document/d/1CISRrYKMgG8cHiH2hXMKzNukTH03fudt1vapz69LXrs/edit?usp=drivesdk","Al-Wildan 3 BSD City_Muhammad Anshor Waliyullah_")</f>
        <v>Al-Wildan 3 BSD City_Muhammad Anshor Waliyullah_</v>
      </c>
      <c r="AP365" s="1" t="s">
        <v>5973</v>
      </c>
    </row>
    <row r="366">
      <c r="A366" s="6">
        <v>44497.52252255787</v>
      </c>
      <c r="B366" s="7" t="s">
        <v>5974</v>
      </c>
      <c r="C366" s="8" t="s">
        <v>5975</v>
      </c>
      <c r="D366" s="1" t="s">
        <v>5976</v>
      </c>
      <c r="E366" s="9" t="s">
        <v>5977</v>
      </c>
      <c r="F366" s="1" t="s">
        <v>5978</v>
      </c>
      <c r="G366" s="1" t="s">
        <v>5979</v>
      </c>
      <c r="H366" s="1" t="s">
        <v>455</v>
      </c>
      <c r="I366" s="9" t="s">
        <v>5980</v>
      </c>
      <c r="J366" s="1">
        <v>20.0</v>
      </c>
      <c r="K366" s="1" t="s">
        <v>151</v>
      </c>
      <c r="L366" s="1" t="s">
        <v>496</v>
      </c>
      <c r="M366" s="1" t="s">
        <v>5671</v>
      </c>
      <c r="O366" s="1" t="s">
        <v>106</v>
      </c>
      <c r="P366" s="1" t="s">
        <v>237</v>
      </c>
      <c r="Q366" s="1" t="s">
        <v>236</v>
      </c>
      <c r="Z366" s="1" t="s">
        <v>5981</v>
      </c>
      <c r="AA366" s="10">
        <v>600000.0</v>
      </c>
      <c r="AF366" s="10">
        <v>2000000.0</v>
      </c>
      <c r="AG366" s="1">
        <v>9.45662722E9</v>
      </c>
      <c r="AI366" s="1" t="s">
        <v>5113</v>
      </c>
      <c r="AJ366" s="1">
        <v>172.0</v>
      </c>
      <c r="AK366" s="1">
        <v>58.0</v>
      </c>
      <c r="AL366" s="1" t="s">
        <v>5982</v>
      </c>
      <c r="AM366" s="1" t="s">
        <v>5983</v>
      </c>
      <c r="AN366" s="7" t="s">
        <v>5984</v>
      </c>
      <c r="AO366" s="8" t="str">
        <f>HYPERLINK("https://docs.google.com/document/d/15Qd31Gtlj9RMaLLlIVgY8kVaKJwzLzpFL1911u_xqDo/edit?usp=drivesdk","Al-Wildan 4 Lebak Bulus_Muhammad Abdullah _")</f>
        <v>Al-Wildan 4 Lebak Bulus_Muhammad Abdullah _</v>
      </c>
      <c r="AP366" s="1" t="s">
        <v>5985</v>
      </c>
    </row>
    <row r="367">
      <c r="A367" s="6">
        <v>44499.85455280093</v>
      </c>
      <c r="B367" s="7" t="s">
        <v>5986</v>
      </c>
      <c r="C367" s="8" t="s">
        <v>5987</v>
      </c>
      <c r="D367" s="1" t="s">
        <v>5988</v>
      </c>
      <c r="E367" s="9" t="s">
        <v>5989</v>
      </c>
      <c r="F367" s="1" t="s">
        <v>5990</v>
      </c>
      <c r="G367" s="1" t="s">
        <v>5991</v>
      </c>
      <c r="H367" s="1" t="s">
        <v>169</v>
      </c>
      <c r="I367" s="9" t="s">
        <v>5992</v>
      </c>
      <c r="J367" s="1" t="s">
        <v>438</v>
      </c>
      <c r="K367" s="1" t="s">
        <v>151</v>
      </c>
      <c r="L367" s="1" t="s">
        <v>103</v>
      </c>
      <c r="M367" s="1" t="s">
        <v>104</v>
      </c>
      <c r="N367" s="1" t="s">
        <v>126</v>
      </c>
      <c r="O367" s="1" t="s">
        <v>127</v>
      </c>
      <c r="P367" s="1" t="s">
        <v>5712</v>
      </c>
      <c r="Q367" s="1" t="s">
        <v>3409</v>
      </c>
      <c r="R367" s="1" t="s">
        <v>130</v>
      </c>
      <c r="S367" s="1" t="s">
        <v>5993</v>
      </c>
      <c r="AF367" s="10">
        <v>4000000.0</v>
      </c>
      <c r="AH367" s="9" t="s">
        <v>5994</v>
      </c>
      <c r="AI367" s="1" t="s">
        <v>5995</v>
      </c>
      <c r="AJ367" s="1">
        <v>168.0</v>
      </c>
      <c r="AK367" s="1">
        <v>65.0</v>
      </c>
      <c r="AL367" s="1" t="s">
        <v>5996</v>
      </c>
      <c r="AM367" s="1" t="s">
        <v>5997</v>
      </c>
      <c r="AN367" s="7" t="s">
        <v>5998</v>
      </c>
      <c r="AO367" s="8" t="str">
        <f>HYPERLINK("https://docs.google.com/document/d/1PYXjscKbpYWwYzlc8XfnQ3JineAvFsCGnUcPbUUFLNE/edit?usp=drivesdk","Al-Wildan 3 BSD City_Ardhian Nrawang Cahyo, S.Pd._Matematika")</f>
        <v>Al-Wildan 3 BSD City_Ardhian Nrawang Cahyo, S.Pd._Matematika</v>
      </c>
      <c r="AP367" s="1" t="s">
        <v>5999</v>
      </c>
    </row>
    <row r="368">
      <c r="A368" s="6">
        <v>44499.9306524537</v>
      </c>
      <c r="B368" s="7" t="s">
        <v>6000</v>
      </c>
      <c r="C368" s="8" t="s">
        <v>6001</v>
      </c>
      <c r="D368" s="1" t="s">
        <v>6002</v>
      </c>
      <c r="E368" s="9" t="s">
        <v>6003</v>
      </c>
      <c r="F368" s="1" t="s">
        <v>6004</v>
      </c>
      <c r="G368" s="1" t="s">
        <v>6005</v>
      </c>
      <c r="H368" s="1" t="s">
        <v>6006</v>
      </c>
      <c r="I368" s="9" t="s">
        <v>6007</v>
      </c>
      <c r="J368" s="1">
        <v>26.0</v>
      </c>
      <c r="K368" s="1" t="s">
        <v>102</v>
      </c>
      <c r="L368" s="1" t="s">
        <v>310</v>
      </c>
      <c r="M368" s="1" t="s">
        <v>2818</v>
      </c>
      <c r="N368" s="1" t="s">
        <v>6008</v>
      </c>
      <c r="O368" s="1" t="s">
        <v>236</v>
      </c>
      <c r="P368" s="1" t="s">
        <v>107</v>
      </c>
      <c r="Q368" s="1" t="s">
        <v>6009</v>
      </c>
      <c r="R368" s="1" t="s">
        <v>6010</v>
      </c>
      <c r="S368" s="1" t="s">
        <v>4021</v>
      </c>
      <c r="T368" s="1" t="s">
        <v>6011</v>
      </c>
      <c r="U368" s="1" t="s">
        <v>6010</v>
      </c>
      <c r="V368" s="1" t="s">
        <v>1668</v>
      </c>
      <c r="Z368" s="1" t="s">
        <v>6012</v>
      </c>
      <c r="AA368" s="10">
        <v>3500000.0</v>
      </c>
      <c r="AB368" s="1" t="s">
        <v>6013</v>
      </c>
      <c r="AC368" s="10">
        <v>500000.0</v>
      </c>
      <c r="AF368" s="10">
        <v>6000000.0</v>
      </c>
      <c r="AH368" s="9" t="s">
        <v>6014</v>
      </c>
      <c r="AI368" s="1" t="s">
        <v>159</v>
      </c>
      <c r="AJ368" s="1">
        <v>165.0</v>
      </c>
      <c r="AK368" s="1">
        <v>50.0</v>
      </c>
      <c r="AL368" s="1" t="s">
        <v>6015</v>
      </c>
      <c r="AM368" s="1" t="s">
        <v>6016</v>
      </c>
      <c r="AN368" s="7" t="s">
        <v>6017</v>
      </c>
      <c r="AO368" s="8" t="str">
        <f>HYPERLINK("https://docs.google.com/document/d/1dvQn1rbjgWxo4cRPiA_lOTgmuI0XS6xFsHyO5XDeC5s/edit?usp=drivesdk","Al-Wildan 1 Gading Serpong_Kamhar Ngado, M.Pd._Mathematics ")</f>
        <v>Al-Wildan 1 Gading Serpong_Kamhar Ngado, M.Pd._Mathematics </v>
      </c>
      <c r="AP368" s="1" t="s">
        <v>6018</v>
      </c>
    </row>
    <row r="369">
      <c r="A369" s="6">
        <v>44501.39588467593</v>
      </c>
      <c r="B369" s="7" t="s">
        <v>6019</v>
      </c>
      <c r="C369" s="8" t="s">
        <v>6020</v>
      </c>
      <c r="D369" s="1" t="s">
        <v>6021</v>
      </c>
      <c r="E369" s="9" t="s">
        <v>6022</v>
      </c>
      <c r="F369" s="1" t="s">
        <v>6023</v>
      </c>
      <c r="G369" s="1" t="s">
        <v>6024</v>
      </c>
      <c r="H369" s="1" t="s">
        <v>5282</v>
      </c>
      <c r="I369" s="9" t="s">
        <v>6025</v>
      </c>
      <c r="J369" s="1" t="s">
        <v>3832</v>
      </c>
      <c r="K369" s="1" t="s">
        <v>151</v>
      </c>
      <c r="L369" s="1" t="s">
        <v>103</v>
      </c>
      <c r="M369" s="1" t="s">
        <v>6026</v>
      </c>
      <c r="O369" s="1" t="s">
        <v>6027</v>
      </c>
      <c r="P369" s="1" t="s">
        <v>237</v>
      </c>
      <c r="Q369" s="1" t="s">
        <v>6028</v>
      </c>
      <c r="R369" s="1" t="s">
        <v>6029</v>
      </c>
      <c r="S369" s="1">
        <v>3.18</v>
      </c>
      <c r="Z369" s="1" t="s">
        <v>6030</v>
      </c>
      <c r="AA369" s="10">
        <v>3500000.0</v>
      </c>
      <c r="AF369" s="10">
        <v>3500000.0</v>
      </c>
      <c r="AG369" s="1">
        <v>7.99197213E9</v>
      </c>
      <c r="AJ369" s="1">
        <v>182.0</v>
      </c>
      <c r="AK369" s="1">
        <v>61.0</v>
      </c>
      <c r="AL369" s="1" t="s">
        <v>6031</v>
      </c>
      <c r="AM369" s="1" t="s">
        <v>6032</v>
      </c>
      <c r="AN369" s="7" t="s">
        <v>6033</v>
      </c>
      <c r="AO369" s="8" t="str">
        <f>HYPERLINK("https://docs.google.com/document/d/1mfhjLL3zm3kFGcCnaCH2qeB3fknKW5VaXL8kzp352jQ/edit?usp=drivesdk","Al-Wildan 4 Lebak Bulus_M ZUL FIKRI_")</f>
        <v>Al-Wildan 4 Lebak Bulus_M ZUL FIKRI_</v>
      </c>
      <c r="AP369" s="1" t="s">
        <v>6034</v>
      </c>
    </row>
    <row r="370">
      <c r="A370" s="6">
        <v>44509.37187773148</v>
      </c>
      <c r="B370" s="7" t="s">
        <v>6035</v>
      </c>
      <c r="C370" s="8" t="s">
        <v>6036</v>
      </c>
      <c r="D370" s="1" t="s">
        <v>6037</v>
      </c>
      <c r="E370" s="9" t="s">
        <v>6038</v>
      </c>
      <c r="F370" s="1" t="s">
        <v>6039</v>
      </c>
      <c r="G370" s="1" t="s">
        <v>6040</v>
      </c>
      <c r="H370" s="1" t="s">
        <v>169</v>
      </c>
      <c r="I370" s="9" t="s">
        <v>6041</v>
      </c>
      <c r="J370" s="1" t="s">
        <v>6042</v>
      </c>
      <c r="K370" s="1" t="s">
        <v>102</v>
      </c>
      <c r="L370" s="1" t="s">
        <v>103</v>
      </c>
      <c r="M370" s="1" t="s">
        <v>6043</v>
      </c>
      <c r="O370" s="1" t="s">
        <v>1693</v>
      </c>
      <c r="P370" s="1" t="s">
        <v>6044</v>
      </c>
      <c r="Q370" s="1" t="s">
        <v>6045</v>
      </c>
      <c r="R370" s="1" t="s">
        <v>3005</v>
      </c>
      <c r="S370" s="1" t="s">
        <v>333</v>
      </c>
      <c r="Z370" s="1" t="s">
        <v>6046</v>
      </c>
      <c r="AA370" s="10">
        <v>5000000.0</v>
      </c>
      <c r="AG370" s="1">
        <v>1.045151734E9</v>
      </c>
      <c r="AJ370" s="1">
        <v>165.0</v>
      </c>
      <c r="AK370" s="1">
        <v>69.0</v>
      </c>
      <c r="AL370" s="1" t="s">
        <v>6047</v>
      </c>
      <c r="AM370" s="1" t="s">
        <v>6048</v>
      </c>
      <c r="AN370" s="7" t="s">
        <v>6049</v>
      </c>
      <c r="AO370" s="8" t="str">
        <f>HYPERLINK("https://docs.google.com/document/d/1I1CjddSg8FXjMA5m2mUjLCqK3fAraBWA6QxpaD1IdjI/edit?usp=drivesdk","Al-Wildan Holding_Eko Fernandes S.Kom_")</f>
        <v>Al-Wildan Holding_Eko Fernandes S.Kom_</v>
      </c>
      <c r="AP370" s="1" t="s">
        <v>6050</v>
      </c>
    </row>
    <row r="371">
      <c r="A371" s="6">
        <v>44511.472183148144</v>
      </c>
      <c r="B371" s="7" t="s">
        <v>6051</v>
      </c>
      <c r="C371" s="8" t="s">
        <v>6052</v>
      </c>
      <c r="D371" s="1" t="s">
        <v>6053</v>
      </c>
      <c r="E371" s="9" t="s">
        <v>6054</v>
      </c>
      <c r="F371" s="1" t="s">
        <v>6055</v>
      </c>
      <c r="G371" s="1" t="s">
        <v>6056</v>
      </c>
      <c r="H371" s="1" t="s">
        <v>6057</v>
      </c>
      <c r="I371" s="9" t="s">
        <v>6058</v>
      </c>
      <c r="J371" s="1" t="s">
        <v>6059</v>
      </c>
      <c r="K371" s="1" t="s">
        <v>102</v>
      </c>
      <c r="L371" s="1" t="s">
        <v>103</v>
      </c>
      <c r="M371" s="1" t="s">
        <v>6060</v>
      </c>
      <c r="O371" s="1" t="s">
        <v>1693</v>
      </c>
      <c r="P371" s="1" t="s">
        <v>5712</v>
      </c>
      <c r="Z371" s="1" t="s">
        <v>6061</v>
      </c>
      <c r="AA371" s="10">
        <v>5000000.0</v>
      </c>
      <c r="AB371" s="1" t="s">
        <v>6062</v>
      </c>
      <c r="AC371" s="10">
        <v>4500000.0</v>
      </c>
      <c r="AD371" s="1" t="s">
        <v>6063</v>
      </c>
      <c r="AE371" s="10">
        <v>3100000.0</v>
      </c>
      <c r="AF371" s="10">
        <v>5000000.0</v>
      </c>
      <c r="AG371" s="1">
        <v>7.178174716E9</v>
      </c>
      <c r="AJ371" s="1">
        <v>180.0</v>
      </c>
      <c r="AK371" s="1">
        <v>70.0</v>
      </c>
      <c r="AL371" s="1" t="s">
        <v>6064</v>
      </c>
      <c r="AM371" s="1" t="s">
        <v>6065</v>
      </c>
      <c r="AN371" s="7" t="s">
        <v>6066</v>
      </c>
      <c r="AO371" s="8" t="str">
        <f>HYPERLINK("https://docs.google.com/document/d/1tY2ZitC-pmOSZLHlA5K0hugTKlelGxqHU3eF56Ap41Q/edit?usp=drivesdk","Al-Wildan 3 BSD City_TRI WIDIYANTO_")</f>
        <v>Al-Wildan 3 BSD City_TRI WIDIYANTO_</v>
      </c>
      <c r="AP371" s="1" t="s">
        <v>6067</v>
      </c>
    </row>
    <row r="372">
      <c r="A372" s="6">
        <v>44515.44848096065</v>
      </c>
      <c r="B372" s="7" t="s">
        <v>6068</v>
      </c>
      <c r="C372" s="8" t="s">
        <v>6069</v>
      </c>
      <c r="D372" s="1" t="s">
        <v>6070</v>
      </c>
      <c r="E372" s="9" t="s">
        <v>6071</v>
      </c>
      <c r="F372" s="1" t="s">
        <v>6072</v>
      </c>
      <c r="G372" s="1" t="s">
        <v>6073</v>
      </c>
      <c r="H372" s="1" t="s">
        <v>685</v>
      </c>
      <c r="I372" s="1" t="s">
        <v>6074</v>
      </c>
      <c r="J372" s="1" t="s">
        <v>986</v>
      </c>
      <c r="K372" s="1" t="s">
        <v>6075</v>
      </c>
      <c r="L372" s="1" t="s">
        <v>103</v>
      </c>
      <c r="M372" s="1" t="s">
        <v>5790</v>
      </c>
      <c r="O372" s="1" t="s">
        <v>236</v>
      </c>
      <c r="P372" s="1" t="s">
        <v>5712</v>
      </c>
      <c r="Q372" s="1" t="s">
        <v>4686</v>
      </c>
      <c r="R372" s="1" t="s">
        <v>6076</v>
      </c>
      <c r="S372" s="1" t="s">
        <v>240</v>
      </c>
      <c r="Z372" s="1" t="s">
        <v>6077</v>
      </c>
      <c r="AA372" s="10">
        <v>4700000.0</v>
      </c>
      <c r="AF372" s="10">
        <v>5500000.0</v>
      </c>
      <c r="AG372" s="1">
        <v>3.80532791E9</v>
      </c>
      <c r="AJ372" s="1">
        <v>165.0</v>
      </c>
      <c r="AK372" s="1">
        <v>62.0</v>
      </c>
      <c r="AL372" s="1" t="s">
        <v>6078</v>
      </c>
      <c r="AM372" s="1" t="s">
        <v>6079</v>
      </c>
      <c r="AN372" s="7" t="s">
        <v>6080</v>
      </c>
      <c r="AO372" s="8" t="str">
        <f>HYPERLINK("https://docs.google.com/document/d/1ukhVFAWw3dXD2WQCejuuS6eLpucxJ_rVS5N3x9uuJEc/edit?usp=drivesdk","Al-Wildan 3 BSD City_Pardilah_")</f>
        <v>Al-Wildan 3 BSD City_Pardilah_</v>
      </c>
      <c r="AP372" s="1" t="s">
        <v>6081</v>
      </c>
    </row>
    <row r="373">
      <c r="A373" s="6">
        <v>44515.94408686343</v>
      </c>
      <c r="B373" s="7" t="s">
        <v>6082</v>
      </c>
      <c r="C373" s="8" t="s">
        <v>6083</v>
      </c>
      <c r="D373" s="1" t="s">
        <v>6084</v>
      </c>
      <c r="E373" s="9" t="s">
        <v>6085</v>
      </c>
      <c r="F373" s="1" t="s">
        <v>6086</v>
      </c>
      <c r="G373" s="1" t="s">
        <v>6087</v>
      </c>
      <c r="H373" s="1" t="s">
        <v>1358</v>
      </c>
      <c r="I373" s="9" t="s">
        <v>6088</v>
      </c>
      <c r="J373" s="1" t="s">
        <v>6089</v>
      </c>
      <c r="K373" s="1" t="s">
        <v>102</v>
      </c>
      <c r="L373" s="1" t="s">
        <v>103</v>
      </c>
      <c r="M373" s="1" t="s">
        <v>104</v>
      </c>
      <c r="N373" s="1" t="s">
        <v>6090</v>
      </c>
      <c r="O373" s="1" t="s">
        <v>127</v>
      </c>
      <c r="P373" s="1" t="s">
        <v>6091</v>
      </c>
      <c r="Q373" s="1" t="s">
        <v>1259</v>
      </c>
      <c r="R373" s="1" t="s">
        <v>193</v>
      </c>
      <c r="S373" s="1" t="s">
        <v>6092</v>
      </c>
      <c r="T373" s="1" t="s">
        <v>217</v>
      </c>
      <c r="U373" s="1" t="s">
        <v>217</v>
      </c>
      <c r="V373" s="1" t="s">
        <v>217</v>
      </c>
      <c r="W373" s="1" t="s">
        <v>217</v>
      </c>
      <c r="X373" s="1" t="s">
        <v>217</v>
      </c>
      <c r="Z373" s="1" t="s">
        <v>3065</v>
      </c>
      <c r="AA373" s="10">
        <v>5500000.0</v>
      </c>
      <c r="AF373" s="10">
        <v>7000000.0</v>
      </c>
      <c r="AH373" s="9" t="s">
        <v>6093</v>
      </c>
      <c r="AI373" s="1" t="s">
        <v>159</v>
      </c>
      <c r="AJ373" s="1">
        <v>167.0</v>
      </c>
      <c r="AK373" s="1">
        <v>80.0</v>
      </c>
      <c r="AL373" s="1" t="s">
        <v>6094</v>
      </c>
      <c r="AM373" s="1" t="s">
        <v>6095</v>
      </c>
      <c r="AN373" s="7" t="s">
        <v>6096</v>
      </c>
      <c r="AO373" s="8" t="str">
        <f>HYPERLINK("https://docs.google.com/document/d/1rVI3ozERIvdozBNoD9swOpB2s2QzrTj_KBsK4SFT2z4/edit?usp=drivesdk","Al-Wildan 10 Cipinang, Jakarta Timur_Muamar qofiqi attamimi, Lc. _Agama")</f>
        <v>Al-Wildan 10 Cipinang, Jakarta Timur_Muamar qofiqi attamimi, Lc. _Agama</v>
      </c>
      <c r="AP373" s="1" t="s">
        <v>6097</v>
      </c>
    </row>
    <row r="374">
      <c r="A374" s="6">
        <v>44518.401582199076</v>
      </c>
      <c r="B374" s="7" t="s">
        <v>6098</v>
      </c>
      <c r="C374" s="8" t="s">
        <v>6099</v>
      </c>
      <c r="D374" s="1" t="s">
        <v>6100</v>
      </c>
      <c r="E374" s="1" t="s">
        <v>6101</v>
      </c>
      <c r="F374" s="1" t="s">
        <v>6102</v>
      </c>
      <c r="G374" s="1" t="s">
        <v>6103</v>
      </c>
      <c r="H374" s="1" t="s">
        <v>6104</v>
      </c>
      <c r="I374" s="9" t="s">
        <v>6105</v>
      </c>
      <c r="J374" s="1">
        <v>26.0</v>
      </c>
      <c r="K374" s="1" t="s">
        <v>102</v>
      </c>
      <c r="L374" s="1" t="s">
        <v>103</v>
      </c>
      <c r="M374" s="1" t="s">
        <v>424</v>
      </c>
      <c r="N374" s="1" t="s">
        <v>6106</v>
      </c>
      <c r="O374" s="1" t="s">
        <v>106</v>
      </c>
      <c r="P374" s="1" t="s">
        <v>5712</v>
      </c>
      <c r="Q374" s="1" t="s">
        <v>6107</v>
      </c>
      <c r="R374" s="1" t="s">
        <v>6108</v>
      </c>
      <c r="S374" s="1" t="s">
        <v>155</v>
      </c>
      <c r="AF374" s="1">
        <v>5000000.0</v>
      </c>
      <c r="AH374" s="1">
        <v>5.681369911E9</v>
      </c>
      <c r="AI374" s="1" t="s">
        <v>222</v>
      </c>
      <c r="AJ374" s="1">
        <v>178.0</v>
      </c>
      <c r="AK374" s="1">
        <v>82.0</v>
      </c>
      <c r="AL374" s="1" t="s">
        <v>6109</v>
      </c>
      <c r="AM374" s="1" t="s">
        <v>6110</v>
      </c>
      <c r="AN374" s="7" t="s">
        <v>6111</v>
      </c>
      <c r="AO374" s="8" t="str">
        <f>HYPERLINK("https://docs.google.com/document/d/1LxdrcsMOx8Ce9PcHDTGV40cnV9xlNnjIfRRmmwh6HVE/edit?usp=drivesdk","Al-Wildan 3 BSD City_Angge Yulistyade_Bimbingan Konseling")</f>
        <v>Al-Wildan 3 BSD City_Angge Yulistyade_Bimbingan Konseling</v>
      </c>
      <c r="AP374" s="1" t="s">
        <v>6112</v>
      </c>
    </row>
    <row r="375">
      <c r="A375" s="6">
        <v>44518.43335790509</v>
      </c>
      <c r="B375" s="7" t="s">
        <v>6113</v>
      </c>
      <c r="C375" s="8" t="s">
        <v>6114</v>
      </c>
      <c r="D375" s="1" t="s">
        <v>6115</v>
      </c>
      <c r="E375" s="9" t="s">
        <v>6116</v>
      </c>
      <c r="F375" s="1" t="s">
        <v>6117</v>
      </c>
      <c r="G375" s="1" t="s">
        <v>6118</v>
      </c>
      <c r="H375" s="1" t="s">
        <v>169</v>
      </c>
      <c r="I375" s="9" t="s">
        <v>6119</v>
      </c>
      <c r="J375" s="1" t="s">
        <v>1170</v>
      </c>
      <c r="K375" s="1" t="s">
        <v>151</v>
      </c>
      <c r="L375" s="1" t="s">
        <v>103</v>
      </c>
      <c r="M375" s="1" t="s">
        <v>424</v>
      </c>
      <c r="N375" s="1" t="s">
        <v>6120</v>
      </c>
      <c r="O375" s="1" t="s">
        <v>106</v>
      </c>
      <c r="P375" s="1" t="s">
        <v>5712</v>
      </c>
      <c r="Q375" s="1" t="s">
        <v>6121</v>
      </c>
      <c r="R375" s="1" t="s">
        <v>425</v>
      </c>
      <c r="S375" s="1" t="s">
        <v>2372</v>
      </c>
      <c r="Z375" s="1" t="s">
        <v>6122</v>
      </c>
      <c r="AA375" s="10">
        <v>4350000.0</v>
      </c>
      <c r="AF375" s="10">
        <v>5.0E7</v>
      </c>
      <c r="AH375" s="9" t="s">
        <v>6123</v>
      </c>
      <c r="AI375" s="1" t="s">
        <v>6124</v>
      </c>
      <c r="AJ375" s="1">
        <v>165.0</v>
      </c>
      <c r="AK375" s="1">
        <v>85.0</v>
      </c>
      <c r="AL375" s="1" t="s">
        <v>6125</v>
      </c>
      <c r="AM375" s="1" t="s">
        <v>6126</v>
      </c>
      <c r="AN375" s="7" t="s">
        <v>6127</v>
      </c>
      <c r="AO375" s="8" t="str">
        <f>HYPERLINK("https://docs.google.com/document/d/1_gN14iAhBp9mlcLFNgeX1TSYH1X8orGnoSGE3A-kGPo/edit?usp=drivesdk","Al-Wildan 3 BSD City_Satria Yudistira S.Pd._Bimbingan dan konseling")</f>
        <v>Al-Wildan 3 BSD City_Satria Yudistira S.Pd._Bimbingan dan konseling</v>
      </c>
      <c r="AP375" s="1" t="s">
        <v>6128</v>
      </c>
    </row>
    <row r="376">
      <c r="A376" s="6">
        <v>44519.44367788194</v>
      </c>
      <c r="B376" s="7" t="s">
        <v>6129</v>
      </c>
      <c r="C376" s="8" t="s">
        <v>6130</v>
      </c>
      <c r="D376" s="1" t="s">
        <v>6131</v>
      </c>
      <c r="E376" s="9" t="s">
        <v>6132</v>
      </c>
      <c r="F376" s="1" t="s">
        <v>6133</v>
      </c>
      <c r="G376" s="1" t="s">
        <v>6134</v>
      </c>
      <c r="H376" s="1" t="s">
        <v>944</v>
      </c>
      <c r="I376" s="9" t="s">
        <v>6135</v>
      </c>
      <c r="J376" s="1" t="s">
        <v>6136</v>
      </c>
      <c r="K376" s="1" t="s">
        <v>151</v>
      </c>
      <c r="L376" s="1" t="s">
        <v>103</v>
      </c>
      <c r="M376" s="1" t="s">
        <v>5710</v>
      </c>
      <c r="O376" s="1" t="s">
        <v>5711</v>
      </c>
      <c r="P376" s="1" t="s">
        <v>5712</v>
      </c>
      <c r="S376" s="1" t="s">
        <v>2465</v>
      </c>
      <c r="T376" s="1" t="s">
        <v>6137</v>
      </c>
      <c r="AH376" s="9" t="s">
        <v>6138</v>
      </c>
      <c r="AI376" s="1" t="s">
        <v>159</v>
      </c>
      <c r="AJ376" s="1">
        <v>165.0</v>
      </c>
      <c r="AK376" s="1">
        <v>65.0</v>
      </c>
      <c r="AL376" s="1" t="s">
        <v>6139</v>
      </c>
      <c r="AM376" s="1" t="s">
        <v>6140</v>
      </c>
      <c r="AN376" s="7" t="s">
        <v>6141</v>
      </c>
      <c r="AO376" s="8" t="str">
        <f>HYPERLINK("https://docs.google.com/document/d/1Mb1Apiht2SPNRjFY8Id0CwEklP3XDU472rnsuCeaMHQ/edit?usp=drivesdk","Al-Wildan 3 BSD City_Muhammad Irwan S. Kep. Ners_")</f>
        <v>Al-Wildan 3 BSD City_Muhammad Irwan S. Kep. Ners_</v>
      </c>
      <c r="AP376" s="1" t="s">
        <v>6142</v>
      </c>
    </row>
    <row r="377">
      <c r="A377" s="6">
        <v>44524.582033935185</v>
      </c>
      <c r="B377" s="7" t="s">
        <v>6143</v>
      </c>
      <c r="C377" s="8" t="s">
        <v>6144</v>
      </c>
      <c r="D377" s="1" t="s">
        <v>6145</v>
      </c>
      <c r="E377" s="9" t="s">
        <v>6146</v>
      </c>
      <c r="F377" s="1" t="s">
        <v>6147</v>
      </c>
      <c r="G377" s="1" t="s">
        <v>6148</v>
      </c>
      <c r="H377" s="1" t="s">
        <v>169</v>
      </c>
      <c r="I377" s="9" t="s">
        <v>6149</v>
      </c>
      <c r="J377" s="1" t="s">
        <v>6150</v>
      </c>
      <c r="K377" s="1" t="s">
        <v>102</v>
      </c>
      <c r="L377" s="1" t="s">
        <v>103</v>
      </c>
      <c r="M377" s="1" t="s">
        <v>6043</v>
      </c>
      <c r="N377" s="1" t="s">
        <v>217</v>
      </c>
      <c r="O377" s="1" t="s">
        <v>6151</v>
      </c>
      <c r="P377" s="1" t="s">
        <v>6044</v>
      </c>
      <c r="Q377" s="1" t="s">
        <v>6152</v>
      </c>
      <c r="R377" s="1" t="s">
        <v>6153</v>
      </c>
      <c r="S377" s="1" t="s">
        <v>4701</v>
      </c>
      <c r="T377" s="1" t="s">
        <v>6154</v>
      </c>
      <c r="U377" s="1" t="s">
        <v>6155</v>
      </c>
      <c r="V377" s="1" t="s">
        <v>595</v>
      </c>
      <c r="W377" s="1" t="s">
        <v>217</v>
      </c>
      <c r="X377" s="1" t="s">
        <v>217</v>
      </c>
      <c r="Z377" s="1" t="s">
        <v>6156</v>
      </c>
      <c r="AA377" s="10">
        <v>2.5E7</v>
      </c>
      <c r="AB377" s="1" t="s">
        <v>6157</v>
      </c>
      <c r="AC377" s="10">
        <v>3.6E7</v>
      </c>
      <c r="AD377" s="1" t="s">
        <v>6158</v>
      </c>
      <c r="AE377" s="10">
        <v>2.8E7</v>
      </c>
      <c r="AF377" s="10">
        <v>2.0E7</v>
      </c>
      <c r="AH377" s="1">
        <v>9.000036849488E12</v>
      </c>
      <c r="AI377" s="1" t="s">
        <v>4483</v>
      </c>
      <c r="AJ377" s="1">
        <v>172.0</v>
      </c>
      <c r="AK377" s="1">
        <v>83.0</v>
      </c>
      <c r="AL377" s="1" t="s">
        <v>6159</v>
      </c>
      <c r="AM377" s="1" t="s">
        <v>6160</v>
      </c>
      <c r="AN377" s="7" t="s">
        <v>6161</v>
      </c>
      <c r="AO377" s="8" t="str">
        <f>HYPERLINK("https://docs.google.com/document/d/1WY_28QwFY9cTmMKUGgwLcxBOAtgalCG4M0D2LEVSILo/edit?usp=drivesdk","Al-Wildan Holding_Syarif Putra Satria, SE.MM._-")</f>
        <v>Al-Wildan Holding_Syarif Putra Satria, SE.MM._-</v>
      </c>
      <c r="AP377" s="1" t="s">
        <v>6162</v>
      </c>
    </row>
    <row r="378">
      <c r="A378" s="6">
        <v>44524.600891724534</v>
      </c>
      <c r="B378" s="7" t="s">
        <v>6163</v>
      </c>
      <c r="C378" s="8" t="s">
        <v>6164</v>
      </c>
      <c r="D378" s="1" t="s">
        <v>6165</v>
      </c>
      <c r="E378" s="9" t="s">
        <v>6166</v>
      </c>
      <c r="F378" s="1" t="s">
        <v>6167</v>
      </c>
      <c r="G378" s="1" t="s">
        <v>6168</v>
      </c>
      <c r="H378" s="1" t="s">
        <v>6169</v>
      </c>
      <c r="I378" s="9" t="s">
        <v>6170</v>
      </c>
      <c r="J378" s="1" t="s">
        <v>6171</v>
      </c>
      <c r="K378" s="1" t="s">
        <v>102</v>
      </c>
      <c r="L378" s="1" t="s">
        <v>310</v>
      </c>
      <c r="M378" s="1" t="s">
        <v>6043</v>
      </c>
      <c r="O378" s="1" t="s">
        <v>6151</v>
      </c>
      <c r="P378" s="1" t="s">
        <v>237</v>
      </c>
      <c r="Q378" s="1" t="s">
        <v>2602</v>
      </c>
      <c r="R378" s="1" t="s">
        <v>6172</v>
      </c>
      <c r="S378" s="1" t="s">
        <v>4479</v>
      </c>
      <c r="Z378" s="1" t="s">
        <v>6173</v>
      </c>
      <c r="AA378" s="10">
        <v>4500000.0</v>
      </c>
      <c r="AF378" s="10">
        <v>5000000.0</v>
      </c>
      <c r="AG378" s="1">
        <v>9.0349068E9</v>
      </c>
      <c r="AI378" s="1" t="s">
        <v>4856</v>
      </c>
      <c r="AJ378" s="1">
        <v>170.0</v>
      </c>
      <c r="AK378" s="1">
        <v>73.0</v>
      </c>
      <c r="AL378" s="1" t="s">
        <v>6174</v>
      </c>
      <c r="AM378" s="1" t="s">
        <v>6175</v>
      </c>
      <c r="AN378" s="7" t="s">
        <v>6176</v>
      </c>
      <c r="AO378" s="8" t="str">
        <f>HYPERLINK("https://docs.google.com/document/d/1X4ZNssW7GeWzon6t83MipyGzAW4lR-eX27hPL1xJmqs/edit?usp=drivesdk","Al-Wildan 4 Lebak Bulus_Yuri Alvin S.IP_")</f>
        <v>Al-Wildan 4 Lebak Bulus_Yuri Alvin S.IP_</v>
      </c>
      <c r="AP378" s="1" t="s">
        <v>6177</v>
      </c>
    </row>
    <row r="379">
      <c r="A379" s="6">
        <v>44524.67571123842</v>
      </c>
      <c r="B379" s="7" t="s">
        <v>6178</v>
      </c>
      <c r="C379" s="8" t="s">
        <v>6179</v>
      </c>
      <c r="D379" s="1" t="s">
        <v>6180</v>
      </c>
      <c r="E379" s="9" t="s">
        <v>6181</v>
      </c>
      <c r="F379" s="1" t="s">
        <v>6182</v>
      </c>
      <c r="G379" s="1" t="s">
        <v>6183</v>
      </c>
      <c r="H379" s="1" t="s">
        <v>169</v>
      </c>
      <c r="I379" s="9" t="s">
        <v>6184</v>
      </c>
      <c r="J379" s="1" t="s">
        <v>6185</v>
      </c>
      <c r="K379" s="1" t="s">
        <v>102</v>
      </c>
      <c r="L379" s="1" t="s">
        <v>103</v>
      </c>
      <c r="M379" s="1" t="s">
        <v>6186</v>
      </c>
      <c r="O379" s="1" t="s">
        <v>6151</v>
      </c>
      <c r="P379" s="1" t="s">
        <v>6187</v>
      </c>
      <c r="Q379" s="1" t="s">
        <v>6188</v>
      </c>
      <c r="R379" s="1" t="s">
        <v>6189</v>
      </c>
      <c r="S379" s="1" t="s">
        <v>1060</v>
      </c>
      <c r="Z379" s="1" t="s">
        <v>6190</v>
      </c>
      <c r="AA379" s="1" t="s">
        <v>6191</v>
      </c>
      <c r="AF379" s="1" t="s">
        <v>6192</v>
      </c>
      <c r="AG379" s="1">
        <v>2.54855355E9</v>
      </c>
      <c r="AJ379" s="1">
        <v>173.0</v>
      </c>
      <c r="AK379" s="1">
        <v>85.0</v>
      </c>
      <c r="AL379" s="1" t="s">
        <v>6193</v>
      </c>
      <c r="AM379" s="1" t="s">
        <v>6194</v>
      </c>
      <c r="AN379" s="7" t="s">
        <v>6195</v>
      </c>
      <c r="AO379" s="8" t="str">
        <f>HYPERLINK("https://docs.google.com/document/d/1XcbTQLNpMtsDMLKvnuaozA2RLI59HI9tza8SuelN-II/edit?usp=drivesdk","Al-Wildan 14 Bumi Mutiara, Bogor_ALAM SARWONO, S.E._")</f>
        <v>Al-Wildan 14 Bumi Mutiara, Bogor_ALAM SARWONO, S.E._</v>
      </c>
      <c r="AP379" s="1" t="s">
        <v>6196</v>
      </c>
    </row>
    <row r="380">
      <c r="A380" s="6">
        <v>44524.71527975694</v>
      </c>
      <c r="B380" s="7" t="s">
        <v>6197</v>
      </c>
      <c r="C380" s="8" t="s">
        <v>6198</v>
      </c>
      <c r="D380" s="1" t="s">
        <v>6199</v>
      </c>
      <c r="E380" s="9" t="s">
        <v>6200</v>
      </c>
      <c r="F380" s="1" t="s">
        <v>6201</v>
      </c>
      <c r="G380" s="1" t="s">
        <v>6202</v>
      </c>
      <c r="H380" s="1" t="s">
        <v>169</v>
      </c>
      <c r="I380" s="9" t="s">
        <v>6203</v>
      </c>
      <c r="J380" s="1" t="s">
        <v>6204</v>
      </c>
      <c r="K380" s="1" t="s">
        <v>151</v>
      </c>
      <c r="L380" s="1" t="s">
        <v>103</v>
      </c>
      <c r="M380" s="1" t="s">
        <v>6186</v>
      </c>
      <c r="O380" s="1" t="s">
        <v>6151</v>
      </c>
      <c r="P380" s="1" t="s">
        <v>237</v>
      </c>
      <c r="Z380" s="1" t="s">
        <v>5450</v>
      </c>
      <c r="AA380" s="1" t="s">
        <v>6205</v>
      </c>
      <c r="AF380" s="10">
        <v>5000000.0</v>
      </c>
      <c r="AG380" s="1">
        <v>1.059212115E9</v>
      </c>
      <c r="AI380" s="1" t="s">
        <v>4856</v>
      </c>
      <c r="AJ380" s="1">
        <v>170.0</v>
      </c>
      <c r="AK380" s="1">
        <v>76.0</v>
      </c>
      <c r="AL380" s="1" t="s">
        <v>6206</v>
      </c>
      <c r="AM380" s="1" t="s">
        <v>6207</v>
      </c>
      <c r="AN380" s="7" t="s">
        <v>6208</v>
      </c>
      <c r="AO380" s="8" t="str">
        <f>HYPERLINK("https://docs.google.com/document/d/1pQCppBAk-ICcdjca0rOESTLLretyqOhuvKbJKyLG5as/edit?usp=drivesdk","Al-Wildan 4 Lebak Bulus_Muhammad Yadi Prima_")</f>
        <v>Al-Wildan 4 Lebak Bulus_Muhammad Yadi Prima_</v>
      </c>
      <c r="AP380" s="1" t="s">
        <v>6209</v>
      </c>
    </row>
    <row r="381">
      <c r="A381" s="6">
        <v>44524.71787018518</v>
      </c>
      <c r="B381" s="7" t="s">
        <v>6210</v>
      </c>
      <c r="C381" s="8" t="s">
        <v>6211</v>
      </c>
      <c r="D381" s="1" t="s">
        <v>6212</v>
      </c>
      <c r="E381" s="1" t="s">
        <v>6213</v>
      </c>
      <c r="F381" s="1" t="s">
        <v>6214</v>
      </c>
      <c r="G381" s="1" t="s">
        <v>6215</v>
      </c>
      <c r="H381" s="1" t="s">
        <v>148</v>
      </c>
      <c r="I381" s="9" t="s">
        <v>6216</v>
      </c>
      <c r="J381" s="1" t="s">
        <v>6217</v>
      </c>
      <c r="K381" s="1" t="s">
        <v>102</v>
      </c>
      <c r="L381" s="1" t="s">
        <v>103</v>
      </c>
      <c r="M381" s="1" t="s">
        <v>6218</v>
      </c>
      <c r="O381" s="1" t="s">
        <v>6151</v>
      </c>
      <c r="P381" s="1" t="s">
        <v>6187</v>
      </c>
      <c r="Q381" s="1" t="s">
        <v>6219</v>
      </c>
      <c r="R381" s="1" t="s">
        <v>6220</v>
      </c>
      <c r="S381" s="1" t="s">
        <v>1087</v>
      </c>
      <c r="Z381" s="1" t="s">
        <v>6221</v>
      </c>
      <c r="AA381" s="10">
        <v>1.0E7</v>
      </c>
      <c r="AF381" s="10">
        <v>1.0E7</v>
      </c>
      <c r="AH381" s="9" t="s">
        <v>6222</v>
      </c>
      <c r="AI381" s="1" t="s">
        <v>6223</v>
      </c>
      <c r="AJ381" s="1">
        <v>170.0</v>
      </c>
      <c r="AK381" s="1">
        <v>75.0</v>
      </c>
      <c r="AL381" s="1" t="s">
        <v>6224</v>
      </c>
      <c r="AM381" s="1" t="s">
        <v>6225</v>
      </c>
      <c r="AN381" s="7" t="s">
        <v>6226</v>
      </c>
      <c r="AO381" s="8" t="str">
        <f>HYPERLINK("https://docs.google.com/document/d/1eupMBAl5Y6hQ5exspK35gqKRzLCKxEfrTQlWqRzsZJw/edit?usp=drivesdk","Al-Wildan 14 Bumi Mutiara, Bogor_Flory Oktrian, ST_")</f>
        <v>Al-Wildan 14 Bumi Mutiara, Bogor_Flory Oktrian, ST_</v>
      </c>
      <c r="AP381" s="1" t="s">
        <v>6227</v>
      </c>
    </row>
    <row r="382">
      <c r="A382" s="6">
        <v>44525.442602546296</v>
      </c>
      <c r="B382" s="7" t="s">
        <v>6228</v>
      </c>
      <c r="C382" s="8" t="s">
        <v>6229</v>
      </c>
      <c r="D382" s="1" t="s">
        <v>6230</v>
      </c>
      <c r="E382" s="9" t="s">
        <v>6231</v>
      </c>
      <c r="F382" s="1" t="s">
        <v>6232</v>
      </c>
      <c r="G382" s="1" t="s">
        <v>6233</v>
      </c>
      <c r="H382" s="1" t="s">
        <v>99</v>
      </c>
      <c r="I382" s="9" t="s">
        <v>6234</v>
      </c>
      <c r="J382" s="1" t="s">
        <v>724</v>
      </c>
      <c r="K382" s="1" t="s">
        <v>151</v>
      </c>
      <c r="L382" s="1" t="s">
        <v>103</v>
      </c>
      <c r="M382" s="1" t="s">
        <v>6186</v>
      </c>
      <c r="O382" s="1" t="s">
        <v>6151</v>
      </c>
      <c r="P382" s="1" t="s">
        <v>107</v>
      </c>
      <c r="Q382" s="1" t="s">
        <v>291</v>
      </c>
      <c r="R382" s="1" t="s">
        <v>6235</v>
      </c>
      <c r="S382" s="1" t="s">
        <v>6236</v>
      </c>
      <c r="Z382" s="1" t="s">
        <v>6237</v>
      </c>
      <c r="AA382" s="10">
        <v>4900000.0</v>
      </c>
      <c r="AB382" s="1" t="s">
        <v>6238</v>
      </c>
      <c r="AC382" s="10">
        <v>4800000.0</v>
      </c>
      <c r="AD382" s="1" t="s">
        <v>6239</v>
      </c>
      <c r="AE382" s="10">
        <v>4600000.0</v>
      </c>
      <c r="AF382" s="10">
        <v>5000000.0</v>
      </c>
      <c r="AH382" s="1">
        <v>8.820750897E9</v>
      </c>
      <c r="AI382" s="1" t="s">
        <v>222</v>
      </c>
      <c r="AJ382" s="1">
        <v>178.0</v>
      </c>
      <c r="AK382" s="1">
        <v>64.0</v>
      </c>
      <c r="AL382" s="1" t="s">
        <v>6240</v>
      </c>
      <c r="AM382" s="1" t="s">
        <v>6241</v>
      </c>
      <c r="AN382" s="7" t="s">
        <v>6242</v>
      </c>
      <c r="AO382" s="8" t="str">
        <f>HYPERLINK("https://docs.google.com/document/d/1KMvrYmVkZvb9HAHIV2Q3DppYt1_LtvnR5gfxrSgtfEU/edit?usp=drivesdk","Al-Wildan 1 Gading Serpong_Ibnu Arif, S.T_")</f>
        <v>Al-Wildan 1 Gading Serpong_Ibnu Arif, S.T_</v>
      </c>
      <c r="AP382" s="1" t="s">
        <v>6243</v>
      </c>
    </row>
    <row r="383">
      <c r="A383" s="6">
        <v>44529.85914690972</v>
      </c>
      <c r="B383" s="7" t="s">
        <v>6244</v>
      </c>
      <c r="C383" s="8" t="s">
        <v>6245</v>
      </c>
      <c r="D383" s="1" t="s">
        <v>6246</v>
      </c>
      <c r="E383" s="9" t="s">
        <v>6247</v>
      </c>
      <c r="F383" s="1" t="s">
        <v>6248</v>
      </c>
      <c r="G383" s="1" t="s">
        <v>6249</v>
      </c>
      <c r="H383" s="1" t="s">
        <v>99</v>
      </c>
      <c r="I383" s="9" t="s">
        <v>6250</v>
      </c>
      <c r="J383" s="1" t="s">
        <v>6251</v>
      </c>
      <c r="K383" s="1" t="s">
        <v>102</v>
      </c>
      <c r="L383" s="1" t="s">
        <v>103</v>
      </c>
      <c r="M383" s="1" t="s">
        <v>6252</v>
      </c>
      <c r="O383" s="1" t="s">
        <v>6151</v>
      </c>
      <c r="P383" s="1" t="s">
        <v>6044</v>
      </c>
      <c r="Q383" s="1" t="s">
        <v>6253</v>
      </c>
      <c r="R383" s="1" t="s">
        <v>3835</v>
      </c>
      <c r="S383" s="1">
        <v>3.2</v>
      </c>
      <c r="Z383" s="1" t="s">
        <v>6254</v>
      </c>
      <c r="AA383" s="1">
        <v>4500000.0</v>
      </c>
      <c r="AF383" s="1">
        <v>4700000.0</v>
      </c>
      <c r="AH383" s="1">
        <v>8.015219692E9</v>
      </c>
      <c r="AI383" s="1" t="s">
        <v>222</v>
      </c>
      <c r="AJ383" s="1">
        <v>168.0</v>
      </c>
      <c r="AK383" s="1">
        <v>78.0</v>
      </c>
      <c r="AL383" s="1" t="s">
        <v>6255</v>
      </c>
      <c r="AM383" s="1" t="s">
        <v>6256</v>
      </c>
      <c r="AN383" s="7" t="s">
        <v>6257</v>
      </c>
      <c r="AO383" s="8" t="str">
        <f>HYPERLINK("https://docs.google.com/document/d/1iTTDZ5OrZWdvw7s4Q6KuxgAzT8dHB3-o3yjKokwxHsw/edit?usp=drivesdk","Al-Wildan Holding_Jejen Al-Hawasi_")</f>
        <v>Al-Wildan Holding_Jejen Al-Hawasi_</v>
      </c>
      <c r="AP383" s="1" t="s">
        <v>6258</v>
      </c>
    </row>
    <row r="384">
      <c r="A384" s="6">
        <v>44538.58122423611</v>
      </c>
      <c r="B384" s="7" t="s">
        <v>6259</v>
      </c>
      <c r="C384" s="8" t="s">
        <v>6260</v>
      </c>
      <c r="D384" s="1" t="s">
        <v>6261</v>
      </c>
      <c r="E384" s="9" t="s">
        <v>6262</v>
      </c>
      <c r="F384" s="1">
        <v>9.71051006900005E14</v>
      </c>
      <c r="G384" s="1" t="s">
        <v>6263</v>
      </c>
      <c r="H384" s="1" t="s">
        <v>6264</v>
      </c>
      <c r="I384" s="9" t="s">
        <v>6265</v>
      </c>
      <c r="J384" s="1" t="s">
        <v>6266</v>
      </c>
      <c r="K384" s="1" t="s">
        <v>102</v>
      </c>
      <c r="L384" s="1" t="s">
        <v>103</v>
      </c>
      <c r="M384" s="1" t="s">
        <v>424</v>
      </c>
      <c r="O384" s="1" t="s">
        <v>127</v>
      </c>
      <c r="P384" s="1" t="s">
        <v>5712</v>
      </c>
      <c r="Q384" s="1" t="s">
        <v>6267</v>
      </c>
      <c r="R384" s="1" t="s">
        <v>1057</v>
      </c>
      <c r="S384" s="1" t="s">
        <v>4462</v>
      </c>
      <c r="Z384" s="1" t="s">
        <v>6268</v>
      </c>
      <c r="AA384" s="1" t="s">
        <v>6269</v>
      </c>
      <c r="AB384" s="1" t="s">
        <v>6268</v>
      </c>
      <c r="AC384" s="1" t="s">
        <v>6270</v>
      </c>
      <c r="AD384" s="1" t="s">
        <v>6271</v>
      </c>
      <c r="AE384" s="1" t="s">
        <v>6272</v>
      </c>
      <c r="AF384" s="1" t="s">
        <v>6273</v>
      </c>
      <c r="AG384" s="1">
        <v>1.172348329E9</v>
      </c>
      <c r="AH384" s="9" t="s">
        <v>6274</v>
      </c>
      <c r="AI384" s="1" t="s">
        <v>159</v>
      </c>
      <c r="AJ384" s="1">
        <v>175.0</v>
      </c>
      <c r="AK384" s="1">
        <v>80.0</v>
      </c>
      <c r="AL384" s="1" t="s">
        <v>6275</v>
      </c>
      <c r="AM384" s="1" t="s">
        <v>6276</v>
      </c>
      <c r="AN384" s="7" t="s">
        <v>6277</v>
      </c>
      <c r="AO384" s="8" t="str">
        <f>HYPERLINK("https://docs.google.com/document/d/1mYocTSiMUwVaCFPDelH3Sxw5V3H55wSx7GRUrYc9g00/edit?usp=drivesdk","Al-Wildan 3 BSD City_Janice Omar Javier S.Psi_")</f>
        <v>Al-Wildan 3 BSD City_Janice Omar Javier S.Psi_</v>
      </c>
      <c r="AP384" s="1" t="s">
        <v>6278</v>
      </c>
    </row>
    <row r="385">
      <c r="A385" s="6">
        <v>44538.78010146991</v>
      </c>
      <c r="B385" s="7" t="s">
        <v>6279</v>
      </c>
      <c r="C385" s="8" t="s">
        <v>6280</v>
      </c>
      <c r="D385" s="1" t="s">
        <v>6281</v>
      </c>
      <c r="E385" s="1">
        <v>8.1295249499E11</v>
      </c>
      <c r="F385" s="1" t="s">
        <v>6282</v>
      </c>
      <c r="G385" s="1" t="s">
        <v>6283</v>
      </c>
      <c r="H385" s="1" t="s">
        <v>6284</v>
      </c>
      <c r="I385" s="9" t="s">
        <v>6285</v>
      </c>
      <c r="J385" s="1" t="s">
        <v>6286</v>
      </c>
      <c r="K385" s="1" t="s">
        <v>102</v>
      </c>
      <c r="L385" s="1" t="s">
        <v>256</v>
      </c>
      <c r="M385" s="1" t="s">
        <v>104</v>
      </c>
      <c r="N385" s="1" t="s">
        <v>235</v>
      </c>
      <c r="O385" s="1" t="s">
        <v>106</v>
      </c>
      <c r="P385" s="1" t="s">
        <v>237</v>
      </c>
      <c r="Q385" s="1" t="s">
        <v>6287</v>
      </c>
      <c r="R385" s="1" t="s">
        <v>2355</v>
      </c>
      <c r="S385" s="1" t="s">
        <v>3589</v>
      </c>
      <c r="Z385" s="1" t="s">
        <v>6288</v>
      </c>
      <c r="AA385" s="10">
        <v>7000000.0</v>
      </c>
      <c r="AF385" s="10">
        <v>7000000.0</v>
      </c>
      <c r="AG385" s="1">
        <v>7.166932925E9</v>
      </c>
      <c r="AJ385" s="1">
        <v>160.0</v>
      </c>
      <c r="AK385" s="1">
        <v>50.0</v>
      </c>
      <c r="AL385" s="1" t="s">
        <v>6289</v>
      </c>
      <c r="AM385" s="1" t="s">
        <v>6290</v>
      </c>
      <c r="AN385" s="7" t="s">
        <v>6291</v>
      </c>
      <c r="AO385" s="8" t="str">
        <f>HYPERLINK("https://docs.google.com/document/d/1NGJrcAXf18QWxrk3WRtbvcfayarkkoKi4DI7SbmSiRo/edit?usp=drivesdk","Al-Wildan 4 Lebak Bulus_Ikram laata S. Pd_Bahasa Arab")</f>
        <v>Al-Wildan 4 Lebak Bulus_Ikram laata S. Pd_Bahasa Arab</v>
      </c>
      <c r="AP385" s="1" t="s">
        <v>6292</v>
      </c>
    </row>
    <row r="386">
      <c r="A386" s="6">
        <v>44538.800930613426</v>
      </c>
      <c r="B386" s="7" t="s">
        <v>6293</v>
      </c>
      <c r="C386" s="8" t="s">
        <v>6294</v>
      </c>
      <c r="D386" s="1" t="s">
        <v>6295</v>
      </c>
      <c r="E386" s="9" t="s">
        <v>6296</v>
      </c>
      <c r="F386" s="1" t="s">
        <v>6297</v>
      </c>
      <c r="G386" s="1" t="s">
        <v>6298</v>
      </c>
      <c r="H386" s="1" t="s">
        <v>6299</v>
      </c>
      <c r="I386" s="9" t="s">
        <v>6300</v>
      </c>
      <c r="J386" s="1" t="s">
        <v>6301</v>
      </c>
      <c r="K386" s="1" t="s">
        <v>102</v>
      </c>
      <c r="L386" s="1" t="s">
        <v>103</v>
      </c>
      <c r="M386" s="1" t="s">
        <v>104</v>
      </c>
      <c r="N386" s="1" t="s">
        <v>235</v>
      </c>
      <c r="O386" s="1" t="s">
        <v>127</v>
      </c>
      <c r="P386" s="1" t="s">
        <v>237</v>
      </c>
      <c r="Q386" s="1" t="s">
        <v>6302</v>
      </c>
      <c r="R386" s="1" t="s">
        <v>2355</v>
      </c>
      <c r="S386" s="1" t="s">
        <v>6303</v>
      </c>
      <c r="T386" s="1" t="s">
        <v>6304</v>
      </c>
      <c r="U386" s="1" t="s">
        <v>2355</v>
      </c>
      <c r="V386" s="1" t="s">
        <v>134</v>
      </c>
      <c r="Z386" s="1" t="s">
        <v>6305</v>
      </c>
      <c r="AA386" s="10">
        <v>6000000.0</v>
      </c>
      <c r="AF386" s="10">
        <v>8000000.0</v>
      </c>
      <c r="AG386" s="1">
        <v>8.35223382E9</v>
      </c>
      <c r="AJ386" s="1">
        <v>165.0</v>
      </c>
      <c r="AK386" s="1">
        <v>61.0</v>
      </c>
      <c r="AL386" s="1" t="s">
        <v>6306</v>
      </c>
      <c r="AM386" s="1" t="s">
        <v>6307</v>
      </c>
      <c r="AN386" s="7" t="s">
        <v>6308</v>
      </c>
      <c r="AO386" s="8" t="str">
        <f>HYPERLINK("https://docs.google.com/document/d/1sbE96tNT2aKu8giKpSoatmEhilfUUPjyLAw3fLax32U/edit?usp=drivesdk","Al-Wildan 4 Lebak Bulus_Gelora Jonson M.Pd_Bahasa Arab")</f>
        <v>Al-Wildan 4 Lebak Bulus_Gelora Jonson M.Pd_Bahasa Arab</v>
      </c>
      <c r="AP386" s="1" t="s">
        <v>6309</v>
      </c>
    </row>
    <row r="387">
      <c r="A387" s="6">
        <v>44540.35179425926</v>
      </c>
      <c r="B387" s="7" t="s">
        <v>6310</v>
      </c>
      <c r="C387" s="8" t="s">
        <v>6311</v>
      </c>
      <c r="D387" s="1" t="s">
        <v>6312</v>
      </c>
      <c r="E387" s="1" t="s">
        <v>6313</v>
      </c>
      <c r="F387" s="1" t="s">
        <v>6314</v>
      </c>
      <c r="G387" s="1" t="s">
        <v>6315</v>
      </c>
      <c r="H387" s="1" t="s">
        <v>169</v>
      </c>
      <c r="I387" s="9" t="s">
        <v>6316</v>
      </c>
      <c r="J387" s="1" t="s">
        <v>6317</v>
      </c>
      <c r="K387" s="1" t="s">
        <v>102</v>
      </c>
      <c r="L387" s="1" t="s">
        <v>103</v>
      </c>
      <c r="M387" s="1" t="s">
        <v>6318</v>
      </c>
      <c r="O387" s="1" t="s">
        <v>6151</v>
      </c>
      <c r="P387" s="1" t="s">
        <v>5712</v>
      </c>
      <c r="Q387" s="1" t="s">
        <v>6319</v>
      </c>
      <c r="R387" s="1" t="s">
        <v>6220</v>
      </c>
      <c r="Z387" s="1" t="s">
        <v>6320</v>
      </c>
      <c r="AA387" s="10">
        <v>4500000.0</v>
      </c>
      <c r="AF387" s="10">
        <v>4500000.0</v>
      </c>
      <c r="AH387" s="9" t="s">
        <v>6321</v>
      </c>
      <c r="AI387" s="1" t="s">
        <v>6322</v>
      </c>
      <c r="AJ387" s="1">
        <v>180.0</v>
      </c>
      <c r="AK387" s="1">
        <v>80.0</v>
      </c>
      <c r="AL387" s="1" t="s">
        <v>6323</v>
      </c>
      <c r="AM387" s="1" t="s">
        <v>6324</v>
      </c>
      <c r="AN387" s="7" t="s">
        <v>6325</v>
      </c>
      <c r="AO387" s="8" t="str">
        <f>HYPERLINK("https://docs.google.com/document/d/17OgYPXISx_HKP1eAsqWlowWSoKfwzou24Guaiqrpwgc/edit?usp=drivesdk","Al-Wildan 3 BSD City_Novredhana diansy Satragama, S. Kom_")</f>
        <v>Al-Wildan 3 BSD City_Novredhana diansy Satragama, S. Kom_</v>
      </c>
      <c r="AP387" s="1" t="s">
        <v>6326</v>
      </c>
    </row>
    <row r="388">
      <c r="A388" s="6">
        <v>44552.914680856484</v>
      </c>
      <c r="B388" s="7" t="s">
        <v>6327</v>
      </c>
      <c r="C388" s="8" t="s">
        <v>6328</v>
      </c>
      <c r="D388" s="1" t="s">
        <v>6329</v>
      </c>
      <c r="E388" s="9" t="s">
        <v>6330</v>
      </c>
      <c r="F388" s="1" t="s">
        <v>6331</v>
      </c>
      <c r="G388" s="1" t="s">
        <v>6332</v>
      </c>
      <c r="H388" s="1" t="s">
        <v>169</v>
      </c>
      <c r="I388" s="9" t="s">
        <v>6333</v>
      </c>
      <c r="J388" s="1" t="s">
        <v>6334</v>
      </c>
      <c r="K388" s="1" t="s">
        <v>151</v>
      </c>
      <c r="L388" s="1" t="s">
        <v>256</v>
      </c>
      <c r="M388" s="1" t="s">
        <v>104</v>
      </c>
      <c r="N388" s="1" t="s">
        <v>126</v>
      </c>
      <c r="O388" s="1" t="s">
        <v>127</v>
      </c>
      <c r="P388" s="1" t="s">
        <v>237</v>
      </c>
      <c r="Q388" s="1" t="s">
        <v>6335</v>
      </c>
      <c r="R388" s="1" t="s">
        <v>552</v>
      </c>
      <c r="S388" s="1" t="s">
        <v>1279</v>
      </c>
      <c r="T388" s="1" t="s">
        <v>6336</v>
      </c>
      <c r="U388" s="1" t="s">
        <v>6337</v>
      </c>
      <c r="V388" s="1" t="s">
        <v>6338</v>
      </c>
      <c r="Z388" s="1" t="s">
        <v>6339</v>
      </c>
      <c r="AA388" s="10">
        <v>1490000.0</v>
      </c>
      <c r="AB388" s="1" t="s">
        <v>6340</v>
      </c>
      <c r="AC388" s="10">
        <v>2028000.0</v>
      </c>
      <c r="AD388" s="1" t="s">
        <v>6341</v>
      </c>
      <c r="AE388" s="10">
        <v>4500000.0</v>
      </c>
      <c r="AF388" s="10">
        <v>7000000.0</v>
      </c>
      <c r="AG388" s="1">
        <v>7.131983845E9</v>
      </c>
      <c r="AJ388" s="1">
        <v>169.0</v>
      </c>
      <c r="AK388" s="1">
        <v>48.0</v>
      </c>
      <c r="AL388" s="1" t="s">
        <v>6342</v>
      </c>
      <c r="AM388" s="1" t="s">
        <v>6343</v>
      </c>
      <c r="AN388" s="7" t="s">
        <v>6344</v>
      </c>
      <c r="AO388" s="8" t="str">
        <f>HYPERLINK("https://docs.google.com/document/d/1jR6Zl9FYRVPfvIxqzh7wn6_DxeAUARw9HFEX3kqKNVQ/edit?usp=drivesdk","Al-Wildan 4 Lebak Bulus_Muhammad Lawrence Pattersons, M.Si._Matematika")</f>
        <v>Al-Wildan 4 Lebak Bulus_Muhammad Lawrence Pattersons, M.Si._Matematika</v>
      </c>
      <c r="AP388" s="1" t="s">
        <v>6345</v>
      </c>
    </row>
    <row r="389">
      <c r="A389" s="6">
        <v>44559.35672658565</v>
      </c>
      <c r="B389" s="7" t="s">
        <v>6346</v>
      </c>
      <c r="C389" s="8" t="s">
        <v>6347</v>
      </c>
      <c r="D389" s="1" t="s">
        <v>6348</v>
      </c>
      <c r="E389" s="9" t="s">
        <v>6349</v>
      </c>
      <c r="F389" s="1" t="s">
        <v>6350</v>
      </c>
      <c r="G389" s="1" t="s">
        <v>6351</v>
      </c>
      <c r="H389" s="1" t="s">
        <v>169</v>
      </c>
      <c r="I389" s="9" t="s">
        <v>6352</v>
      </c>
      <c r="J389" s="1" t="s">
        <v>6353</v>
      </c>
      <c r="K389" s="1" t="s">
        <v>102</v>
      </c>
      <c r="L389" s="1" t="s">
        <v>103</v>
      </c>
      <c r="M389" s="1" t="s">
        <v>6354</v>
      </c>
      <c r="O389" s="1" t="s">
        <v>6151</v>
      </c>
      <c r="P389" s="1" t="s">
        <v>6044</v>
      </c>
      <c r="Q389" s="1" t="s">
        <v>6355</v>
      </c>
      <c r="R389" s="1" t="s">
        <v>6356</v>
      </c>
      <c r="S389" s="1" t="s">
        <v>931</v>
      </c>
      <c r="Z389" s="1" t="s">
        <v>6357</v>
      </c>
      <c r="AA389" s="10">
        <v>1750000.0</v>
      </c>
      <c r="AF389" s="10">
        <v>6500000.0</v>
      </c>
      <c r="AG389" s="1">
        <v>9.54461977E9</v>
      </c>
      <c r="AJ389" s="1">
        <v>175.0</v>
      </c>
      <c r="AK389" s="1">
        <v>67.0</v>
      </c>
      <c r="AL389" s="1" t="s">
        <v>6358</v>
      </c>
      <c r="AM389" s="1" t="s">
        <v>6359</v>
      </c>
      <c r="AN389" s="7" t="s">
        <v>6360</v>
      </c>
      <c r="AO389" s="8" t="str">
        <f>HYPERLINK("https://docs.google.com/document/d/1aAVqPdkHw7ndLbBe7CSqoxMfSnbPzmDH_hhsV9skNWA/edit?usp=drivesdk","Al-Wildan Holding_Brandon Isades Tjakradidjaja S.iKom_")</f>
        <v>Al-Wildan Holding_Brandon Isades Tjakradidjaja S.iKom_</v>
      </c>
      <c r="AP389" s="1" t="s">
        <v>6361</v>
      </c>
    </row>
    <row r="390">
      <c r="A390" s="6">
        <v>44560.390413217596</v>
      </c>
      <c r="B390" s="7" t="s">
        <v>6362</v>
      </c>
      <c r="C390" s="8" t="s">
        <v>6363</v>
      </c>
      <c r="D390" s="1" t="s">
        <v>6364</v>
      </c>
      <c r="E390" s="9" t="s">
        <v>6365</v>
      </c>
      <c r="F390" s="1" t="s">
        <v>6366</v>
      </c>
      <c r="G390" s="1" t="s">
        <v>6367</v>
      </c>
      <c r="H390" s="1" t="s">
        <v>99</v>
      </c>
      <c r="I390" s="9" t="s">
        <v>6368</v>
      </c>
      <c r="J390" s="1" t="s">
        <v>2095</v>
      </c>
      <c r="K390" s="1" t="s">
        <v>151</v>
      </c>
      <c r="L390" s="1" t="s">
        <v>103</v>
      </c>
      <c r="M390" s="1" t="s">
        <v>104</v>
      </c>
      <c r="N390" s="1" t="s">
        <v>152</v>
      </c>
      <c r="O390" s="1" t="s">
        <v>312</v>
      </c>
      <c r="P390" s="1" t="s">
        <v>237</v>
      </c>
      <c r="Q390" s="1" t="s">
        <v>3409</v>
      </c>
      <c r="R390" s="1" t="s">
        <v>172</v>
      </c>
      <c r="S390" s="1" t="s">
        <v>363</v>
      </c>
      <c r="Z390" s="1" t="s">
        <v>6369</v>
      </c>
      <c r="AA390" s="10">
        <v>1500000.0</v>
      </c>
      <c r="AB390" s="1" t="s">
        <v>6370</v>
      </c>
      <c r="AC390" s="10">
        <v>1500000.0</v>
      </c>
      <c r="AF390" s="10">
        <v>4600000.0</v>
      </c>
      <c r="AH390" s="9" t="s">
        <v>6371</v>
      </c>
      <c r="AI390" s="1" t="s">
        <v>159</v>
      </c>
      <c r="AJ390" s="1">
        <v>163.0</v>
      </c>
      <c r="AK390" s="1">
        <v>60.0</v>
      </c>
      <c r="AL390" s="1" t="s">
        <v>6372</v>
      </c>
      <c r="AM390" s="1" t="s">
        <v>6373</v>
      </c>
      <c r="AN390" s="7" t="s">
        <v>6374</v>
      </c>
      <c r="AO390" s="8" t="str">
        <f>HYPERLINK("https://docs.google.com/document/d/17j148KtOWZ4qmjWWi5mazK8ziQc00S9Sdb2naYeW0g0/edit?usp=drivesdk","Al-Wildan 4 Lebak Bulus_Rohmah Adhawati S.Pd_Bahasa Inggris")</f>
        <v>Al-Wildan 4 Lebak Bulus_Rohmah Adhawati S.Pd_Bahasa Inggris</v>
      </c>
      <c r="AP390" s="1" t="s">
        <v>6375</v>
      </c>
    </row>
    <row r="391">
      <c r="A391" s="6">
        <v>44560.600929224536</v>
      </c>
      <c r="B391" s="7" t="s">
        <v>6376</v>
      </c>
      <c r="C391" s="8" t="s">
        <v>6377</v>
      </c>
      <c r="D391" s="1" t="s">
        <v>6378</v>
      </c>
      <c r="E391" s="9" t="s">
        <v>6379</v>
      </c>
      <c r="F391" s="1" t="s">
        <v>6380</v>
      </c>
      <c r="G391" s="1" t="s">
        <v>6381</v>
      </c>
      <c r="H391" s="1" t="s">
        <v>169</v>
      </c>
      <c r="I391" s="9" t="s">
        <v>6382</v>
      </c>
      <c r="J391" s="1" t="s">
        <v>6383</v>
      </c>
      <c r="K391" s="1" t="s">
        <v>102</v>
      </c>
      <c r="L391" s="1" t="s">
        <v>310</v>
      </c>
      <c r="M391" s="1" t="s">
        <v>793</v>
      </c>
      <c r="N391" s="1" t="s">
        <v>152</v>
      </c>
      <c r="O391" s="1" t="s">
        <v>127</v>
      </c>
      <c r="P391" s="1" t="s">
        <v>237</v>
      </c>
      <c r="T391" s="1" t="s">
        <v>6384</v>
      </c>
      <c r="U391" s="1" t="s">
        <v>6385</v>
      </c>
      <c r="Z391" s="1" t="s">
        <v>6386</v>
      </c>
      <c r="AA391" s="10">
        <v>7.5E7</v>
      </c>
      <c r="AJ391" s="1">
        <v>170.0</v>
      </c>
      <c r="AK391" s="1">
        <v>61.0</v>
      </c>
      <c r="AL391" s="1" t="s">
        <v>6387</v>
      </c>
      <c r="AM391" s="1" t="s">
        <v>6388</v>
      </c>
      <c r="AN391" s="7" t="s">
        <v>6389</v>
      </c>
      <c r="AO391" s="8" t="str">
        <f>HYPERLINK("https://docs.google.com/document/d/1GMY9FmG2nCNYar-LfQS16ZXqHStUsT586TQO9DOyPSQ/edit?usp=drivesdk","Al-Wildan 4 Lebak Bulus_Ridwan Rizal Natadiningrat_Bahasa Inggris")</f>
        <v>Al-Wildan 4 Lebak Bulus_Ridwan Rizal Natadiningrat_Bahasa Inggris</v>
      </c>
      <c r="AP391" s="1" t="s">
        <v>6390</v>
      </c>
    </row>
    <row r="392">
      <c r="A392" s="6">
        <v>44561.51974233796</v>
      </c>
      <c r="B392" s="7" t="s">
        <v>6391</v>
      </c>
      <c r="C392" s="8" t="s">
        <v>6392</v>
      </c>
      <c r="D392" s="1" t="s">
        <v>6393</v>
      </c>
      <c r="E392" s="9" t="s">
        <v>6394</v>
      </c>
      <c r="F392" s="1" t="s">
        <v>6395</v>
      </c>
      <c r="G392" s="1" t="s">
        <v>6396</v>
      </c>
      <c r="H392" s="1" t="s">
        <v>4850</v>
      </c>
      <c r="I392" s="9" t="s">
        <v>6397</v>
      </c>
      <c r="J392" s="1" t="s">
        <v>6398</v>
      </c>
      <c r="K392" s="1" t="s">
        <v>102</v>
      </c>
      <c r="L392" s="1" t="s">
        <v>256</v>
      </c>
      <c r="M392" s="1" t="s">
        <v>104</v>
      </c>
      <c r="N392" s="1" t="s">
        <v>152</v>
      </c>
      <c r="O392" s="1" t="s">
        <v>312</v>
      </c>
      <c r="P392" s="1" t="s">
        <v>237</v>
      </c>
      <c r="Q392" s="1" t="s">
        <v>6399</v>
      </c>
      <c r="R392" s="1" t="s">
        <v>172</v>
      </c>
      <c r="S392" s="1" t="s">
        <v>5590</v>
      </c>
      <c r="Z392" s="1" t="s">
        <v>6400</v>
      </c>
      <c r="AA392" s="1" t="s">
        <v>6401</v>
      </c>
      <c r="AB392" s="1" t="s">
        <v>6402</v>
      </c>
      <c r="AC392" s="10">
        <v>3000000.0</v>
      </c>
      <c r="AD392" s="1" t="s">
        <v>6403</v>
      </c>
      <c r="AE392" s="10">
        <v>4000000.0</v>
      </c>
      <c r="AF392" s="1" t="s">
        <v>6404</v>
      </c>
      <c r="AG392" s="1">
        <v>7.36498985E9</v>
      </c>
      <c r="AJ392" s="1">
        <v>165.0</v>
      </c>
      <c r="AK392" s="1">
        <v>51.0</v>
      </c>
      <c r="AL392" s="1" t="s">
        <v>6405</v>
      </c>
      <c r="AM392" s="1" t="s">
        <v>6406</v>
      </c>
      <c r="AN392" s="7" t="s">
        <v>6407</v>
      </c>
      <c r="AO392" s="8" t="str">
        <f>HYPERLINK("https://docs.google.com/document/d/1s3-PL_C5bo5Q2FxjNYF1Sh7TwqdnazIMx2DltfCsp0M/edit?usp=drivesdk","Al-Wildan 4 Lebak Bulus_Arsy Pramesti Poetry, S.Pd_Bahasa Inggris")</f>
        <v>Al-Wildan 4 Lebak Bulus_Arsy Pramesti Poetry, S.Pd_Bahasa Inggris</v>
      </c>
      <c r="AP392" s="1" t="s">
        <v>6408</v>
      </c>
    </row>
    <row r="393">
      <c r="A393" s="6">
        <v>44569.53218570602</v>
      </c>
      <c r="B393" s="7" t="s">
        <v>6409</v>
      </c>
      <c r="C393" s="8" t="s">
        <v>6410</v>
      </c>
      <c r="D393" s="1" t="s">
        <v>6411</v>
      </c>
      <c r="E393" s="9" t="s">
        <v>6412</v>
      </c>
      <c r="F393" s="1" t="s">
        <v>6413</v>
      </c>
      <c r="G393" s="1" t="s">
        <v>6414</v>
      </c>
      <c r="H393" s="1" t="s">
        <v>6415</v>
      </c>
      <c r="I393" s="9" t="s">
        <v>6416</v>
      </c>
      <c r="J393" s="1" t="s">
        <v>5874</v>
      </c>
      <c r="K393" s="1" t="s">
        <v>151</v>
      </c>
      <c r="L393" s="1" t="s">
        <v>329</v>
      </c>
      <c r="M393" s="1" t="s">
        <v>104</v>
      </c>
      <c r="N393" s="1" t="s">
        <v>1275</v>
      </c>
      <c r="O393" s="1" t="s">
        <v>127</v>
      </c>
      <c r="P393" s="1" t="s">
        <v>237</v>
      </c>
      <c r="Q393" s="1" t="s">
        <v>3379</v>
      </c>
      <c r="R393" s="1" t="s">
        <v>989</v>
      </c>
      <c r="S393" s="1" t="s">
        <v>426</v>
      </c>
      <c r="T393" s="1" t="s">
        <v>1362</v>
      </c>
      <c r="U393" s="1" t="s">
        <v>6417</v>
      </c>
      <c r="V393" s="1" t="s">
        <v>6418</v>
      </c>
      <c r="W393" s="1" t="s">
        <v>217</v>
      </c>
      <c r="X393" s="1" t="s">
        <v>217</v>
      </c>
      <c r="Z393" s="1" t="s">
        <v>6419</v>
      </c>
      <c r="AA393" s="1" t="s">
        <v>6420</v>
      </c>
      <c r="AB393" s="1" t="s">
        <v>6421</v>
      </c>
      <c r="AC393" s="10">
        <v>1250000.0</v>
      </c>
      <c r="AD393" s="1" t="s">
        <v>6422</v>
      </c>
      <c r="AE393" s="1" t="s">
        <v>6423</v>
      </c>
      <c r="AF393" s="10">
        <v>7000000.0</v>
      </c>
      <c r="AH393" s="1">
        <v>1.330013367206E12</v>
      </c>
      <c r="AI393" s="1" t="s">
        <v>4483</v>
      </c>
      <c r="AJ393" s="1">
        <v>165.0</v>
      </c>
      <c r="AK393" s="1">
        <v>73.0</v>
      </c>
      <c r="AL393" s="1" t="s">
        <v>6424</v>
      </c>
      <c r="AM393" s="1" t="s">
        <v>6425</v>
      </c>
      <c r="AN393" s="7" t="s">
        <v>6426</v>
      </c>
      <c r="AO393" s="8" t="str">
        <f>HYPERLINK("https://docs.google.com/document/d/1RVgyh5zQyygKcBlypZ7s3YA8GbrqWJ8Ef7NX4r6wrT4/edit?usp=drivesdk","Al-Wildan 4 Lebak Bulus_Ashari Bagus Setiawan, S.Pd., M.Si._Biologi")</f>
        <v>Al-Wildan 4 Lebak Bulus_Ashari Bagus Setiawan, S.Pd., M.Si._Biologi</v>
      </c>
      <c r="AP393" s="1" t="s">
        <v>6427</v>
      </c>
    </row>
    <row r="394">
      <c r="A394" s="6">
        <v>44570.336239421296</v>
      </c>
      <c r="B394" s="7" t="s">
        <v>6428</v>
      </c>
      <c r="C394" s="8" t="s">
        <v>6429</v>
      </c>
      <c r="D394" s="1" t="s">
        <v>6430</v>
      </c>
      <c r="E394" s="1" t="s">
        <v>6431</v>
      </c>
      <c r="F394" s="1" t="s">
        <v>6432</v>
      </c>
      <c r="G394" s="1" t="s">
        <v>6433</v>
      </c>
      <c r="H394" s="1" t="s">
        <v>1411</v>
      </c>
      <c r="I394" s="9" t="s">
        <v>6434</v>
      </c>
      <c r="J394" s="1" t="s">
        <v>2651</v>
      </c>
      <c r="K394" s="1" t="s">
        <v>151</v>
      </c>
      <c r="L394" s="1" t="s">
        <v>103</v>
      </c>
      <c r="M394" s="1" t="s">
        <v>104</v>
      </c>
      <c r="N394" s="1" t="s">
        <v>1275</v>
      </c>
      <c r="O394" s="1" t="s">
        <v>236</v>
      </c>
      <c r="P394" s="1" t="s">
        <v>237</v>
      </c>
      <c r="Q394" s="1" t="s">
        <v>440</v>
      </c>
      <c r="R394" s="1" t="s">
        <v>1277</v>
      </c>
      <c r="S394" s="1" t="s">
        <v>755</v>
      </c>
      <c r="T394" s="1" t="s">
        <v>6435</v>
      </c>
      <c r="U394" s="1" t="s">
        <v>6436</v>
      </c>
      <c r="V394" s="1" t="s">
        <v>6437</v>
      </c>
      <c r="Z394" s="1" t="s">
        <v>6438</v>
      </c>
      <c r="AA394" s="10">
        <v>5225000.0</v>
      </c>
      <c r="AB394" s="1" t="s">
        <v>6439</v>
      </c>
      <c r="AC394" s="10">
        <v>2000000.0</v>
      </c>
      <c r="AD394" s="1" t="s">
        <v>6440</v>
      </c>
      <c r="AE394" s="10">
        <v>1500000.0</v>
      </c>
      <c r="AF394" s="10">
        <v>7500000.0</v>
      </c>
      <c r="AG394" s="1">
        <v>0.0</v>
      </c>
      <c r="AH394" s="1">
        <v>1.17001005171507E14</v>
      </c>
      <c r="AI394" s="1" t="s">
        <v>2407</v>
      </c>
      <c r="AJ394" s="1">
        <v>170.0</v>
      </c>
      <c r="AK394" s="1">
        <v>70.0</v>
      </c>
      <c r="AL394" s="1" t="s">
        <v>6441</v>
      </c>
      <c r="AM394" s="1" t="s">
        <v>6442</v>
      </c>
      <c r="AN394" s="7" t="s">
        <v>6443</v>
      </c>
      <c r="AO394" s="8" t="str">
        <f>HYPERLINK("https://docs.google.com/document/d/1P9ymPxMWbhEp6yFqyqsL7BzUY5m4XNl9NZwHANg2ly4/edit?usp=drivesdk","Al-Wildan 4 Lebak Bulus_Sri Supardi Wibowo, S.Pd., M.Si_Biologi")</f>
        <v>Al-Wildan 4 Lebak Bulus_Sri Supardi Wibowo, S.Pd., M.Si_Biologi</v>
      </c>
      <c r="AP394" s="1" t="s">
        <v>6444</v>
      </c>
    </row>
    <row r="395">
      <c r="A395" s="6">
        <v>44570.501176377315</v>
      </c>
      <c r="B395" s="7" t="s">
        <v>6445</v>
      </c>
      <c r="C395" s="8" t="s">
        <v>6446</v>
      </c>
      <c r="D395" s="1" t="s">
        <v>6447</v>
      </c>
      <c r="E395" s="9" t="s">
        <v>6448</v>
      </c>
      <c r="F395" s="1" t="s">
        <v>6449</v>
      </c>
      <c r="G395" s="1" t="s">
        <v>6450</v>
      </c>
      <c r="H395" s="1" t="s">
        <v>169</v>
      </c>
      <c r="I395" s="9" t="s">
        <v>6451</v>
      </c>
      <c r="J395" s="1" t="s">
        <v>4209</v>
      </c>
      <c r="K395" s="1" t="s">
        <v>151</v>
      </c>
      <c r="L395" s="1" t="s">
        <v>103</v>
      </c>
      <c r="M395" s="1" t="s">
        <v>104</v>
      </c>
      <c r="N395" s="1" t="s">
        <v>126</v>
      </c>
      <c r="O395" s="1" t="s">
        <v>312</v>
      </c>
      <c r="P395" s="1" t="s">
        <v>237</v>
      </c>
      <c r="Q395" s="1" t="s">
        <v>6452</v>
      </c>
      <c r="R395" s="1" t="s">
        <v>126</v>
      </c>
      <c r="S395" s="1" t="s">
        <v>4479</v>
      </c>
      <c r="Z395" s="1" t="s">
        <v>6453</v>
      </c>
      <c r="AA395" s="10">
        <v>120000.0</v>
      </c>
      <c r="AF395" s="10">
        <v>6000000.0</v>
      </c>
      <c r="AH395" s="9" t="s">
        <v>6454</v>
      </c>
      <c r="AI395" s="1" t="s">
        <v>2407</v>
      </c>
      <c r="AJ395" s="1">
        <v>167.0</v>
      </c>
      <c r="AK395" s="1">
        <v>55.0</v>
      </c>
      <c r="AL395" s="1" t="s">
        <v>6455</v>
      </c>
      <c r="AM395" s="1" t="s">
        <v>6456</v>
      </c>
      <c r="AN395" s="7" t="s">
        <v>6457</v>
      </c>
      <c r="AO395" s="8" t="str">
        <f>HYPERLINK("https://docs.google.com/document/d/1yWUhVh50n1q3c_MCzN4GpNk4SL9t-y2rhEmNI79C3xk/edit?usp=drivesdk","Al-Wildan 4 Lebak Bulus_Siti Hafshah Nurul Arafah, S.Mat._Matematika")</f>
        <v>Al-Wildan 4 Lebak Bulus_Siti Hafshah Nurul Arafah, S.Mat._Matematika</v>
      </c>
      <c r="AP395" s="1" t="s">
        <v>6458</v>
      </c>
    </row>
    <row r="396">
      <c r="A396" s="6">
        <v>44570.821624432865</v>
      </c>
      <c r="B396" s="7" t="s">
        <v>6459</v>
      </c>
      <c r="C396" s="8" t="s">
        <v>6460</v>
      </c>
      <c r="D396" s="1" t="s">
        <v>6461</v>
      </c>
      <c r="E396" s="9" t="s">
        <v>6462</v>
      </c>
      <c r="F396" s="1" t="s">
        <v>6463</v>
      </c>
      <c r="G396" s="1" t="s">
        <v>6464</v>
      </c>
      <c r="H396" s="1" t="s">
        <v>4139</v>
      </c>
      <c r="I396" s="9" t="s">
        <v>6465</v>
      </c>
      <c r="J396" s="1" t="s">
        <v>150</v>
      </c>
      <c r="K396" s="1" t="s">
        <v>151</v>
      </c>
      <c r="L396" s="1" t="s">
        <v>496</v>
      </c>
      <c r="M396" s="1" t="s">
        <v>104</v>
      </c>
      <c r="N396" s="1" t="s">
        <v>6466</v>
      </c>
      <c r="O396" s="1" t="s">
        <v>127</v>
      </c>
      <c r="P396" s="1" t="s">
        <v>107</v>
      </c>
      <c r="Q396" s="1" t="s">
        <v>6467</v>
      </c>
      <c r="R396" s="1" t="s">
        <v>410</v>
      </c>
      <c r="S396" s="1" t="s">
        <v>1624</v>
      </c>
      <c r="T396" s="1" t="s">
        <v>6468</v>
      </c>
      <c r="U396" s="1" t="s">
        <v>6469</v>
      </c>
      <c r="V396" s="1" t="s">
        <v>363</v>
      </c>
      <c r="Z396" s="1" t="s">
        <v>6470</v>
      </c>
      <c r="AA396" s="10">
        <v>4000000.0</v>
      </c>
      <c r="AF396" s="10">
        <v>8000000.0</v>
      </c>
      <c r="AH396" s="9" t="s">
        <v>6471</v>
      </c>
      <c r="AI396" s="1" t="s">
        <v>222</v>
      </c>
      <c r="AJ396" s="1">
        <v>172.0</v>
      </c>
      <c r="AK396" s="1">
        <v>90.0</v>
      </c>
      <c r="AL396" s="1" t="s">
        <v>6472</v>
      </c>
      <c r="AM396" s="1" t="s">
        <v>6473</v>
      </c>
      <c r="AN396" s="7" t="s">
        <v>6474</v>
      </c>
      <c r="AO396" s="8" t="str">
        <f>HYPERLINK("https://docs.google.com/document/d/1-Kt-KGjhg9gIhTThrg7YWQeDOqDhKG1pIoi69rbzUi0/edit?usp=drivesdk","Al-Wildan 1 Gading Serpong_Dewi Susanti_Science, Physics, Mathematics")</f>
        <v>Al-Wildan 1 Gading Serpong_Dewi Susanti_Science, Physics, Mathematics</v>
      </c>
      <c r="AP396" s="1" t="s">
        <v>6475</v>
      </c>
    </row>
    <row r="397">
      <c r="A397" s="6">
        <v>44576.83535725695</v>
      </c>
      <c r="B397" s="7" t="s">
        <v>6476</v>
      </c>
      <c r="C397" s="8" t="s">
        <v>6477</v>
      </c>
      <c r="D397" s="1" t="s">
        <v>6478</v>
      </c>
      <c r="E397" s="9" t="s">
        <v>6479</v>
      </c>
      <c r="F397" s="1" t="s">
        <v>6480</v>
      </c>
      <c r="G397" s="1" t="s">
        <v>6481</v>
      </c>
      <c r="H397" s="1" t="s">
        <v>6482</v>
      </c>
      <c r="I397" s="9" t="s">
        <v>6483</v>
      </c>
      <c r="J397" s="1" t="s">
        <v>6484</v>
      </c>
      <c r="K397" s="1" t="s">
        <v>102</v>
      </c>
      <c r="L397" s="1" t="s">
        <v>103</v>
      </c>
      <c r="M397" s="1" t="s">
        <v>104</v>
      </c>
      <c r="N397" s="1" t="s">
        <v>6485</v>
      </c>
      <c r="O397" s="1" t="s">
        <v>127</v>
      </c>
      <c r="P397" s="1" t="s">
        <v>5712</v>
      </c>
      <c r="Q397" s="1" t="s">
        <v>668</v>
      </c>
      <c r="R397" s="1" t="s">
        <v>6486</v>
      </c>
      <c r="S397" s="9" t="s">
        <v>3642</v>
      </c>
      <c r="Z397" s="1" t="s">
        <v>6487</v>
      </c>
      <c r="AA397" s="1" t="s">
        <v>6488</v>
      </c>
      <c r="AB397" s="1" t="s">
        <v>6489</v>
      </c>
      <c r="AC397" s="1" t="s">
        <v>6490</v>
      </c>
      <c r="AF397" s="10">
        <v>1.5E7</v>
      </c>
      <c r="AG397" s="1">
        <v>7.110020621E9</v>
      </c>
      <c r="AI397" s="1" t="s">
        <v>6491</v>
      </c>
      <c r="AJ397" s="1">
        <v>175.0</v>
      </c>
      <c r="AK397" s="1">
        <v>68.0</v>
      </c>
      <c r="AL397" s="1" t="s">
        <v>6492</v>
      </c>
      <c r="AM397" s="1" t="s">
        <v>6493</v>
      </c>
      <c r="AN397" s="7" t="s">
        <v>6494</v>
      </c>
      <c r="AO397" s="8" t="str">
        <f>HYPERLINK("https://docs.google.com/document/d/1fFEc8mNp2sTIgcgAydJ3-SB_CAX3R89ygebh2YvSIOk/edit?usp=drivesdk","Al-Wildan 3 BSD City_Imam Saefurrohman, B.A_PAI Inggris dan Indonesia")</f>
        <v>Al-Wildan 3 BSD City_Imam Saefurrohman, B.A_PAI Inggris dan Indonesia</v>
      </c>
      <c r="AP397" s="1" t="s">
        <v>6495</v>
      </c>
    </row>
    <row r="398">
      <c r="A398" s="6">
        <v>44583.894403865736</v>
      </c>
      <c r="B398" s="7" t="s">
        <v>6496</v>
      </c>
      <c r="C398" s="8" t="s">
        <v>6497</v>
      </c>
      <c r="D398" s="1" t="s">
        <v>6498</v>
      </c>
      <c r="E398" s="9" t="s">
        <v>6499</v>
      </c>
      <c r="F398" s="1" t="s">
        <v>6500</v>
      </c>
      <c r="G398" s="1" t="s">
        <v>6501</v>
      </c>
      <c r="H398" s="1" t="s">
        <v>6502</v>
      </c>
      <c r="I398" s="1" t="s">
        <v>6503</v>
      </c>
      <c r="J398" s="1" t="s">
        <v>6504</v>
      </c>
      <c r="K398" s="1" t="s">
        <v>151</v>
      </c>
      <c r="L398" s="1" t="s">
        <v>329</v>
      </c>
      <c r="M398" s="1" t="s">
        <v>104</v>
      </c>
      <c r="N398" s="1" t="s">
        <v>6505</v>
      </c>
      <c r="O398" s="1" t="s">
        <v>312</v>
      </c>
      <c r="P398" s="1" t="s">
        <v>107</v>
      </c>
      <c r="Q398" s="1" t="s">
        <v>5126</v>
      </c>
      <c r="R398" s="1" t="s">
        <v>6506</v>
      </c>
      <c r="S398" s="1">
        <v>3.76</v>
      </c>
      <c r="Z398" s="1" t="s">
        <v>6507</v>
      </c>
      <c r="AA398" s="10">
        <v>2.25E7</v>
      </c>
      <c r="AB398" s="1" t="s">
        <v>6508</v>
      </c>
      <c r="AC398" s="10">
        <v>550000.0</v>
      </c>
      <c r="AF398" s="10">
        <v>4000000.0</v>
      </c>
      <c r="AG398" s="1">
        <v>7.176778808E9</v>
      </c>
      <c r="AJ398" s="1">
        <v>157.0</v>
      </c>
      <c r="AK398" s="1">
        <v>70.0</v>
      </c>
      <c r="AL398" s="1" t="s">
        <v>6509</v>
      </c>
      <c r="AM398" s="1" t="s">
        <v>6510</v>
      </c>
      <c r="AN398" s="7" t="s">
        <v>6511</v>
      </c>
      <c r="AO398" s="8" t="str">
        <f>HYPERLINK("https://docs.google.com/document/d/1yyNWa_JtDAA3kmOj2B04kUItELqNftTz5TL4hmGANYg/edit?usp=drivesdk","Al-Wildan 1 Gading Serpong_Sima_Al -Qur'an, Arabic dan PAI")</f>
        <v>Al-Wildan 1 Gading Serpong_Sima_Al -Qur'an, Arabic dan PAI</v>
      </c>
      <c r="AP398" s="1" t="s">
        <v>6512</v>
      </c>
    </row>
    <row r="399">
      <c r="A399" s="6">
        <v>44586.75031960648</v>
      </c>
      <c r="B399" s="7" t="s">
        <v>6513</v>
      </c>
      <c r="C399" s="8" t="s">
        <v>6514</v>
      </c>
      <c r="D399" s="1" t="s">
        <v>6515</v>
      </c>
      <c r="E399" s="9" t="s">
        <v>6516</v>
      </c>
      <c r="F399" s="1" t="s">
        <v>6517</v>
      </c>
      <c r="G399" s="1" t="s">
        <v>169</v>
      </c>
      <c r="H399" s="1" t="s">
        <v>722</v>
      </c>
      <c r="I399" s="9" t="s">
        <v>6518</v>
      </c>
      <c r="J399" s="1">
        <v>36.0</v>
      </c>
      <c r="K399" s="1" t="s">
        <v>102</v>
      </c>
      <c r="L399" s="1" t="s">
        <v>256</v>
      </c>
      <c r="M399" s="1" t="s">
        <v>104</v>
      </c>
      <c r="N399" s="1" t="s">
        <v>126</v>
      </c>
      <c r="O399" s="1" t="s">
        <v>236</v>
      </c>
      <c r="P399" s="1" t="s">
        <v>5712</v>
      </c>
      <c r="Q399" s="1" t="s">
        <v>6519</v>
      </c>
      <c r="R399" s="1" t="s">
        <v>378</v>
      </c>
      <c r="S399" s="1" t="s">
        <v>1612</v>
      </c>
      <c r="Z399" s="1" t="s">
        <v>6520</v>
      </c>
      <c r="AA399" s="1">
        <v>2.5E7</v>
      </c>
      <c r="AF399" s="1">
        <v>2.0E7</v>
      </c>
      <c r="AH399" s="1">
        <v>7.630292641E9</v>
      </c>
      <c r="AI399" s="1" t="s">
        <v>222</v>
      </c>
      <c r="AJ399" s="1">
        <v>175.0</v>
      </c>
      <c r="AK399" s="1">
        <v>65.0</v>
      </c>
      <c r="AL399" s="1" t="s">
        <v>6521</v>
      </c>
      <c r="AM399" s="1" t="s">
        <v>6522</v>
      </c>
      <c r="AN399" s="7" t="s">
        <v>6523</v>
      </c>
      <c r="AO399" s="8" t="str">
        <f>HYPERLINK("https://docs.google.com/document/d/1mQwldbX0RZxMriA3pSI7WoTWaxEqG5kJqBdjnS0Qw3s/edit?usp=drivesdk","Al-Wildan 3 BSD City_Wahyu Hidayat_Matematika")</f>
        <v>Al-Wildan 3 BSD City_Wahyu Hidayat_Matematika</v>
      </c>
      <c r="AP399" s="1" t="s">
        <v>6524</v>
      </c>
    </row>
    <row r="400">
      <c r="A400" s="6">
        <v>44606.66483796296</v>
      </c>
      <c r="B400" s="7" t="s">
        <v>6525</v>
      </c>
      <c r="C400" s="8" t="s">
        <v>6526</v>
      </c>
      <c r="D400" s="1" t="s">
        <v>6527</v>
      </c>
      <c r="E400" s="9" t="s">
        <v>6528</v>
      </c>
      <c r="F400" s="1" t="s">
        <v>6529</v>
      </c>
      <c r="G400" s="1" t="s">
        <v>6530</v>
      </c>
      <c r="H400" s="1" t="s">
        <v>169</v>
      </c>
      <c r="I400" s="9" t="s">
        <v>6531</v>
      </c>
      <c r="J400" s="1" t="s">
        <v>6532</v>
      </c>
      <c r="K400" s="1" t="s">
        <v>102</v>
      </c>
      <c r="L400" s="1" t="s">
        <v>256</v>
      </c>
      <c r="M400" s="1" t="s">
        <v>6186</v>
      </c>
      <c r="O400" s="1" t="s">
        <v>6151</v>
      </c>
      <c r="P400" s="1" t="s">
        <v>6533</v>
      </c>
      <c r="Q400" s="1" t="s">
        <v>1036</v>
      </c>
      <c r="R400" s="1" t="s">
        <v>3146</v>
      </c>
      <c r="S400" s="1">
        <v>3.51</v>
      </c>
      <c r="Z400" s="1" t="s">
        <v>6534</v>
      </c>
      <c r="AA400" s="1">
        <v>6000000.0</v>
      </c>
      <c r="AB400" s="1" t="s">
        <v>6535</v>
      </c>
      <c r="AC400" s="1">
        <v>8500000.0</v>
      </c>
      <c r="AD400" s="1" t="s">
        <v>6536</v>
      </c>
      <c r="AE400" s="1">
        <v>6000000.0</v>
      </c>
      <c r="AF400" s="1">
        <v>7000000.0</v>
      </c>
      <c r="AG400" s="1">
        <v>8.29971266E9</v>
      </c>
      <c r="AJ400" s="1">
        <v>178.0</v>
      </c>
      <c r="AK400" s="1">
        <v>85.0</v>
      </c>
      <c r="AL400" s="1" t="s">
        <v>6537</v>
      </c>
      <c r="AM400" s="1" t="s">
        <v>6538</v>
      </c>
      <c r="AN400" s="7" t="s">
        <v>6539</v>
      </c>
      <c r="AO400" s="8" t="str">
        <f>HYPERLINK("https://docs.google.com/document/d/1mitNbxmVbLHpg10FGZ_WzmGqpjLauE2yBoxucgmBRzI/edit?usp=drivesdk","Al-Wildan 5 Benhil_MUHAMMAD FURQON_")</f>
        <v>Al-Wildan 5 Benhil_MUHAMMAD FURQON_</v>
      </c>
      <c r="AP400" s="1" t="s">
        <v>6540</v>
      </c>
    </row>
    <row r="401">
      <c r="A401" s="6">
        <v>44623.43199340277</v>
      </c>
      <c r="B401" s="7" t="s">
        <v>6541</v>
      </c>
      <c r="C401" s="8" t="s">
        <v>6542</v>
      </c>
      <c r="D401" s="1" t="s">
        <v>6543</v>
      </c>
      <c r="E401" s="9" t="s">
        <v>6544</v>
      </c>
      <c r="F401" s="1" t="s">
        <v>6545</v>
      </c>
      <c r="G401" s="1" t="s">
        <v>6546</v>
      </c>
      <c r="H401" s="1" t="s">
        <v>722</v>
      </c>
      <c r="I401" s="9" t="s">
        <v>6547</v>
      </c>
      <c r="J401" s="1" t="s">
        <v>6548</v>
      </c>
      <c r="K401" s="1" t="s">
        <v>151</v>
      </c>
      <c r="L401" s="1" t="s">
        <v>256</v>
      </c>
      <c r="M401" s="1" t="s">
        <v>104</v>
      </c>
      <c r="N401" s="1" t="s">
        <v>152</v>
      </c>
      <c r="O401" s="1" t="s">
        <v>1202</v>
      </c>
      <c r="P401" s="1" t="s">
        <v>107</v>
      </c>
      <c r="Q401" s="1" t="s">
        <v>3090</v>
      </c>
      <c r="R401" s="1" t="s">
        <v>5612</v>
      </c>
      <c r="S401" s="1" t="s">
        <v>3589</v>
      </c>
      <c r="T401" s="1" t="s">
        <v>217</v>
      </c>
      <c r="U401" s="1" t="s">
        <v>217</v>
      </c>
      <c r="V401" s="1" t="s">
        <v>217</v>
      </c>
      <c r="W401" s="1" t="s">
        <v>217</v>
      </c>
      <c r="X401" s="1" t="s">
        <v>217</v>
      </c>
      <c r="Z401" s="1" t="s">
        <v>6549</v>
      </c>
      <c r="AA401" s="10">
        <v>2600000.0</v>
      </c>
      <c r="AF401" s="10">
        <v>3000000.0</v>
      </c>
      <c r="AH401" s="1">
        <v>8.015376178E9</v>
      </c>
      <c r="AI401" s="1" t="s">
        <v>4705</v>
      </c>
      <c r="AJ401" s="1">
        <v>164.0</v>
      </c>
      <c r="AK401" s="1">
        <v>74.0</v>
      </c>
      <c r="AL401" s="1" t="s">
        <v>6550</v>
      </c>
      <c r="AM401" s="1" t="s">
        <v>6551</v>
      </c>
      <c r="AN401" s="7" t="s">
        <v>6552</v>
      </c>
      <c r="AO401" s="8" t="str">
        <f>HYPERLINK("https://docs.google.com/document/d/1Ps0tgcg5RNqd5iFjVG1wzWIOLXqgL7p2dK5JtAU76JI/edit?usp=drivesdk","Al-Wildan 1 Gading Serpong_Aisha Pitaloka Putri_Bahasa Inggris")</f>
        <v>Al-Wildan 1 Gading Serpong_Aisha Pitaloka Putri_Bahasa Inggris</v>
      </c>
      <c r="AP401" s="1" t="s">
        <v>6553</v>
      </c>
    </row>
    <row r="402">
      <c r="A402" s="6">
        <v>44665.548516111114</v>
      </c>
      <c r="B402" s="7" t="s">
        <v>6554</v>
      </c>
      <c r="C402" s="8" t="s">
        <v>6555</v>
      </c>
      <c r="D402" s="1" t="s">
        <v>6556</v>
      </c>
      <c r="E402" s="9" t="s">
        <v>6557</v>
      </c>
      <c r="F402" s="1" t="s">
        <v>6558</v>
      </c>
      <c r="G402" s="1" t="s">
        <v>6559</v>
      </c>
      <c r="H402" s="1" t="s">
        <v>722</v>
      </c>
      <c r="I402" s="9" t="s">
        <v>6560</v>
      </c>
      <c r="J402" s="1" t="s">
        <v>724</v>
      </c>
      <c r="K402" s="1" t="s">
        <v>151</v>
      </c>
      <c r="L402" s="1" t="s">
        <v>329</v>
      </c>
      <c r="M402" s="1" t="s">
        <v>104</v>
      </c>
      <c r="N402" s="1" t="s">
        <v>3018</v>
      </c>
      <c r="O402" s="1" t="s">
        <v>236</v>
      </c>
      <c r="P402" s="1" t="s">
        <v>107</v>
      </c>
      <c r="Q402" s="1" t="s">
        <v>153</v>
      </c>
      <c r="R402" s="1" t="s">
        <v>536</v>
      </c>
      <c r="S402" s="1" t="s">
        <v>537</v>
      </c>
      <c r="Z402" s="1" t="s">
        <v>6561</v>
      </c>
      <c r="AA402" s="1" t="s">
        <v>6562</v>
      </c>
      <c r="AB402" s="1" t="s">
        <v>6563</v>
      </c>
      <c r="AC402" s="1" t="s">
        <v>6564</v>
      </c>
      <c r="AF402" s="1" t="s">
        <v>6565</v>
      </c>
      <c r="AG402" s="1">
        <v>8.24366083E9</v>
      </c>
      <c r="AH402" s="1">
        <v>1.239977567E9</v>
      </c>
      <c r="AI402" s="1" t="s">
        <v>445</v>
      </c>
      <c r="AJ402" s="1">
        <v>168.0</v>
      </c>
      <c r="AK402" s="1">
        <v>68.0</v>
      </c>
      <c r="AL402" s="1" t="s">
        <v>6566</v>
      </c>
      <c r="AM402" s="1" t="s">
        <v>6567</v>
      </c>
      <c r="AN402" s="7" t="s">
        <v>6568</v>
      </c>
      <c r="AO402" s="8" t="str">
        <f>HYPERLINK("https://docs.google.com/document/d/12qMb3vxeNMC3xI7H5nEAjXGaWPvwvp3TnbVoQAj2pa0/edit?usp=drivesdk","Al-Wildan 1 Gading Serpong_Hanin Nitiani, S.Pd_Geografi")</f>
        <v>Al-Wildan 1 Gading Serpong_Hanin Nitiani, S.Pd_Geografi</v>
      </c>
      <c r="AP402" s="1" t="s">
        <v>6569</v>
      </c>
    </row>
    <row r="403">
      <c r="A403" s="6">
        <v>44671.49142835649</v>
      </c>
      <c r="B403" s="7" t="s">
        <v>6570</v>
      </c>
      <c r="C403" s="8" t="s">
        <v>6571</v>
      </c>
      <c r="D403" s="1" t="s">
        <v>6572</v>
      </c>
      <c r="E403" s="9" t="s">
        <v>6573</v>
      </c>
      <c r="F403" s="1" t="s">
        <v>6574</v>
      </c>
      <c r="G403" s="1" t="s">
        <v>6575</v>
      </c>
      <c r="H403" s="1" t="s">
        <v>169</v>
      </c>
      <c r="I403" s="9" t="s">
        <v>6576</v>
      </c>
      <c r="J403" s="1" t="s">
        <v>2111</v>
      </c>
      <c r="K403" s="1" t="s">
        <v>102</v>
      </c>
      <c r="L403" s="1" t="s">
        <v>103</v>
      </c>
      <c r="M403" s="1" t="s">
        <v>104</v>
      </c>
      <c r="N403" s="1" t="s">
        <v>6385</v>
      </c>
      <c r="O403" s="1" t="s">
        <v>236</v>
      </c>
      <c r="P403" s="1" t="s">
        <v>5712</v>
      </c>
      <c r="Q403" s="1" t="s">
        <v>108</v>
      </c>
      <c r="R403" s="1" t="s">
        <v>459</v>
      </c>
      <c r="S403" s="1" t="s">
        <v>908</v>
      </c>
      <c r="Z403" s="1" t="s">
        <v>6577</v>
      </c>
      <c r="AA403" s="10">
        <v>3850000.0</v>
      </c>
      <c r="AB403" s="1" t="s">
        <v>6578</v>
      </c>
      <c r="AC403" s="10">
        <v>5044447.0</v>
      </c>
      <c r="AF403" s="10">
        <v>7000000.0</v>
      </c>
      <c r="AG403" s="1">
        <v>1.035845921E9</v>
      </c>
      <c r="AJ403" s="1">
        <v>174.0</v>
      </c>
      <c r="AK403" s="1">
        <v>68.0</v>
      </c>
      <c r="AL403" s="1" t="s">
        <v>6579</v>
      </c>
      <c r="AM403" s="1" t="s">
        <v>6580</v>
      </c>
      <c r="AN403" s="7" t="s">
        <v>6581</v>
      </c>
      <c r="AO403" s="8" t="str">
        <f>HYPERLINK("https://docs.google.com/document/d/1sqGRZwFGYOWYwjymxCrrE1-OESd4LIT-CDsNEXD3KWs/edit?usp=drivesdk","Al-Wildan 3 BSD City_Kiki Amirullah, S.Pd_Economics")</f>
        <v>Al-Wildan 3 BSD City_Kiki Amirullah, S.Pd_Economics</v>
      </c>
      <c r="AP403" s="1" t="s">
        <v>6582</v>
      </c>
    </row>
    <row r="404">
      <c r="A404" s="6">
        <v>44671.4964152662</v>
      </c>
      <c r="B404" s="7" t="s">
        <v>6583</v>
      </c>
      <c r="C404" s="8" t="s">
        <v>6584</v>
      </c>
      <c r="D404" s="1" t="s">
        <v>6585</v>
      </c>
      <c r="E404" s="9" t="s">
        <v>6586</v>
      </c>
      <c r="F404" s="1" t="s">
        <v>6587</v>
      </c>
      <c r="G404" s="1" t="s">
        <v>6588</v>
      </c>
      <c r="H404" s="1" t="s">
        <v>1464</v>
      </c>
      <c r="I404" s="9" t="s">
        <v>6589</v>
      </c>
      <c r="J404" s="1" t="s">
        <v>290</v>
      </c>
      <c r="K404" s="1" t="s">
        <v>151</v>
      </c>
      <c r="L404" s="1" t="s">
        <v>256</v>
      </c>
      <c r="M404" s="1" t="s">
        <v>104</v>
      </c>
      <c r="N404" s="1" t="s">
        <v>152</v>
      </c>
      <c r="O404" s="1" t="s">
        <v>127</v>
      </c>
      <c r="P404" s="1" t="s">
        <v>5712</v>
      </c>
      <c r="Q404" s="1" t="s">
        <v>6590</v>
      </c>
      <c r="R404" s="1" t="s">
        <v>172</v>
      </c>
      <c r="S404" s="1" t="s">
        <v>1668</v>
      </c>
      <c r="T404" s="1" t="s">
        <v>6590</v>
      </c>
      <c r="U404" s="1" t="s">
        <v>172</v>
      </c>
      <c r="V404" s="1" t="s">
        <v>3093</v>
      </c>
      <c r="Z404" s="1" t="s">
        <v>6591</v>
      </c>
      <c r="AA404" s="10">
        <v>2500000.0</v>
      </c>
      <c r="AB404" s="1" t="s">
        <v>6592</v>
      </c>
      <c r="AC404" s="10">
        <v>2350000.0</v>
      </c>
      <c r="AF404" s="1" t="s">
        <v>891</v>
      </c>
      <c r="AH404" s="9" t="s">
        <v>6593</v>
      </c>
      <c r="AI404" s="1" t="s">
        <v>6594</v>
      </c>
      <c r="AJ404" s="1">
        <v>156.0</v>
      </c>
      <c r="AK404" s="1">
        <v>48.0</v>
      </c>
      <c r="AL404" s="1" t="s">
        <v>6595</v>
      </c>
      <c r="AM404" s="1" t="s">
        <v>6596</v>
      </c>
      <c r="AN404" s="7" t="s">
        <v>6597</v>
      </c>
      <c r="AO404" s="8" t="str">
        <f>HYPERLINK("https://docs.google.com/document/d/1YYdQ9QACxAAGMmy_DSykXC9ElbBdAwRiQUGBRTDWjKc/edit?usp=drivesdk","Al-Wildan 3 BSD City_Astri Padmajati, M.Pd._Bahasa Inggris")</f>
        <v>Al-Wildan 3 BSD City_Astri Padmajati, M.Pd._Bahasa Inggris</v>
      </c>
      <c r="AP404" s="1" t="s">
        <v>6598</v>
      </c>
    </row>
    <row r="405">
      <c r="A405" s="6">
        <v>44671.50004358796</v>
      </c>
      <c r="B405" s="7" t="s">
        <v>6599</v>
      </c>
      <c r="C405" s="8" t="s">
        <v>6600</v>
      </c>
      <c r="D405" s="1" t="s">
        <v>6601</v>
      </c>
      <c r="E405" s="9" t="s">
        <v>6602</v>
      </c>
      <c r="F405" s="1" t="s">
        <v>6603</v>
      </c>
      <c r="G405" s="1" t="s">
        <v>6604</v>
      </c>
      <c r="H405" s="1" t="s">
        <v>99</v>
      </c>
      <c r="I405" s="9" t="s">
        <v>6605</v>
      </c>
      <c r="J405" s="1" t="s">
        <v>6606</v>
      </c>
      <c r="K405" s="1" t="s">
        <v>151</v>
      </c>
      <c r="L405" s="1" t="s">
        <v>103</v>
      </c>
      <c r="M405" s="1" t="s">
        <v>104</v>
      </c>
      <c r="N405" s="1" t="s">
        <v>3018</v>
      </c>
      <c r="O405" s="1" t="s">
        <v>236</v>
      </c>
      <c r="P405" s="1" t="s">
        <v>5712</v>
      </c>
      <c r="Q405" s="1" t="s">
        <v>3409</v>
      </c>
      <c r="R405" s="1" t="s">
        <v>6607</v>
      </c>
      <c r="S405" s="1" t="s">
        <v>2032</v>
      </c>
      <c r="T405" s="1" t="s">
        <v>217</v>
      </c>
      <c r="U405" s="1" t="s">
        <v>217</v>
      </c>
      <c r="V405" s="1" t="s">
        <v>217</v>
      </c>
      <c r="W405" s="1" t="s">
        <v>217</v>
      </c>
      <c r="X405" s="1" t="s">
        <v>217</v>
      </c>
      <c r="Z405" s="1" t="s">
        <v>6608</v>
      </c>
      <c r="AA405" s="10">
        <v>2500000.0</v>
      </c>
      <c r="AB405" s="1" t="s">
        <v>6609</v>
      </c>
      <c r="AC405" s="10">
        <v>500000.0</v>
      </c>
      <c r="AD405" s="1" t="s">
        <v>6610</v>
      </c>
      <c r="AE405" s="10">
        <v>4050000.0</v>
      </c>
      <c r="AF405" s="10">
        <v>4500000.0</v>
      </c>
      <c r="AG405" s="1">
        <v>7.194066796E9</v>
      </c>
      <c r="AI405" s="1" t="s">
        <v>5113</v>
      </c>
      <c r="AJ405" s="1">
        <v>165.0</v>
      </c>
      <c r="AK405" s="1">
        <v>60.0</v>
      </c>
      <c r="AL405" s="1" t="s">
        <v>6611</v>
      </c>
      <c r="AM405" s="1" t="s">
        <v>6612</v>
      </c>
      <c r="AN405" s="7" t="s">
        <v>6613</v>
      </c>
      <c r="AO405" s="8" t="str">
        <f>HYPERLINK("https://docs.google.com/document/d/10YhX0Nz0D55gaKnai7-Zg_zggX3IpkqbQCs9tjTZCyg/edit?usp=drivesdk","Al-Wildan 3 BSD City_Fairuz Fathiya Khansa, S.Pd_Geografi")</f>
        <v>Al-Wildan 3 BSD City_Fairuz Fathiya Khansa, S.Pd_Geografi</v>
      </c>
      <c r="AP405" s="1" t="s">
        <v>6614</v>
      </c>
    </row>
    <row r="406">
      <c r="A406" s="6">
        <v>44671.500741909724</v>
      </c>
      <c r="B406" s="7" t="s">
        <v>6615</v>
      </c>
      <c r="C406" s="8" t="s">
        <v>6616</v>
      </c>
      <c r="D406" s="1" t="s">
        <v>6617</v>
      </c>
      <c r="E406" s="9" t="s">
        <v>6618</v>
      </c>
      <c r="F406" s="1" t="s">
        <v>6619</v>
      </c>
      <c r="G406" s="1" t="s">
        <v>6620</v>
      </c>
      <c r="H406" s="1" t="s">
        <v>6621</v>
      </c>
      <c r="I406" s="9" t="s">
        <v>6622</v>
      </c>
      <c r="J406" s="1" t="s">
        <v>6623</v>
      </c>
      <c r="K406" s="1" t="s">
        <v>151</v>
      </c>
      <c r="L406" s="1" t="s">
        <v>827</v>
      </c>
      <c r="M406" s="1" t="s">
        <v>104</v>
      </c>
      <c r="N406" s="1" t="s">
        <v>6624</v>
      </c>
      <c r="O406" s="1" t="s">
        <v>127</v>
      </c>
      <c r="P406" s="1" t="s">
        <v>237</v>
      </c>
      <c r="Q406" s="1" t="s">
        <v>2927</v>
      </c>
      <c r="R406" s="1" t="s">
        <v>6625</v>
      </c>
      <c r="S406" s="1" t="s">
        <v>1612</v>
      </c>
      <c r="Z406" s="1" t="s">
        <v>6626</v>
      </c>
      <c r="AA406" s="10">
        <v>3500000.0</v>
      </c>
      <c r="AB406" s="1" t="s">
        <v>6627</v>
      </c>
      <c r="AC406" s="10">
        <v>1300000.0</v>
      </c>
      <c r="AD406" s="1" t="s">
        <v>6628</v>
      </c>
      <c r="AE406" s="10">
        <v>3000000.0</v>
      </c>
      <c r="AF406" s="1" t="s">
        <v>6629</v>
      </c>
      <c r="AG406" s="1">
        <v>8.47926798E9</v>
      </c>
      <c r="AI406" s="1" t="s">
        <v>4856</v>
      </c>
      <c r="AJ406" s="1">
        <v>160.0</v>
      </c>
      <c r="AK406" s="1">
        <v>56.0</v>
      </c>
      <c r="AL406" s="1" t="s">
        <v>6630</v>
      </c>
      <c r="AM406" s="1" t="s">
        <v>6631</v>
      </c>
      <c r="AN406" s="7" t="s">
        <v>6632</v>
      </c>
      <c r="AO406" s="8" t="str">
        <f>HYPERLINK("https://docs.google.com/document/d/1uvPICcPm0shN5h-zGv2TuCZBMM4xFDARJTLAusa_p6Y/edit?usp=drivesdk","Al-Wildan 4 Lebak Bulus_Fauzia Ayu Ramadhanti, S.T. _Math Cambridge")</f>
        <v>Al-Wildan 4 Lebak Bulus_Fauzia Ayu Ramadhanti, S.T. _Math Cambridge</v>
      </c>
      <c r="AP406" s="1" t="s">
        <v>6633</v>
      </c>
    </row>
    <row r="407">
      <c r="A407" s="6">
        <v>44671.503753136574</v>
      </c>
      <c r="B407" s="7" t="s">
        <v>6634</v>
      </c>
      <c r="C407" s="8" t="s">
        <v>6635</v>
      </c>
      <c r="D407" s="1" t="s">
        <v>6636</v>
      </c>
      <c r="E407" s="9" t="s">
        <v>6637</v>
      </c>
      <c r="F407" s="1" t="s">
        <v>6638</v>
      </c>
      <c r="G407" s="1" t="s">
        <v>6639</v>
      </c>
      <c r="H407" s="1" t="s">
        <v>6640</v>
      </c>
      <c r="I407" s="9" t="s">
        <v>6641</v>
      </c>
      <c r="J407" s="1" t="s">
        <v>6642</v>
      </c>
      <c r="K407" s="1" t="s">
        <v>102</v>
      </c>
      <c r="L407" s="1" t="s">
        <v>103</v>
      </c>
      <c r="M407" s="1" t="s">
        <v>104</v>
      </c>
      <c r="N407" s="1" t="s">
        <v>105</v>
      </c>
      <c r="O407" s="1" t="s">
        <v>236</v>
      </c>
      <c r="P407" s="1" t="s">
        <v>5712</v>
      </c>
      <c r="Q407" s="1" t="s">
        <v>6643</v>
      </c>
      <c r="R407" s="1" t="s">
        <v>109</v>
      </c>
      <c r="S407" s="1" t="s">
        <v>411</v>
      </c>
      <c r="T407" s="1" t="s">
        <v>217</v>
      </c>
      <c r="U407" s="1" t="s">
        <v>217</v>
      </c>
      <c r="V407" s="1" t="s">
        <v>217</v>
      </c>
      <c r="W407" s="1" t="s">
        <v>217</v>
      </c>
      <c r="X407" s="1" t="s">
        <v>217</v>
      </c>
      <c r="Z407" s="1" t="s">
        <v>6644</v>
      </c>
      <c r="AA407" s="10">
        <v>2950000.0</v>
      </c>
      <c r="AB407" s="1" t="s">
        <v>6645</v>
      </c>
      <c r="AC407" s="10">
        <v>4950000.0</v>
      </c>
      <c r="AD407" s="1" t="s">
        <v>217</v>
      </c>
      <c r="AE407" s="1" t="s">
        <v>217</v>
      </c>
      <c r="AF407" s="10">
        <v>8500000.0</v>
      </c>
      <c r="AG407" s="1">
        <v>1.043146463E9</v>
      </c>
      <c r="AJ407" s="1">
        <v>167.0</v>
      </c>
      <c r="AK407" s="1">
        <v>56.0</v>
      </c>
      <c r="AL407" s="1" t="s">
        <v>6646</v>
      </c>
      <c r="AM407" s="1" t="s">
        <v>6647</v>
      </c>
      <c r="AN407" s="7" t="s">
        <v>6648</v>
      </c>
      <c r="AO407" s="8" t="str">
        <f>HYPERLINK("https://docs.google.com/document/d/1Sx60bNg4dYEPQCL2T9ddX0QvhVNDGtkNZ5N7SfWjc-k/edit?usp=drivesdk","Al-Wildan 3 BSD City_Aksan Taqwin, S.Pd._Bahasa Indonesia")</f>
        <v>Al-Wildan 3 BSD City_Aksan Taqwin, S.Pd._Bahasa Indonesia</v>
      </c>
      <c r="AP407" s="1" t="s">
        <v>6649</v>
      </c>
    </row>
    <row r="408">
      <c r="A408" s="6">
        <v>44671.521958321755</v>
      </c>
      <c r="B408" s="7" t="s">
        <v>6650</v>
      </c>
      <c r="C408" s="8" t="s">
        <v>6651</v>
      </c>
      <c r="D408" s="1" t="s">
        <v>6652</v>
      </c>
      <c r="E408" s="9" t="s">
        <v>6653</v>
      </c>
      <c r="F408" s="1" t="s">
        <v>6654</v>
      </c>
      <c r="G408" s="1" t="s">
        <v>6655</v>
      </c>
      <c r="H408" s="1" t="s">
        <v>6656</v>
      </c>
      <c r="I408" s="9" t="s">
        <v>6657</v>
      </c>
      <c r="J408" s="1" t="s">
        <v>6658</v>
      </c>
      <c r="K408" s="1" t="s">
        <v>102</v>
      </c>
      <c r="L408" s="1" t="s">
        <v>103</v>
      </c>
      <c r="M408" s="1" t="s">
        <v>104</v>
      </c>
      <c r="N408" s="1" t="s">
        <v>152</v>
      </c>
      <c r="O408" s="1" t="s">
        <v>127</v>
      </c>
      <c r="P408" s="1" t="s">
        <v>6659</v>
      </c>
      <c r="Q408" s="1" t="s">
        <v>6660</v>
      </c>
      <c r="R408" s="1" t="s">
        <v>172</v>
      </c>
      <c r="S408" s="1" t="s">
        <v>6661</v>
      </c>
      <c r="T408" s="1" t="s">
        <v>6660</v>
      </c>
      <c r="U408" s="1" t="s">
        <v>172</v>
      </c>
      <c r="V408" s="1" t="s">
        <v>1364</v>
      </c>
      <c r="Z408" s="1" t="s">
        <v>6662</v>
      </c>
      <c r="AA408" s="10">
        <v>5000000.0</v>
      </c>
      <c r="AB408" s="1" t="s">
        <v>6663</v>
      </c>
      <c r="AC408" s="10">
        <v>4000000.0</v>
      </c>
      <c r="AD408" s="1" t="s">
        <v>6664</v>
      </c>
      <c r="AE408" s="10">
        <v>3000000.0</v>
      </c>
      <c r="AF408" s="10">
        <v>8000000.0</v>
      </c>
      <c r="AH408" s="1">
        <v>6.98801027851535E14</v>
      </c>
      <c r="AI408" s="1" t="s">
        <v>2407</v>
      </c>
      <c r="AJ408" s="1">
        <v>150.0</v>
      </c>
      <c r="AK408" s="1">
        <v>50.0</v>
      </c>
      <c r="AL408" s="1" t="s">
        <v>6665</v>
      </c>
      <c r="AM408" s="1" t="s">
        <v>6666</v>
      </c>
      <c r="AN408" s="7" t="s">
        <v>6667</v>
      </c>
      <c r="AO408" s="8" t="str">
        <f>HYPERLINK("https://docs.google.com/document/d/17cYITlwVXbpxeHg96_KPe47muDlVXCx-cbhwPygnwlo/edit?usp=drivesdk","Al-Wildan 15 Kompas Indah, Tambun Bekasi._Sudarmi, M.Pd_Bahasa Inggris")</f>
        <v>Al-Wildan 15 Kompas Indah, Tambun Bekasi._Sudarmi, M.Pd_Bahasa Inggris</v>
      </c>
      <c r="AP408" s="1" t="s">
        <v>6668</v>
      </c>
    </row>
    <row r="409">
      <c r="A409" s="6">
        <v>44671.53222890046</v>
      </c>
      <c r="B409" s="7" t="s">
        <v>6669</v>
      </c>
      <c r="C409" s="8" t="s">
        <v>6670</v>
      </c>
      <c r="D409" s="1" t="s">
        <v>6671</v>
      </c>
      <c r="E409" s="9" t="s">
        <v>6672</v>
      </c>
      <c r="F409" s="1" t="s">
        <v>6673</v>
      </c>
      <c r="G409" s="1" t="s">
        <v>6674</v>
      </c>
      <c r="H409" s="1" t="s">
        <v>1895</v>
      </c>
      <c r="I409" s="9" t="s">
        <v>6675</v>
      </c>
      <c r="J409" s="1" t="s">
        <v>438</v>
      </c>
      <c r="K409" s="1" t="s">
        <v>151</v>
      </c>
      <c r="L409" s="1" t="s">
        <v>256</v>
      </c>
      <c r="M409" s="1" t="s">
        <v>104</v>
      </c>
      <c r="N409" s="1" t="s">
        <v>3018</v>
      </c>
      <c r="O409" s="1" t="s">
        <v>236</v>
      </c>
      <c r="P409" s="1" t="s">
        <v>6091</v>
      </c>
      <c r="Q409" s="1" t="s">
        <v>108</v>
      </c>
      <c r="R409" s="1" t="s">
        <v>536</v>
      </c>
      <c r="S409" s="1" t="s">
        <v>2180</v>
      </c>
      <c r="Z409" s="1" t="s">
        <v>6676</v>
      </c>
      <c r="AA409" s="10">
        <v>5000000.0</v>
      </c>
      <c r="AB409" s="1" t="s">
        <v>6677</v>
      </c>
      <c r="AC409" s="10">
        <v>4500000.0</v>
      </c>
      <c r="AF409" s="10">
        <v>4700000.0</v>
      </c>
      <c r="AG409" s="1">
        <v>7.92011566E9</v>
      </c>
      <c r="AJ409" s="1">
        <v>162.0</v>
      </c>
      <c r="AK409" s="1">
        <v>70.0</v>
      </c>
      <c r="AL409" s="1" t="s">
        <v>6678</v>
      </c>
      <c r="AM409" s="1" t="s">
        <v>6679</v>
      </c>
      <c r="AN409" s="7" t="s">
        <v>6680</v>
      </c>
      <c r="AO409" s="8" t="str">
        <f>HYPERLINK("https://docs.google.com/document/d/1b3ORH_MFDzQb9MxC4rhLeFGpbfEphD3TyfipX6XRiZ0/edit?usp=drivesdk","Al-Wildan 10 Cipinang, Jakarta Timur_Fitriana Nurindah Putri, S.Pd_Geografi")</f>
        <v>Al-Wildan 10 Cipinang, Jakarta Timur_Fitriana Nurindah Putri, S.Pd_Geografi</v>
      </c>
      <c r="AP409" s="1" t="s">
        <v>6681</v>
      </c>
    </row>
    <row r="410">
      <c r="A410" s="6">
        <v>44671.53957188658</v>
      </c>
      <c r="B410" s="7" t="s">
        <v>6682</v>
      </c>
      <c r="C410" s="8" t="s">
        <v>6683</v>
      </c>
      <c r="D410" s="1" t="s">
        <v>6684</v>
      </c>
      <c r="E410" s="9" t="s">
        <v>6685</v>
      </c>
      <c r="F410" s="1" t="s">
        <v>6686</v>
      </c>
      <c r="G410" s="1" t="s">
        <v>6687</v>
      </c>
      <c r="H410" s="1" t="s">
        <v>169</v>
      </c>
      <c r="I410" s="9" t="s">
        <v>6688</v>
      </c>
      <c r="J410" s="1" t="s">
        <v>6689</v>
      </c>
      <c r="K410" s="1" t="s">
        <v>102</v>
      </c>
      <c r="L410" s="1" t="s">
        <v>256</v>
      </c>
      <c r="M410" s="1" t="s">
        <v>104</v>
      </c>
      <c r="N410" s="1" t="s">
        <v>439</v>
      </c>
      <c r="O410" s="1" t="s">
        <v>236</v>
      </c>
      <c r="P410" s="1" t="s">
        <v>107</v>
      </c>
      <c r="Q410" s="1" t="s">
        <v>6690</v>
      </c>
      <c r="R410" s="1" t="s">
        <v>6691</v>
      </c>
      <c r="S410" s="1" t="s">
        <v>1060</v>
      </c>
      <c r="T410" s="1" t="s">
        <v>6692</v>
      </c>
      <c r="U410" s="1" t="s">
        <v>439</v>
      </c>
      <c r="V410" s="1" t="s">
        <v>1524</v>
      </c>
      <c r="Z410" s="1" t="s">
        <v>6693</v>
      </c>
      <c r="AA410" s="10">
        <v>5000000.0</v>
      </c>
      <c r="AB410" s="1" t="s">
        <v>6694</v>
      </c>
      <c r="AC410" s="10">
        <v>1000000.0</v>
      </c>
      <c r="AF410" s="10">
        <v>5500000.0</v>
      </c>
      <c r="AG410" s="1">
        <v>4.16294205E9</v>
      </c>
      <c r="AJ410" s="1">
        <v>155.0</v>
      </c>
      <c r="AK410" s="1">
        <v>68.0</v>
      </c>
      <c r="AL410" s="1" t="s">
        <v>6695</v>
      </c>
      <c r="AM410" s="1" t="s">
        <v>6696</v>
      </c>
      <c r="AN410" s="7" t="s">
        <v>6697</v>
      </c>
      <c r="AO410" s="8" t="str">
        <f>HYPERLINK("https://docs.google.com/document/d/15wG-h8RSKzpPmnygELtmyCar1b24wBWcnf4hT1vuvv8/edit?usp=drivesdk","Al-Wildan 1 Gading Serpong_Ela Fitriani, S.Hum., M.Si._Sosiologi")</f>
        <v>Al-Wildan 1 Gading Serpong_Ela Fitriani, S.Hum., M.Si._Sosiologi</v>
      </c>
      <c r="AP410" s="1" t="s">
        <v>6698</v>
      </c>
    </row>
    <row r="411">
      <c r="A411" s="6">
        <v>44671.55287584491</v>
      </c>
      <c r="B411" s="7" t="s">
        <v>6699</v>
      </c>
      <c r="C411" s="8" t="s">
        <v>6700</v>
      </c>
      <c r="D411" s="1" t="s">
        <v>6701</v>
      </c>
      <c r="E411" s="9" t="s">
        <v>6702</v>
      </c>
      <c r="F411" s="1" t="s">
        <v>6703</v>
      </c>
      <c r="G411" s="1" t="s">
        <v>6704</v>
      </c>
      <c r="H411" s="1" t="s">
        <v>6705</v>
      </c>
      <c r="I411" s="9" t="s">
        <v>6706</v>
      </c>
      <c r="J411" s="1" t="s">
        <v>2352</v>
      </c>
      <c r="K411" s="1" t="s">
        <v>151</v>
      </c>
      <c r="L411" s="1" t="s">
        <v>103</v>
      </c>
      <c r="M411" s="1" t="s">
        <v>104</v>
      </c>
      <c r="N411" s="1" t="s">
        <v>311</v>
      </c>
      <c r="O411" s="1" t="s">
        <v>312</v>
      </c>
      <c r="P411" s="1" t="s">
        <v>6091</v>
      </c>
      <c r="Q411" s="1" t="s">
        <v>6707</v>
      </c>
      <c r="R411" s="1" t="s">
        <v>2355</v>
      </c>
      <c r="S411" s="1" t="s">
        <v>131</v>
      </c>
      <c r="Z411" s="1" t="s">
        <v>6708</v>
      </c>
      <c r="AA411" s="10">
        <v>3700000.0</v>
      </c>
      <c r="AF411" s="10">
        <v>4000000.0</v>
      </c>
      <c r="AG411" s="1">
        <v>9.79017513E9</v>
      </c>
      <c r="AJ411" s="1">
        <v>170.0</v>
      </c>
      <c r="AK411" s="1">
        <v>90.0</v>
      </c>
      <c r="AL411" s="1" t="s">
        <v>6709</v>
      </c>
      <c r="AM411" s="1" t="s">
        <v>6710</v>
      </c>
      <c r="AN411" s="7" t="s">
        <v>6711</v>
      </c>
      <c r="AO411" s="8" t="str">
        <f>HYPERLINK("https://docs.google.com/document/d/1w4OXjAXdygmOcxkztDKCCKmZI2hFa7fgDOAXjTtTQf0/edit?usp=drivesdk","Al-Wildan 10 Cipinang, Jakarta Timur_Salman Al Farisi, S.Pd, _Al Qur'an")</f>
        <v>Al-Wildan 10 Cipinang, Jakarta Timur_Salman Al Farisi, S.Pd, _Al Qur'an</v>
      </c>
      <c r="AP411" s="1" t="s">
        <v>6712</v>
      </c>
    </row>
    <row r="412">
      <c r="A412" s="6">
        <v>44671.55361553241</v>
      </c>
      <c r="B412" s="7" t="s">
        <v>6713</v>
      </c>
      <c r="C412" s="8" t="s">
        <v>6714</v>
      </c>
      <c r="D412" s="1" t="s">
        <v>6715</v>
      </c>
      <c r="E412" s="9" t="s">
        <v>6716</v>
      </c>
      <c r="F412" s="1" t="s">
        <v>6717</v>
      </c>
      <c r="G412" s="1" t="s">
        <v>1255</v>
      </c>
      <c r="H412" s="1" t="s">
        <v>1786</v>
      </c>
      <c r="I412" s="9" t="s">
        <v>6718</v>
      </c>
      <c r="J412" s="1" t="s">
        <v>6719</v>
      </c>
      <c r="K412" s="1" t="s">
        <v>102</v>
      </c>
      <c r="L412" s="1" t="s">
        <v>103</v>
      </c>
      <c r="M412" s="1" t="s">
        <v>104</v>
      </c>
      <c r="N412" s="1" t="s">
        <v>6720</v>
      </c>
      <c r="O412" s="1" t="s">
        <v>312</v>
      </c>
      <c r="P412" s="1" t="s">
        <v>107</v>
      </c>
      <c r="Q412" s="1" t="s">
        <v>6721</v>
      </c>
      <c r="R412" s="1" t="s">
        <v>6720</v>
      </c>
      <c r="Z412" s="1" t="s">
        <v>6722</v>
      </c>
      <c r="AA412" s="10">
        <v>1500000.0</v>
      </c>
      <c r="AF412" s="10">
        <v>4000000.0</v>
      </c>
      <c r="AG412" s="1">
        <v>7.177650719E9</v>
      </c>
      <c r="AJ412" s="1">
        <v>170.0</v>
      </c>
      <c r="AK412" s="1">
        <v>67.0</v>
      </c>
      <c r="AL412" s="1" t="s">
        <v>6723</v>
      </c>
      <c r="AM412" s="1" t="s">
        <v>6724</v>
      </c>
      <c r="AN412" s="7" t="s">
        <v>6725</v>
      </c>
      <c r="AO412" s="8" t="str">
        <f>HYPERLINK("https://docs.google.com/document/d/1BBiTZNCg8mMWD0AQkGb84DTijDzuDC7gKJksjpyNpJQ/edit?usp=drivesdk","Al-Wildan 1 Gading Serpong_Rijal Muttaqin Al hafidz_Tahfidz")</f>
        <v>Al-Wildan 1 Gading Serpong_Rijal Muttaqin Al hafidz_Tahfidz</v>
      </c>
      <c r="AP412" s="1" t="s">
        <v>6726</v>
      </c>
    </row>
    <row r="413">
      <c r="A413" s="6">
        <v>44671.56639930556</v>
      </c>
      <c r="B413" s="7" t="s">
        <v>6727</v>
      </c>
      <c r="C413" s="8" t="s">
        <v>6728</v>
      </c>
      <c r="D413" s="1" t="s">
        <v>6729</v>
      </c>
      <c r="E413" s="9" t="s">
        <v>6730</v>
      </c>
      <c r="F413" s="1" t="s">
        <v>6731</v>
      </c>
      <c r="G413" s="1" t="s">
        <v>6732</v>
      </c>
      <c r="H413" s="1" t="s">
        <v>1255</v>
      </c>
      <c r="I413" s="9" t="s">
        <v>6733</v>
      </c>
      <c r="J413" s="1">
        <v>28.0</v>
      </c>
      <c r="K413" s="1" t="s">
        <v>151</v>
      </c>
      <c r="L413" s="1" t="s">
        <v>103</v>
      </c>
      <c r="M413" s="1" t="s">
        <v>104</v>
      </c>
      <c r="N413" s="1" t="s">
        <v>6734</v>
      </c>
      <c r="O413" s="1" t="s">
        <v>127</v>
      </c>
      <c r="P413" s="1" t="s">
        <v>237</v>
      </c>
      <c r="Q413" s="1" t="s">
        <v>649</v>
      </c>
      <c r="R413" s="1" t="s">
        <v>6735</v>
      </c>
      <c r="S413" s="1" t="s">
        <v>6736</v>
      </c>
      <c r="Z413" s="1" t="s">
        <v>6737</v>
      </c>
      <c r="AA413" s="10">
        <v>1700000.0</v>
      </c>
      <c r="AB413" s="1" t="s">
        <v>6738</v>
      </c>
      <c r="AC413" s="10">
        <v>2500000.0</v>
      </c>
      <c r="AF413" s="10">
        <v>3000000.0</v>
      </c>
      <c r="AG413" s="1">
        <v>7.182913817E9</v>
      </c>
      <c r="AI413" s="1" t="s">
        <v>5113</v>
      </c>
      <c r="AJ413" s="1">
        <v>165.0</v>
      </c>
      <c r="AK413" s="1">
        <v>47.0</v>
      </c>
      <c r="AL413" s="1" t="s">
        <v>6739</v>
      </c>
      <c r="AM413" s="1" t="s">
        <v>6740</v>
      </c>
      <c r="AN413" s="7" t="s">
        <v>6741</v>
      </c>
      <c r="AO413" s="8" t="str">
        <f>HYPERLINK("https://docs.google.com/document/d/1ta8e06Y3jXc9P2ckzeYbsL1uxDZHg2cuMKHdjC2FD4I/edit?usp=drivesdk","Al-Wildan 4 Lebak Bulus_Teguh Agus Wahyuda, S.Pd., CHt._Guru Al-Qur'an ")</f>
        <v>Al-Wildan 4 Lebak Bulus_Teguh Agus Wahyuda, S.Pd., CHt._Guru Al-Qur'an </v>
      </c>
      <c r="AP413" s="1" t="s">
        <v>6742</v>
      </c>
    </row>
    <row r="414">
      <c r="A414" s="6">
        <v>44671.567634074076</v>
      </c>
      <c r="B414" s="7" t="s">
        <v>6743</v>
      </c>
      <c r="C414" s="8" t="s">
        <v>6744</v>
      </c>
      <c r="D414" s="1" t="s">
        <v>6745</v>
      </c>
      <c r="E414" s="9" t="s">
        <v>6746</v>
      </c>
      <c r="F414" s="1" t="s">
        <v>6747</v>
      </c>
      <c r="G414" s="1" t="s">
        <v>6748</v>
      </c>
      <c r="H414" s="1" t="s">
        <v>722</v>
      </c>
      <c r="I414" s="9" t="s">
        <v>6749</v>
      </c>
      <c r="J414" s="1" t="s">
        <v>6750</v>
      </c>
      <c r="K414" s="1" t="s">
        <v>102</v>
      </c>
      <c r="L414" s="1" t="s">
        <v>103</v>
      </c>
      <c r="M414" s="1" t="s">
        <v>104</v>
      </c>
      <c r="N414" s="1" t="s">
        <v>6751</v>
      </c>
      <c r="O414" s="1" t="s">
        <v>236</v>
      </c>
      <c r="P414" s="1" t="s">
        <v>6187</v>
      </c>
      <c r="Q414" s="1" t="s">
        <v>6752</v>
      </c>
      <c r="R414" s="1" t="s">
        <v>6753</v>
      </c>
      <c r="S414" s="1" t="s">
        <v>4097</v>
      </c>
      <c r="Z414" s="1" t="s">
        <v>6754</v>
      </c>
      <c r="AA414" s="1" t="s">
        <v>6755</v>
      </c>
      <c r="AF414" s="10">
        <v>6000000.0</v>
      </c>
      <c r="AG414" s="1">
        <v>7.168012777E9</v>
      </c>
      <c r="AJ414" s="1">
        <v>164.0</v>
      </c>
      <c r="AK414" s="1">
        <v>71.0</v>
      </c>
      <c r="AL414" s="1" t="s">
        <v>6756</v>
      </c>
      <c r="AM414" s="1" t="s">
        <v>6757</v>
      </c>
      <c r="AN414" s="7" t="s">
        <v>6758</v>
      </c>
      <c r="AO414" s="8" t="str">
        <f>HYPERLINK("https://docs.google.com/document/d/18iCjJ5oRcowXjSmiwXpqlCpVKlwouvNWglNjKU7q8f4/edit?usp=drivesdk","Al-Wildan 14 Bumi Mutiara, Bogor_Pirman Hadiansah, Lc_Diniyyah ")</f>
        <v>Al-Wildan 14 Bumi Mutiara, Bogor_Pirman Hadiansah, Lc_Diniyyah </v>
      </c>
      <c r="AP414" s="1" t="s">
        <v>6759</v>
      </c>
    </row>
    <row r="415">
      <c r="A415" s="6">
        <v>44671.57226465278</v>
      </c>
      <c r="B415" s="7" t="s">
        <v>6760</v>
      </c>
      <c r="C415" s="8" t="s">
        <v>6761</v>
      </c>
      <c r="D415" s="1" t="s">
        <v>6762</v>
      </c>
      <c r="E415" s="9" t="s">
        <v>6763</v>
      </c>
      <c r="F415" s="1" t="s">
        <v>6764</v>
      </c>
      <c r="G415" s="1" t="s">
        <v>6765</v>
      </c>
      <c r="H415" s="1" t="s">
        <v>6766</v>
      </c>
      <c r="I415" s="9" t="s">
        <v>6767</v>
      </c>
      <c r="J415" s="1" t="s">
        <v>610</v>
      </c>
      <c r="K415" s="1" t="s">
        <v>151</v>
      </c>
      <c r="L415" s="1" t="s">
        <v>256</v>
      </c>
      <c r="M415" s="1" t="s">
        <v>104</v>
      </c>
      <c r="N415" s="1" t="s">
        <v>152</v>
      </c>
      <c r="O415" s="1" t="s">
        <v>127</v>
      </c>
      <c r="P415" s="1" t="s">
        <v>107</v>
      </c>
      <c r="Q415" s="1" t="s">
        <v>6768</v>
      </c>
      <c r="R415" s="1" t="s">
        <v>172</v>
      </c>
      <c r="S415" s="1" t="s">
        <v>885</v>
      </c>
      <c r="T415" s="1" t="s">
        <v>108</v>
      </c>
      <c r="U415" s="1" t="s">
        <v>172</v>
      </c>
      <c r="V415" s="1" t="s">
        <v>2180</v>
      </c>
      <c r="Z415" s="1" t="s">
        <v>3410</v>
      </c>
      <c r="AA415" s="1" t="s">
        <v>6769</v>
      </c>
      <c r="AF415" s="10">
        <v>7000000.0</v>
      </c>
      <c r="AH415" s="1">
        <v>1.08001345214E12</v>
      </c>
      <c r="AI415" s="1" t="s">
        <v>2119</v>
      </c>
      <c r="AJ415" s="1">
        <v>168.0</v>
      </c>
      <c r="AK415" s="1">
        <v>62.0</v>
      </c>
      <c r="AL415" s="1" t="s">
        <v>6770</v>
      </c>
      <c r="AM415" s="1" t="s">
        <v>6771</v>
      </c>
      <c r="AN415" s="7" t="s">
        <v>6772</v>
      </c>
      <c r="AO415" s="8" t="str">
        <f>HYPERLINK("https://docs.google.com/document/d/1xCNx2MUAmQ-T2AMaRIsv2JO9nWhoi7ajbsaorCrr4sU/edit?usp=drivesdk","Al-Wildan 1 Gading Serpong_Devitri Andini, M.Pd_Bahasa Inggris")</f>
        <v>Al-Wildan 1 Gading Serpong_Devitri Andini, M.Pd_Bahasa Inggris</v>
      </c>
      <c r="AP415" s="1" t="s">
        <v>6773</v>
      </c>
    </row>
    <row r="416">
      <c r="A416" s="6">
        <v>44671.59881122685</v>
      </c>
      <c r="B416" s="7" t="s">
        <v>6774</v>
      </c>
      <c r="C416" s="8" t="s">
        <v>6775</v>
      </c>
      <c r="D416" s="1" t="s">
        <v>6776</v>
      </c>
      <c r="E416" s="9" t="s">
        <v>6777</v>
      </c>
      <c r="F416" s="1" t="s">
        <v>6778</v>
      </c>
      <c r="G416" s="1" t="s">
        <v>4050</v>
      </c>
      <c r="H416" s="1" t="s">
        <v>6779</v>
      </c>
      <c r="I416" s="9" t="s">
        <v>6780</v>
      </c>
      <c r="J416" s="1">
        <v>24.0</v>
      </c>
      <c r="K416" s="1" t="s">
        <v>102</v>
      </c>
      <c r="L416" s="1" t="s">
        <v>103</v>
      </c>
      <c r="M416" s="1" t="s">
        <v>104</v>
      </c>
      <c r="N416" s="1" t="s">
        <v>2200</v>
      </c>
      <c r="O416" s="1" t="s">
        <v>312</v>
      </c>
      <c r="P416" s="1" t="s">
        <v>6533</v>
      </c>
      <c r="Q416" s="1" t="s">
        <v>3409</v>
      </c>
      <c r="R416" s="1" t="s">
        <v>6781</v>
      </c>
      <c r="S416" s="9" t="s">
        <v>6782</v>
      </c>
      <c r="Z416" s="1" t="s">
        <v>6783</v>
      </c>
      <c r="AA416" s="10">
        <v>2000000.0</v>
      </c>
      <c r="AB416" s="1" t="s">
        <v>6784</v>
      </c>
      <c r="AC416" s="10">
        <v>4000000.0</v>
      </c>
      <c r="AF416" s="10">
        <v>6000000.0</v>
      </c>
      <c r="AG416" s="1">
        <v>1.169911639E9</v>
      </c>
      <c r="AJ416" s="1">
        <v>170.0</v>
      </c>
      <c r="AK416" s="1">
        <v>66.0</v>
      </c>
      <c r="AL416" s="1" t="s">
        <v>6785</v>
      </c>
      <c r="AM416" s="1" t="s">
        <v>6786</v>
      </c>
      <c r="AN416" s="7" t="s">
        <v>6787</v>
      </c>
      <c r="AO416" s="8" t="str">
        <f>HYPERLINK("https://docs.google.com/document/d/19yUS26_bcfgoFmh3n8IAb4LlsXQYaycNIQWwkiweF9k/edit?usp=drivesdk","Al-Wildan 5 Benhil_Ferizco Khusyufi Setiawan, S.Hum._Guru Al-Qur'an")</f>
        <v>Al-Wildan 5 Benhil_Ferizco Khusyufi Setiawan, S.Hum._Guru Al-Qur'an</v>
      </c>
      <c r="AP416" s="1" t="s">
        <v>6788</v>
      </c>
    </row>
    <row r="417">
      <c r="A417" s="6">
        <v>44671.61313302083</v>
      </c>
      <c r="B417" s="7" t="s">
        <v>6789</v>
      </c>
      <c r="C417" s="8" t="s">
        <v>6790</v>
      </c>
      <c r="D417" s="1" t="s">
        <v>6791</v>
      </c>
      <c r="E417" s="9" t="s">
        <v>6792</v>
      </c>
      <c r="F417" s="1" t="s">
        <v>6793</v>
      </c>
      <c r="G417" s="1" t="s">
        <v>6794</v>
      </c>
      <c r="H417" s="1" t="s">
        <v>99</v>
      </c>
      <c r="I417" s="9" t="s">
        <v>6795</v>
      </c>
      <c r="J417" s="1" t="s">
        <v>6796</v>
      </c>
      <c r="K417" s="1" t="s">
        <v>151</v>
      </c>
      <c r="L417" s="1" t="s">
        <v>256</v>
      </c>
      <c r="M417" s="1" t="s">
        <v>104</v>
      </c>
      <c r="N417" s="1" t="s">
        <v>6797</v>
      </c>
      <c r="O417" s="1" t="s">
        <v>127</v>
      </c>
      <c r="P417" s="1" t="s">
        <v>107</v>
      </c>
      <c r="Q417" s="1" t="s">
        <v>275</v>
      </c>
      <c r="R417" s="1" t="s">
        <v>1275</v>
      </c>
      <c r="T417" s="1" t="s">
        <v>275</v>
      </c>
      <c r="U417" s="1" t="s">
        <v>6798</v>
      </c>
      <c r="V417" s="1" t="s">
        <v>6799</v>
      </c>
      <c r="Z417" s="1" t="s">
        <v>6800</v>
      </c>
      <c r="AA417" s="10">
        <v>5800000.0</v>
      </c>
      <c r="AF417" s="10">
        <v>6500000.0</v>
      </c>
      <c r="AH417" s="9" t="s">
        <v>6801</v>
      </c>
      <c r="AI417" s="1" t="s">
        <v>159</v>
      </c>
      <c r="AJ417" s="1">
        <v>154.0</v>
      </c>
      <c r="AK417" s="1">
        <v>52.0</v>
      </c>
      <c r="AL417" s="1" t="s">
        <v>6802</v>
      </c>
      <c r="AM417" s="1" t="s">
        <v>6803</v>
      </c>
      <c r="AN417" s="7" t="s">
        <v>6804</v>
      </c>
      <c r="AO417" s="8" t="str">
        <f>HYPERLINK("https://docs.google.com/document/d/1xQEYtduTyfCbIUMacp-BnjfCwOkKKsjVjCN18K9JSkQ/edit?usp=drivesdk","Al-Wildan 1 Gading Serpong_Siti Aminatuh Juhriah, M.Si_Biologi/IPA Cambridge")</f>
        <v>Al-Wildan 1 Gading Serpong_Siti Aminatuh Juhriah, M.Si_Biologi/IPA Cambridge</v>
      </c>
      <c r="AP417" s="1" t="s">
        <v>6805</v>
      </c>
    </row>
    <row r="418">
      <c r="A418" s="6">
        <v>44671.65400241898</v>
      </c>
      <c r="B418" s="7" t="s">
        <v>6806</v>
      </c>
      <c r="C418" s="8" t="s">
        <v>6807</v>
      </c>
      <c r="D418" s="1" t="s">
        <v>6808</v>
      </c>
      <c r="E418" s="9" t="s">
        <v>6809</v>
      </c>
      <c r="F418" s="1" t="s">
        <v>6810</v>
      </c>
      <c r="G418" s="1" t="s">
        <v>6811</v>
      </c>
      <c r="H418" s="1" t="s">
        <v>6812</v>
      </c>
      <c r="I418" s="1">
        <v>1.3031997E7</v>
      </c>
      <c r="J418" s="1" t="s">
        <v>6813</v>
      </c>
      <c r="K418" s="1" t="s">
        <v>151</v>
      </c>
      <c r="L418" s="1" t="s">
        <v>329</v>
      </c>
      <c r="M418" s="1" t="s">
        <v>104</v>
      </c>
      <c r="N418" s="1" t="s">
        <v>6624</v>
      </c>
      <c r="O418" s="1" t="s">
        <v>312</v>
      </c>
      <c r="P418" s="1" t="s">
        <v>107</v>
      </c>
      <c r="Q418" s="1" t="s">
        <v>6814</v>
      </c>
      <c r="R418" s="1" t="s">
        <v>6815</v>
      </c>
      <c r="S418" s="1" t="s">
        <v>3719</v>
      </c>
      <c r="T418" s="1" t="s">
        <v>153</v>
      </c>
      <c r="U418" s="1" t="s">
        <v>6816</v>
      </c>
      <c r="V418" s="1" t="s">
        <v>6437</v>
      </c>
      <c r="Z418" s="1" t="s">
        <v>6817</v>
      </c>
      <c r="AA418" s="10">
        <v>1200000.0</v>
      </c>
      <c r="AB418" s="1" t="s">
        <v>6818</v>
      </c>
      <c r="AC418" s="10">
        <v>2000000.0</v>
      </c>
      <c r="AF418" s="10">
        <v>5000000.0</v>
      </c>
      <c r="AG418" s="1">
        <v>7.105475874E9</v>
      </c>
      <c r="AJ418" s="1">
        <v>160.0</v>
      </c>
      <c r="AK418" s="1">
        <v>65.0</v>
      </c>
      <c r="AL418" s="1" t="s">
        <v>6819</v>
      </c>
      <c r="AM418" s="1" t="s">
        <v>6820</v>
      </c>
      <c r="AN418" s="7" t="s">
        <v>6821</v>
      </c>
      <c r="AO418" s="8" t="str">
        <f>HYPERLINK("https://docs.google.com/document/d/11Dz8CpB1roGWSvKvwndFTFWRfXhhOLvxmkOgmpABXCI/edit?usp=drivesdk","Al-Wildan 1 Gading Serpong_Riska Herdiyanti Damanik S.Pd_Math Cambridge")</f>
        <v>Al-Wildan 1 Gading Serpong_Riska Herdiyanti Damanik S.Pd_Math Cambridge</v>
      </c>
      <c r="AP418" s="1" t="s">
        <v>6822</v>
      </c>
    </row>
    <row r="419">
      <c r="A419" s="6">
        <v>44671.68317063658</v>
      </c>
      <c r="B419" s="7" t="s">
        <v>6823</v>
      </c>
      <c r="C419" s="8" t="s">
        <v>6824</v>
      </c>
      <c r="D419" s="1" t="s">
        <v>6825</v>
      </c>
      <c r="E419" s="9" t="s">
        <v>6826</v>
      </c>
      <c r="F419" s="1">
        <v>1.77464693E8</v>
      </c>
      <c r="G419" s="1" t="s">
        <v>6827</v>
      </c>
      <c r="H419" s="1" t="s">
        <v>6828</v>
      </c>
      <c r="I419" s="9" t="s">
        <v>6829</v>
      </c>
      <c r="J419" s="1" t="s">
        <v>6830</v>
      </c>
      <c r="K419" s="1" t="s">
        <v>102</v>
      </c>
      <c r="L419" s="1" t="s">
        <v>103</v>
      </c>
      <c r="M419" s="1" t="s">
        <v>104</v>
      </c>
      <c r="N419" s="1" t="s">
        <v>4407</v>
      </c>
      <c r="O419" s="1" t="s">
        <v>127</v>
      </c>
      <c r="P419" s="1" t="s">
        <v>5712</v>
      </c>
      <c r="Q419" s="1" t="s">
        <v>6831</v>
      </c>
      <c r="R419" s="1" t="s">
        <v>6832</v>
      </c>
      <c r="T419" s="1" t="s">
        <v>6831</v>
      </c>
      <c r="U419" s="1" t="s">
        <v>6833</v>
      </c>
      <c r="W419" s="1" t="s">
        <v>6834</v>
      </c>
      <c r="X419" s="1" t="s">
        <v>6833</v>
      </c>
      <c r="Z419" s="1" t="s">
        <v>6835</v>
      </c>
      <c r="AA419" s="1" t="s">
        <v>6836</v>
      </c>
      <c r="AB419" s="1" t="s">
        <v>6837</v>
      </c>
      <c r="AC419" s="1" t="s">
        <v>6838</v>
      </c>
      <c r="AF419" s="1" t="s">
        <v>6839</v>
      </c>
      <c r="AG419" s="1">
        <v>7.182712382E9</v>
      </c>
      <c r="AJ419" s="1">
        <v>175.0</v>
      </c>
      <c r="AK419" s="1">
        <v>92.0</v>
      </c>
      <c r="AL419" s="1" t="s">
        <v>6840</v>
      </c>
      <c r="AM419" s="1" t="s">
        <v>6841</v>
      </c>
      <c r="AN419" s="7" t="s">
        <v>6842</v>
      </c>
      <c r="AO419" s="8" t="str">
        <f>HYPERLINK("https://docs.google.com/document/d/1ljc10rU67cYIrafkM7kM2Empkrv2E3aIz9lavcbRjFc/edit?usp=drivesdk","Al-Wildan 3 BSD City_Abdellah Azzam Maachou_Native English")</f>
        <v>Al-Wildan 3 BSD City_Abdellah Azzam Maachou_Native English</v>
      </c>
      <c r="AP419" s="1" t="s">
        <v>6843</v>
      </c>
    </row>
    <row r="420">
      <c r="A420" s="6">
        <v>44671.81277521991</v>
      </c>
      <c r="B420" s="7" t="s">
        <v>6844</v>
      </c>
      <c r="C420" s="8" t="s">
        <v>6845</v>
      </c>
      <c r="D420" s="1" t="s">
        <v>6846</v>
      </c>
      <c r="E420" s="9" t="s">
        <v>6847</v>
      </c>
      <c r="F420" s="1" t="s">
        <v>6848</v>
      </c>
      <c r="G420" s="1" t="s">
        <v>6849</v>
      </c>
      <c r="H420" s="1" t="s">
        <v>6850</v>
      </c>
      <c r="I420" s="9" t="s">
        <v>3252</v>
      </c>
      <c r="J420" s="1" t="s">
        <v>6750</v>
      </c>
      <c r="K420" s="1" t="s">
        <v>102</v>
      </c>
      <c r="L420" s="1" t="s">
        <v>103</v>
      </c>
      <c r="M420" s="1" t="s">
        <v>104</v>
      </c>
      <c r="N420" s="1" t="s">
        <v>6851</v>
      </c>
      <c r="O420" s="1" t="s">
        <v>236</v>
      </c>
      <c r="P420" s="1" t="s">
        <v>5712</v>
      </c>
      <c r="Q420" s="1" t="s">
        <v>6852</v>
      </c>
      <c r="R420" s="1" t="s">
        <v>6853</v>
      </c>
      <c r="S420" s="1" t="s">
        <v>2369</v>
      </c>
      <c r="Z420" s="1" t="s">
        <v>6854</v>
      </c>
      <c r="AA420" s="10">
        <v>5500000.0</v>
      </c>
      <c r="AB420" s="1" t="s">
        <v>6855</v>
      </c>
      <c r="AC420" s="10">
        <v>4500000.0</v>
      </c>
      <c r="AD420" s="1" t="s">
        <v>6856</v>
      </c>
      <c r="AE420" s="1" t="s">
        <v>6857</v>
      </c>
      <c r="AF420" s="1" t="s">
        <v>6858</v>
      </c>
      <c r="AG420" s="1">
        <v>1.149695701E9</v>
      </c>
      <c r="AJ420" s="1">
        <v>170.0</v>
      </c>
      <c r="AK420" s="1">
        <v>84.0</v>
      </c>
      <c r="AL420" s="1" t="s">
        <v>6859</v>
      </c>
      <c r="AM420" s="1" t="s">
        <v>6860</v>
      </c>
      <c r="AN420" s="7" t="s">
        <v>6861</v>
      </c>
      <c r="AO420" s="8" t="str">
        <f>HYPERLINK("https://docs.google.com/document/d/1V_AHvyc30ZTWKADlbE0EUWf3OU4_zvlwoLXzjB4BXmM/edit?usp=drivesdk","Al-Wildan 3 BSD City_Imam Abdul Rachman B.Sc_Kimia - Cambridge")</f>
        <v>Al-Wildan 3 BSD City_Imam Abdul Rachman B.Sc_Kimia - Cambridge</v>
      </c>
      <c r="AP420" s="1" t="s">
        <v>6862</v>
      </c>
    </row>
    <row r="421">
      <c r="A421" s="6">
        <v>44671.82243388889</v>
      </c>
      <c r="B421" s="7" t="s">
        <v>6863</v>
      </c>
      <c r="C421" s="8" t="s">
        <v>6864</v>
      </c>
      <c r="D421" s="1" t="s">
        <v>6865</v>
      </c>
      <c r="E421" s="9" t="s">
        <v>6866</v>
      </c>
      <c r="F421" s="1">
        <v>3.17203420493001E15</v>
      </c>
      <c r="G421" s="1" t="s">
        <v>6867</v>
      </c>
      <c r="H421" s="1" t="s">
        <v>6868</v>
      </c>
      <c r="I421" s="9" t="s">
        <v>6869</v>
      </c>
      <c r="J421" s="1" t="s">
        <v>6870</v>
      </c>
      <c r="K421" s="1" t="s">
        <v>102</v>
      </c>
      <c r="L421" s="1" t="s">
        <v>103</v>
      </c>
      <c r="M421" s="1" t="s">
        <v>104</v>
      </c>
      <c r="N421" s="1" t="s">
        <v>105</v>
      </c>
      <c r="O421" s="1" t="s">
        <v>236</v>
      </c>
      <c r="P421" s="1" t="s">
        <v>237</v>
      </c>
      <c r="Q421" s="1" t="s">
        <v>6871</v>
      </c>
      <c r="R421" s="1" t="s">
        <v>109</v>
      </c>
      <c r="S421" s="1" t="s">
        <v>831</v>
      </c>
      <c r="T421" s="1" t="s">
        <v>108</v>
      </c>
      <c r="U421" s="1" t="s">
        <v>6872</v>
      </c>
      <c r="V421" s="1" t="s">
        <v>6303</v>
      </c>
      <c r="Z421" s="1" t="s">
        <v>6873</v>
      </c>
      <c r="AA421" s="10">
        <v>8000000.0</v>
      </c>
      <c r="AF421" s="10">
        <v>8500000.0</v>
      </c>
      <c r="AH421" s="1">
        <v>1.200010870769E12</v>
      </c>
      <c r="AI421" s="1" t="s">
        <v>4483</v>
      </c>
      <c r="AJ421" s="1">
        <v>153.0</v>
      </c>
      <c r="AK421" s="1">
        <v>67.0</v>
      </c>
      <c r="AL421" s="1" t="s">
        <v>6874</v>
      </c>
      <c r="AM421" s="1" t="s">
        <v>6875</v>
      </c>
      <c r="AN421" s="7" t="s">
        <v>6876</v>
      </c>
      <c r="AO421" s="8" t="str">
        <f>HYPERLINK("https://docs.google.com/document/d/1vlbX5yZ3nz9Y7s77OY1BXFwDI0eCu9xHJhQHJ1j6pmI/edit?usp=drivesdk","Al-Wildan 4 Lebak Bulus_Dede Pratiwi Susilowati, S.Pd, M.Pd_Bahasa Indonesia")</f>
        <v>Al-Wildan 4 Lebak Bulus_Dede Pratiwi Susilowati, S.Pd, M.Pd_Bahasa Indonesia</v>
      </c>
      <c r="AP421" s="1" t="s">
        <v>6877</v>
      </c>
    </row>
    <row r="422">
      <c r="A422" s="6">
        <v>44671.880813194446</v>
      </c>
      <c r="B422" s="7" t="s">
        <v>6878</v>
      </c>
      <c r="C422" s="8" t="s">
        <v>6879</v>
      </c>
      <c r="D422" s="1" t="s">
        <v>6880</v>
      </c>
      <c r="E422" s="9" t="s">
        <v>6881</v>
      </c>
      <c r="F422" s="1" t="s">
        <v>6882</v>
      </c>
      <c r="G422" s="1" t="s">
        <v>685</v>
      </c>
      <c r="H422" s="1" t="s">
        <v>685</v>
      </c>
      <c r="I422" s="9" t="s">
        <v>6883</v>
      </c>
      <c r="J422" s="1" t="s">
        <v>1836</v>
      </c>
      <c r="K422" s="1" t="s">
        <v>151</v>
      </c>
      <c r="L422" s="1" t="s">
        <v>103</v>
      </c>
      <c r="M422" s="1" t="s">
        <v>104</v>
      </c>
      <c r="N422" s="1" t="s">
        <v>2231</v>
      </c>
      <c r="O422" s="1" t="s">
        <v>312</v>
      </c>
      <c r="P422" s="1" t="s">
        <v>107</v>
      </c>
      <c r="Q422" s="1" t="s">
        <v>6884</v>
      </c>
      <c r="R422" s="1" t="s">
        <v>259</v>
      </c>
      <c r="Z422" s="1" t="s">
        <v>6885</v>
      </c>
      <c r="AA422" s="10">
        <v>2500000.0</v>
      </c>
      <c r="AB422" s="1" t="s">
        <v>6886</v>
      </c>
      <c r="AC422" s="10">
        <v>3000000.0</v>
      </c>
      <c r="AF422" s="10">
        <v>3500000.0</v>
      </c>
      <c r="AH422" s="1">
        <v>7.2220101731053E14</v>
      </c>
      <c r="AI422" s="1" t="s">
        <v>5015</v>
      </c>
      <c r="AJ422" s="1">
        <v>167.0</v>
      </c>
      <c r="AK422" s="1">
        <v>47.0</v>
      </c>
      <c r="AL422" s="1" t="s">
        <v>6887</v>
      </c>
      <c r="AM422" s="1" t="s">
        <v>6888</v>
      </c>
      <c r="AN422" s="7" t="s">
        <v>6889</v>
      </c>
      <c r="AO422" s="8" t="str">
        <f>HYPERLINK("https://docs.google.com/document/d/1nU7sP08JqxiyX7fthpIc31GWF9vnZug4_15v_e1Yfxo/edit?usp=drivesdk","Al-Wildan 1 Gading Serpong_M.Firmansyah_Guru Qur'an ")</f>
        <v>Al-Wildan 1 Gading Serpong_M.Firmansyah_Guru Qur'an </v>
      </c>
      <c r="AP422" s="1" t="s">
        <v>6890</v>
      </c>
    </row>
    <row r="423">
      <c r="A423" s="6">
        <v>44672.01051006945</v>
      </c>
      <c r="B423" s="7" t="s">
        <v>6891</v>
      </c>
      <c r="C423" s="8" t="s">
        <v>6892</v>
      </c>
      <c r="D423" s="1" t="s">
        <v>6893</v>
      </c>
      <c r="E423" s="9" t="s">
        <v>6894</v>
      </c>
      <c r="F423" s="1" t="s">
        <v>6895</v>
      </c>
      <c r="G423" s="1" t="s">
        <v>6896</v>
      </c>
      <c r="H423" s="1" t="s">
        <v>6897</v>
      </c>
      <c r="I423" s="9" t="s">
        <v>6898</v>
      </c>
      <c r="J423" s="1" t="s">
        <v>6899</v>
      </c>
      <c r="K423" s="1" t="s">
        <v>151</v>
      </c>
      <c r="L423" s="1" t="s">
        <v>256</v>
      </c>
      <c r="M423" s="1" t="s">
        <v>104</v>
      </c>
      <c r="N423" s="1" t="s">
        <v>3583</v>
      </c>
      <c r="O423" s="1" t="s">
        <v>127</v>
      </c>
      <c r="P423" s="1" t="s">
        <v>237</v>
      </c>
      <c r="Q423" s="1" t="s">
        <v>6900</v>
      </c>
      <c r="R423" s="1" t="s">
        <v>6901</v>
      </c>
      <c r="S423" s="1" t="s">
        <v>1612</v>
      </c>
      <c r="T423" s="1" t="s">
        <v>6902</v>
      </c>
      <c r="U423" s="1" t="s">
        <v>6902</v>
      </c>
      <c r="V423" s="1" t="s">
        <v>6902</v>
      </c>
      <c r="W423" s="1" t="s">
        <v>6902</v>
      </c>
      <c r="X423" s="1" t="s">
        <v>6902</v>
      </c>
      <c r="Z423" s="1" t="s">
        <v>6903</v>
      </c>
      <c r="AA423" s="10">
        <v>4500000.0</v>
      </c>
      <c r="AB423" s="1" t="s">
        <v>6904</v>
      </c>
      <c r="AC423" s="10">
        <v>4700000.0</v>
      </c>
      <c r="AD423" s="1" t="s">
        <v>6905</v>
      </c>
      <c r="AE423" s="10">
        <v>4750000.0</v>
      </c>
      <c r="AF423" s="10">
        <v>5000000.0</v>
      </c>
      <c r="AG423" s="1">
        <v>7.142915841E9</v>
      </c>
      <c r="AJ423" s="1">
        <v>179.0</v>
      </c>
      <c r="AK423" s="1">
        <v>90.0</v>
      </c>
      <c r="AL423" s="1" t="s">
        <v>6906</v>
      </c>
      <c r="AM423" s="1" t="s">
        <v>6907</v>
      </c>
      <c r="AN423" s="7" t="s">
        <v>6908</v>
      </c>
      <c r="AO423" s="8" t="str">
        <f>HYPERLINK("https://docs.google.com/document/d/1mfWAIzdjbQhMAo9_eHyhaumgAsNtEDNVS1Ske5h3wBY/edit?usp=drivesdk","Al-Wildan 4 Lebak Bulus_Achmad Ruri Darmansyah LC, SPDI_Bahasa Arab ")</f>
        <v>Al-Wildan 4 Lebak Bulus_Achmad Ruri Darmansyah LC, SPDI_Bahasa Arab </v>
      </c>
      <c r="AP423" s="1" t="s">
        <v>6909</v>
      </c>
    </row>
    <row r="424">
      <c r="A424" s="6">
        <v>44672.262141168976</v>
      </c>
      <c r="B424" s="7" t="s">
        <v>6910</v>
      </c>
      <c r="C424" s="8" t="s">
        <v>6911</v>
      </c>
      <c r="D424" s="1" t="s">
        <v>6912</v>
      </c>
      <c r="E424" s="9" t="s">
        <v>6913</v>
      </c>
      <c r="F424" s="1">
        <v>5.20317290996E11</v>
      </c>
      <c r="G424" s="1" t="s">
        <v>6914</v>
      </c>
      <c r="H424" s="1" t="s">
        <v>6915</v>
      </c>
      <c r="I424" s="9" t="s">
        <v>6916</v>
      </c>
      <c r="J424" s="1" t="s">
        <v>6917</v>
      </c>
      <c r="K424" s="1" t="s">
        <v>102</v>
      </c>
      <c r="L424" s="1" t="s">
        <v>103</v>
      </c>
      <c r="M424" s="1" t="s">
        <v>104</v>
      </c>
      <c r="N424" s="1" t="s">
        <v>2769</v>
      </c>
      <c r="O424" s="1" t="s">
        <v>106</v>
      </c>
      <c r="P424" s="1" t="s">
        <v>6091</v>
      </c>
      <c r="Q424" s="1" t="s">
        <v>811</v>
      </c>
      <c r="R424" s="1" t="s">
        <v>235</v>
      </c>
      <c r="S424" s="1">
        <v>4.57</v>
      </c>
      <c r="Z424" s="1" t="s">
        <v>6918</v>
      </c>
      <c r="AA424" s="10">
        <v>4000000.0</v>
      </c>
      <c r="AF424" s="10">
        <v>5500000.0</v>
      </c>
      <c r="AG424" s="1">
        <v>7.124272909E9</v>
      </c>
      <c r="AJ424" s="1">
        <v>180.0</v>
      </c>
      <c r="AK424" s="1">
        <v>90.0</v>
      </c>
      <c r="AL424" s="1" t="s">
        <v>6919</v>
      </c>
      <c r="AM424" s="1" t="s">
        <v>6920</v>
      </c>
      <c r="AN424" s="7" t="s">
        <v>6921</v>
      </c>
      <c r="AO424" s="8" t="str">
        <f>HYPERLINK("https://docs.google.com/document/d/187iAmG9dw15yBeOe_oAmkLAn_mEOvAubURiNvy2hac0/edit?usp=drivesdk","Al-Wildan 10 Cipinang, Jakarta Timur_Abdul Majid Fatihul Islam_Arabic")</f>
        <v>Al-Wildan 10 Cipinang, Jakarta Timur_Abdul Majid Fatihul Islam_Arabic</v>
      </c>
      <c r="AP424" s="1" t="s">
        <v>6922</v>
      </c>
    </row>
    <row r="425">
      <c r="A425" s="6">
        <v>44672.26960501158</v>
      </c>
      <c r="B425" s="7" t="s">
        <v>6923</v>
      </c>
      <c r="C425" s="8" t="s">
        <v>6924</v>
      </c>
      <c r="D425" s="1" t="s">
        <v>6925</v>
      </c>
      <c r="E425" s="9" t="s">
        <v>6926</v>
      </c>
      <c r="F425" s="1" t="s">
        <v>6927</v>
      </c>
      <c r="G425" s="1" t="s">
        <v>6928</v>
      </c>
      <c r="H425" s="1" t="s">
        <v>169</v>
      </c>
      <c r="I425" s="9" t="s">
        <v>6929</v>
      </c>
      <c r="J425" s="1" t="s">
        <v>6317</v>
      </c>
      <c r="K425" s="1" t="s">
        <v>102</v>
      </c>
      <c r="L425" s="1" t="s">
        <v>103</v>
      </c>
      <c r="M425" s="1" t="s">
        <v>104</v>
      </c>
      <c r="N425" s="1" t="s">
        <v>2200</v>
      </c>
      <c r="O425" s="1" t="s">
        <v>106</v>
      </c>
      <c r="P425" s="1" t="s">
        <v>6091</v>
      </c>
      <c r="Q425" s="1" t="s">
        <v>6930</v>
      </c>
      <c r="R425" s="1" t="s">
        <v>6931</v>
      </c>
      <c r="S425" s="1" t="s">
        <v>2372</v>
      </c>
      <c r="T425" s="1" t="s">
        <v>6932</v>
      </c>
      <c r="U425" s="1" t="s">
        <v>6933</v>
      </c>
      <c r="V425" s="1" t="s">
        <v>740</v>
      </c>
      <c r="Z425" s="1" t="s">
        <v>6934</v>
      </c>
      <c r="AA425" s="10">
        <v>4.4E7</v>
      </c>
      <c r="AF425" s="10">
        <v>5400000.0</v>
      </c>
      <c r="AG425" s="1">
        <v>2.35207816E9</v>
      </c>
      <c r="AJ425" s="1">
        <v>168.0</v>
      </c>
      <c r="AK425" s="1">
        <v>50.0</v>
      </c>
      <c r="AL425" s="1" t="s">
        <v>6935</v>
      </c>
      <c r="AM425" s="1" t="s">
        <v>6936</v>
      </c>
      <c r="AN425" s="7" t="s">
        <v>6937</v>
      </c>
      <c r="AO425" s="8" t="str">
        <f>HYPERLINK("https://docs.google.com/document/d/1dGNZsa6MRFAYuIfT_MFJIkH3S6gNQ8rujdbRuKAF_rA/edit?usp=drivesdk","Al-Wildan 10 Cipinang, Jakarta Timur_Aria Fariska, S.E.I, M.Pd_Guru Al-Qur'an")</f>
        <v>Al-Wildan 10 Cipinang, Jakarta Timur_Aria Fariska, S.E.I, M.Pd_Guru Al-Qur'an</v>
      </c>
      <c r="AP425" s="1" t="s">
        <v>6938</v>
      </c>
    </row>
    <row r="426">
      <c r="A426" s="6">
        <v>44672.45464556713</v>
      </c>
      <c r="B426" s="7" t="s">
        <v>6939</v>
      </c>
      <c r="C426" s="8" t="s">
        <v>6940</v>
      </c>
      <c r="D426" s="1" t="s">
        <v>6941</v>
      </c>
      <c r="E426" s="9" t="s">
        <v>6942</v>
      </c>
      <c r="F426" s="1" t="s">
        <v>6943</v>
      </c>
      <c r="G426" s="1" t="s">
        <v>6944</v>
      </c>
      <c r="H426" s="1" t="s">
        <v>6945</v>
      </c>
      <c r="I426" s="9" t="s">
        <v>6946</v>
      </c>
      <c r="J426" s="1" t="s">
        <v>6947</v>
      </c>
      <c r="K426" s="1" t="s">
        <v>102</v>
      </c>
      <c r="L426" s="1" t="s">
        <v>103</v>
      </c>
      <c r="M426" s="1" t="s">
        <v>6948</v>
      </c>
      <c r="N426" s="1" t="s">
        <v>6949</v>
      </c>
      <c r="O426" s="1" t="s">
        <v>236</v>
      </c>
      <c r="P426" s="1" t="s">
        <v>5213</v>
      </c>
      <c r="Q426" s="1" t="s">
        <v>6950</v>
      </c>
      <c r="R426" s="1" t="s">
        <v>6951</v>
      </c>
      <c r="S426" s="1" t="s">
        <v>333</v>
      </c>
      <c r="T426" s="1" t="s">
        <v>6952</v>
      </c>
      <c r="U426" s="1" t="s">
        <v>6953</v>
      </c>
      <c r="V426" s="1" t="s">
        <v>277</v>
      </c>
      <c r="W426" s="1" t="s">
        <v>6954</v>
      </c>
      <c r="X426" s="1" t="s">
        <v>6953</v>
      </c>
      <c r="Z426" s="1" t="s">
        <v>6955</v>
      </c>
      <c r="AA426" s="1" t="s">
        <v>6956</v>
      </c>
      <c r="AB426" s="1" t="s">
        <v>6957</v>
      </c>
      <c r="AC426" s="1" t="s">
        <v>6958</v>
      </c>
      <c r="AD426" s="1" t="s">
        <v>6959</v>
      </c>
      <c r="AE426" s="1" t="s">
        <v>6958</v>
      </c>
      <c r="AF426" s="1" t="s">
        <v>6960</v>
      </c>
      <c r="AH426" s="9" t="s">
        <v>6961</v>
      </c>
      <c r="AI426" s="1" t="s">
        <v>159</v>
      </c>
      <c r="AJ426" s="1" t="s">
        <v>6962</v>
      </c>
      <c r="AK426" s="1">
        <v>74.0</v>
      </c>
      <c r="AL426" s="1" t="s">
        <v>6963</v>
      </c>
      <c r="AM426" s="1" t="s">
        <v>6964</v>
      </c>
      <c r="AN426" s="7" t="s">
        <v>6965</v>
      </c>
      <c r="AO426" s="8" t="str">
        <f>HYPERLINK("https://docs.google.com/document/d/1_Kdn8YH4FpYLYPAAwkLE6uiv9LvCxOMmuf3jcqOtU4Q/edit?usp=drivesdk","Al-Wildan 2 Bekasi_Abdurahman Ahmed Milad_English, Arabic")</f>
        <v>Al-Wildan 2 Bekasi_Abdurahman Ahmed Milad_English, Arabic</v>
      </c>
      <c r="AP426" s="1" t="s">
        <v>6966</v>
      </c>
    </row>
    <row r="427">
      <c r="A427" s="6">
        <v>44672.49672383102</v>
      </c>
      <c r="B427" s="7" t="s">
        <v>6967</v>
      </c>
      <c r="C427" s="8" t="s">
        <v>6968</v>
      </c>
      <c r="D427" s="1" t="s">
        <v>6969</v>
      </c>
      <c r="E427" s="9" t="s">
        <v>6970</v>
      </c>
      <c r="F427" s="1" t="s">
        <v>6971</v>
      </c>
      <c r="G427" s="1" t="s">
        <v>6972</v>
      </c>
      <c r="H427" s="1" t="s">
        <v>722</v>
      </c>
      <c r="I427" s="9" t="s">
        <v>6973</v>
      </c>
      <c r="J427" s="1" t="s">
        <v>6974</v>
      </c>
      <c r="K427" s="1" t="s">
        <v>102</v>
      </c>
      <c r="L427" s="1" t="s">
        <v>329</v>
      </c>
      <c r="M427" s="1" t="s">
        <v>104</v>
      </c>
      <c r="N427" s="1" t="s">
        <v>152</v>
      </c>
      <c r="O427" s="1" t="s">
        <v>236</v>
      </c>
      <c r="P427" s="1" t="s">
        <v>6533</v>
      </c>
      <c r="Q427" s="1" t="s">
        <v>6975</v>
      </c>
      <c r="R427" s="1" t="s">
        <v>152</v>
      </c>
      <c r="S427" s="9" t="s">
        <v>6976</v>
      </c>
      <c r="Z427" s="1" t="s">
        <v>6977</v>
      </c>
      <c r="AA427" s="10">
        <v>4600000.0</v>
      </c>
      <c r="AB427" s="1" t="s">
        <v>6978</v>
      </c>
      <c r="AF427" s="1" t="s">
        <v>6979</v>
      </c>
      <c r="AG427" s="1">
        <v>7.19494754E9</v>
      </c>
      <c r="AI427" s="1" t="s">
        <v>5113</v>
      </c>
      <c r="AJ427" s="1">
        <v>182.0</v>
      </c>
      <c r="AK427" s="1">
        <v>73.0</v>
      </c>
      <c r="AL427" s="1" t="s">
        <v>6980</v>
      </c>
      <c r="AM427" s="1" t="s">
        <v>6981</v>
      </c>
      <c r="AN427" s="7" t="s">
        <v>6982</v>
      </c>
      <c r="AO427" s="8" t="str">
        <f>HYPERLINK("https://docs.google.com/document/d/1MrPFUSKarlBWs3WaflkecyVfFUWzSa4qayIE6GvgyJQ/edit?usp=drivesdk","Al-Wildan 5 Benhil_Mesha Gilang Pratama, S.S._Bahasa Inggris")</f>
        <v>Al-Wildan 5 Benhil_Mesha Gilang Pratama, S.S._Bahasa Inggris</v>
      </c>
      <c r="AP427" s="1" t="s">
        <v>6983</v>
      </c>
    </row>
    <row r="428">
      <c r="A428" s="6">
        <v>44672.976195069445</v>
      </c>
      <c r="B428" s="7" t="s">
        <v>6984</v>
      </c>
      <c r="C428" s="8" t="s">
        <v>6985</v>
      </c>
      <c r="D428" s="1" t="s">
        <v>6986</v>
      </c>
      <c r="E428" s="1">
        <v>8.59322325E10</v>
      </c>
      <c r="F428" s="1" t="s">
        <v>6987</v>
      </c>
      <c r="G428" s="1" t="s">
        <v>6988</v>
      </c>
      <c r="H428" s="1" t="s">
        <v>6989</v>
      </c>
      <c r="I428" s="9" t="s">
        <v>6990</v>
      </c>
      <c r="J428" s="1" t="s">
        <v>6991</v>
      </c>
      <c r="K428" s="1" t="s">
        <v>151</v>
      </c>
      <c r="L428" s="1" t="s">
        <v>103</v>
      </c>
      <c r="M428" s="1" t="s">
        <v>104</v>
      </c>
      <c r="N428" s="1" t="s">
        <v>6992</v>
      </c>
      <c r="O428" s="1" t="s">
        <v>127</v>
      </c>
      <c r="P428" s="1" t="s">
        <v>6533</v>
      </c>
      <c r="Q428" s="1" t="s">
        <v>192</v>
      </c>
      <c r="R428" s="1" t="s">
        <v>193</v>
      </c>
      <c r="S428" s="1" t="s">
        <v>6993</v>
      </c>
      <c r="Z428" s="1" t="s">
        <v>6994</v>
      </c>
      <c r="AA428" s="10">
        <v>4000000.0</v>
      </c>
      <c r="AF428" s="10">
        <v>5000000.0</v>
      </c>
      <c r="AG428" s="1">
        <v>4.89059504E9</v>
      </c>
      <c r="AJ428" s="1">
        <v>168.0</v>
      </c>
      <c r="AK428" s="1">
        <v>55.0</v>
      </c>
      <c r="AL428" s="1" t="s">
        <v>6995</v>
      </c>
      <c r="AM428" s="1" t="s">
        <v>6996</v>
      </c>
      <c r="AN428" s="7" t="s">
        <v>6997</v>
      </c>
      <c r="AO428" s="8" t="str">
        <f>HYPERLINK("https://docs.google.com/document/d/1dhg-5cwtx2tVA5vRA_esOwUeNPzlX7Y0GmMjpH6gx0U/edit?usp=drivesdk","Al-Wildan 5 Benhil_Ahmad Ramli, Lc._Diniyyah (PAI, Fiqh, Akhlaq dll)")</f>
        <v>Al-Wildan 5 Benhil_Ahmad Ramli, Lc._Diniyyah (PAI, Fiqh, Akhlaq dll)</v>
      </c>
      <c r="AP428" s="1" t="s">
        <v>6998</v>
      </c>
    </row>
    <row r="429">
      <c r="A429" s="6">
        <v>44673.660621944444</v>
      </c>
      <c r="B429" s="7" t="s">
        <v>6999</v>
      </c>
      <c r="C429" s="8" t="s">
        <v>7000</v>
      </c>
      <c r="D429" s="1" t="s">
        <v>7001</v>
      </c>
      <c r="E429" s="9" t="s">
        <v>7002</v>
      </c>
      <c r="F429" s="1" t="s">
        <v>7003</v>
      </c>
      <c r="G429" s="1" t="s">
        <v>7004</v>
      </c>
      <c r="H429" s="1" t="s">
        <v>7005</v>
      </c>
      <c r="I429" s="9" t="s">
        <v>7006</v>
      </c>
      <c r="J429" s="1" t="s">
        <v>7007</v>
      </c>
      <c r="K429" s="1" t="s">
        <v>102</v>
      </c>
      <c r="L429" s="1" t="s">
        <v>103</v>
      </c>
      <c r="M429" s="1" t="s">
        <v>104</v>
      </c>
      <c r="N429" s="1" t="s">
        <v>7008</v>
      </c>
      <c r="O429" s="1" t="s">
        <v>127</v>
      </c>
      <c r="P429" s="1" t="s">
        <v>237</v>
      </c>
      <c r="Q429" s="1" t="s">
        <v>7009</v>
      </c>
      <c r="R429" s="1" t="s">
        <v>7010</v>
      </c>
      <c r="S429" s="9" t="s">
        <v>2804</v>
      </c>
      <c r="Z429" s="1" t="s">
        <v>7011</v>
      </c>
      <c r="AA429" s="1" t="s">
        <v>7012</v>
      </c>
      <c r="AB429" s="1" t="s">
        <v>7013</v>
      </c>
      <c r="AC429" s="1" t="s">
        <v>7014</v>
      </c>
      <c r="AD429" s="1" t="s">
        <v>7015</v>
      </c>
      <c r="AE429" s="1" t="s">
        <v>7016</v>
      </c>
      <c r="AF429" s="1" t="s">
        <v>7017</v>
      </c>
      <c r="AG429" s="1">
        <v>7.186614938E9</v>
      </c>
      <c r="AJ429" s="1">
        <v>163.0</v>
      </c>
      <c r="AK429" s="1">
        <v>60.0</v>
      </c>
      <c r="AL429" s="1" t="s">
        <v>7018</v>
      </c>
      <c r="AM429" s="1" t="s">
        <v>7019</v>
      </c>
      <c r="AN429" s="7" t="s">
        <v>7020</v>
      </c>
      <c r="AO429" s="8" t="str">
        <f>HYPERLINK("https://docs.google.com/document/d/19mnEFrHU_d91T29U2iFNU-L9fyzNLfmQsgANW0VXV0k/edit?usp=drivesdk","Al-Wildan 4 Lebak Bulus_Abdurrahman Baghoush_Native - Arabic")</f>
        <v>Al-Wildan 4 Lebak Bulus_Abdurrahman Baghoush_Native - Arabic</v>
      </c>
      <c r="AP429" s="1" t="s">
        <v>7021</v>
      </c>
    </row>
    <row r="430">
      <c r="A430" s="6">
        <v>44673.73770846065</v>
      </c>
      <c r="B430" s="7" t="s">
        <v>7022</v>
      </c>
      <c r="C430" s="8" t="s">
        <v>7023</v>
      </c>
      <c r="D430" s="1" t="s">
        <v>7024</v>
      </c>
      <c r="E430" s="1" t="s">
        <v>7025</v>
      </c>
      <c r="F430" s="1" t="s">
        <v>7026</v>
      </c>
      <c r="G430" s="1" t="s">
        <v>7027</v>
      </c>
      <c r="H430" s="1" t="s">
        <v>148</v>
      </c>
      <c r="I430" s="9" t="s">
        <v>7028</v>
      </c>
      <c r="J430" s="1" t="s">
        <v>7029</v>
      </c>
      <c r="K430" s="1" t="s">
        <v>102</v>
      </c>
      <c r="L430" s="1" t="s">
        <v>256</v>
      </c>
      <c r="M430" s="1" t="s">
        <v>104</v>
      </c>
      <c r="N430" s="1" t="s">
        <v>235</v>
      </c>
      <c r="O430" s="1" t="s">
        <v>127</v>
      </c>
      <c r="P430" s="1" t="s">
        <v>6091</v>
      </c>
      <c r="Q430" s="1" t="s">
        <v>7030</v>
      </c>
      <c r="R430" s="1" t="s">
        <v>235</v>
      </c>
      <c r="S430" s="1" t="s">
        <v>7031</v>
      </c>
      <c r="T430" s="1" t="s">
        <v>7030</v>
      </c>
      <c r="U430" s="1" t="s">
        <v>7032</v>
      </c>
      <c r="V430" s="1" t="s">
        <v>7033</v>
      </c>
      <c r="Z430" s="1" t="s">
        <v>7034</v>
      </c>
      <c r="AA430" s="10">
        <v>5000000.0</v>
      </c>
      <c r="AF430" s="1" t="s">
        <v>7035</v>
      </c>
      <c r="AG430" s="1">
        <v>7.101242581E9</v>
      </c>
      <c r="AJ430" s="1">
        <v>185.0</v>
      </c>
      <c r="AK430" s="1">
        <v>95.0</v>
      </c>
      <c r="AL430" s="1" t="s">
        <v>7036</v>
      </c>
      <c r="AM430" s="1" t="s">
        <v>7037</v>
      </c>
      <c r="AN430" s="7" t="s">
        <v>7038</v>
      </c>
      <c r="AO430" s="8" t="str">
        <f>HYPERLINK("https://docs.google.com/document/d/1ppdg8DByi_Qp0Y6gkXWtEiIHQkpktcPvrjggcdJ11tc/edit?usp=drivesdk","Al-Wildan 10 Cipinang, Jakarta Timur_Abdullah Fahri Azzam, BA., MA._Bahasa Arab")</f>
        <v>Al-Wildan 10 Cipinang, Jakarta Timur_Abdullah Fahri Azzam, BA., MA._Bahasa Arab</v>
      </c>
      <c r="AP430" s="1" t="s">
        <v>7039</v>
      </c>
    </row>
    <row r="431">
      <c r="A431" s="6">
        <v>44673.8347371875</v>
      </c>
      <c r="B431" s="7" t="s">
        <v>7040</v>
      </c>
      <c r="C431" s="8" t="s">
        <v>7041</v>
      </c>
      <c r="D431" s="1" t="s">
        <v>7042</v>
      </c>
      <c r="E431" s="9" t="s">
        <v>7043</v>
      </c>
      <c r="F431" s="1" t="s">
        <v>7044</v>
      </c>
      <c r="G431" s="1" t="s">
        <v>7045</v>
      </c>
      <c r="H431" s="1" t="s">
        <v>7046</v>
      </c>
      <c r="I431" s="9" t="s">
        <v>7047</v>
      </c>
      <c r="J431" s="1" t="s">
        <v>7048</v>
      </c>
      <c r="K431" s="1" t="s">
        <v>102</v>
      </c>
      <c r="L431" s="1" t="s">
        <v>103</v>
      </c>
      <c r="M431" s="1" t="s">
        <v>104</v>
      </c>
      <c r="N431" s="1" t="s">
        <v>3018</v>
      </c>
      <c r="O431" s="1" t="s">
        <v>236</v>
      </c>
      <c r="P431" s="1" t="s">
        <v>6091</v>
      </c>
      <c r="Q431" s="1" t="s">
        <v>108</v>
      </c>
      <c r="R431" s="1" t="s">
        <v>536</v>
      </c>
      <c r="S431" s="1" t="s">
        <v>1060</v>
      </c>
      <c r="T431" s="1" t="s">
        <v>275</v>
      </c>
      <c r="U431" s="1" t="s">
        <v>5522</v>
      </c>
      <c r="V431" s="1" t="s">
        <v>110</v>
      </c>
      <c r="Z431" s="1" t="s">
        <v>7049</v>
      </c>
      <c r="AA431" s="10">
        <v>5800000.0</v>
      </c>
      <c r="AB431" s="1" t="s">
        <v>7050</v>
      </c>
      <c r="AC431" s="10">
        <v>6000000.0</v>
      </c>
      <c r="AF431" s="10">
        <v>6500000.0</v>
      </c>
      <c r="AG431" s="1">
        <v>7.176585174E9</v>
      </c>
      <c r="AI431" s="1" t="s">
        <v>4856</v>
      </c>
      <c r="AJ431" s="1">
        <v>165.0</v>
      </c>
      <c r="AK431" s="1">
        <v>83.0</v>
      </c>
      <c r="AL431" s="1" t="s">
        <v>7051</v>
      </c>
      <c r="AM431" s="1" t="s">
        <v>7052</v>
      </c>
      <c r="AN431" s="7" t="s">
        <v>7053</v>
      </c>
      <c r="AO431" s="8" t="str">
        <f>HYPERLINK("https://docs.google.com/document/d/1RsEhgd1y9LePZLSbSY7r_2CPypUeZ-p5xAZ8SBaZzMU/edit?usp=drivesdk","Al-Wildan 10 Cipinang, Jakarta Timur_Dyan Agni Mayatirtana, S.Pd.,M.Si_Geografi")</f>
        <v>Al-Wildan 10 Cipinang, Jakarta Timur_Dyan Agni Mayatirtana, S.Pd.,M.Si_Geografi</v>
      </c>
      <c r="AP431" s="1" t="s">
        <v>7054</v>
      </c>
    </row>
    <row r="432">
      <c r="A432" s="6">
        <v>44674.01359635417</v>
      </c>
      <c r="B432" s="7" t="s">
        <v>7055</v>
      </c>
      <c r="C432" s="8" t="s">
        <v>7056</v>
      </c>
      <c r="D432" s="1" t="s">
        <v>7057</v>
      </c>
      <c r="E432" s="9" t="s">
        <v>7058</v>
      </c>
      <c r="F432" s="1" t="s">
        <v>7059</v>
      </c>
      <c r="G432" s="1" t="s">
        <v>7060</v>
      </c>
      <c r="H432" s="1" t="s">
        <v>1646</v>
      </c>
      <c r="I432" s="9" t="s">
        <v>7061</v>
      </c>
      <c r="J432" s="1" t="s">
        <v>7062</v>
      </c>
      <c r="K432" s="1" t="s">
        <v>102</v>
      </c>
      <c r="L432" s="1" t="s">
        <v>103</v>
      </c>
      <c r="M432" s="1" t="s">
        <v>104</v>
      </c>
      <c r="N432" s="1" t="s">
        <v>235</v>
      </c>
      <c r="O432" s="1" t="s">
        <v>127</v>
      </c>
      <c r="P432" s="1" t="s">
        <v>6659</v>
      </c>
      <c r="Q432" s="1" t="s">
        <v>668</v>
      </c>
      <c r="R432" s="1" t="s">
        <v>193</v>
      </c>
      <c r="S432" s="1" t="s">
        <v>7063</v>
      </c>
      <c r="Z432" s="1" t="s">
        <v>7064</v>
      </c>
      <c r="AA432" s="1" t="s">
        <v>7065</v>
      </c>
      <c r="AB432" s="1" t="s">
        <v>7066</v>
      </c>
      <c r="AC432" s="1" t="s">
        <v>7067</v>
      </c>
      <c r="AF432" s="1" t="s">
        <v>7068</v>
      </c>
      <c r="AH432" s="1">
        <v>6.36901006131504E14</v>
      </c>
      <c r="AI432" s="1" t="s">
        <v>2407</v>
      </c>
      <c r="AJ432" s="1">
        <v>168.0</v>
      </c>
      <c r="AK432" s="1">
        <v>88.0</v>
      </c>
      <c r="AL432" s="1" t="s">
        <v>7069</v>
      </c>
      <c r="AM432" s="1" t="s">
        <v>7070</v>
      </c>
      <c r="AN432" s="7" t="s">
        <v>7071</v>
      </c>
      <c r="AO432" s="8" t="str">
        <f>HYPERLINK("https://docs.google.com/document/d/1ojsaZWOkeZF9xyVOXiO3yCfVlnarxQK-pmNVIgCmt7Y/edit?usp=drivesdk","Al-Wildan 15 Kompas Indah, Tambun Bekasi._Azmi Husni Bawedan, B.A._Bahasa Arab")</f>
        <v>Al-Wildan 15 Kompas Indah, Tambun Bekasi._Azmi Husni Bawedan, B.A._Bahasa Arab</v>
      </c>
      <c r="AP432" s="1" t="s">
        <v>7072</v>
      </c>
    </row>
    <row r="433">
      <c r="A433" s="6">
        <v>44674.537453020836</v>
      </c>
      <c r="B433" s="7" t="s">
        <v>7073</v>
      </c>
      <c r="C433" s="8" t="s">
        <v>7074</v>
      </c>
      <c r="D433" s="1" t="s">
        <v>7075</v>
      </c>
      <c r="E433" s="9" t="s">
        <v>7076</v>
      </c>
      <c r="F433" s="1" t="s">
        <v>7077</v>
      </c>
      <c r="G433" s="1" t="s">
        <v>7078</v>
      </c>
      <c r="H433" s="1" t="s">
        <v>7079</v>
      </c>
      <c r="I433" s="9" t="s">
        <v>7080</v>
      </c>
      <c r="J433" s="1" t="s">
        <v>438</v>
      </c>
      <c r="K433" s="1" t="s">
        <v>151</v>
      </c>
      <c r="L433" s="1" t="s">
        <v>256</v>
      </c>
      <c r="M433" s="1" t="s">
        <v>104</v>
      </c>
      <c r="N433" s="1" t="s">
        <v>7081</v>
      </c>
      <c r="O433" s="1" t="s">
        <v>127</v>
      </c>
      <c r="P433" s="1" t="s">
        <v>5712</v>
      </c>
      <c r="Q433" s="1" t="s">
        <v>7082</v>
      </c>
      <c r="R433" s="1" t="s">
        <v>7083</v>
      </c>
      <c r="S433" s="1" t="s">
        <v>110</v>
      </c>
      <c r="Z433" s="1" t="s">
        <v>7084</v>
      </c>
      <c r="AA433" s="10">
        <v>2500000.0</v>
      </c>
      <c r="AB433" s="1" t="s">
        <v>7085</v>
      </c>
      <c r="AC433" s="10">
        <v>4500000.0</v>
      </c>
      <c r="AF433" s="10">
        <v>5000000.0</v>
      </c>
      <c r="AH433" s="1">
        <v>1.238654676E9</v>
      </c>
      <c r="AI433" s="1" t="s">
        <v>7086</v>
      </c>
      <c r="AJ433" s="1">
        <v>171.0</v>
      </c>
      <c r="AK433" s="1">
        <v>69.0</v>
      </c>
      <c r="AL433" s="1" t="s">
        <v>7087</v>
      </c>
      <c r="AM433" s="1" t="s">
        <v>7088</v>
      </c>
      <c r="AN433" s="7" t="s">
        <v>7089</v>
      </c>
      <c r="AO433" s="8" t="str">
        <f>HYPERLINK("https://docs.google.com/document/d/1LKF16pGgYk-vnq6YIvMGBFAbfo10azQtalx9lvp3fB0/edit?usp=drivesdk","Al-Wildan 3 BSD City_Fakhrur rodhi al- hendan S.H._Fiqih (diutamakan), aqidah, hadits, tafsir, adab akhlaq.")</f>
        <v>Al-Wildan 3 BSD City_Fakhrur rodhi al- hendan S.H._Fiqih (diutamakan), aqidah, hadits, tafsir, adab akhlaq.</v>
      </c>
      <c r="AP433" s="1" t="s">
        <v>7090</v>
      </c>
    </row>
    <row r="434">
      <c r="A434" s="6">
        <v>44674.59799263889</v>
      </c>
      <c r="B434" s="7" t="s">
        <v>7091</v>
      </c>
      <c r="C434" s="8" t="s">
        <v>7092</v>
      </c>
      <c r="D434" s="1" t="s">
        <v>7093</v>
      </c>
      <c r="E434" s="9" t="s">
        <v>7094</v>
      </c>
      <c r="F434" s="1" t="s">
        <v>7095</v>
      </c>
      <c r="G434" s="1" t="s">
        <v>7096</v>
      </c>
      <c r="H434" s="1" t="s">
        <v>7097</v>
      </c>
      <c r="I434" s="9" t="s">
        <v>7098</v>
      </c>
      <c r="J434" s="1">
        <v>38.0</v>
      </c>
      <c r="K434" s="1" t="s">
        <v>102</v>
      </c>
      <c r="L434" s="1" t="s">
        <v>310</v>
      </c>
      <c r="M434" s="1" t="s">
        <v>104</v>
      </c>
      <c r="N434" s="1" t="s">
        <v>4407</v>
      </c>
      <c r="O434" s="1" t="s">
        <v>106</v>
      </c>
      <c r="P434" s="1" t="s">
        <v>6187</v>
      </c>
      <c r="Q434" s="1" t="s">
        <v>7099</v>
      </c>
      <c r="AA434" s="1" t="s">
        <v>7100</v>
      </c>
      <c r="AB434" s="1" t="s">
        <v>7101</v>
      </c>
      <c r="AC434" s="1" t="s">
        <v>7102</v>
      </c>
      <c r="AD434" s="1" t="s">
        <v>6837</v>
      </c>
      <c r="AE434" s="1" t="s">
        <v>7103</v>
      </c>
      <c r="AF434" s="1" t="s">
        <v>7102</v>
      </c>
      <c r="AG434" s="9" t="s">
        <v>7104</v>
      </c>
      <c r="AH434" s="1">
        <v>6.70280292E8</v>
      </c>
      <c r="AI434" s="1" t="s">
        <v>222</v>
      </c>
      <c r="AJ434" s="1">
        <v>180.0</v>
      </c>
      <c r="AK434" s="1">
        <v>80.0</v>
      </c>
      <c r="AL434" s="1" t="s">
        <v>7105</v>
      </c>
      <c r="AM434" s="1" t="s">
        <v>7106</v>
      </c>
      <c r="AN434" s="7" t="s">
        <v>7107</v>
      </c>
      <c r="AO434" s="8" t="str">
        <f>HYPERLINK("https://docs.google.com/document/d/1rLzjssVWRBswoDejy7Z5MbhYHMf2Xl2oBpV6qTKc5CM/edit?usp=drivesdk","Al-Wildan 14 Bumi Mutiara, Bogor_Mustapha Abaji_Native English")</f>
        <v>Al-Wildan 14 Bumi Mutiara, Bogor_Mustapha Abaji_Native English</v>
      </c>
      <c r="AP434" s="1" t="s">
        <v>7108</v>
      </c>
    </row>
    <row r="435">
      <c r="A435" s="6">
        <v>44674.96021201389</v>
      </c>
      <c r="B435" s="7" t="s">
        <v>7109</v>
      </c>
      <c r="C435" s="8" t="s">
        <v>7110</v>
      </c>
      <c r="D435" s="1" t="s">
        <v>7111</v>
      </c>
      <c r="E435" s="9" t="s">
        <v>7112</v>
      </c>
      <c r="F435" s="1" t="s">
        <v>7113</v>
      </c>
      <c r="G435" s="1" t="s">
        <v>7114</v>
      </c>
      <c r="H435" s="1" t="s">
        <v>7115</v>
      </c>
      <c r="I435" s="9" t="s">
        <v>7116</v>
      </c>
      <c r="J435" s="1" t="s">
        <v>7117</v>
      </c>
      <c r="K435" s="1" t="s">
        <v>102</v>
      </c>
      <c r="L435" s="1" t="s">
        <v>103</v>
      </c>
      <c r="M435" s="1" t="s">
        <v>104</v>
      </c>
      <c r="N435" s="1" t="s">
        <v>7118</v>
      </c>
      <c r="O435" s="1" t="s">
        <v>127</v>
      </c>
      <c r="P435" s="1" t="s">
        <v>6659</v>
      </c>
      <c r="Q435" s="1" t="s">
        <v>7119</v>
      </c>
      <c r="R435" s="1" t="s">
        <v>7120</v>
      </c>
      <c r="S435" s="1" t="s">
        <v>6799</v>
      </c>
      <c r="Z435" s="1" t="s">
        <v>7121</v>
      </c>
      <c r="AA435" s="10">
        <v>2500000.0</v>
      </c>
      <c r="AF435" s="10">
        <v>4500000.0</v>
      </c>
      <c r="AG435" s="1">
        <v>7.143491247E9</v>
      </c>
      <c r="AJ435" s="1">
        <v>160.0</v>
      </c>
      <c r="AK435" s="1">
        <v>70.0</v>
      </c>
      <c r="AL435" s="1" t="s">
        <v>7122</v>
      </c>
      <c r="AM435" s="1" t="s">
        <v>7123</v>
      </c>
      <c r="AN435" s="7" t="s">
        <v>7124</v>
      </c>
      <c r="AO435" s="8" t="str">
        <f>HYPERLINK("https://docs.google.com/document/d/1a9tOcg62XKmx4e2xMmTUX74nLPVe5V85tVfwgrnqFBo/edit?usp=drivesdk","Al-Wildan 15 Kompas Indah, Tambun Bekasi._Ramadhani Latifah Faeka Murni, S.Pd_IPA atau Biologi")</f>
        <v>Al-Wildan 15 Kompas Indah, Tambun Bekasi._Ramadhani Latifah Faeka Murni, S.Pd_IPA atau Biologi</v>
      </c>
      <c r="AP435" s="1" t="s">
        <v>7125</v>
      </c>
    </row>
    <row r="436">
      <c r="A436" s="6">
        <v>44675.03260898148</v>
      </c>
      <c r="B436" s="7" t="s">
        <v>7126</v>
      </c>
      <c r="C436" s="8" t="s">
        <v>7127</v>
      </c>
      <c r="D436" s="1" t="s">
        <v>7128</v>
      </c>
      <c r="E436" s="9" t="s">
        <v>7129</v>
      </c>
      <c r="F436" s="1" t="s">
        <v>7130</v>
      </c>
      <c r="G436" s="1" t="s">
        <v>7131</v>
      </c>
      <c r="H436" s="1" t="s">
        <v>169</v>
      </c>
      <c r="I436" s="9" t="s">
        <v>7132</v>
      </c>
      <c r="J436" s="1" t="s">
        <v>3221</v>
      </c>
      <c r="K436" s="1" t="s">
        <v>151</v>
      </c>
      <c r="L436" s="1" t="s">
        <v>310</v>
      </c>
      <c r="M436" s="1" t="s">
        <v>104</v>
      </c>
      <c r="N436" s="1" t="s">
        <v>152</v>
      </c>
      <c r="O436" s="1" t="s">
        <v>236</v>
      </c>
      <c r="P436" s="1" t="s">
        <v>107</v>
      </c>
      <c r="Q436" s="1" t="s">
        <v>7133</v>
      </c>
      <c r="R436" s="1" t="s">
        <v>5612</v>
      </c>
      <c r="S436" s="1" t="s">
        <v>155</v>
      </c>
      <c r="Z436" s="1" t="s">
        <v>7134</v>
      </c>
      <c r="AA436" s="10">
        <v>5000000.0</v>
      </c>
      <c r="AF436" s="10">
        <v>7000000.0</v>
      </c>
      <c r="AG436" s="1">
        <v>5.33948947E9</v>
      </c>
      <c r="AJ436" s="1">
        <v>160.0</v>
      </c>
      <c r="AK436" s="1">
        <v>70.0</v>
      </c>
      <c r="AL436" s="1" t="s">
        <v>7135</v>
      </c>
      <c r="AM436" s="1" t="s">
        <v>7136</v>
      </c>
      <c r="AN436" s="7" t="s">
        <v>7137</v>
      </c>
      <c r="AO436" s="8" t="str">
        <f>HYPERLINK("https://docs.google.com/document/d/1uYvCeKlO1Mqi_fbmaKge5_KSDXaVqbaxeZuCvsbo3z0/edit?usp=drivesdk","Al-Wildan 1 Gading Serpong_Indah Agustina, S.S._Bahasa Inggris")</f>
        <v>Al-Wildan 1 Gading Serpong_Indah Agustina, S.S._Bahasa Inggris</v>
      </c>
      <c r="AP436" s="1" t="s">
        <v>7138</v>
      </c>
    </row>
    <row r="437">
      <c r="A437" s="6">
        <v>44675.219514236116</v>
      </c>
      <c r="B437" s="7" t="s">
        <v>7139</v>
      </c>
      <c r="C437" s="8" t="s">
        <v>7140</v>
      </c>
      <c r="D437" s="1" t="s">
        <v>7141</v>
      </c>
      <c r="E437" s="9" t="s">
        <v>7142</v>
      </c>
      <c r="F437" s="1" t="s">
        <v>7143</v>
      </c>
      <c r="G437" s="1" t="s">
        <v>7144</v>
      </c>
      <c r="H437" s="1" t="s">
        <v>1255</v>
      </c>
      <c r="I437" s="9" t="s">
        <v>7145</v>
      </c>
      <c r="J437" s="1" t="s">
        <v>2352</v>
      </c>
      <c r="K437" s="1" t="s">
        <v>151</v>
      </c>
      <c r="L437" s="1" t="s">
        <v>496</v>
      </c>
      <c r="M437" s="1" t="s">
        <v>104</v>
      </c>
      <c r="N437" s="1" t="s">
        <v>7146</v>
      </c>
      <c r="O437" s="1" t="s">
        <v>127</v>
      </c>
      <c r="P437" s="1" t="s">
        <v>107</v>
      </c>
      <c r="Q437" s="1" t="s">
        <v>192</v>
      </c>
      <c r="R437" s="1" t="s">
        <v>193</v>
      </c>
      <c r="S437" s="1" t="s">
        <v>7147</v>
      </c>
      <c r="Z437" s="1" t="s">
        <v>7148</v>
      </c>
      <c r="AA437" s="10">
        <v>2000000.0</v>
      </c>
      <c r="AB437" s="1" t="s">
        <v>7149</v>
      </c>
      <c r="AC437" s="10">
        <v>4000000.0</v>
      </c>
      <c r="AF437" s="10">
        <v>7000000.0</v>
      </c>
      <c r="AG437" s="1">
        <v>5.6676639E9</v>
      </c>
      <c r="AJ437" s="1">
        <v>158.0</v>
      </c>
      <c r="AK437" s="1">
        <v>48.0</v>
      </c>
      <c r="AL437" s="1" t="s">
        <v>7150</v>
      </c>
      <c r="AM437" s="1" t="s">
        <v>7151</v>
      </c>
      <c r="AN437" s="7" t="s">
        <v>7152</v>
      </c>
      <c r="AO437" s="8" t="str">
        <f>HYPERLINK("https://docs.google.com/document/d/1GDzb1wgrNnhTz7bhJoTozmKNk24cyeJ6bVZU1nSJhLo/edit?usp=drivesdk","Al-Wildan 1 Gading Serpong_Alya Maulida Lc._Fiqh/akhlaq")</f>
        <v>Al-Wildan 1 Gading Serpong_Alya Maulida Lc._Fiqh/akhlaq</v>
      </c>
      <c r="AP437" s="1" t="s">
        <v>7153</v>
      </c>
    </row>
    <row r="438">
      <c r="A438" s="6">
        <v>44675.49581635417</v>
      </c>
      <c r="B438" s="7" t="s">
        <v>7154</v>
      </c>
      <c r="C438" s="8" t="s">
        <v>7155</v>
      </c>
      <c r="D438" s="1" t="s">
        <v>7156</v>
      </c>
      <c r="E438" s="9" t="s">
        <v>7157</v>
      </c>
      <c r="F438" s="1" t="s">
        <v>7158</v>
      </c>
      <c r="G438" s="1" t="s">
        <v>7159</v>
      </c>
      <c r="H438" s="1" t="s">
        <v>7160</v>
      </c>
      <c r="I438" s="9" t="s">
        <v>7161</v>
      </c>
      <c r="J438" s="1" t="s">
        <v>150</v>
      </c>
      <c r="K438" s="1" t="s">
        <v>151</v>
      </c>
      <c r="L438" s="1" t="s">
        <v>103</v>
      </c>
      <c r="M438" s="1" t="s">
        <v>104</v>
      </c>
      <c r="N438" s="1" t="s">
        <v>1523</v>
      </c>
      <c r="O438" s="1" t="s">
        <v>236</v>
      </c>
      <c r="P438" s="1" t="s">
        <v>7162</v>
      </c>
      <c r="Q438" s="1" t="s">
        <v>153</v>
      </c>
      <c r="R438" s="1" t="s">
        <v>1521</v>
      </c>
      <c r="S438" s="1" t="s">
        <v>4462</v>
      </c>
      <c r="Z438" s="1" t="s">
        <v>7163</v>
      </c>
      <c r="AA438" s="1" t="s">
        <v>7164</v>
      </c>
      <c r="AB438" s="1" t="s">
        <v>7165</v>
      </c>
      <c r="AC438" s="1" t="s">
        <v>7166</v>
      </c>
      <c r="AF438" s="1" t="s">
        <v>4721</v>
      </c>
      <c r="AG438" s="1">
        <v>8.180973359E9</v>
      </c>
      <c r="AJ438" s="1">
        <v>163.0</v>
      </c>
      <c r="AK438" s="1">
        <v>51.0</v>
      </c>
      <c r="AL438" s="1" t="s">
        <v>7167</v>
      </c>
      <c r="AM438" s="1" t="s">
        <v>7168</v>
      </c>
      <c r="AN438" s="7" t="s">
        <v>7169</v>
      </c>
      <c r="AO438" s="8" t="str">
        <f>HYPERLINK("https://docs.google.com/document/d/18eBYVFAOdQ6QkB00AJeRRwMxp7h3pnEphKEr_99XuAs/edit?usp=drivesdk","Al-Wildan 7 Serang_Nanda Annisa S.Pd._Kimia")</f>
        <v>Al-Wildan 7 Serang_Nanda Annisa S.Pd._Kimia</v>
      </c>
      <c r="AP438" s="1" t="s">
        <v>7170</v>
      </c>
    </row>
    <row r="439">
      <c r="A439" s="6">
        <v>44675.550241296296</v>
      </c>
      <c r="B439" s="7" t="s">
        <v>7171</v>
      </c>
      <c r="C439" s="8" t="s">
        <v>7172</v>
      </c>
      <c r="D439" s="1" t="s">
        <v>7173</v>
      </c>
      <c r="E439" s="9" t="s">
        <v>7174</v>
      </c>
      <c r="F439" s="1" t="s">
        <v>7175</v>
      </c>
      <c r="G439" s="1" t="s">
        <v>7176</v>
      </c>
      <c r="H439" s="1" t="s">
        <v>169</v>
      </c>
      <c r="I439" s="9" t="s">
        <v>7177</v>
      </c>
      <c r="J439" s="1" t="s">
        <v>1933</v>
      </c>
      <c r="K439" s="1" t="s">
        <v>102</v>
      </c>
      <c r="L439" s="1" t="s">
        <v>103</v>
      </c>
      <c r="M439" s="1" t="s">
        <v>104</v>
      </c>
      <c r="N439" s="1" t="s">
        <v>235</v>
      </c>
      <c r="O439" s="1" t="s">
        <v>312</v>
      </c>
      <c r="P439" s="1" t="s">
        <v>107</v>
      </c>
      <c r="Q439" s="1" t="s">
        <v>3237</v>
      </c>
      <c r="R439" s="1" t="s">
        <v>2355</v>
      </c>
      <c r="S439" s="1" t="s">
        <v>6236</v>
      </c>
      <c r="Z439" s="1" t="s">
        <v>7178</v>
      </c>
      <c r="AA439" s="10">
        <v>4000000.0</v>
      </c>
      <c r="AB439" s="1" t="s">
        <v>7179</v>
      </c>
      <c r="AC439" s="10">
        <v>1850441.0</v>
      </c>
      <c r="AF439" s="10">
        <v>5000000.0</v>
      </c>
      <c r="AG439" s="1">
        <v>7.173595284E9</v>
      </c>
      <c r="AJ439" s="1">
        <v>158.0</v>
      </c>
      <c r="AK439" s="1">
        <v>50.0</v>
      </c>
      <c r="AL439" s="1" t="s">
        <v>7180</v>
      </c>
      <c r="AM439" s="1" t="s">
        <v>7181</v>
      </c>
      <c r="AN439" s="7" t="s">
        <v>7182</v>
      </c>
      <c r="AO439" s="8" t="str">
        <f>HYPERLINK("https://docs.google.com/document/d/1mcsEYA1GR2_p6cU4VVLMOQ7wsib27mHVJEyK6iCkkOo/edit?usp=drivesdk","Al-Wildan 1 Gading Serpong_Nurul Falah Elyandri, S.Pd._Bahasa Arab")</f>
        <v>Al-Wildan 1 Gading Serpong_Nurul Falah Elyandri, S.Pd._Bahasa Arab</v>
      </c>
      <c r="AP439" s="1" t="s">
        <v>7183</v>
      </c>
    </row>
    <row r="440">
      <c r="A440" s="6">
        <v>44675.5649440625</v>
      </c>
      <c r="B440" s="7" t="s">
        <v>7184</v>
      </c>
      <c r="C440" s="8" t="s">
        <v>7185</v>
      </c>
      <c r="D440" s="1" t="s">
        <v>7186</v>
      </c>
      <c r="E440" s="9" t="s">
        <v>7187</v>
      </c>
      <c r="F440" s="1" t="s">
        <v>7188</v>
      </c>
      <c r="G440" s="1" t="s">
        <v>7189</v>
      </c>
      <c r="H440" s="1" t="s">
        <v>99</v>
      </c>
      <c r="I440" s="9" t="s">
        <v>7190</v>
      </c>
      <c r="J440" s="1" t="s">
        <v>2481</v>
      </c>
      <c r="K440" s="1" t="s">
        <v>102</v>
      </c>
      <c r="L440" s="1" t="s">
        <v>103</v>
      </c>
      <c r="M440" s="1" t="s">
        <v>104</v>
      </c>
      <c r="N440" s="1" t="s">
        <v>235</v>
      </c>
      <c r="O440" s="1" t="s">
        <v>127</v>
      </c>
      <c r="P440" s="1" t="s">
        <v>107</v>
      </c>
      <c r="Q440" s="1" t="s">
        <v>7191</v>
      </c>
      <c r="R440" s="1" t="s">
        <v>7192</v>
      </c>
      <c r="S440" s="1">
        <v>3.6</v>
      </c>
      <c r="Z440" s="1" t="s">
        <v>7193</v>
      </c>
      <c r="AA440" s="10">
        <v>2600000.0</v>
      </c>
      <c r="AF440" s="10">
        <v>5000000.0</v>
      </c>
      <c r="AG440" s="1">
        <v>7.142080928E9</v>
      </c>
      <c r="AJ440" s="1">
        <v>164.0</v>
      </c>
      <c r="AK440" s="1">
        <v>67.0</v>
      </c>
      <c r="AL440" s="1" t="s">
        <v>7194</v>
      </c>
      <c r="AM440" s="1" t="s">
        <v>7195</v>
      </c>
      <c r="AN440" s="7" t="s">
        <v>7196</v>
      </c>
      <c r="AO440" s="8" t="str">
        <f>HYPERLINK("https://docs.google.com/document/d/16it5s5701hIklk5WqitGJN1TRZ_VmYNGJ4Qw7j7ZZ3E/edit?usp=drivesdk","Al-Wildan 1 Gading Serpong_Nawafie Kholief, S.Pd._Bahasa Arab")</f>
        <v>Al-Wildan 1 Gading Serpong_Nawafie Kholief, S.Pd._Bahasa Arab</v>
      </c>
      <c r="AP440" s="1" t="s">
        <v>7197</v>
      </c>
    </row>
    <row r="441">
      <c r="A441" s="6">
        <v>44675.65514351852</v>
      </c>
      <c r="B441" s="7" t="s">
        <v>7198</v>
      </c>
      <c r="C441" s="8" t="s">
        <v>7199</v>
      </c>
      <c r="D441" s="1" t="s">
        <v>7200</v>
      </c>
      <c r="E441" s="9" t="s">
        <v>7201</v>
      </c>
      <c r="F441" s="1" t="s">
        <v>7202</v>
      </c>
      <c r="G441" s="1" t="s">
        <v>7203</v>
      </c>
      <c r="H441" s="1" t="s">
        <v>7204</v>
      </c>
      <c r="I441" s="9" t="s">
        <v>7205</v>
      </c>
      <c r="J441" s="1" t="s">
        <v>1591</v>
      </c>
      <c r="K441" s="1" t="s">
        <v>102</v>
      </c>
      <c r="L441" s="1" t="s">
        <v>310</v>
      </c>
      <c r="M441" s="1" t="s">
        <v>104</v>
      </c>
      <c r="N441" s="1" t="s">
        <v>152</v>
      </c>
      <c r="O441" s="1" t="s">
        <v>312</v>
      </c>
      <c r="P441" s="1" t="s">
        <v>107</v>
      </c>
      <c r="Q441" s="1" t="s">
        <v>7206</v>
      </c>
      <c r="R441" s="1" t="s">
        <v>6220</v>
      </c>
      <c r="S441" s="1">
        <v>2.51</v>
      </c>
      <c r="T441" s="1" t="s">
        <v>7207</v>
      </c>
      <c r="U441" s="1" t="s">
        <v>7208</v>
      </c>
      <c r="V441" s="1">
        <v>3.12</v>
      </c>
      <c r="Z441" s="1" t="s">
        <v>7209</v>
      </c>
      <c r="AA441" s="10">
        <v>1500000.0</v>
      </c>
      <c r="AB441" s="1" t="s">
        <v>7210</v>
      </c>
      <c r="AC441" s="10">
        <v>6000000.0</v>
      </c>
      <c r="AD441" s="1" t="s">
        <v>7211</v>
      </c>
      <c r="AE441" s="10">
        <v>3800000.0</v>
      </c>
      <c r="AF441" s="10">
        <v>6500000.0</v>
      </c>
      <c r="AG441" s="1">
        <v>7.131203987E9</v>
      </c>
      <c r="AJ441" s="1">
        <v>168.0</v>
      </c>
      <c r="AK441" s="1">
        <v>63.0</v>
      </c>
      <c r="AL441" s="1" t="s">
        <v>7212</v>
      </c>
      <c r="AM441" s="1" t="s">
        <v>7213</v>
      </c>
      <c r="AN441" s="7" t="s">
        <v>7214</v>
      </c>
      <c r="AO441" s="8" t="str">
        <f>HYPERLINK("https://docs.google.com/document/d/1DyI8ZaAk_-iVd8Wv8awRGS-jcCwCiwVOBWAPtTANR1Q/edit?usp=drivesdk","Al-Wildan 1 Gading Serpong_Wulan Puspitaningtyas Wedy, S.Kom., M.M._Bahasa Inggris")</f>
        <v>Al-Wildan 1 Gading Serpong_Wulan Puspitaningtyas Wedy, S.Kom., M.M._Bahasa Inggris</v>
      </c>
      <c r="AP441" s="1" t="s">
        <v>7215</v>
      </c>
    </row>
    <row r="442">
      <c r="A442" s="6">
        <v>44676.527168726854</v>
      </c>
      <c r="B442" s="7" t="s">
        <v>7216</v>
      </c>
      <c r="C442" s="8" t="s">
        <v>7217</v>
      </c>
      <c r="D442" s="1" t="s">
        <v>7218</v>
      </c>
      <c r="E442" s="9" t="s">
        <v>7219</v>
      </c>
      <c r="F442" s="1" t="s">
        <v>7220</v>
      </c>
      <c r="G442" s="1" t="s">
        <v>7221</v>
      </c>
      <c r="H442" s="1" t="s">
        <v>148</v>
      </c>
      <c r="I442" s="9" t="s">
        <v>7222</v>
      </c>
      <c r="J442" s="1" t="s">
        <v>1648</v>
      </c>
      <c r="K442" s="1" t="s">
        <v>102</v>
      </c>
      <c r="L442" s="1" t="s">
        <v>103</v>
      </c>
      <c r="M442" s="1" t="s">
        <v>104</v>
      </c>
      <c r="N442" s="1" t="s">
        <v>235</v>
      </c>
      <c r="O442" s="1" t="s">
        <v>106</v>
      </c>
      <c r="P442" s="1" t="s">
        <v>6659</v>
      </c>
      <c r="Q442" s="1" t="s">
        <v>7223</v>
      </c>
      <c r="R442" s="1" t="s">
        <v>2355</v>
      </c>
      <c r="S442" s="1" t="s">
        <v>3589</v>
      </c>
      <c r="Z442" s="1" t="s">
        <v>7224</v>
      </c>
      <c r="AA442" s="10">
        <v>2600000.0</v>
      </c>
      <c r="AB442" s="1" t="s">
        <v>7225</v>
      </c>
      <c r="AC442" s="10">
        <v>3600000.0</v>
      </c>
      <c r="AF442" s="10">
        <v>6000000.0</v>
      </c>
      <c r="AG442" s="1">
        <v>7.186426163E9</v>
      </c>
      <c r="AJ442" s="1">
        <v>170.0</v>
      </c>
      <c r="AK442" s="1">
        <v>85.0</v>
      </c>
      <c r="AL442" s="1" t="s">
        <v>7226</v>
      </c>
      <c r="AM442" s="1" t="s">
        <v>7227</v>
      </c>
      <c r="AN442" s="7" t="s">
        <v>7228</v>
      </c>
      <c r="AO442" s="8" t="str">
        <f>HYPERLINK("https://docs.google.com/document/d/1vfKC03UXiBpy9oCu5dx7cmDFgNrWCsFmCp8hqcUL_6k/edit?usp=drivesdk","Al-Wildan 15 Kompas Indah, Tambun Bekasi._Fahmi Yahya Abdil Haq, S.Pd._Bahasa Arab")</f>
        <v>Al-Wildan 15 Kompas Indah, Tambun Bekasi._Fahmi Yahya Abdil Haq, S.Pd._Bahasa Arab</v>
      </c>
      <c r="AP442" s="1" t="s">
        <v>7229</v>
      </c>
    </row>
    <row r="443">
      <c r="A443" s="6">
        <v>44676.541893229165</v>
      </c>
      <c r="B443" s="7" t="s">
        <v>7230</v>
      </c>
      <c r="C443" s="8" t="s">
        <v>7231</v>
      </c>
      <c r="D443" s="1" t="s">
        <v>7232</v>
      </c>
      <c r="E443" s="9" t="s">
        <v>7233</v>
      </c>
      <c r="F443" s="1" t="s">
        <v>7234</v>
      </c>
      <c r="G443" s="1" t="s">
        <v>7235</v>
      </c>
      <c r="H443" s="1" t="s">
        <v>4139</v>
      </c>
      <c r="I443" s="9" t="s">
        <v>7236</v>
      </c>
      <c r="J443" s="1">
        <v>25.0</v>
      </c>
      <c r="K443" s="1" t="s">
        <v>151</v>
      </c>
      <c r="L443" s="1" t="s">
        <v>103</v>
      </c>
      <c r="M443" s="1" t="s">
        <v>104</v>
      </c>
      <c r="N443" s="1" t="s">
        <v>274</v>
      </c>
      <c r="O443" s="1" t="s">
        <v>127</v>
      </c>
      <c r="P443" s="1" t="s">
        <v>5712</v>
      </c>
      <c r="Q443" s="1" t="s">
        <v>811</v>
      </c>
      <c r="R443" s="1" t="s">
        <v>1102</v>
      </c>
      <c r="S443" s="1" t="s">
        <v>7237</v>
      </c>
      <c r="Z443" s="1" t="s">
        <v>7238</v>
      </c>
      <c r="AA443" s="10">
        <v>4300000.0</v>
      </c>
      <c r="AB443" s="1" t="s">
        <v>7239</v>
      </c>
      <c r="AC443" s="1" t="s">
        <v>7240</v>
      </c>
      <c r="AF443" s="10">
        <v>5500000.0</v>
      </c>
      <c r="AG443" s="1">
        <v>3.22492463E8</v>
      </c>
      <c r="AJ443" s="1">
        <v>173.0</v>
      </c>
      <c r="AK443" s="1">
        <v>78.0</v>
      </c>
      <c r="AL443" s="1" t="s">
        <v>7241</v>
      </c>
      <c r="AM443" s="1" t="s">
        <v>7242</v>
      </c>
      <c r="AN443" s="7" t="s">
        <v>7243</v>
      </c>
      <c r="AO443" s="8" t="str">
        <f>HYPERLINK("https://docs.google.com/document/d/1NDAtFb0SycClLU8eiPz5QpQznj1bbVYE6uIFmY7EukE/edit?usp=drivesdk","Al-Wildan 3 BSD City_Ahmad Hafiz B.A_Diniyyah")</f>
        <v>Al-Wildan 3 BSD City_Ahmad Hafiz B.A_Diniyyah</v>
      </c>
      <c r="AP443" s="1" t="s">
        <v>7244</v>
      </c>
    </row>
    <row r="444">
      <c r="A444" s="6">
        <v>44676.71815112268</v>
      </c>
      <c r="B444" s="7" t="s">
        <v>7245</v>
      </c>
      <c r="C444" s="8" t="s">
        <v>7246</v>
      </c>
      <c r="D444" s="1" t="s">
        <v>7247</v>
      </c>
      <c r="E444" s="9" t="s">
        <v>7248</v>
      </c>
      <c r="F444" s="1" t="s">
        <v>7249</v>
      </c>
      <c r="G444" s="1" t="s">
        <v>7250</v>
      </c>
      <c r="H444" s="1" t="s">
        <v>169</v>
      </c>
      <c r="I444" s="9" t="s">
        <v>7251</v>
      </c>
      <c r="J444" s="1" t="s">
        <v>724</v>
      </c>
      <c r="K444" s="1" t="s">
        <v>102</v>
      </c>
      <c r="L444" s="1" t="s">
        <v>256</v>
      </c>
      <c r="M444" s="1" t="s">
        <v>104</v>
      </c>
      <c r="N444" s="1" t="s">
        <v>771</v>
      </c>
      <c r="O444" s="1" t="s">
        <v>236</v>
      </c>
      <c r="P444" s="1" t="s">
        <v>5712</v>
      </c>
      <c r="Q444" s="1" t="s">
        <v>108</v>
      </c>
      <c r="R444" s="1" t="s">
        <v>172</v>
      </c>
      <c r="S444" s="1" t="s">
        <v>7252</v>
      </c>
      <c r="Z444" s="1" t="s">
        <v>7253</v>
      </c>
      <c r="AA444" s="1" t="s">
        <v>7254</v>
      </c>
      <c r="AB444" s="1" t="s">
        <v>7255</v>
      </c>
      <c r="AC444" s="1" t="s">
        <v>7256</v>
      </c>
      <c r="AF444" s="10">
        <v>6750000.0</v>
      </c>
      <c r="AG444" s="1">
        <v>8.39205018E9</v>
      </c>
      <c r="AJ444" s="1">
        <v>168.0</v>
      </c>
      <c r="AK444" s="1">
        <v>52.0</v>
      </c>
      <c r="AL444" s="1" t="s">
        <v>7257</v>
      </c>
      <c r="AM444" s="1" t="s">
        <v>7258</v>
      </c>
      <c r="AN444" s="7" t="s">
        <v>7259</v>
      </c>
      <c r="AO444" s="8" t="str">
        <f>HYPERLINK("https://docs.google.com/document/d/16YBbTm4TUrVy_wC7JJDU9SwcvlzRXrNMTufFlE3pMlk/edit?usp=drivesdk","Al-Wildan 3 BSD City_Osy Benu Ismail S.Pd._English")</f>
        <v>Al-Wildan 3 BSD City_Osy Benu Ismail S.Pd._English</v>
      </c>
      <c r="AP444" s="1" t="s">
        <v>7260</v>
      </c>
    </row>
    <row r="445">
      <c r="A445" s="6">
        <v>44676.71890771991</v>
      </c>
      <c r="B445" s="7" t="s">
        <v>7261</v>
      </c>
      <c r="C445" s="8" t="s">
        <v>7262</v>
      </c>
      <c r="D445" s="1" t="s">
        <v>7263</v>
      </c>
      <c r="E445" s="9" t="s">
        <v>7264</v>
      </c>
      <c r="F445" s="1" t="s">
        <v>7265</v>
      </c>
      <c r="G445" s="1" t="s">
        <v>7266</v>
      </c>
      <c r="H445" s="1" t="s">
        <v>7267</v>
      </c>
      <c r="I445" s="9" t="s">
        <v>7268</v>
      </c>
      <c r="J445" s="1" t="s">
        <v>7269</v>
      </c>
      <c r="K445" s="1" t="s">
        <v>151</v>
      </c>
      <c r="L445" s="1" t="s">
        <v>103</v>
      </c>
      <c r="M445" s="1" t="s">
        <v>104</v>
      </c>
      <c r="N445" s="1" t="s">
        <v>7270</v>
      </c>
      <c r="O445" s="1" t="s">
        <v>127</v>
      </c>
      <c r="P445" s="1" t="s">
        <v>237</v>
      </c>
      <c r="Q445" s="1" t="s">
        <v>7271</v>
      </c>
      <c r="R445" s="1" t="s">
        <v>7272</v>
      </c>
      <c r="S445" s="1" t="s">
        <v>6338</v>
      </c>
      <c r="T445" s="1" t="s">
        <v>7273</v>
      </c>
      <c r="U445" s="1" t="s">
        <v>7274</v>
      </c>
      <c r="V445" s="1" t="s">
        <v>7275</v>
      </c>
      <c r="W445" s="1" t="s">
        <v>217</v>
      </c>
      <c r="X445" s="1" t="s">
        <v>217</v>
      </c>
      <c r="Y445" s="1">
        <v>0.0</v>
      </c>
      <c r="Z445" s="1" t="s">
        <v>7276</v>
      </c>
      <c r="AA445" s="10">
        <v>5400000.0</v>
      </c>
      <c r="AB445" s="1" t="s">
        <v>217</v>
      </c>
      <c r="AC445" s="1" t="s">
        <v>217</v>
      </c>
      <c r="AD445" s="1" t="s">
        <v>217</v>
      </c>
      <c r="AE445" s="1" t="s">
        <v>217</v>
      </c>
      <c r="AF445" s="1" t="s">
        <v>7277</v>
      </c>
      <c r="AG445" s="1">
        <v>7.41128019E9</v>
      </c>
      <c r="AH445" s="1">
        <v>0.0</v>
      </c>
      <c r="AI445" s="1" t="s">
        <v>7278</v>
      </c>
      <c r="AJ445" s="1">
        <v>170.0</v>
      </c>
      <c r="AK445" s="1">
        <v>64.0</v>
      </c>
      <c r="AL445" s="1" t="s">
        <v>7279</v>
      </c>
      <c r="AM445" s="1" t="s">
        <v>7280</v>
      </c>
      <c r="AN445" s="7" t="s">
        <v>7281</v>
      </c>
      <c r="AO445" s="8" t="str">
        <f>HYPERLINK("https://docs.google.com/document/d/1e8RVfRClpdTsw-qJNWMQ_hK0AvReNqrEJ90bGIisRoU/edit?usp=drivesdk","Al-Wildan 4 Lebak Bulus_Muhammad Khaidir S.pd._Diniyah (Fiqih, Tafsir, Tauhid)")</f>
        <v>Al-Wildan 4 Lebak Bulus_Muhammad Khaidir S.pd._Diniyah (Fiqih, Tafsir, Tauhid)</v>
      </c>
      <c r="AP445" s="1" t="s">
        <v>7282</v>
      </c>
    </row>
    <row r="446">
      <c r="A446" s="6">
        <v>44676.76670491898</v>
      </c>
      <c r="B446" s="7" t="s">
        <v>7283</v>
      </c>
      <c r="C446" s="8" t="s">
        <v>7284</v>
      </c>
      <c r="D446" s="1" t="s">
        <v>7285</v>
      </c>
      <c r="E446" s="9" t="s">
        <v>7286</v>
      </c>
      <c r="F446" s="1" t="s">
        <v>7287</v>
      </c>
      <c r="G446" s="1" t="s">
        <v>7288</v>
      </c>
      <c r="H446" s="1" t="s">
        <v>7289</v>
      </c>
      <c r="I446" s="9" t="s">
        <v>7290</v>
      </c>
      <c r="J446" s="1" t="s">
        <v>7291</v>
      </c>
      <c r="K446" s="1" t="s">
        <v>102</v>
      </c>
      <c r="L446" s="1" t="s">
        <v>103</v>
      </c>
      <c r="M446" s="1" t="s">
        <v>104</v>
      </c>
      <c r="N446" s="1" t="s">
        <v>274</v>
      </c>
      <c r="O446" s="1" t="s">
        <v>312</v>
      </c>
      <c r="P446" s="1" t="s">
        <v>237</v>
      </c>
      <c r="Q446" s="1" t="s">
        <v>7292</v>
      </c>
      <c r="R446" s="1" t="s">
        <v>193</v>
      </c>
      <c r="S446" s="1" t="s">
        <v>7293</v>
      </c>
      <c r="Z446" s="1" t="s">
        <v>7294</v>
      </c>
      <c r="AA446" s="10">
        <v>2000000.0</v>
      </c>
      <c r="AB446" s="1" t="s">
        <v>7295</v>
      </c>
      <c r="AC446" s="10">
        <v>5100000.0</v>
      </c>
      <c r="AF446" s="10">
        <v>5500000.0</v>
      </c>
      <c r="AG446" s="1">
        <v>7.173567148E9</v>
      </c>
      <c r="AJ446" s="1">
        <v>159.0</v>
      </c>
      <c r="AK446" s="1">
        <v>70.0</v>
      </c>
      <c r="AL446" s="1" t="s">
        <v>7296</v>
      </c>
      <c r="AM446" s="1" t="s">
        <v>7297</v>
      </c>
      <c r="AN446" s="7" t="s">
        <v>7298</v>
      </c>
      <c r="AO446" s="8" t="str">
        <f>HYPERLINK("https://docs.google.com/document/d/1F_--lRqP8-MfIselx-hV_upM60aWe6ORgZb-urjOXKw/edit?usp=drivesdk","Al-Wildan 4 Lebak Bulus_Muhammad Anzar, LC_Diniyyah")</f>
        <v>Al-Wildan 4 Lebak Bulus_Muhammad Anzar, LC_Diniyyah</v>
      </c>
      <c r="AP446" s="1" t="s">
        <v>7299</v>
      </c>
    </row>
    <row r="447">
      <c r="A447" s="6">
        <v>44677.411796342596</v>
      </c>
      <c r="B447" s="7" t="s">
        <v>7300</v>
      </c>
      <c r="C447" s="8" t="s">
        <v>7301</v>
      </c>
      <c r="D447" s="1" t="s">
        <v>7302</v>
      </c>
      <c r="E447" s="9" t="s">
        <v>7303</v>
      </c>
      <c r="F447" s="1" t="s">
        <v>7304</v>
      </c>
      <c r="G447" s="1" t="s">
        <v>7305</v>
      </c>
      <c r="H447" s="1" t="s">
        <v>99</v>
      </c>
      <c r="I447" s="9" t="s">
        <v>7306</v>
      </c>
      <c r="J447" s="1" t="s">
        <v>3787</v>
      </c>
      <c r="K447" s="1" t="s">
        <v>151</v>
      </c>
      <c r="L447" s="1" t="s">
        <v>103</v>
      </c>
      <c r="M447" s="1" t="s">
        <v>4954</v>
      </c>
      <c r="N447" s="1" t="s">
        <v>7307</v>
      </c>
      <c r="O447" s="1" t="s">
        <v>106</v>
      </c>
      <c r="P447" s="1" t="s">
        <v>5712</v>
      </c>
      <c r="Q447" s="1" t="s">
        <v>7308</v>
      </c>
      <c r="R447" s="1" t="s">
        <v>7309</v>
      </c>
      <c r="S447" s="1">
        <v>3.4</v>
      </c>
      <c r="Z447" s="1" t="s">
        <v>7310</v>
      </c>
      <c r="AF447" s="10">
        <v>5000000.0</v>
      </c>
      <c r="AH447" s="1">
        <v>1.640003379544E12</v>
      </c>
      <c r="AI447" s="1" t="s">
        <v>2119</v>
      </c>
      <c r="AJ447" s="1">
        <v>180.0</v>
      </c>
      <c r="AK447" s="1">
        <v>60.0</v>
      </c>
      <c r="AL447" s="1" t="s">
        <v>7311</v>
      </c>
      <c r="AM447" s="1" t="s">
        <v>7312</v>
      </c>
      <c r="AN447" s="7" t="s">
        <v>7313</v>
      </c>
      <c r="AO447" s="8" t="str">
        <f>HYPERLINK("https://docs.google.com/document/d/13HV1ttQYev9Opt-wTo-T00OCFs-xbuBAm50lA2G9OM8/edit?usp=drivesdk","Al-Wildan 3 BSD City_Hilman Hujaji, SQ ( Sarjana Al-Quran )_Al-Quran ")</f>
        <v>Al-Wildan 3 BSD City_Hilman Hujaji, SQ ( Sarjana Al-Quran )_Al-Quran </v>
      </c>
      <c r="AP447" s="1" t="s">
        <v>7314</v>
      </c>
    </row>
    <row r="448">
      <c r="A448" s="6">
        <v>44677.425110729164</v>
      </c>
      <c r="B448" s="7" t="s">
        <v>7315</v>
      </c>
      <c r="C448" s="8" t="s">
        <v>7316</v>
      </c>
      <c r="D448" s="1" t="s">
        <v>7317</v>
      </c>
      <c r="E448" s="9" t="s">
        <v>7318</v>
      </c>
      <c r="F448" s="1" t="s">
        <v>7319</v>
      </c>
      <c r="G448" s="1" t="s">
        <v>389</v>
      </c>
      <c r="H448" s="1" t="s">
        <v>7320</v>
      </c>
      <c r="I448" s="9" t="s">
        <v>7321</v>
      </c>
      <c r="J448" s="1" t="s">
        <v>7322</v>
      </c>
      <c r="K448" s="1" t="s">
        <v>102</v>
      </c>
      <c r="L448" s="1" t="s">
        <v>103</v>
      </c>
      <c r="M448" s="1" t="s">
        <v>104</v>
      </c>
      <c r="N448" s="1" t="s">
        <v>7323</v>
      </c>
      <c r="O448" s="1" t="s">
        <v>1202</v>
      </c>
      <c r="P448" s="1" t="s">
        <v>107</v>
      </c>
      <c r="Q448" s="1" t="s">
        <v>7324</v>
      </c>
      <c r="R448" s="1" t="s">
        <v>7325</v>
      </c>
      <c r="S448" s="1">
        <v>3.69</v>
      </c>
      <c r="Z448" s="1" t="s">
        <v>7326</v>
      </c>
      <c r="AA448" s="10">
        <v>3500000.0</v>
      </c>
      <c r="AF448" s="10">
        <v>4000000.0</v>
      </c>
      <c r="AG448" s="1">
        <v>7.187242694E9</v>
      </c>
      <c r="AJ448" s="1">
        <v>160.0</v>
      </c>
      <c r="AK448" s="1">
        <v>48.0</v>
      </c>
      <c r="AL448" s="1" t="s">
        <v>7327</v>
      </c>
      <c r="AM448" s="1" t="s">
        <v>7328</v>
      </c>
      <c r="AN448" s="7" t="s">
        <v>7329</v>
      </c>
      <c r="AO448" s="8" t="str">
        <f>HYPERLINK("https://docs.google.com/document/d/1WiYjUX1pdb8TcGYruaqeb4DQ5bgDIrdM8a5o7O4yTTI/edit?usp=drivesdk","Al-Wildan 1 Gading Serpong_Dini Naseha, S. Pd_Guru TK")</f>
        <v>Al-Wildan 1 Gading Serpong_Dini Naseha, S. Pd_Guru TK</v>
      </c>
      <c r="AP448" s="1" t="s">
        <v>7330</v>
      </c>
    </row>
    <row r="449">
      <c r="A449" s="6">
        <v>44677.90839438657</v>
      </c>
      <c r="B449" s="7" t="s">
        <v>7331</v>
      </c>
      <c r="C449" s="8" t="s">
        <v>7332</v>
      </c>
      <c r="D449" s="1" t="s">
        <v>7333</v>
      </c>
      <c r="E449" s="9" t="s">
        <v>7334</v>
      </c>
      <c r="F449" s="1" t="s">
        <v>7335</v>
      </c>
      <c r="G449" s="1" t="s">
        <v>7336</v>
      </c>
      <c r="H449" s="1" t="s">
        <v>7337</v>
      </c>
      <c r="I449" s="9" t="s">
        <v>7338</v>
      </c>
      <c r="J449" s="1" t="s">
        <v>7339</v>
      </c>
      <c r="K449" s="1" t="s">
        <v>102</v>
      </c>
      <c r="L449" s="1" t="s">
        <v>103</v>
      </c>
      <c r="M449" s="1" t="s">
        <v>104</v>
      </c>
      <c r="N449" s="1" t="s">
        <v>7340</v>
      </c>
      <c r="O449" s="1" t="s">
        <v>127</v>
      </c>
      <c r="P449" s="1" t="s">
        <v>237</v>
      </c>
      <c r="Q449" s="1" t="s">
        <v>7341</v>
      </c>
      <c r="R449" s="1" t="s">
        <v>193</v>
      </c>
      <c r="S449" s="1" t="s">
        <v>7342</v>
      </c>
      <c r="T449" s="1" t="s">
        <v>217</v>
      </c>
      <c r="U449" s="1" t="s">
        <v>217</v>
      </c>
      <c r="V449" s="1" t="s">
        <v>217</v>
      </c>
      <c r="W449" s="1" t="s">
        <v>217</v>
      </c>
      <c r="X449" s="1" t="s">
        <v>217</v>
      </c>
      <c r="Z449" s="1" t="s">
        <v>7343</v>
      </c>
      <c r="AA449" s="10">
        <v>6323000.0</v>
      </c>
      <c r="AB449" s="1" t="s">
        <v>217</v>
      </c>
      <c r="AC449" s="1" t="s">
        <v>217</v>
      </c>
      <c r="AD449" s="1" t="s">
        <v>217</v>
      </c>
      <c r="AE449" s="1" t="s">
        <v>217</v>
      </c>
      <c r="AF449" s="10">
        <v>7000000.0</v>
      </c>
      <c r="AG449" s="1">
        <v>4.29162206E9</v>
      </c>
      <c r="AI449" s="1" t="s">
        <v>217</v>
      </c>
      <c r="AJ449" s="1">
        <v>155.0</v>
      </c>
      <c r="AK449" s="1">
        <v>51.0</v>
      </c>
      <c r="AL449" s="1" t="s">
        <v>7344</v>
      </c>
      <c r="AM449" s="1" t="s">
        <v>7345</v>
      </c>
      <c r="AN449" s="7" t="s">
        <v>7346</v>
      </c>
      <c r="AO449" s="8" t="str">
        <f>HYPERLINK("https://docs.google.com/document/d/1Hp-rRsXKALTiNQTGKUKrDkWILIt6msvub_Xl3xNbbDE/edit?usp=drivesdk","Al-Wildan 4 Lebak Bulus_Moh. Azhar, LC_Fiqih, Mapel Diniyah")</f>
        <v>Al-Wildan 4 Lebak Bulus_Moh. Azhar, LC_Fiqih, Mapel Diniyah</v>
      </c>
      <c r="AP449" s="1" t="s">
        <v>7347</v>
      </c>
    </row>
    <row r="450">
      <c r="A450" s="6">
        <v>44677.99897697917</v>
      </c>
      <c r="B450" s="7" t="s">
        <v>7348</v>
      </c>
      <c r="C450" s="8" t="s">
        <v>7349</v>
      </c>
      <c r="D450" s="1" t="s">
        <v>7350</v>
      </c>
      <c r="E450" s="9" t="s">
        <v>6894</v>
      </c>
      <c r="F450" s="1" t="s">
        <v>6895</v>
      </c>
      <c r="G450" s="1" t="s">
        <v>7351</v>
      </c>
      <c r="H450" s="1" t="s">
        <v>685</v>
      </c>
      <c r="I450" s="9" t="s">
        <v>6898</v>
      </c>
      <c r="J450" s="1" t="s">
        <v>7352</v>
      </c>
      <c r="K450" s="1" t="s">
        <v>151</v>
      </c>
      <c r="L450" s="1" t="s">
        <v>256</v>
      </c>
      <c r="M450" s="1" t="s">
        <v>104</v>
      </c>
      <c r="N450" s="1" t="s">
        <v>7353</v>
      </c>
      <c r="O450" s="1" t="s">
        <v>127</v>
      </c>
      <c r="P450" s="1" t="s">
        <v>237</v>
      </c>
      <c r="Q450" s="1" t="s">
        <v>7354</v>
      </c>
      <c r="R450" s="1" t="s">
        <v>7355</v>
      </c>
      <c r="S450" s="1" t="s">
        <v>1612</v>
      </c>
      <c r="Z450" s="1" t="s">
        <v>7356</v>
      </c>
      <c r="AA450" s="10">
        <v>4750000.0</v>
      </c>
      <c r="AB450" s="1" t="s">
        <v>6905</v>
      </c>
      <c r="AC450" s="10">
        <v>4800000.0</v>
      </c>
      <c r="AF450" s="10">
        <v>5500000.0</v>
      </c>
      <c r="AG450" s="1">
        <v>7.142915841E9</v>
      </c>
      <c r="AJ450" s="1">
        <v>179.0</v>
      </c>
      <c r="AK450" s="1">
        <v>90.0</v>
      </c>
      <c r="AL450" s="1" t="s">
        <v>6906</v>
      </c>
      <c r="AM450" s="1" t="s">
        <v>7357</v>
      </c>
      <c r="AN450" s="7" t="s">
        <v>7358</v>
      </c>
      <c r="AO450" s="8" t="str">
        <f>HYPERLINK("https://docs.google.com/document/d/19ogD29-39s5Pl3aUTvVUJPUD9KarOXXvImrrZbj1CLs/edit?usp=drivesdk","Al-Wildan 4 Lebak Bulus_Achmad ruri darmansyah, LC, Spdi_Bahasa ARAB")</f>
        <v>Al-Wildan 4 Lebak Bulus_Achmad ruri darmansyah, LC, Spdi_Bahasa ARAB</v>
      </c>
      <c r="AP450" s="1" t="s">
        <v>7359</v>
      </c>
    </row>
    <row r="451">
      <c r="A451" s="6">
        <v>44678.55176711806</v>
      </c>
      <c r="B451" s="7" t="s">
        <v>7360</v>
      </c>
      <c r="C451" s="8" t="s">
        <v>7361</v>
      </c>
      <c r="D451" s="1" t="s">
        <v>7362</v>
      </c>
      <c r="E451" s="9" t="s">
        <v>7363</v>
      </c>
      <c r="F451" s="1" t="s">
        <v>7364</v>
      </c>
      <c r="G451" s="1" t="s">
        <v>7365</v>
      </c>
      <c r="H451" s="1" t="s">
        <v>6482</v>
      </c>
      <c r="I451" s="9" t="s">
        <v>3298</v>
      </c>
      <c r="J451" s="1" t="s">
        <v>7366</v>
      </c>
      <c r="K451" s="1" t="s">
        <v>102</v>
      </c>
      <c r="L451" s="1" t="s">
        <v>256</v>
      </c>
      <c r="M451" s="1" t="s">
        <v>104</v>
      </c>
      <c r="N451" s="1" t="s">
        <v>7323</v>
      </c>
      <c r="O451" s="1" t="s">
        <v>1202</v>
      </c>
      <c r="P451" s="1" t="s">
        <v>107</v>
      </c>
      <c r="Q451" s="1" t="s">
        <v>6253</v>
      </c>
      <c r="R451" s="1" t="s">
        <v>478</v>
      </c>
      <c r="S451" s="1" t="s">
        <v>333</v>
      </c>
      <c r="T451" s="1" t="s">
        <v>217</v>
      </c>
      <c r="U451" s="1" t="s">
        <v>217</v>
      </c>
      <c r="V451" s="1" t="s">
        <v>217</v>
      </c>
      <c r="W451" s="1" t="s">
        <v>217</v>
      </c>
      <c r="X451" s="1" t="s">
        <v>217</v>
      </c>
      <c r="Z451" s="1" t="s">
        <v>7367</v>
      </c>
      <c r="AA451" s="10">
        <v>4850000.0</v>
      </c>
      <c r="AB451" s="1" t="s">
        <v>217</v>
      </c>
      <c r="AC451" s="1" t="s">
        <v>217</v>
      </c>
      <c r="AD451" s="1" t="s">
        <v>217</v>
      </c>
      <c r="AE451" s="1" t="s">
        <v>217</v>
      </c>
      <c r="AF451" s="10">
        <v>6000000.0</v>
      </c>
      <c r="AH451" s="1">
        <v>1.55001007243E12</v>
      </c>
      <c r="AI451" s="1" t="s">
        <v>4483</v>
      </c>
      <c r="AJ451" s="1">
        <v>150.0</v>
      </c>
      <c r="AK451" s="1">
        <v>46.0</v>
      </c>
      <c r="AL451" s="1" t="s">
        <v>7368</v>
      </c>
      <c r="AM451" s="1" t="s">
        <v>7369</v>
      </c>
      <c r="AN451" s="7" t="s">
        <v>7370</v>
      </c>
      <c r="AO451" s="8" t="str">
        <f>HYPERLINK("https://docs.google.com/document/d/1SQQpyWTyybi_621n-C2qak5_xFy55Y784NZ7TD4-PPw/edit?usp=drivesdk","Al-Wildan 1 Gading Serpong_Refi Melda, S.Pd_Guru TK")</f>
        <v>Al-Wildan 1 Gading Serpong_Refi Melda, S.Pd_Guru TK</v>
      </c>
      <c r="AP451" s="1" t="s">
        <v>7371</v>
      </c>
    </row>
    <row r="452">
      <c r="A452" s="6">
        <v>44678.56786039352</v>
      </c>
      <c r="B452" s="7" t="s">
        <v>7372</v>
      </c>
      <c r="C452" s="8" t="s">
        <v>7373</v>
      </c>
      <c r="D452" s="1" t="s">
        <v>7374</v>
      </c>
      <c r="E452" s="9" t="s">
        <v>7375</v>
      </c>
      <c r="F452" s="1" t="s">
        <v>7376</v>
      </c>
      <c r="G452" s="1" t="s">
        <v>6104</v>
      </c>
      <c r="H452" s="1" t="s">
        <v>6104</v>
      </c>
      <c r="I452" s="9" t="s">
        <v>7377</v>
      </c>
      <c r="J452" s="1" t="s">
        <v>5212</v>
      </c>
      <c r="K452" s="1" t="s">
        <v>151</v>
      </c>
      <c r="L452" s="1" t="s">
        <v>256</v>
      </c>
      <c r="M452" s="1" t="s">
        <v>104</v>
      </c>
      <c r="N452" s="1" t="s">
        <v>274</v>
      </c>
      <c r="O452" s="1" t="s">
        <v>106</v>
      </c>
      <c r="P452" s="1" t="s">
        <v>237</v>
      </c>
      <c r="Q452" s="1" t="s">
        <v>7378</v>
      </c>
      <c r="R452" s="1" t="s">
        <v>3509</v>
      </c>
      <c r="AF452" s="10">
        <v>4700000.0</v>
      </c>
      <c r="AH452" s="1">
        <v>1.381467075E9</v>
      </c>
      <c r="AI452" s="1" t="s">
        <v>159</v>
      </c>
      <c r="AJ452" s="1">
        <v>150.0</v>
      </c>
      <c r="AK452" s="1">
        <v>49.0</v>
      </c>
      <c r="AL452" s="1" t="s">
        <v>7379</v>
      </c>
      <c r="AM452" s="1" t="s">
        <v>7380</v>
      </c>
      <c r="AN452" s="7" t="s">
        <v>7381</v>
      </c>
      <c r="AO452" s="8" t="str">
        <f>HYPERLINK("https://docs.google.com/document/d/1F-9WMII05KPyULqQ8nTSc57iH173Wg0B5YH0uMJoLuo/edit?usp=drivesdk","Al-Wildan 4 Lebak Bulus_Hafizha An'umillah, Lc_Diniyyah")</f>
        <v>Al-Wildan 4 Lebak Bulus_Hafizha An'umillah, Lc_Diniyyah</v>
      </c>
      <c r="AP452" s="1" t="s">
        <v>7382</v>
      </c>
    </row>
    <row r="453">
      <c r="A453" s="6">
        <v>44686.8284390162</v>
      </c>
      <c r="B453" s="7" t="s">
        <v>7383</v>
      </c>
      <c r="C453" s="8" t="s">
        <v>7384</v>
      </c>
      <c r="D453" s="1" t="s">
        <v>7385</v>
      </c>
      <c r="E453" s="9" t="s">
        <v>7386</v>
      </c>
      <c r="F453" s="1">
        <v>3.20231110993E11</v>
      </c>
      <c r="G453" s="1" t="s">
        <v>7387</v>
      </c>
      <c r="H453" s="1" t="s">
        <v>7387</v>
      </c>
      <c r="I453" s="9" t="s">
        <v>7388</v>
      </c>
      <c r="J453" s="1">
        <v>28.0</v>
      </c>
      <c r="K453" s="1" t="s">
        <v>102</v>
      </c>
      <c r="L453" s="1" t="s">
        <v>103</v>
      </c>
      <c r="M453" s="1" t="s">
        <v>104</v>
      </c>
      <c r="N453" s="1" t="s">
        <v>7389</v>
      </c>
      <c r="O453" s="1" t="s">
        <v>127</v>
      </c>
      <c r="P453" s="1" t="s">
        <v>237</v>
      </c>
      <c r="Q453" s="1" t="s">
        <v>7390</v>
      </c>
      <c r="R453" s="1" t="s">
        <v>7391</v>
      </c>
      <c r="S453" s="1" t="s">
        <v>7392</v>
      </c>
      <c r="Z453" s="1" t="s">
        <v>7393</v>
      </c>
      <c r="AA453" s="1" t="s">
        <v>7394</v>
      </c>
      <c r="AB453" s="1" t="s">
        <v>7395</v>
      </c>
      <c r="AC453" s="1" t="s">
        <v>7396</v>
      </c>
      <c r="AF453" s="1" t="s">
        <v>7397</v>
      </c>
      <c r="AH453" s="1">
        <v>1.620006624E9</v>
      </c>
      <c r="AI453" s="1" t="s">
        <v>7398</v>
      </c>
      <c r="AJ453" s="1">
        <v>175.0</v>
      </c>
      <c r="AK453" s="1">
        <v>80.0</v>
      </c>
      <c r="AL453" s="1" t="s">
        <v>7399</v>
      </c>
      <c r="AM453" s="1" t="s">
        <v>7400</v>
      </c>
      <c r="AN453" s="7" t="s">
        <v>7401</v>
      </c>
      <c r="AO453" s="8" t="str">
        <f>HYPERLINK("https://docs.google.com/document/d/1IVW1Ceq4iK0386fblBcKTMi_oNunqzE5Ez18X6-gDQA/edit?usp=drivesdk","Al-Wildan 4 Lebak Bulus_Fahadz. S.pd_BAHASA ARAB")</f>
        <v>Al-Wildan 4 Lebak Bulus_Fahadz. S.pd_BAHASA ARAB</v>
      </c>
      <c r="AP453" s="1" t="s">
        <v>7402</v>
      </c>
    </row>
    <row r="454">
      <c r="A454" s="6">
        <v>44701.436521192125</v>
      </c>
      <c r="B454" s="7" t="s">
        <v>7403</v>
      </c>
      <c r="C454" s="8" t="s">
        <v>7404</v>
      </c>
      <c r="D454" s="1" t="s">
        <v>7405</v>
      </c>
      <c r="E454" s="9" t="s">
        <v>7406</v>
      </c>
      <c r="F454" s="1" t="s">
        <v>7407</v>
      </c>
      <c r="G454" s="1" t="s">
        <v>7408</v>
      </c>
      <c r="H454" s="1" t="s">
        <v>169</v>
      </c>
      <c r="I454" s="9" t="s">
        <v>7409</v>
      </c>
      <c r="J454" s="1" t="s">
        <v>3732</v>
      </c>
      <c r="K454" s="1" t="s">
        <v>850</v>
      </c>
      <c r="L454" s="1" t="s">
        <v>256</v>
      </c>
      <c r="M454" s="1" t="s">
        <v>6060</v>
      </c>
      <c r="O454" s="1" t="s">
        <v>106</v>
      </c>
      <c r="P454" s="1" t="s">
        <v>237</v>
      </c>
      <c r="Q454" s="1" t="s">
        <v>7410</v>
      </c>
      <c r="R454" s="1" t="s">
        <v>172</v>
      </c>
      <c r="S454" s="1" t="s">
        <v>2582</v>
      </c>
      <c r="Z454" s="1" t="s">
        <v>7411</v>
      </c>
      <c r="AA454" s="10">
        <v>4000000.0</v>
      </c>
      <c r="AF454" s="10">
        <v>5000000.0</v>
      </c>
      <c r="AH454" s="1">
        <v>1.180005253E9</v>
      </c>
      <c r="AI454" s="1" t="s">
        <v>7412</v>
      </c>
      <c r="AJ454" s="1">
        <v>176.0</v>
      </c>
      <c r="AK454" s="1">
        <v>80.0</v>
      </c>
      <c r="AL454" s="1" t="s">
        <v>7413</v>
      </c>
      <c r="AM454" s="1" t="s">
        <v>7414</v>
      </c>
      <c r="AN454" s="7" t="s">
        <v>7415</v>
      </c>
      <c r="AO454" s="8" t="str">
        <f>HYPERLINK("https://docs.google.com/document/d/1hK2fQeLh-4mXi9OmM2vBKq_tP9D1l1EuGjm56-AafGk/edit?usp=drivesdk","Al-Wildan 4 Lebak Bulus_Dicky Handika Ahmad Gojali, S.Pd._")</f>
        <v>Al-Wildan 4 Lebak Bulus_Dicky Handika Ahmad Gojali, S.Pd._</v>
      </c>
      <c r="AP454" s="1" t="s">
        <v>7416</v>
      </c>
    </row>
    <row r="455">
      <c r="A455" s="6">
        <v>44701.700908391205</v>
      </c>
      <c r="B455" s="7" t="s">
        <v>7417</v>
      </c>
      <c r="C455" s="8" t="s">
        <v>7418</v>
      </c>
      <c r="D455" s="1" t="s">
        <v>7419</v>
      </c>
      <c r="E455" s="9" t="s">
        <v>7420</v>
      </c>
      <c r="F455" s="1" t="s">
        <v>7421</v>
      </c>
      <c r="G455" s="1" t="s">
        <v>7422</v>
      </c>
      <c r="H455" s="1" t="s">
        <v>944</v>
      </c>
      <c r="I455" s="9" t="s">
        <v>7423</v>
      </c>
      <c r="J455" s="1" t="s">
        <v>7424</v>
      </c>
      <c r="K455" s="1" t="s">
        <v>151</v>
      </c>
      <c r="L455" s="1" t="s">
        <v>256</v>
      </c>
      <c r="M455" s="1" t="s">
        <v>6060</v>
      </c>
      <c r="O455" s="1" t="s">
        <v>312</v>
      </c>
      <c r="P455" s="1" t="s">
        <v>237</v>
      </c>
      <c r="Q455" s="1" t="s">
        <v>7425</v>
      </c>
      <c r="R455" s="1" t="s">
        <v>238</v>
      </c>
      <c r="S455" s="1" t="s">
        <v>7426</v>
      </c>
      <c r="Z455" s="1" t="s">
        <v>7427</v>
      </c>
      <c r="AA455" s="1" t="s">
        <v>7428</v>
      </c>
      <c r="AF455" s="1" t="s">
        <v>7429</v>
      </c>
      <c r="AG455" s="1">
        <v>7.197289478E9</v>
      </c>
      <c r="AJ455" s="1">
        <v>175.0</v>
      </c>
      <c r="AK455" s="1">
        <v>65.0</v>
      </c>
      <c r="AL455" s="1" t="s">
        <v>7430</v>
      </c>
      <c r="AM455" s="1" t="s">
        <v>7431</v>
      </c>
      <c r="AN455" s="7" t="s">
        <v>7432</v>
      </c>
      <c r="AO455" s="8" t="str">
        <f>HYPERLINK("https://docs.google.com/document/d/1dIIJVabDl0vi8pzvB7TGNUwr_46CS-ZzDnxUx0LIeCM/edit?usp=drivesdk","Al-Wildan 4 Lebak Bulus_M. Jihad Fitratul Akbar_")</f>
        <v>Al-Wildan 4 Lebak Bulus_M. Jihad Fitratul Akbar_</v>
      </c>
      <c r="AP455" s="1" t="s">
        <v>7433</v>
      </c>
    </row>
    <row r="456">
      <c r="A456" s="6">
        <v>44705.33440934028</v>
      </c>
      <c r="B456" s="7" t="s">
        <v>7434</v>
      </c>
      <c r="C456" s="8" t="s">
        <v>7435</v>
      </c>
      <c r="D456" s="1" t="s">
        <v>7436</v>
      </c>
      <c r="E456" s="9" t="s">
        <v>7437</v>
      </c>
      <c r="F456" s="1">
        <v>1.1025982382E11</v>
      </c>
      <c r="G456" s="1" t="s">
        <v>7438</v>
      </c>
      <c r="H456" s="1" t="s">
        <v>7439</v>
      </c>
      <c r="I456" s="9" t="s">
        <v>7440</v>
      </c>
      <c r="J456" s="1">
        <v>32.0</v>
      </c>
      <c r="K456" s="1" t="s">
        <v>102</v>
      </c>
      <c r="L456" s="1" t="s">
        <v>103</v>
      </c>
      <c r="M456" s="1" t="s">
        <v>7441</v>
      </c>
      <c r="N456" s="1" t="s">
        <v>7442</v>
      </c>
      <c r="O456" s="1" t="s">
        <v>127</v>
      </c>
      <c r="P456" s="1" t="s">
        <v>5712</v>
      </c>
      <c r="Q456" s="1" t="s">
        <v>1022</v>
      </c>
      <c r="R456" s="1" t="s">
        <v>238</v>
      </c>
      <c r="S456" s="1">
        <v>4.09</v>
      </c>
      <c r="T456" s="1" t="s">
        <v>192</v>
      </c>
      <c r="U456" s="1" t="s">
        <v>7443</v>
      </c>
      <c r="Z456" s="1" t="s">
        <v>7444</v>
      </c>
      <c r="AA456" s="1" t="s">
        <v>7445</v>
      </c>
      <c r="AB456" s="1" t="s">
        <v>7446</v>
      </c>
      <c r="AC456" s="1" t="s">
        <v>7447</v>
      </c>
      <c r="AD456" s="1" t="s">
        <v>7448</v>
      </c>
      <c r="AE456" s="10">
        <v>2300000.0</v>
      </c>
      <c r="AF456" s="1" t="s">
        <v>7449</v>
      </c>
      <c r="AG456" s="1">
        <v>7.191612676E9</v>
      </c>
      <c r="AI456" s="1" t="s">
        <v>5113</v>
      </c>
      <c r="AJ456" s="1">
        <v>165.0</v>
      </c>
      <c r="AK456" s="1">
        <v>65.0</v>
      </c>
      <c r="AL456" s="1" t="s">
        <v>7450</v>
      </c>
      <c r="AM456" s="1" t="s">
        <v>7451</v>
      </c>
      <c r="AN456" s="7" t="s">
        <v>7452</v>
      </c>
      <c r="AO456" s="8" t="str">
        <f>HYPERLINK("https://docs.google.com/document/d/1TKENXDlfd6NpVrL92OuMiwrvCMfxiO_5jcF_bHPE4Pg/edit?usp=drivesdk","Al-Wildan 3 BSD City_Hamzah sahbana Lc BA_Bahasa Arab dan pelajaran agama islam")</f>
        <v>Al-Wildan 3 BSD City_Hamzah sahbana Lc BA_Bahasa Arab dan pelajaran agama islam</v>
      </c>
      <c r="AP456" s="1" t="s">
        <v>7453</v>
      </c>
    </row>
    <row r="457">
      <c r="A457" s="6">
        <v>44709.69449987268</v>
      </c>
      <c r="B457" s="7" t="s">
        <v>7454</v>
      </c>
      <c r="C457" s="8" t="s">
        <v>7455</v>
      </c>
      <c r="D457" s="1" t="s">
        <v>7456</v>
      </c>
      <c r="E457" s="9" t="s">
        <v>7457</v>
      </c>
      <c r="F457" s="1" t="s">
        <v>7458</v>
      </c>
      <c r="G457" s="1" t="s">
        <v>2244</v>
      </c>
      <c r="H457" s="1" t="s">
        <v>359</v>
      </c>
      <c r="I457" s="9" t="s">
        <v>7459</v>
      </c>
      <c r="J457" s="1" t="s">
        <v>7460</v>
      </c>
      <c r="K457" s="1" t="s">
        <v>102</v>
      </c>
      <c r="L457" s="1" t="s">
        <v>256</v>
      </c>
      <c r="M457" s="1" t="s">
        <v>104</v>
      </c>
      <c r="N457" s="1" t="s">
        <v>152</v>
      </c>
      <c r="O457" s="1" t="s">
        <v>1202</v>
      </c>
      <c r="P457" s="1" t="s">
        <v>107</v>
      </c>
      <c r="Q457" s="1" t="s">
        <v>7461</v>
      </c>
      <c r="R457" s="1" t="s">
        <v>172</v>
      </c>
      <c r="S457" s="1" t="s">
        <v>7462</v>
      </c>
      <c r="T457" s="1" t="s">
        <v>7463</v>
      </c>
      <c r="U457" s="1" t="s">
        <v>172</v>
      </c>
      <c r="V457" s="1" t="s">
        <v>2465</v>
      </c>
      <c r="Z457" s="1" t="s">
        <v>7464</v>
      </c>
      <c r="AA457" s="10">
        <v>1.2E7</v>
      </c>
      <c r="AB457" s="1" t="s">
        <v>7465</v>
      </c>
      <c r="AC457" s="1" t="s">
        <v>7466</v>
      </c>
      <c r="AF457" s="10">
        <v>1.5E7</v>
      </c>
      <c r="AG457" s="1">
        <v>7.183546516E9</v>
      </c>
      <c r="AJ457" s="1">
        <v>152.0</v>
      </c>
      <c r="AK457" s="1">
        <v>56.0</v>
      </c>
      <c r="AL457" s="1" t="s">
        <v>7467</v>
      </c>
      <c r="AM457" s="1" t="s">
        <v>7468</v>
      </c>
      <c r="AN457" s="7" t="s">
        <v>7469</v>
      </c>
      <c r="AO457" s="8" t="str">
        <f>HYPERLINK("https://docs.google.com/document/d/1FnQAjLEP2jOLwCmdGfMd_LDIsW3MEbUpB4MmKRiZMq8/edit?usp=drivesdk","Al-Wildan 1 Gading Serpong_Siti Hawa, M.Pd_Bahasa Inggris")</f>
        <v>Al-Wildan 1 Gading Serpong_Siti Hawa, M.Pd_Bahasa Inggris</v>
      </c>
      <c r="AP457" s="1" t="s">
        <v>7470</v>
      </c>
    </row>
    <row r="458">
      <c r="A458" s="6">
        <v>44710.67580633102</v>
      </c>
      <c r="B458" s="7" t="s">
        <v>7471</v>
      </c>
      <c r="C458" s="8" t="s">
        <v>7472</v>
      </c>
      <c r="D458" s="1" t="s">
        <v>7473</v>
      </c>
      <c r="E458" s="9" t="s">
        <v>7474</v>
      </c>
      <c r="F458" s="1" t="s">
        <v>7475</v>
      </c>
      <c r="G458" s="1" t="s">
        <v>7476</v>
      </c>
      <c r="H458" s="1" t="s">
        <v>685</v>
      </c>
      <c r="I458" s="1">
        <v>2.6011992E7</v>
      </c>
      <c r="J458" s="1" t="s">
        <v>7477</v>
      </c>
      <c r="K458" s="1" t="s">
        <v>102</v>
      </c>
      <c r="L458" s="1" t="s">
        <v>103</v>
      </c>
      <c r="M458" s="1" t="s">
        <v>104</v>
      </c>
      <c r="N458" s="1" t="s">
        <v>7478</v>
      </c>
      <c r="O458" s="1" t="s">
        <v>106</v>
      </c>
      <c r="P458" s="1" t="s">
        <v>6187</v>
      </c>
      <c r="Q458" s="1" t="s">
        <v>7479</v>
      </c>
      <c r="R458" s="1" t="s">
        <v>259</v>
      </c>
      <c r="S458" s="1">
        <v>3.52</v>
      </c>
      <c r="Z458" s="1" t="s">
        <v>7480</v>
      </c>
      <c r="AB458" s="1" t="s">
        <v>7481</v>
      </c>
      <c r="AC458" s="10">
        <v>4750000.0</v>
      </c>
      <c r="AF458" s="10">
        <v>4750000.0</v>
      </c>
      <c r="AG458" s="1">
        <v>7.147546763E9</v>
      </c>
      <c r="AJ458" s="1">
        <v>163.0</v>
      </c>
      <c r="AK458" s="1">
        <v>60.0</v>
      </c>
      <c r="AL458" s="1" t="s">
        <v>7482</v>
      </c>
      <c r="AM458" s="1" t="s">
        <v>7483</v>
      </c>
      <c r="AN458" s="7" t="s">
        <v>7484</v>
      </c>
      <c r="AO458" s="8" t="str">
        <f>HYPERLINK("https://docs.google.com/document/d/1Uv7tl1hbjiKnMtcC-x0Dk5C9SrAFpe05Wrv4-KulMZM/edit?usp=drivesdk","Al-Wildan 14 Bumi Mutiara, Bogor_Mohammad Ismail Al Bukhory, S.Pd_Pendidikan Agama Islam/PAI")</f>
        <v>Al-Wildan 14 Bumi Mutiara, Bogor_Mohammad Ismail Al Bukhory, S.Pd_Pendidikan Agama Islam/PAI</v>
      </c>
      <c r="AP458" s="1" t="s">
        <v>7485</v>
      </c>
    </row>
    <row r="459">
      <c r="A459" s="6">
        <v>44710.68455002314</v>
      </c>
      <c r="B459" s="7" t="s">
        <v>7486</v>
      </c>
      <c r="C459" s="8" t="s">
        <v>7487</v>
      </c>
      <c r="D459" s="1" t="s">
        <v>7488</v>
      </c>
      <c r="E459" s="9" t="s">
        <v>7489</v>
      </c>
      <c r="F459" s="1" t="s">
        <v>7490</v>
      </c>
      <c r="G459" s="1" t="s">
        <v>7491</v>
      </c>
      <c r="H459" s="1" t="s">
        <v>7492</v>
      </c>
      <c r="I459" s="9" t="s">
        <v>7493</v>
      </c>
      <c r="J459" s="1" t="s">
        <v>7494</v>
      </c>
      <c r="K459" s="1" t="s">
        <v>102</v>
      </c>
      <c r="L459" s="1" t="s">
        <v>103</v>
      </c>
      <c r="M459" s="1" t="s">
        <v>104</v>
      </c>
      <c r="N459" s="1" t="s">
        <v>235</v>
      </c>
      <c r="O459" s="1" t="s">
        <v>127</v>
      </c>
      <c r="P459" s="1" t="s">
        <v>107</v>
      </c>
      <c r="Q459" s="1" t="s">
        <v>3584</v>
      </c>
      <c r="R459" s="1" t="s">
        <v>707</v>
      </c>
      <c r="S459" s="1">
        <v>4.06</v>
      </c>
      <c r="T459" s="1" t="s">
        <v>7495</v>
      </c>
      <c r="U459" s="1" t="s">
        <v>7496</v>
      </c>
      <c r="V459" s="1" t="s">
        <v>7497</v>
      </c>
      <c r="Z459" s="1" t="s">
        <v>7178</v>
      </c>
      <c r="AA459" s="10">
        <v>3200000.0</v>
      </c>
      <c r="AB459" s="1" t="s">
        <v>7498</v>
      </c>
      <c r="AC459" s="1" t="s">
        <v>7499</v>
      </c>
      <c r="AD459" s="1" t="s">
        <v>7500</v>
      </c>
      <c r="AE459" s="10">
        <v>800000.0</v>
      </c>
      <c r="AF459" s="10">
        <v>8000000.0</v>
      </c>
      <c r="AG459" s="1">
        <v>7.174439898E9</v>
      </c>
      <c r="AJ459" s="1">
        <v>160.0</v>
      </c>
      <c r="AK459" s="1">
        <v>113.0</v>
      </c>
      <c r="AL459" s="1" t="s">
        <v>7501</v>
      </c>
      <c r="AM459" s="1" t="s">
        <v>7502</v>
      </c>
      <c r="AN459" s="7" t="s">
        <v>7503</v>
      </c>
      <c r="AO459" s="8" t="str">
        <f>HYPERLINK("https://docs.google.com/document/d/1pmKTevyIocj900QDU0kj3XDyMis5svvzeJyUS_HXi5g/edit?usp=drivesdk","Al-Wildan 1 Gading Serpong_Mohammad Dera Huriadi S.H.I _Bahasa Arab")</f>
        <v>Al-Wildan 1 Gading Serpong_Mohammad Dera Huriadi S.H.I _Bahasa Arab</v>
      </c>
      <c r="AP459" s="1" t="s">
        <v>7504</v>
      </c>
    </row>
    <row r="460">
      <c r="A460" s="6">
        <v>44710.713320243056</v>
      </c>
      <c r="B460" s="7" t="s">
        <v>7505</v>
      </c>
      <c r="C460" s="8" t="s">
        <v>7506</v>
      </c>
      <c r="D460" s="1" t="s">
        <v>7507</v>
      </c>
      <c r="E460" s="9" t="s">
        <v>7508</v>
      </c>
      <c r="F460" s="1" t="s">
        <v>7509</v>
      </c>
      <c r="G460" s="1" t="s">
        <v>2598</v>
      </c>
      <c r="H460" s="1" t="s">
        <v>7510</v>
      </c>
      <c r="I460" s="1" t="s">
        <v>7511</v>
      </c>
      <c r="J460" s="1">
        <v>25.0</v>
      </c>
      <c r="K460" s="1" t="s">
        <v>102</v>
      </c>
      <c r="L460" s="1" t="s">
        <v>256</v>
      </c>
      <c r="M460" s="1" t="s">
        <v>104</v>
      </c>
      <c r="N460" s="1" t="s">
        <v>7512</v>
      </c>
      <c r="O460" s="1" t="s">
        <v>106</v>
      </c>
      <c r="P460" s="1" t="s">
        <v>5712</v>
      </c>
      <c r="Q460" s="1" t="s">
        <v>7513</v>
      </c>
      <c r="R460" s="1" t="s">
        <v>7514</v>
      </c>
      <c r="S460" s="1" t="s">
        <v>3589</v>
      </c>
      <c r="Z460" s="1" t="s">
        <v>7515</v>
      </c>
      <c r="AA460" s="10">
        <v>5500000.0</v>
      </c>
      <c r="AB460" s="1" t="s">
        <v>7516</v>
      </c>
      <c r="AC460" s="10">
        <v>7000000.0</v>
      </c>
      <c r="AD460" s="1" t="s">
        <v>7517</v>
      </c>
      <c r="AE460" s="10">
        <v>3800000.0</v>
      </c>
      <c r="AF460" s="10">
        <v>6500000.0</v>
      </c>
      <c r="AH460" s="9" t="s">
        <v>7518</v>
      </c>
      <c r="AI460" s="1" t="s">
        <v>2407</v>
      </c>
      <c r="AJ460" s="1">
        <v>168.0</v>
      </c>
      <c r="AK460" s="1">
        <v>54.0</v>
      </c>
      <c r="AL460" s="1" t="s">
        <v>7519</v>
      </c>
      <c r="AM460" s="1" t="s">
        <v>7520</v>
      </c>
      <c r="AN460" s="7" t="s">
        <v>7521</v>
      </c>
      <c r="AO460" s="8" t="str">
        <f>HYPERLINK("https://docs.google.com/document/d/1kv9vSmQU4ogRK8X2bvdJooFRto-CCgkIDgLsaP9u9YE/edit?usp=drivesdk","Al-Wildan 3 BSD City_Muhammad Hanafi, B.A._Fiqh/Ushul Fiqh ")</f>
        <v>Al-Wildan 3 BSD City_Muhammad Hanafi, B.A._Fiqh/Ushul Fiqh </v>
      </c>
      <c r="AP460" s="1" t="s">
        <v>7522</v>
      </c>
    </row>
    <row r="461">
      <c r="A461" s="6">
        <v>44710.7841372338</v>
      </c>
      <c r="B461" s="7" t="s">
        <v>7523</v>
      </c>
      <c r="C461" s="8" t="s">
        <v>7524</v>
      </c>
      <c r="D461" s="1" t="s">
        <v>7525</v>
      </c>
      <c r="E461" s="9" t="s">
        <v>7526</v>
      </c>
      <c r="F461" s="1" t="s">
        <v>7527</v>
      </c>
      <c r="G461" s="1" t="s">
        <v>7528</v>
      </c>
      <c r="H461" s="1" t="s">
        <v>169</v>
      </c>
      <c r="I461" s="9" t="s">
        <v>7529</v>
      </c>
      <c r="J461" s="1" t="s">
        <v>7530</v>
      </c>
      <c r="K461" s="1" t="s">
        <v>102</v>
      </c>
      <c r="L461" s="1" t="s">
        <v>103</v>
      </c>
      <c r="M461" s="1" t="s">
        <v>104</v>
      </c>
      <c r="N461" s="1" t="s">
        <v>7531</v>
      </c>
      <c r="O461" s="1" t="s">
        <v>312</v>
      </c>
      <c r="P461" s="1" t="s">
        <v>5712</v>
      </c>
      <c r="Q461" s="1" t="s">
        <v>7532</v>
      </c>
      <c r="R461" s="1" t="s">
        <v>378</v>
      </c>
      <c r="S461" s="1" t="s">
        <v>6303</v>
      </c>
      <c r="Z461" s="1" t="s">
        <v>7533</v>
      </c>
      <c r="AA461" s="10">
        <v>3300000.0</v>
      </c>
      <c r="AB461" s="1" t="s">
        <v>7534</v>
      </c>
      <c r="AC461" s="10">
        <v>5000000.0</v>
      </c>
      <c r="AF461" s="1" t="s">
        <v>7535</v>
      </c>
      <c r="AH461" s="1">
        <v>4.730431967E9</v>
      </c>
      <c r="AI461" s="1" t="s">
        <v>222</v>
      </c>
      <c r="AJ461" s="1">
        <v>151.0</v>
      </c>
      <c r="AK461" s="1">
        <v>50.0</v>
      </c>
      <c r="AL461" s="1" t="s">
        <v>7536</v>
      </c>
      <c r="AM461" s="1" t="s">
        <v>7537</v>
      </c>
      <c r="AN461" s="7" t="s">
        <v>7538</v>
      </c>
      <c r="AO461" s="8" t="str">
        <f>HYPERLINK("https://docs.google.com/document/d/1ujllh8kq7oTmrCWTqqjqf_Ut6kPugwSatxrcoiMIxQs/edit?usp=drivesdk","Al-Wildan 3 BSD City_Evi Afidah, SE_Ekonomi Cambridge, IPS, Mathematics Cambridge")</f>
        <v>Al-Wildan 3 BSD City_Evi Afidah, SE_Ekonomi Cambridge, IPS, Mathematics Cambridge</v>
      </c>
      <c r="AP461" s="1" t="s">
        <v>7539</v>
      </c>
    </row>
    <row r="462">
      <c r="A462" s="6">
        <v>44710.792467175925</v>
      </c>
      <c r="B462" s="7" t="s">
        <v>7540</v>
      </c>
      <c r="C462" s="8" t="s">
        <v>7541</v>
      </c>
      <c r="D462" s="7" t="s">
        <v>7542</v>
      </c>
      <c r="E462" s="9" t="s">
        <v>7543</v>
      </c>
      <c r="F462" s="1" t="s">
        <v>7544</v>
      </c>
      <c r="G462" s="1" t="s">
        <v>7545</v>
      </c>
      <c r="H462" s="1" t="s">
        <v>7546</v>
      </c>
      <c r="I462" s="9" t="s">
        <v>7547</v>
      </c>
      <c r="J462" s="1" t="s">
        <v>7548</v>
      </c>
      <c r="K462" s="1" t="s">
        <v>102</v>
      </c>
      <c r="L462" s="1" t="s">
        <v>103</v>
      </c>
      <c r="M462" s="1" t="s">
        <v>104</v>
      </c>
      <c r="N462" s="1" t="s">
        <v>7549</v>
      </c>
      <c r="O462" s="1" t="s">
        <v>106</v>
      </c>
      <c r="P462" s="1" t="s">
        <v>237</v>
      </c>
      <c r="Q462" s="1" t="s">
        <v>1505</v>
      </c>
      <c r="R462" s="1" t="s">
        <v>193</v>
      </c>
      <c r="S462" s="9" t="s">
        <v>7550</v>
      </c>
      <c r="Z462" s="1" t="s">
        <v>7551</v>
      </c>
      <c r="AA462" s="10">
        <v>3600000.0</v>
      </c>
      <c r="AB462" s="1" t="s">
        <v>7552</v>
      </c>
      <c r="AC462" s="10">
        <v>4500000.0</v>
      </c>
      <c r="AF462" s="10">
        <v>5000000.0</v>
      </c>
      <c r="AG462" s="1">
        <v>7.132098403E9</v>
      </c>
      <c r="AJ462" s="1">
        <v>155.0</v>
      </c>
      <c r="AK462" s="1">
        <v>50.0</v>
      </c>
      <c r="AL462" s="1" t="s">
        <v>7553</v>
      </c>
      <c r="AM462" s="1" t="s">
        <v>7554</v>
      </c>
      <c r="AN462" s="7" t="s">
        <v>7555</v>
      </c>
      <c r="AO462" s="8" t="str">
        <f>HYPERLINK("https://docs.google.com/document/d/17w5oIOidX4ylhtUVULFNR3yXMAT3ao6C3f91_mOv_fM/edit?usp=drivesdk","Al-Wildan 4 Lebak Bulus_Amirudin.Lc_Hadits , Tafsir")</f>
        <v>Al-Wildan 4 Lebak Bulus_Amirudin.Lc_Hadits , Tafsir</v>
      </c>
      <c r="AP462" s="1" t="s">
        <v>7556</v>
      </c>
    </row>
    <row r="463">
      <c r="A463" s="6">
        <v>44710.796410324074</v>
      </c>
      <c r="B463" s="7" t="s">
        <v>7557</v>
      </c>
      <c r="C463" s="8" t="s">
        <v>7558</v>
      </c>
      <c r="D463" s="1" t="s">
        <v>7559</v>
      </c>
      <c r="E463" s="9" t="s">
        <v>7560</v>
      </c>
      <c r="F463" s="1" t="s">
        <v>7561</v>
      </c>
      <c r="G463" s="1" t="s">
        <v>7562</v>
      </c>
      <c r="H463" s="1" t="s">
        <v>6812</v>
      </c>
      <c r="I463" s="9" t="s">
        <v>7563</v>
      </c>
      <c r="J463" s="1" t="s">
        <v>438</v>
      </c>
      <c r="K463" s="1" t="s">
        <v>151</v>
      </c>
      <c r="L463" s="1" t="s">
        <v>103</v>
      </c>
      <c r="M463" s="1" t="s">
        <v>104</v>
      </c>
      <c r="N463" s="1" t="s">
        <v>152</v>
      </c>
      <c r="O463" s="1" t="s">
        <v>127</v>
      </c>
      <c r="P463" s="1" t="s">
        <v>6187</v>
      </c>
      <c r="Q463" s="1" t="s">
        <v>7564</v>
      </c>
      <c r="R463" s="1" t="s">
        <v>5612</v>
      </c>
      <c r="S463" s="1" t="s">
        <v>6303</v>
      </c>
      <c r="Z463" s="1" t="s">
        <v>7565</v>
      </c>
      <c r="AA463" s="10">
        <v>1600000.0</v>
      </c>
      <c r="AB463" s="1" t="s">
        <v>7566</v>
      </c>
      <c r="AC463" s="1" t="s">
        <v>7567</v>
      </c>
      <c r="AF463" s="10">
        <v>4200000.0</v>
      </c>
      <c r="AH463" s="1">
        <v>1.31001681338E12</v>
      </c>
      <c r="AI463" s="1" t="s">
        <v>4483</v>
      </c>
      <c r="AJ463" s="1">
        <v>171.0</v>
      </c>
      <c r="AK463" s="1">
        <v>70.0</v>
      </c>
      <c r="AL463" s="1" t="s">
        <v>7568</v>
      </c>
      <c r="AM463" s="1" t="s">
        <v>7569</v>
      </c>
      <c r="AN463" s="7" t="s">
        <v>7570</v>
      </c>
      <c r="AO463" s="8" t="str">
        <f>HYPERLINK("https://docs.google.com/document/d/1EA2BIcTvTdQ79Btm9gbY5IrZsFc5aHOXJWuzpL7kJ1k/edit?usp=drivesdk","Al-Wildan 14 Bumi Mutiara, Bogor_Nicholin Chaesar Noer M., S.Hum._Bahasa Inggris")</f>
        <v>Al-Wildan 14 Bumi Mutiara, Bogor_Nicholin Chaesar Noer M., S.Hum._Bahasa Inggris</v>
      </c>
      <c r="AP463" s="1" t="s">
        <v>7571</v>
      </c>
    </row>
    <row r="464">
      <c r="A464" s="6">
        <v>44710.81689043982</v>
      </c>
      <c r="B464" s="7" t="s">
        <v>7572</v>
      </c>
      <c r="C464" s="8" t="s">
        <v>7573</v>
      </c>
      <c r="D464" s="1" t="s">
        <v>7574</v>
      </c>
      <c r="E464" s="9" t="s">
        <v>7575</v>
      </c>
      <c r="F464" s="1" t="s">
        <v>7576</v>
      </c>
      <c r="G464" s="1" t="s">
        <v>7577</v>
      </c>
      <c r="H464" s="1" t="s">
        <v>7578</v>
      </c>
      <c r="I464" s="9" t="s">
        <v>7579</v>
      </c>
      <c r="J464" s="1" t="s">
        <v>4834</v>
      </c>
      <c r="K464" s="1" t="s">
        <v>151</v>
      </c>
      <c r="L464" s="1" t="s">
        <v>496</v>
      </c>
      <c r="M464" s="1" t="s">
        <v>7580</v>
      </c>
      <c r="N464" s="1" t="s">
        <v>274</v>
      </c>
      <c r="O464" s="1" t="s">
        <v>236</v>
      </c>
      <c r="P464" s="1" t="s">
        <v>107</v>
      </c>
      <c r="Q464" s="1" t="s">
        <v>1505</v>
      </c>
      <c r="R464" s="1" t="s">
        <v>193</v>
      </c>
      <c r="S464" s="1">
        <v>4.94</v>
      </c>
      <c r="T464" s="1" t="s">
        <v>217</v>
      </c>
      <c r="U464" s="1" t="s">
        <v>217</v>
      </c>
      <c r="V464" s="1" t="s">
        <v>217</v>
      </c>
      <c r="W464" s="1" t="s">
        <v>217</v>
      </c>
      <c r="X464" s="1" t="s">
        <v>217</v>
      </c>
      <c r="Y464" s="1">
        <v>0.0</v>
      </c>
      <c r="Z464" s="1" t="s">
        <v>7581</v>
      </c>
      <c r="AA464" s="10">
        <v>1000000.0</v>
      </c>
      <c r="AB464" s="1" t="s">
        <v>7582</v>
      </c>
      <c r="AC464" s="1" t="s">
        <v>7583</v>
      </c>
      <c r="AD464" s="1" t="s">
        <v>7584</v>
      </c>
      <c r="AE464" s="1" t="s">
        <v>7585</v>
      </c>
      <c r="AF464" s="1" t="s">
        <v>7586</v>
      </c>
      <c r="AG464" s="1">
        <v>4.29267899E9</v>
      </c>
      <c r="AH464" s="1">
        <v>0.0</v>
      </c>
      <c r="AI464" s="1" t="s">
        <v>7587</v>
      </c>
      <c r="AJ464" s="1">
        <v>156.0</v>
      </c>
      <c r="AK464" s="1">
        <v>39.0</v>
      </c>
      <c r="AL464" s="1" t="s">
        <v>7588</v>
      </c>
      <c r="AM464" s="1" t="s">
        <v>7589</v>
      </c>
      <c r="AN464" s="7" t="s">
        <v>7590</v>
      </c>
      <c r="AO464" s="8" t="str">
        <f>HYPERLINK("https://docs.google.com/document/d/1qmN45rhEflRRQcviLy9TML78ZpzL18dzJhHPaQ7ZQAk/edit?usp=drivesdk","Al-Wildan 1 Gading Serpong_Indana Zulfa, B.A_Diniyyah")</f>
        <v>Al-Wildan 1 Gading Serpong_Indana Zulfa, B.A_Diniyyah</v>
      </c>
      <c r="AP464" s="1" t="s">
        <v>7591</v>
      </c>
    </row>
    <row r="465">
      <c r="A465" s="6">
        <v>44710.830194953705</v>
      </c>
      <c r="B465" s="7" t="s">
        <v>7592</v>
      </c>
      <c r="C465" s="8" t="s">
        <v>7593</v>
      </c>
      <c r="D465" s="1" t="s">
        <v>7594</v>
      </c>
      <c r="E465" s="9" t="s">
        <v>7595</v>
      </c>
      <c r="F465" s="1" t="s">
        <v>7596</v>
      </c>
      <c r="G465" s="1" t="s">
        <v>7597</v>
      </c>
      <c r="H465" s="1" t="s">
        <v>6482</v>
      </c>
      <c r="I465" s="9" t="s">
        <v>7598</v>
      </c>
      <c r="J465" s="1">
        <v>25.0</v>
      </c>
      <c r="K465" s="1" t="s">
        <v>102</v>
      </c>
      <c r="L465" s="1" t="s">
        <v>103</v>
      </c>
      <c r="M465" s="1" t="s">
        <v>104</v>
      </c>
      <c r="N465" s="1" t="s">
        <v>7599</v>
      </c>
      <c r="O465" s="1" t="s">
        <v>106</v>
      </c>
      <c r="P465" s="1" t="s">
        <v>5712</v>
      </c>
      <c r="Q465" s="1" t="s">
        <v>7600</v>
      </c>
      <c r="R465" s="1" t="s">
        <v>7601</v>
      </c>
      <c r="S465" s="1" t="s">
        <v>1680</v>
      </c>
      <c r="T465" s="1" t="s">
        <v>217</v>
      </c>
      <c r="U465" s="1" t="s">
        <v>217</v>
      </c>
      <c r="V465" s="1" t="s">
        <v>217</v>
      </c>
      <c r="W465" s="1" t="s">
        <v>217</v>
      </c>
      <c r="X465" s="1" t="s">
        <v>217</v>
      </c>
      <c r="Z465" s="1" t="s">
        <v>7602</v>
      </c>
      <c r="AA465" s="10">
        <v>4700000.0</v>
      </c>
      <c r="AF465" s="10">
        <v>5000000.0</v>
      </c>
      <c r="AG465" s="1">
        <v>7.147251011E9</v>
      </c>
      <c r="AI465" s="1" t="s">
        <v>5113</v>
      </c>
      <c r="AJ465" s="1">
        <v>162.0</v>
      </c>
      <c r="AK465" s="1">
        <v>73.0</v>
      </c>
      <c r="AL465" s="1" t="s">
        <v>7603</v>
      </c>
      <c r="AM465" s="1" t="s">
        <v>7604</v>
      </c>
      <c r="AN465" s="7" t="s">
        <v>7605</v>
      </c>
      <c r="AO465" s="8" t="str">
        <f>HYPERLINK("https://docs.google.com/document/d/1pF96gKcdfVBobKjuX0ZicH4TA-zBceltSW0M0hs0urw/edit?usp=drivesdk","Al-Wildan 3 BSD City_Nia Sandra Nova S Pd_Guru Bahasa Arab")</f>
        <v>Al-Wildan 3 BSD City_Nia Sandra Nova S Pd_Guru Bahasa Arab</v>
      </c>
      <c r="AP465" s="1" t="s">
        <v>7606</v>
      </c>
    </row>
    <row r="466">
      <c r="A466" s="6">
        <v>44710.83416142361</v>
      </c>
      <c r="B466" s="7" t="s">
        <v>7607</v>
      </c>
      <c r="C466" s="8" t="s">
        <v>7608</v>
      </c>
      <c r="D466" s="1" t="s">
        <v>7609</v>
      </c>
      <c r="E466" s="9" t="s">
        <v>7610</v>
      </c>
      <c r="F466" s="1" t="s">
        <v>7611</v>
      </c>
      <c r="G466" s="1" t="s">
        <v>7612</v>
      </c>
      <c r="H466" s="1" t="s">
        <v>288</v>
      </c>
      <c r="I466" s="9" t="s">
        <v>7613</v>
      </c>
      <c r="J466" s="1" t="s">
        <v>7614</v>
      </c>
      <c r="K466" s="1" t="s">
        <v>102</v>
      </c>
      <c r="L466" s="1" t="s">
        <v>103</v>
      </c>
      <c r="M466" s="1" t="s">
        <v>104</v>
      </c>
      <c r="N466" s="1" t="s">
        <v>7615</v>
      </c>
      <c r="O466" s="1" t="s">
        <v>127</v>
      </c>
      <c r="P466" s="1" t="s">
        <v>7162</v>
      </c>
      <c r="Q466" s="1" t="s">
        <v>7616</v>
      </c>
      <c r="R466" s="1" t="s">
        <v>7617</v>
      </c>
      <c r="S466" s="1" t="s">
        <v>7618</v>
      </c>
      <c r="T466" s="1" t="s">
        <v>217</v>
      </c>
      <c r="U466" s="1" t="s">
        <v>217</v>
      </c>
      <c r="V466" s="1" t="s">
        <v>217</v>
      </c>
      <c r="W466" s="1" t="s">
        <v>217</v>
      </c>
      <c r="X466" s="1" t="s">
        <v>217</v>
      </c>
      <c r="Y466" s="1">
        <v>0.0</v>
      </c>
      <c r="Z466" s="1" t="s">
        <v>7619</v>
      </c>
      <c r="AA466" s="10">
        <v>500000.0</v>
      </c>
      <c r="AB466" s="1" t="s">
        <v>7620</v>
      </c>
      <c r="AC466" s="10">
        <v>1500000.0</v>
      </c>
      <c r="AD466" s="1" t="s">
        <v>7621</v>
      </c>
      <c r="AE466" s="10">
        <v>300000.0</v>
      </c>
      <c r="AH466" s="9" t="s">
        <v>7622</v>
      </c>
      <c r="AI466" s="1" t="s">
        <v>7623</v>
      </c>
      <c r="AJ466" s="1">
        <v>170.0</v>
      </c>
      <c r="AK466" s="1">
        <v>53.0</v>
      </c>
      <c r="AL466" s="1" t="s">
        <v>7624</v>
      </c>
      <c r="AM466" s="1" t="s">
        <v>7625</v>
      </c>
      <c r="AN466" s="7" t="s">
        <v>7626</v>
      </c>
      <c r="AO466" s="8" t="str">
        <f>HYPERLINK("https://docs.google.com/document/d/1JpPfVigVFhWGQo4Vs79T4DUXPDVLGR4FLdws12MyWTQ/edit?usp=drivesdk","Al-Wildan 7 Serang_H. A. Sungkawa, Lc._Diniyyah (PAI, Fiqh, Aqidah)")</f>
        <v>Al-Wildan 7 Serang_H. A. Sungkawa, Lc._Diniyyah (PAI, Fiqh, Aqidah)</v>
      </c>
      <c r="AP466" s="1" t="s">
        <v>7627</v>
      </c>
    </row>
    <row r="467">
      <c r="A467" s="6">
        <v>44710.88436481482</v>
      </c>
      <c r="B467" s="7" t="s">
        <v>7628</v>
      </c>
      <c r="C467" s="8" t="s">
        <v>7629</v>
      </c>
      <c r="D467" s="1" t="s">
        <v>7630</v>
      </c>
      <c r="E467" s="9" t="s">
        <v>7631</v>
      </c>
      <c r="F467" s="1" t="s">
        <v>7632</v>
      </c>
      <c r="G467" s="1" t="s">
        <v>7633</v>
      </c>
      <c r="H467" s="1" t="s">
        <v>2523</v>
      </c>
      <c r="I467" s="1" t="s">
        <v>7634</v>
      </c>
      <c r="J467" s="1" t="s">
        <v>2851</v>
      </c>
      <c r="K467" s="1" t="s">
        <v>102</v>
      </c>
      <c r="L467" s="1" t="s">
        <v>103</v>
      </c>
      <c r="M467" s="1" t="s">
        <v>104</v>
      </c>
      <c r="N467" s="1" t="s">
        <v>552</v>
      </c>
      <c r="O467" s="1" t="s">
        <v>127</v>
      </c>
      <c r="P467" s="1" t="s">
        <v>107</v>
      </c>
      <c r="Q467" s="1" t="s">
        <v>7635</v>
      </c>
      <c r="R467" s="1" t="s">
        <v>7636</v>
      </c>
      <c r="S467" s="1" t="s">
        <v>6303</v>
      </c>
      <c r="T467" s="1" t="s">
        <v>7637</v>
      </c>
      <c r="U467" s="1" t="s">
        <v>7638</v>
      </c>
      <c r="V467" s="1" t="s">
        <v>155</v>
      </c>
      <c r="Z467" s="1" t="s">
        <v>4313</v>
      </c>
      <c r="AA467" s="10">
        <v>5000000.0</v>
      </c>
      <c r="AF467" s="10">
        <v>7000000.0</v>
      </c>
      <c r="AH467" s="1">
        <v>1.088880004E9</v>
      </c>
      <c r="AI467" s="1" t="s">
        <v>222</v>
      </c>
      <c r="AJ467" s="1">
        <v>160.0</v>
      </c>
      <c r="AK467" s="1">
        <v>45.0</v>
      </c>
      <c r="AL467" s="1" t="s">
        <v>7639</v>
      </c>
      <c r="AM467" s="1" t="s">
        <v>7640</v>
      </c>
      <c r="AN467" s="7" t="s">
        <v>7641</v>
      </c>
      <c r="AO467" s="8" t="str">
        <f>HYPERLINK("https://docs.google.com/document/d/1oHYwqT1_zKf4S7TzrUfMwv_XLQZOZ55vO2zfix58s5Y/edit?usp=drivesdk","Al-Wildan 1 Gading Serpong_Ananda putri cahyani S.Pi, M.Si_Fisika")</f>
        <v>Al-Wildan 1 Gading Serpong_Ananda putri cahyani S.Pi, M.Si_Fisika</v>
      </c>
      <c r="AP467" s="1" t="s">
        <v>7642</v>
      </c>
    </row>
    <row r="468">
      <c r="A468" s="6">
        <v>44710.88950821759</v>
      </c>
      <c r="B468" s="7" t="s">
        <v>7643</v>
      </c>
      <c r="C468" s="8" t="s">
        <v>7644</v>
      </c>
      <c r="D468" s="1" t="s">
        <v>7645</v>
      </c>
      <c r="E468" s="9" t="s">
        <v>7646</v>
      </c>
      <c r="F468" s="1" t="s">
        <v>7647</v>
      </c>
      <c r="G468" s="1" t="s">
        <v>359</v>
      </c>
      <c r="H468" s="1" t="s">
        <v>359</v>
      </c>
      <c r="I468" s="9" t="s">
        <v>7648</v>
      </c>
      <c r="J468" s="1" t="s">
        <v>7649</v>
      </c>
      <c r="K468" s="1" t="s">
        <v>102</v>
      </c>
      <c r="L468" s="1" t="s">
        <v>827</v>
      </c>
      <c r="M468" s="1" t="s">
        <v>104</v>
      </c>
      <c r="N468" s="1" t="s">
        <v>7650</v>
      </c>
      <c r="O468" s="1" t="s">
        <v>236</v>
      </c>
      <c r="P468" s="1" t="s">
        <v>6659</v>
      </c>
      <c r="Q468" s="1" t="s">
        <v>7651</v>
      </c>
      <c r="R468" s="1" t="s">
        <v>7652</v>
      </c>
      <c r="S468" s="1" t="s">
        <v>4513</v>
      </c>
      <c r="Z468" s="1" t="s">
        <v>7653</v>
      </c>
      <c r="AA468" s="1" t="s">
        <v>7654</v>
      </c>
      <c r="AB468" s="1" t="s">
        <v>7655</v>
      </c>
      <c r="AC468" s="10">
        <v>2000000.0</v>
      </c>
      <c r="AF468" s="10">
        <v>5000000.0</v>
      </c>
      <c r="AG468" s="1">
        <v>1.131737469E9</v>
      </c>
      <c r="AJ468" s="1">
        <v>168.0</v>
      </c>
      <c r="AK468" s="1">
        <v>55.0</v>
      </c>
      <c r="AL468" s="1" t="s">
        <v>7656</v>
      </c>
      <c r="AM468" s="1" t="s">
        <v>7657</v>
      </c>
      <c r="AN468" s="7" t="s">
        <v>7658</v>
      </c>
      <c r="AO468" s="8" t="str">
        <f>HYPERLINK("https://docs.google.com/document/d/1by2m3uNcL0634NGcHk_7deFnqzDkQZoTrODVtcrzopI/edit?usp=drivesdk","Al-Wildan 15 Kompas Indah, Tambun Bekasi._Rika Marhamah, S.Ag._Hadits, Sirah, bahasa arab, mustolah hadits")</f>
        <v>Al-Wildan 15 Kompas Indah, Tambun Bekasi._Rika Marhamah, S.Ag._Hadits, Sirah, bahasa arab, mustolah hadits</v>
      </c>
      <c r="AP468" s="1" t="s">
        <v>7659</v>
      </c>
    </row>
    <row r="469">
      <c r="A469" s="6">
        <v>44710.8925675</v>
      </c>
      <c r="B469" s="7" t="s">
        <v>7660</v>
      </c>
      <c r="C469" s="8" t="s">
        <v>7661</v>
      </c>
      <c r="D469" s="1" t="s">
        <v>7662</v>
      </c>
      <c r="E469" s="1">
        <v>8.960136103E10</v>
      </c>
      <c r="F469" s="1" t="s">
        <v>7663</v>
      </c>
      <c r="G469" s="1" t="s">
        <v>7664</v>
      </c>
      <c r="H469" s="1" t="s">
        <v>1341</v>
      </c>
      <c r="I469" s="9" t="s">
        <v>7665</v>
      </c>
      <c r="J469" s="1" t="s">
        <v>2131</v>
      </c>
      <c r="K469" s="1" t="s">
        <v>102</v>
      </c>
      <c r="L469" s="1" t="s">
        <v>103</v>
      </c>
      <c r="M469" s="1" t="s">
        <v>104</v>
      </c>
      <c r="N469" s="1" t="s">
        <v>7666</v>
      </c>
      <c r="O469" s="1" t="s">
        <v>127</v>
      </c>
      <c r="P469" s="1" t="s">
        <v>6659</v>
      </c>
      <c r="Q469" s="1" t="s">
        <v>7667</v>
      </c>
      <c r="R469" s="1" t="s">
        <v>7668</v>
      </c>
      <c r="S469" s="1" t="s">
        <v>411</v>
      </c>
      <c r="Z469" s="1" t="s">
        <v>7669</v>
      </c>
      <c r="AA469" s="10">
        <v>2500000.0</v>
      </c>
      <c r="AF469" s="10">
        <v>5000000.0</v>
      </c>
      <c r="AG469" s="1">
        <v>7.64474948E9</v>
      </c>
      <c r="AI469" s="1" t="s">
        <v>5113</v>
      </c>
      <c r="AJ469" s="1">
        <v>169.0</v>
      </c>
      <c r="AK469" s="1">
        <v>70.0</v>
      </c>
      <c r="AL469" s="1" t="s">
        <v>7670</v>
      </c>
      <c r="AM469" s="1" t="s">
        <v>7671</v>
      </c>
      <c r="AN469" s="7" t="s">
        <v>7672</v>
      </c>
      <c r="AO469" s="8" t="str">
        <f>HYPERLINK("https://docs.google.com/document/d/1zgb1VAQurqwAdl6WcyeLKp2FuoBVcvWBbqb0h3doEEE/edit?usp=drivesdk","Al-Wildan 15 Kompas Indah, Tambun Bekasi._Rizqi Alqomaru Sya'ban S.Ag._Tauhid, mustholah hadits, hadits fiqih, ")</f>
        <v>Al-Wildan 15 Kompas Indah, Tambun Bekasi._Rizqi Alqomaru Sya'ban S.Ag._Tauhid, mustholah hadits, hadits fiqih, </v>
      </c>
      <c r="AP469" s="1" t="s">
        <v>7673</v>
      </c>
    </row>
    <row r="470">
      <c r="A470" s="6">
        <v>44710.90034528935</v>
      </c>
      <c r="B470" s="7" t="s">
        <v>7674</v>
      </c>
      <c r="C470" s="8" t="s">
        <v>7675</v>
      </c>
      <c r="D470" s="1" t="s">
        <v>7676</v>
      </c>
      <c r="E470" s="9" t="s">
        <v>7677</v>
      </c>
      <c r="F470" s="1" t="s">
        <v>7678</v>
      </c>
      <c r="G470" s="1" t="s">
        <v>7679</v>
      </c>
      <c r="H470" s="1" t="s">
        <v>169</v>
      </c>
      <c r="I470" s="9" t="s">
        <v>7680</v>
      </c>
      <c r="J470" s="1" t="s">
        <v>7681</v>
      </c>
      <c r="K470" s="1" t="s">
        <v>102</v>
      </c>
      <c r="L470" s="1" t="s">
        <v>103</v>
      </c>
      <c r="M470" s="1" t="s">
        <v>104</v>
      </c>
      <c r="N470" s="1" t="s">
        <v>152</v>
      </c>
      <c r="O470" s="1" t="s">
        <v>236</v>
      </c>
      <c r="P470" s="1" t="s">
        <v>5712</v>
      </c>
      <c r="Q470" s="1" t="s">
        <v>7463</v>
      </c>
      <c r="R470" s="1" t="s">
        <v>2584</v>
      </c>
      <c r="S470" s="1" t="s">
        <v>2181</v>
      </c>
      <c r="T470" s="1" t="s">
        <v>7463</v>
      </c>
      <c r="U470" s="1" t="s">
        <v>172</v>
      </c>
      <c r="V470" s="1" t="s">
        <v>277</v>
      </c>
      <c r="W470" s="1" t="s">
        <v>217</v>
      </c>
      <c r="X470" s="1" t="s">
        <v>217</v>
      </c>
      <c r="Z470" s="1" t="s">
        <v>7682</v>
      </c>
      <c r="AA470" s="10">
        <v>8000000.0</v>
      </c>
      <c r="AB470" s="1" t="s">
        <v>7683</v>
      </c>
      <c r="AC470" s="10">
        <v>7.5E7</v>
      </c>
      <c r="AD470" s="1" t="s">
        <v>7684</v>
      </c>
      <c r="AE470" s="10">
        <v>1.5E7</v>
      </c>
      <c r="AF470" s="10">
        <v>1.0E7</v>
      </c>
      <c r="AG470" s="1">
        <v>1.042493275E9</v>
      </c>
      <c r="AJ470" s="1">
        <v>163.0</v>
      </c>
      <c r="AK470" s="1">
        <v>75.0</v>
      </c>
      <c r="AL470" s="1" t="s">
        <v>7685</v>
      </c>
      <c r="AM470" s="1" t="s">
        <v>7686</v>
      </c>
      <c r="AN470" s="7" t="s">
        <v>7687</v>
      </c>
      <c r="AO470" s="8" t="str">
        <f>HYPERLINK("https://docs.google.com/document/d/1z4RGgQIVkKw2wPhBd1DZ2v936kjUltuI9oSzvA-HcT8/edit?usp=drivesdk","Al-Wildan 3 BSD City_Heni Wahyu Arini, M.Pd._Bahasa Inggris")</f>
        <v>Al-Wildan 3 BSD City_Heni Wahyu Arini, M.Pd._Bahasa Inggris</v>
      </c>
      <c r="AP470" s="1" t="s">
        <v>7688</v>
      </c>
    </row>
    <row r="471">
      <c r="A471" s="6">
        <v>44710.90817481482</v>
      </c>
      <c r="B471" s="7" t="s">
        <v>7689</v>
      </c>
      <c r="C471" s="8" t="s">
        <v>7690</v>
      </c>
      <c r="D471" s="1" t="s">
        <v>7691</v>
      </c>
      <c r="E471" s="9" t="s">
        <v>7692</v>
      </c>
      <c r="F471" s="1" t="s">
        <v>7693</v>
      </c>
      <c r="G471" s="1" t="s">
        <v>7694</v>
      </c>
      <c r="H471" s="1" t="s">
        <v>1255</v>
      </c>
      <c r="I471" s="9" t="s">
        <v>7695</v>
      </c>
      <c r="J471" s="1" t="s">
        <v>7696</v>
      </c>
      <c r="K471" s="1" t="s">
        <v>102</v>
      </c>
      <c r="L471" s="1" t="s">
        <v>103</v>
      </c>
      <c r="M471" s="1" t="s">
        <v>104</v>
      </c>
      <c r="N471" s="1" t="s">
        <v>274</v>
      </c>
      <c r="O471" s="1" t="s">
        <v>312</v>
      </c>
      <c r="P471" s="1" t="s">
        <v>6659</v>
      </c>
      <c r="Q471" s="1" t="s">
        <v>7697</v>
      </c>
      <c r="R471" s="1" t="s">
        <v>7698</v>
      </c>
      <c r="S471" s="1" t="s">
        <v>6661</v>
      </c>
      <c r="Z471" s="1" t="s">
        <v>7699</v>
      </c>
      <c r="AA471" s="10">
        <v>5400000.0</v>
      </c>
      <c r="AB471" s="1" t="s">
        <v>7700</v>
      </c>
      <c r="AC471" s="10">
        <v>3000000.0</v>
      </c>
      <c r="AD471" s="1" t="s">
        <v>7701</v>
      </c>
      <c r="AE471" s="10">
        <v>2500000.0</v>
      </c>
      <c r="AF471" s="10">
        <v>4800000.0</v>
      </c>
      <c r="AH471" s="1">
        <v>1.56000758885E12</v>
      </c>
      <c r="AI471" s="1" t="s">
        <v>5271</v>
      </c>
      <c r="AJ471" s="1">
        <v>153.0</v>
      </c>
      <c r="AK471" s="1">
        <v>56.0</v>
      </c>
      <c r="AL471" s="1" t="s">
        <v>7702</v>
      </c>
      <c r="AM471" s="1" t="s">
        <v>7703</v>
      </c>
      <c r="AN471" s="7" t="s">
        <v>7704</v>
      </c>
      <c r="AO471" s="8" t="str">
        <f>HYPERLINK("https://docs.google.com/document/d/1jMI2ZYE45EC3HcdS4jPtc_ArOSoRKKnNva2x8kRGQ60/edit?usp=drivesdk","Al-Wildan 15 Kompas Indah, Tambun Bekasi._Fitriany Kadevi, S.E.I._Diniyyah")</f>
        <v>Al-Wildan 15 Kompas Indah, Tambun Bekasi._Fitriany Kadevi, S.E.I._Diniyyah</v>
      </c>
      <c r="AP471" s="1" t="s">
        <v>7705</v>
      </c>
    </row>
    <row r="472">
      <c r="A472" s="6">
        <v>44710.91324498843</v>
      </c>
      <c r="B472" s="7" t="s">
        <v>7706</v>
      </c>
      <c r="C472" s="8" t="s">
        <v>7707</v>
      </c>
      <c r="D472" s="1" t="s">
        <v>7708</v>
      </c>
      <c r="E472" s="9" t="s">
        <v>7709</v>
      </c>
      <c r="F472" s="1" t="s">
        <v>7710</v>
      </c>
      <c r="G472" s="1" t="s">
        <v>685</v>
      </c>
      <c r="H472" s="1" t="s">
        <v>253</v>
      </c>
      <c r="I472" s="9" t="s">
        <v>7028</v>
      </c>
      <c r="J472" s="1" t="s">
        <v>7711</v>
      </c>
      <c r="K472" s="1" t="s">
        <v>102</v>
      </c>
      <c r="L472" s="1" t="s">
        <v>103</v>
      </c>
      <c r="M472" s="1" t="s">
        <v>104</v>
      </c>
      <c r="N472" s="1" t="s">
        <v>2769</v>
      </c>
      <c r="O472" s="1" t="s">
        <v>106</v>
      </c>
      <c r="P472" s="1" t="s">
        <v>237</v>
      </c>
      <c r="Q472" s="1" t="s">
        <v>7390</v>
      </c>
      <c r="R472" s="1" t="s">
        <v>235</v>
      </c>
      <c r="S472" s="9" t="s">
        <v>6976</v>
      </c>
      <c r="T472" s="1" t="s">
        <v>217</v>
      </c>
      <c r="U472" s="1" t="s">
        <v>217</v>
      </c>
      <c r="V472" s="1" t="s">
        <v>217</v>
      </c>
      <c r="W472" s="1" t="s">
        <v>217</v>
      </c>
      <c r="X472" s="1" t="s">
        <v>217</v>
      </c>
      <c r="Z472" s="1" t="s">
        <v>7712</v>
      </c>
      <c r="AA472" s="10">
        <v>4600000.0</v>
      </c>
      <c r="AB472" s="1" t="s">
        <v>217</v>
      </c>
      <c r="AC472" s="1" t="s">
        <v>217</v>
      </c>
      <c r="AD472" s="1" t="s">
        <v>217</v>
      </c>
      <c r="AE472" s="1" t="s">
        <v>217</v>
      </c>
      <c r="AF472" s="10">
        <v>5000000.0</v>
      </c>
      <c r="AG472" s="1">
        <v>8.3715736E9</v>
      </c>
      <c r="AJ472" s="1">
        <v>180.0</v>
      </c>
      <c r="AK472" s="1">
        <v>80.0</v>
      </c>
      <c r="AL472" s="1" t="s">
        <v>7713</v>
      </c>
      <c r="AM472" s="1" t="s">
        <v>7714</v>
      </c>
      <c r="AN472" s="7" t="s">
        <v>7715</v>
      </c>
      <c r="AO472" s="8" t="str">
        <f>HYPERLINK("https://docs.google.com/document/d/1nSQPl4_cJ9Q6x0mFGM4Gm2C0AtdQio4oaNuwRCCYsSQ/edit?usp=drivesdk","Al-Wildan 4 Lebak Bulus_Okta Sumarja,S.Pd_Arabic")</f>
        <v>Al-Wildan 4 Lebak Bulus_Okta Sumarja,S.Pd_Arabic</v>
      </c>
      <c r="AP472" s="1" t="s">
        <v>7716</v>
      </c>
    </row>
    <row r="473">
      <c r="A473" s="6">
        <v>44711.236446006944</v>
      </c>
      <c r="B473" s="7" t="s">
        <v>7717</v>
      </c>
      <c r="C473" s="8" t="s">
        <v>7718</v>
      </c>
      <c r="D473" s="1" t="s">
        <v>7719</v>
      </c>
      <c r="E473" s="9" t="s">
        <v>7720</v>
      </c>
      <c r="F473" s="1" t="s">
        <v>7721</v>
      </c>
      <c r="G473" s="1" t="s">
        <v>7722</v>
      </c>
      <c r="H473" s="1" t="s">
        <v>169</v>
      </c>
      <c r="I473" s="1" t="s">
        <v>7723</v>
      </c>
      <c r="J473" s="1" t="s">
        <v>4279</v>
      </c>
      <c r="K473" s="1" t="s">
        <v>102</v>
      </c>
      <c r="L473" s="1" t="s">
        <v>103</v>
      </c>
      <c r="M473" s="1" t="s">
        <v>104</v>
      </c>
      <c r="N473" s="1" t="s">
        <v>1634</v>
      </c>
      <c r="O473" s="1" t="s">
        <v>127</v>
      </c>
      <c r="P473" s="1" t="s">
        <v>237</v>
      </c>
      <c r="Q473" s="1" t="s">
        <v>811</v>
      </c>
      <c r="R473" s="1" t="s">
        <v>193</v>
      </c>
      <c r="S473" s="1" t="s">
        <v>7724</v>
      </c>
      <c r="Z473" s="1" t="s">
        <v>7725</v>
      </c>
      <c r="AA473" s="10">
        <v>4500000.0</v>
      </c>
      <c r="AB473" s="1" t="s">
        <v>7726</v>
      </c>
      <c r="AC473" s="10">
        <v>3500000.0</v>
      </c>
      <c r="AF473" s="10">
        <v>4700000.0</v>
      </c>
      <c r="AG473" s="1">
        <v>4.2925648E9</v>
      </c>
      <c r="AJ473" s="1">
        <v>165.0</v>
      </c>
      <c r="AK473" s="1">
        <v>50.0</v>
      </c>
      <c r="AL473" s="1" t="s">
        <v>7727</v>
      </c>
      <c r="AM473" s="1" t="s">
        <v>7728</v>
      </c>
      <c r="AN473" s="7" t="s">
        <v>7729</v>
      </c>
      <c r="AO473" s="8" t="str">
        <f>HYPERLINK("https://docs.google.com/document/d/1JD_qWEpE8o1ZsvunJ7dQ62OVW23v7DyEOVoLjaFjnf4/edit?usp=drivesdk","Al-Wildan 4 Lebak Bulus_Imaduddin abdurrahim B.A_Diniyah")</f>
        <v>Al-Wildan 4 Lebak Bulus_Imaduddin abdurrahim B.A_Diniyah</v>
      </c>
      <c r="AP473" s="1" t="s">
        <v>7730</v>
      </c>
    </row>
    <row r="474">
      <c r="A474" s="6">
        <v>44711.2383108912</v>
      </c>
      <c r="B474" s="7" t="s">
        <v>7731</v>
      </c>
      <c r="C474" s="8" t="s">
        <v>7732</v>
      </c>
      <c r="D474" s="1" t="s">
        <v>7733</v>
      </c>
      <c r="E474" s="9" t="s">
        <v>7734</v>
      </c>
      <c r="F474" s="1" t="s">
        <v>7735</v>
      </c>
      <c r="G474" s="1" t="s">
        <v>685</v>
      </c>
      <c r="H474" s="1" t="s">
        <v>7736</v>
      </c>
      <c r="I474" s="9" t="s">
        <v>7737</v>
      </c>
      <c r="J474" s="1" t="s">
        <v>687</v>
      </c>
      <c r="K474" s="1" t="s">
        <v>151</v>
      </c>
      <c r="L474" s="1" t="s">
        <v>103</v>
      </c>
      <c r="M474" s="1" t="s">
        <v>4954</v>
      </c>
      <c r="N474" s="1" t="s">
        <v>235</v>
      </c>
      <c r="O474" s="1" t="s">
        <v>127</v>
      </c>
      <c r="P474" s="1" t="s">
        <v>237</v>
      </c>
      <c r="Q474" s="1" t="s">
        <v>7738</v>
      </c>
      <c r="R474" s="1" t="s">
        <v>2355</v>
      </c>
      <c r="S474" s="1">
        <v>3.65</v>
      </c>
      <c r="T474" s="1" t="s">
        <v>2081</v>
      </c>
      <c r="U474" s="1" t="s">
        <v>2355</v>
      </c>
      <c r="V474" s="1">
        <v>3.75</v>
      </c>
      <c r="Z474" s="1" t="s">
        <v>7739</v>
      </c>
      <c r="AA474" s="10">
        <v>6100000.0</v>
      </c>
      <c r="AF474" s="10">
        <v>6000000.0</v>
      </c>
      <c r="AG474" s="1">
        <v>9.85684921E9</v>
      </c>
      <c r="AJ474" s="1">
        <v>170.0</v>
      </c>
      <c r="AK474" s="1">
        <v>72.0</v>
      </c>
      <c r="AL474" s="1" t="s">
        <v>7740</v>
      </c>
      <c r="AM474" s="1" t="s">
        <v>7741</v>
      </c>
      <c r="AN474" s="7" t="s">
        <v>7742</v>
      </c>
      <c r="AO474" s="8" t="str">
        <f>HYPERLINK("https://docs.google.com/document/d/1eLf-6PaXCvnliFU1WrGT_2uJOc7RndxHSYgsnwUis9w/edit?usp=drivesdk","Al-Wildan 4 Lebak Bulus_Anri Ibrahim S.Pd_Bahasa Arab")</f>
        <v>Al-Wildan 4 Lebak Bulus_Anri Ibrahim S.Pd_Bahasa Arab</v>
      </c>
      <c r="AP474" s="1" t="s">
        <v>7743</v>
      </c>
    </row>
    <row r="475">
      <c r="A475" s="6">
        <v>44711.269029131945</v>
      </c>
      <c r="B475" s="7" t="s">
        <v>7744</v>
      </c>
      <c r="C475" s="8" t="s">
        <v>7745</v>
      </c>
      <c r="D475" s="1" t="s">
        <v>7746</v>
      </c>
      <c r="E475" s="9" t="s">
        <v>7747</v>
      </c>
      <c r="F475" s="1" t="s">
        <v>7748</v>
      </c>
      <c r="G475" s="1" t="s">
        <v>7749</v>
      </c>
      <c r="H475" s="1" t="s">
        <v>7750</v>
      </c>
      <c r="I475" s="9" t="s">
        <v>7751</v>
      </c>
      <c r="J475" s="1" t="s">
        <v>190</v>
      </c>
      <c r="K475" s="1" t="s">
        <v>151</v>
      </c>
      <c r="L475" s="1" t="s">
        <v>103</v>
      </c>
      <c r="M475" s="1" t="s">
        <v>104</v>
      </c>
      <c r="N475" s="1" t="s">
        <v>1523</v>
      </c>
      <c r="O475" s="1" t="s">
        <v>236</v>
      </c>
      <c r="P475" s="1" t="s">
        <v>6533</v>
      </c>
      <c r="Q475" s="1" t="s">
        <v>1649</v>
      </c>
      <c r="R475" s="1" t="s">
        <v>1521</v>
      </c>
      <c r="S475" s="1">
        <v>3.31</v>
      </c>
      <c r="T475" s="1" t="s">
        <v>153</v>
      </c>
      <c r="U475" s="1" t="s">
        <v>1521</v>
      </c>
      <c r="V475" s="1">
        <v>3.48</v>
      </c>
      <c r="Z475" s="1" t="s">
        <v>7752</v>
      </c>
      <c r="AA475" s="10">
        <v>1.0E7</v>
      </c>
      <c r="AB475" s="1" t="s">
        <v>7753</v>
      </c>
      <c r="AC475" s="10">
        <v>8000000.0</v>
      </c>
      <c r="AF475" s="10">
        <v>1.0E7</v>
      </c>
      <c r="AH475" s="1">
        <v>8.390112077E9</v>
      </c>
      <c r="AI475" s="1" t="s">
        <v>222</v>
      </c>
      <c r="AJ475" s="1">
        <v>155.0</v>
      </c>
      <c r="AK475" s="1">
        <v>65.0</v>
      </c>
      <c r="AL475" s="1" t="s">
        <v>7754</v>
      </c>
      <c r="AM475" s="1" t="s">
        <v>7755</v>
      </c>
      <c r="AN475" s="7" t="s">
        <v>7756</v>
      </c>
      <c r="AO475" s="8" t="str">
        <f>HYPERLINK("https://docs.google.com/document/d/1MYsCjSrhVO44g2mo06HdnysiymrJi6ALMN620_pHRHM/edit?usp=drivesdk","Al-Wildan 5 Benhil_Suryanika Ramadani., M.Pd_Kimia")</f>
        <v>Al-Wildan 5 Benhil_Suryanika Ramadani., M.Pd_Kimia</v>
      </c>
      <c r="AP475" s="1" t="s">
        <v>7757</v>
      </c>
    </row>
    <row r="476">
      <c r="A476" s="6">
        <v>44711.34066138889</v>
      </c>
      <c r="B476" s="7" t="s">
        <v>7758</v>
      </c>
      <c r="C476" s="8" t="s">
        <v>7759</v>
      </c>
      <c r="D476" s="1" t="s">
        <v>7760</v>
      </c>
      <c r="E476" s="9" t="s">
        <v>7761</v>
      </c>
      <c r="F476" s="1" t="s">
        <v>7762</v>
      </c>
      <c r="G476" s="1" t="s">
        <v>7763</v>
      </c>
      <c r="H476" s="1" t="s">
        <v>7764</v>
      </c>
      <c r="I476" s="9" t="s">
        <v>7765</v>
      </c>
      <c r="J476" s="1" t="s">
        <v>7766</v>
      </c>
      <c r="K476" s="1" t="s">
        <v>151</v>
      </c>
      <c r="L476" s="1" t="s">
        <v>329</v>
      </c>
      <c r="M476" s="1" t="s">
        <v>104</v>
      </c>
      <c r="N476" s="1" t="s">
        <v>235</v>
      </c>
      <c r="O476" s="1" t="s">
        <v>127</v>
      </c>
      <c r="P476" s="1" t="s">
        <v>237</v>
      </c>
      <c r="Q476" s="1" t="s">
        <v>7767</v>
      </c>
      <c r="R476" s="1" t="s">
        <v>2355</v>
      </c>
      <c r="S476" s="1" t="s">
        <v>2369</v>
      </c>
      <c r="Z476" s="1" t="s">
        <v>7178</v>
      </c>
      <c r="AA476" s="10">
        <v>6000000.0</v>
      </c>
      <c r="AF476" s="10">
        <v>6000000.0</v>
      </c>
      <c r="AG476" s="1">
        <v>7.173153467E9</v>
      </c>
      <c r="AJ476" s="1">
        <v>170.0</v>
      </c>
      <c r="AK476" s="1">
        <v>70.0</v>
      </c>
      <c r="AL476" s="1" t="s">
        <v>7768</v>
      </c>
      <c r="AM476" s="1" t="s">
        <v>7769</v>
      </c>
      <c r="AN476" s="7" t="s">
        <v>7770</v>
      </c>
      <c r="AO476" s="8" t="str">
        <f>HYPERLINK("https://docs.google.com/document/d/1RUznO1YgZzefJJ1m7TUr9H5eXqzF0-hPKDTPrT3G7n8/edit?usp=drivesdk","Al-Wildan 4 Lebak Bulus_Ibrahim S.Pd_Bahasa Arab")</f>
        <v>Al-Wildan 4 Lebak Bulus_Ibrahim S.Pd_Bahasa Arab</v>
      </c>
      <c r="AP476" s="1" t="s">
        <v>7771</v>
      </c>
    </row>
    <row r="477">
      <c r="A477" s="6">
        <v>44711.34470929398</v>
      </c>
      <c r="B477" s="7" t="s">
        <v>7772</v>
      </c>
      <c r="C477" s="8" t="s">
        <v>7773</v>
      </c>
      <c r="D477" s="1" t="s">
        <v>7774</v>
      </c>
      <c r="E477" s="9" t="s">
        <v>7775</v>
      </c>
      <c r="F477" s="1" t="s">
        <v>7776</v>
      </c>
      <c r="G477" s="1" t="s">
        <v>685</v>
      </c>
      <c r="H477" s="1" t="s">
        <v>7777</v>
      </c>
      <c r="I477" s="9" t="s">
        <v>7778</v>
      </c>
      <c r="J477" s="1" t="s">
        <v>1557</v>
      </c>
      <c r="K477" s="1" t="s">
        <v>102</v>
      </c>
      <c r="L477" s="1" t="s">
        <v>103</v>
      </c>
      <c r="M477" s="1" t="s">
        <v>104</v>
      </c>
      <c r="N477" s="1" t="s">
        <v>235</v>
      </c>
      <c r="O477" s="1" t="s">
        <v>106</v>
      </c>
      <c r="P477" s="1" t="s">
        <v>237</v>
      </c>
      <c r="Q477" s="1" t="s">
        <v>7390</v>
      </c>
      <c r="R477" s="1" t="s">
        <v>2355</v>
      </c>
      <c r="S477" s="1" t="s">
        <v>7779</v>
      </c>
      <c r="Z477" s="1" t="s">
        <v>7780</v>
      </c>
      <c r="AA477" s="10">
        <v>5000000.0</v>
      </c>
      <c r="AF477" s="10">
        <v>5500000.0</v>
      </c>
      <c r="AG477" s="1">
        <v>8.39812465E9</v>
      </c>
      <c r="AJ477" s="1">
        <v>160.0</v>
      </c>
      <c r="AK477" s="1">
        <v>76.0</v>
      </c>
      <c r="AL477" s="1" t="s">
        <v>7781</v>
      </c>
      <c r="AM477" s="1" t="s">
        <v>7782</v>
      </c>
      <c r="AN477" s="7" t="s">
        <v>7783</v>
      </c>
      <c r="AO477" s="8" t="str">
        <f>HYPERLINK("https://docs.google.com/document/d/1J4wVYoa9zEdjAOy-hZP9BqE70rmsdYaQy-FNGl77y5Y/edit?usp=drivesdk","Al-Wildan 4 Lebak Bulus_Endra Iriyanto, S.Pd_Bahasa Arab")</f>
        <v>Al-Wildan 4 Lebak Bulus_Endra Iriyanto, S.Pd_Bahasa Arab</v>
      </c>
      <c r="AP477" s="1" t="s">
        <v>7784</v>
      </c>
    </row>
    <row r="478">
      <c r="A478" s="6">
        <v>44711.38982751158</v>
      </c>
      <c r="B478" s="7" t="s">
        <v>7785</v>
      </c>
      <c r="C478" s="8" t="s">
        <v>7786</v>
      </c>
      <c r="D478" s="1" t="s">
        <v>7787</v>
      </c>
      <c r="E478" s="9" t="s">
        <v>7788</v>
      </c>
      <c r="F478" s="1" t="s">
        <v>7789</v>
      </c>
      <c r="G478" s="1" t="s">
        <v>7790</v>
      </c>
      <c r="H478" s="1" t="s">
        <v>99</v>
      </c>
      <c r="I478" s="1">
        <v>1.0111993E7</v>
      </c>
      <c r="J478" s="1" t="s">
        <v>7791</v>
      </c>
      <c r="K478" s="1" t="s">
        <v>151</v>
      </c>
      <c r="L478" s="1" t="s">
        <v>103</v>
      </c>
      <c r="M478" s="1" t="s">
        <v>104</v>
      </c>
      <c r="N478" s="1" t="s">
        <v>552</v>
      </c>
      <c r="O478" s="1" t="s">
        <v>236</v>
      </c>
      <c r="P478" s="1" t="s">
        <v>107</v>
      </c>
      <c r="Q478" s="1" t="s">
        <v>108</v>
      </c>
      <c r="R478" s="1" t="s">
        <v>410</v>
      </c>
      <c r="S478" s="1" t="s">
        <v>1087</v>
      </c>
      <c r="Z478" s="1" t="s">
        <v>7792</v>
      </c>
      <c r="AA478" s="10">
        <v>2000000.0</v>
      </c>
      <c r="AB478" s="1" t="s">
        <v>7793</v>
      </c>
      <c r="AC478" s="10">
        <v>4000000.0</v>
      </c>
      <c r="AD478" s="1" t="s">
        <v>7794</v>
      </c>
      <c r="AE478" s="10">
        <v>4000000.0</v>
      </c>
      <c r="AF478" s="10">
        <v>5000000.0</v>
      </c>
      <c r="AG478" s="1">
        <v>7.193470698E9</v>
      </c>
      <c r="AH478" s="9" t="s">
        <v>7795</v>
      </c>
      <c r="AI478" s="1" t="s">
        <v>159</v>
      </c>
      <c r="AJ478" s="1">
        <v>175.0</v>
      </c>
      <c r="AK478" s="1">
        <v>75.0</v>
      </c>
      <c r="AL478" s="1" t="s">
        <v>7796</v>
      </c>
      <c r="AM478" s="1" t="s">
        <v>7797</v>
      </c>
      <c r="AN478" s="7" t="s">
        <v>7798</v>
      </c>
      <c r="AO478" s="8" t="str">
        <f>HYPERLINK("https://docs.google.com/document/d/1yT8-3egHyUAJaQuGugI89Ry_thkO__t6LjVJIilu8xY/edit?usp=drivesdk","Al-Wildan 1 Gading Serpong_Izzah Imaniyah, S.Pd_Fisika")</f>
        <v>Al-Wildan 1 Gading Serpong_Izzah Imaniyah, S.Pd_Fisika</v>
      </c>
      <c r="AP478" s="1" t="s">
        <v>7799</v>
      </c>
    </row>
    <row r="479">
      <c r="A479" s="6">
        <v>44711.45799909723</v>
      </c>
      <c r="B479" s="7" t="s">
        <v>7800</v>
      </c>
      <c r="C479" s="8" t="s">
        <v>7801</v>
      </c>
      <c r="D479" s="1" t="s">
        <v>7802</v>
      </c>
      <c r="E479" s="9" t="s">
        <v>7803</v>
      </c>
      <c r="F479" s="1" t="s">
        <v>7804</v>
      </c>
      <c r="G479" s="1" t="s">
        <v>7805</v>
      </c>
      <c r="H479" s="1" t="s">
        <v>685</v>
      </c>
      <c r="I479" s="9" t="s">
        <v>7806</v>
      </c>
      <c r="J479" s="1" t="s">
        <v>6266</v>
      </c>
      <c r="K479" s="1" t="s">
        <v>102</v>
      </c>
      <c r="L479" s="1" t="s">
        <v>103</v>
      </c>
      <c r="M479" s="1" t="s">
        <v>104</v>
      </c>
      <c r="N479" s="1" t="s">
        <v>7807</v>
      </c>
      <c r="O479" s="1" t="s">
        <v>106</v>
      </c>
      <c r="P479" s="1" t="s">
        <v>5712</v>
      </c>
      <c r="Q479" s="1" t="s">
        <v>967</v>
      </c>
      <c r="R479" s="1" t="s">
        <v>238</v>
      </c>
      <c r="S479" s="9" t="s">
        <v>7808</v>
      </c>
      <c r="Z479" s="1" t="s">
        <v>7809</v>
      </c>
      <c r="AA479" s="10">
        <v>800000.0</v>
      </c>
      <c r="AB479" s="1" t="s">
        <v>7810</v>
      </c>
      <c r="AC479" s="10">
        <v>2500000.0</v>
      </c>
      <c r="AD479" s="1" t="s">
        <v>7811</v>
      </c>
      <c r="AE479" s="10">
        <v>4300000.0</v>
      </c>
      <c r="AF479" s="10">
        <v>6000000.0</v>
      </c>
      <c r="AG479" s="1">
        <v>8.38225116E9</v>
      </c>
      <c r="AJ479" s="1">
        <v>179.0</v>
      </c>
      <c r="AK479" s="1">
        <v>80.0</v>
      </c>
      <c r="AL479" s="1" t="s">
        <v>7812</v>
      </c>
      <c r="AM479" s="1" t="s">
        <v>7813</v>
      </c>
      <c r="AN479" s="7" t="s">
        <v>7814</v>
      </c>
      <c r="AO479" s="8" t="str">
        <f>HYPERLINK("https://docs.google.com/document/d/1ZmR4p5G5PNwAS8rCNoWLlzCWpc2NyHglPBCx1rpCSuQ/edit?usp=drivesdk","Al-Wildan 3 BSD City_Hasanudin Sultoni ( S1)_Pai/Diniyyah")</f>
        <v>Al-Wildan 3 BSD City_Hasanudin Sultoni ( S1)_Pai/Diniyyah</v>
      </c>
      <c r="AP479" s="1" t="s">
        <v>7815</v>
      </c>
    </row>
    <row r="480">
      <c r="A480" s="6">
        <v>44711.52816877315</v>
      </c>
      <c r="B480" s="7" t="s">
        <v>7816</v>
      </c>
      <c r="C480" s="8" t="s">
        <v>7817</v>
      </c>
      <c r="D480" s="1" t="s">
        <v>7818</v>
      </c>
      <c r="E480" s="9" t="s">
        <v>7819</v>
      </c>
      <c r="F480" s="1" t="s">
        <v>7820</v>
      </c>
      <c r="G480" s="1" t="s">
        <v>7821</v>
      </c>
      <c r="H480" s="1" t="s">
        <v>99</v>
      </c>
      <c r="I480" s="9" t="s">
        <v>7822</v>
      </c>
      <c r="J480" s="1" t="s">
        <v>7823</v>
      </c>
      <c r="K480" s="1" t="s">
        <v>151</v>
      </c>
      <c r="L480" s="1" t="s">
        <v>103</v>
      </c>
      <c r="M480" s="1" t="s">
        <v>104</v>
      </c>
      <c r="N480" s="1" t="s">
        <v>105</v>
      </c>
      <c r="O480" s="1" t="s">
        <v>127</v>
      </c>
      <c r="P480" s="1" t="s">
        <v>107</v>
      </c>
      <c r="Q480" s="1" t="s">
        <v>291</v>
      </c>
      <c r="R480" s="1" t="s">
        <v>7824</v>
      </c>
      <c r="S480" s="1" t="s">
        <v>6418</v>
      </c>
      <c r="Z480" s="1" t="s">
        <v>7825</v>
      </c>
      <c r="AA480" s="10">
        <v>3300000.0</v>
      </c>
      <c r="AB480" s="1" t="s">
        <v>7826</v>
      </c>
      <c r="AC480" s="10">
        <v>3500000.0</v>
      </c>
      <c r="AD480" s="1" t="s">
        <v>7827</v>
      </c>
      <c r="AE480" s="10">
        <v>1500000.0</v>
      </c>
      <c r="AF480" s="10">
        <v>5000000.0</v>
      </c>
      <c r="AG480" s="1">
        <v>7.197955141E9</v>
      </c>
      <c r="AJ480" s="1">
        <v>156.0</v>
      </c>
      <c r="AK480" s="1">
        <v>50.0</v>
      </c>
      <c r="AL480" s="1" t="s">
        <v>7828</v>
      </c>
      <c r="AM480" s="1" t="s">
        <v>7829</v>
      </c>
      <c r="AN480" s="7" t="s">
        <v>7830</v>
      </c>
      <c r="AO480" s="8" t="str">
        <f>HYPERLINK("https://docs.google.com/document/d/19Nyj9cPI8drz-HF5ZtmjL5bipdc1faGEx4MnXbGUXyg/edit?usp=drivesdk","Al-Wildan 1 Gading Serpong_Nurmilah Fadilah, S.Pd._Bahasa Indonesia")</f>
        <v>Al-Wildan 1 Gading Serpong_Nurmilah Fadilah, S.Pd._Bahasa Indonesia</v>
      </c>
      <c r="AP480" s="1" t="s">
        <v>7831</v>
      </c>
    </row>
    <row r="481">
      <c r="A481" s="6">
        <v>44711.58756494213</v>
      </c>
      <c r="B481" s="7" t="s">
        <v>7832</v>
      </c>
      <c r="C481" s="8" t="s">
        <v>7833</v>
      </c>
      <c r="D481" s="1" t="s">
        <v>7834</v>
      </c>
      <c r="E481" s="9" t="s">
        <v>7835</v>
      </c>
      <c r="F481" s="1" t="s">
        <v>7836</v>
      </c>
      <c r="G481" s="1" t="s">
        <v>7837</v>
      </c>
      <c r="H481" s="1" t="s">
        <v>169</v>
      </c>
      <c r="I481" s="9" t="s">
        <v>7838</v>
      </c>
      <c r="J481" s="1" t="s">
        <v>7839</v>
      </c>
      <c r="K481" s="1" t="s">
        <v>102</v>
      </c>
      <c r="L481" s="1" t="s">
        <v>329</v>
      </c>
      <c r="M481" s="1" t="s">
        <v>104</v>
      </c>
      <c r="N481" s="1" t="s">
        <v>7840</v>
      </c>
      <c r="O481" s="1" t="s">
        <v>127</v>
      </c>
      <c r="P481" s="1" t="s">
        <v>6659</v>
      </c>
      <c r="Q481" s="1" t="s">
        <v>7841</v>
      </c>
      <c r="R481" s="1" t="s">
        <v>4793</v>
      </c>
      <c r="S481" s="1" t="s">
        <v>7842</v>
      </c>
      <c r="Z481" s="1" t="s">
        <v>7843</v>
      </c>
      <c r="AA481" s="10">
        <v>300000.0</v>
      </c>
      <c r="AB481" s="1" t="s">
        <v>7844</v>
      </c>
      <c r="AC481" s="10">
        <v>4300000.0</v>
      </c>
      <c r="AF481" s="10">
        <v>6500000.0</v>
      </c>
      <c r="AH481" s="9" t="s">
        <v>7845</v>
      </c>
      <c r="AI481" s="1" t="s">
        <v>159</v>
      </c>
      <c r="AJ481" s="1">
        <v>157.0</v>
      </c>
      <c r="AK481" s="1">
        <v>91.0</v>
      </c>
      <c r="AL481" s="1" t="s">
        <v>7846</v>
      </c>
      <c r="AM481" s="1" t="s">
        <v>7847</v>
      </c>
      <c r="AN481" s="7" t="s">
        <v>7848</v>
      </c>
      <c r="AO481" s="8" t="str">
        <f>HYPERLINK("https://docs.google.com/document/d/1sQMbEEQyQckqiYoynHHfcrsPw8wuaEVTazsyVUu8hVo/edit?usp=drivesdk","Al-Wildan 15 Kompas Indah, Tambun Bekasi._Farouq Khudzaifah, Lc_hadits, aqidah")</f>
        <v>Al-Wildan 15 Kompas Indah, Tambun Bekasi._Farouq Khudzaifah, Lc_hadits, aqidah</v>
      </c>
      <c r="AP481" s="1" t="s">
        <v>7849</v>
      </c>
    </row>
    <row r="482">
      <c r="A482" s="6">
        <v>44711.61197023148</v>
      </c>
      <c r="B482" s="7" t="s">
        <v>7850</v>
      </c>
      <c r="C482" s="8" t="s">
        <v>7851</v>
      </c>
      <c r="D482" s="1" t="s">
        <v>7852</v>
      </c>
      <c r="E482" s="9" t="s">
        <v>7853</v>
      </c>
      <c r="F482" s="1" t="s">
        <v>7854</v>
      </c>
      <c r="G482" s="1" t="s">
        <v>685</v>
      </c>
      <c r="H482" s="1" t="s">
        <v>288</v>
      </c>
      <c r="I482" s="9" t="s">
        <v>7855</v>
      </c>
      <c r="J482" s="1">
        <v>27.0</v>
      </c>
      <c r="K482" s="1" t="s">
        <v>102</v>
      </c>
      <c r="L482" s="1" t="s">
        <v>103</v>
      </c>
      <c r="M482" s="1" t="s">
        <v>104</v>
      </c>
      <c r="N482" s="1" t="s">
        <v>7856</v>
      </c>
      <c r="O482" s="1" t="s">
        <v>236</v>
      </c>
      <c r="P482" s="1" t="s">
        <v>5712</v>
      </c>
      <c r="Q482" s="1" t="s">
        <v>7857</v>
      </c>
      <c r="R482" s="1" t="s">
        <v>7391</v>
      </c>
      <c r="S482" s="1" t="s">
        <v>3093</v>
      </c>
      <c r="Z482" s="1" t="s">
        <v>7858</v>
      </c>
      <c r="AA482" s="1" t="s">
        <v>7859</v>
      </c>
      <c r="AB482" s="1" t="s">
        <v>7860</v>
      </c>
      <c r="AC482" s="1" t="s">
        <v>7861</v>
      </c>
      <c r="AD482" s="1" t="s">
        <v>7862</v>
      </c>
      <c r="AE482" s="10">
        <v>4000000.0</v>
      </c>
      <c r="AF482" s="10">
        <v>6000000.0</v>
      </c>
      <c r="AG482" s="1">
        <v>7.147392219E9</v>
      </c>
      <c r="AJ482" s="1">
        <v>153.0</v>
      </c>
      <c r="AK482" s="1">
        <v>58.0</v>
      </c>
      <c r="AL482" s="1" t="s">
        <v>7863</v>
      </c>
      <c r="AM482" s="1" t="s">
        <v>7864</v>
      </c>
      <c r="AN482" s="7" t="s">
        <v>7865</v>
      </c>
      <c r="AO482" s="8" t="str">
        <f>HYPERLINK("https://docs.google.com/document/d/1Js6lAmNcJzwfYIP4bkbqSEY2V0FKAqtYDEMN09aMepY/edit?usp=drivesdk","Al-Wildan 3 BSD City_Muhamad Rahmatullah_ARABIC")</f>
        <v>Al-Wildan 3 BSD City_Muhamad Rahmatullah_ARABIC</v>
      </c>
      <c r="AP482" s="1" t="s">
        <v>7866</v>
      </c>
    </row>
    <row r="483">
      <c r="A483" s="6">
        <v>44711.69182126157</v>
      </c>
      <c r="B483" s="7" t="s">
        <v>7867</v>
      </c>
      <c r="C483" s="8" t="s">
        <v>7868</v>
      </c>
      <c r="D483" s="1" t="s">
        <v>7869</v>
      </c>
      <c r="E483" s="9" t="s">
        <v>7870</v>
      </c>
      <c r="F483" s="1" t="s">
        <v>7871</v>
      </c>
      <c r="G483" s="1" t="s">
        <v>7872</v>
      </c>
      <c r="H483" s="1" t="s">
        <v>4905</v>
      </c>
      <c r="I483" s="9" t="s">
        <v>7873</v>
      </c>
      <c r="J483" s="1" t="s">
        <v>7874</v>
      </c>
      <c r="K483" s="1" t="s">
        <v>151</v>
      </c>
      <c r="L483" s="1" t="s">
        <v>256</v>
      </c>
      <c r="M483" s="1" t="s">
        <v>4954</v>
      </c>
      <c r="N483" s="1" t="s">
        <v>7875</v>
      </c>
      <c r="O483" s="1" t="s">
        <v>312</v>
      </c>
      <c r="P483" s="1" t="s">
        <v>6044</v>
      </c>
      <c r="Q483" s="1" t="s">
        <v>7876</v>
      </c>
      <c r="R483" s="1" t="s">
        <v>7877</v>
      </c>
      <c r="S483" s="1" t="s">
        <v>3589</v>
      </c>
      <c r="Z483" s="1" t="s">
        <v>7878</v>
      </c>
      <c r="AA483" s="1" t="s">
        <v>7879</v>
      </c>
      <c r="AB483" s="1" t="s">
        <v>7880</v>
      </c>
      <c r="AC483" s="1" t="s">
        <v>7881</v>
      </c>
      <c r="AD483" s="1" t="s">
        <v>7882</v>
      </c>
      <c r="AE483" s="1" t="s">
        <v>7883</v>
      </c>
      <c r="AF483" s="1" t="s">
        <v>7884</v>
      </c>
      <c r="AH483" s="1">
        <v>1.760001627973E12</v>
      </c>
      <c r="AI483" s="1" t="s">
        <v>4483</v>
      </c>
      <c r="AJ483" s="1">
        <v>157.0</v>
      </c>
      <c r="AK483" s="1">
        <v>43.0</v>
      </c>
      <c r="AL483" s="1" t="s">
        <v>7885</v>
      </c>
      <c r="AM483" s="1" t="s">
        <v>7886</v>
      </c>
      <c r="AN483" s="7" t="s">
        <v>7887</v>
      </c>
      <c r="AO483" s="8" t="str">
        <f>HYPERLINK("https://docs.google.com/document/d/1rfb3UOT36_55qihMQyZjv-GvwyPq7HKt-YxaPVmqVrI/edit?usp=drivesdk","Al-Wildan Holding_Sagita Defriyanti S.M_PAI (Indo)")</f>
        <v>Al-Wildan Holding_Sagita Defriyanti S.M_PAI (Indo)</v>
      </c>
      <c r="AP483" s="1" t="s">
        <v>7888</v>
      </c>
    </row>
    <row r="484">
      <c r="A484" s="6">
        <v>44711.73040262732</v>
      </c>
      <c r="B484" s="7" t="s">
        <v>7889</v>
      </c>
      <c r="C484" s="8" t="s">
        <v>7890</v>
      </c>
      <c r="D484" s="1" t="s">
        <v>7891</v>
      </c>
      <c r="E484" s="9" t="s">
        <v>7892</v>
      </c>
      <c r="F484" s="1" t="s">
        <v>7893</v>
      </c>
      <c r="G484" s="1" t="s">
        <v>7894</v>
      </c>
      <c r="H484" s="1" t="s">
        <v>6482</v>
      </c>
      <c r="I484" s="9" t="s">
        <v>7895</v>
      </c>
      <c r="J484" s="1">
        <v>26.0</v>
      </c>
      <c r="K484" s="1" t="s">
        <v>151</v>
      </c>
      <c r="L484" s="1" t="s">
        <v>103</v>
      </c>
      <c r="M484" s="1" t="s">
        <v>104</v>
      </c>
      <c r="N484" s="1" t="s">
        <v>235</v>
      </c>
      <c r="O484" s="1" t="s">
        <v>106</v>
      </c>
      <c r="P484" s="1" t="s">
        <v>237</v>
      </c>
      <c r="Q484" s="1" t="s">
        <v>2354</v>
      </c>
      <c r="R484" s="1" t="s">
        <v>7896</v>
      </c>
      <c r="S484" s="1" t="s">
        <v>426</v>
      </c>
      <c r="Z484" s="1" t="s">
        <v>7897</v>
      </c>
      <c r="AA484" s="10">
        <v>4600000.0</v>
      </c>
      <c r="AF484" s="10">
        <v>6000000.0</v>
      </c>
      <c r="AG484" s="1">
        <v>9.85685798E9</v>
      </c>
      <c r="AJ484" s="1">
        <v>165.0</v>
      </c>
      <c r="AK484" s="1">
        <v>50.0</v>
      </c>
      <c r="AL484" s="1" t="s">
        <v>7898</v>
      </c>
      <c r="AM484" s="1" t="s">
        <v>7899</v>
      </c>
      <c r="AN484" s="7" t="s">
        <v>7900</v>
      </c>
      <c r="AO484" s="8" t="str">
        <f>HYPERLINK("https://docs.google.com/document/d/1PKwjriYKoX877N4Fhl2qPgxdhAm7qoQJKn3jPSgRPpo/edit?usp=drivesdk","Al-Wildan 4 Lebak Bulus_Fathan Fadhilah Spd_Bahasa Arab")</f>
        <v>Al-Wildan 4 Lebak Bulus_Fathan Fadhilah Spd_Bahasa Arab</v>
      </c>
      <c r="AP484" s="1" t="s">
        <v>7901</v>
      </c>
    </row>
    <row r="485">
      <c r="A485" s="6">
        <v>44711.74997135416</v>
      </c>
      <c r="B485" s="7" t="s">
        <v>7902</v>
      </c>
      <c r="C485" s="8" t="s">
        <v>7903</v>
      </c>
      <c r="D485" s="1" t="s">
        <v>7904</v>
      </c>
      <c r="E485" s="9" t="s">
        <v>7905</v>
      </c>
      <c r="F485" s="1" t="s">
        <v>7906</v>
      </c>
      <c r="G485" s="1" t="s">
        <v>7907</v>
      </c>
      <c r="H485" s="1" t="s">
        <v>188</v>
      </c>
      <c r="I485" s="9" t="s">
        <v>7908</v>
      </c>
      <c r="J485" s="1" t="s">
        <v>1274</v>
      </c>
      <c r="K485" s="1" t="s">
        <v>102</v>
      </c>
      <c r="L485" s="1" t="s">
        <v>103</v>
      </c>
      <c r="M485" s="1" t="s">
        <v>104</v>
      </c>
      <c r="N485" s="1" t="s">
        <v>274</v>
      </c>
      <c r="O485" s="1" t="s">
        <v>106</v>
      </c>
      <c r="P485" s="1" t="s">
        <v>6091</v>
      </c>
      <c r="Q485" s="1" t="s">
        <v>7909</v>
      </c>
      <c r="R485" s="1" t="s">
        <v>259</v>
      </c>
      <c r="S485" s="1" t="s">
        <v>755</v>
      </c>
      <c r="Z485" s="1" t="s">
        <v>1998</v>
      </c>
      <c r="AA485" s="10">
        <v>4600000.0</v>
      </c>
      <c r="AF485" s="10">
        <v>5000000.0</v>
      </c>
      <c r="AG485" s="1">
        <v>3.32093602E9</v>
      </c>
      <c r="AJ485" s="1">
        <v>162.0</v>
      </c>
      <c r="AK485" s="1">
        <v>61.0</v>
      </c>
      <c r="AL485" s="1" t="s">
        <v>7910</v>
      </c>
      <c r="AM485" s="1" t="s">
        <v>7911</v>
      </c>
      <c r="AN485" s="7" t="s">
        <v>7912</v>
      </c>
      <c r="AO485" s="8" t="str">
        <f>HYPERLINK("https://docs.google.com/document/d/1QXCpJi6V02fPmNLbpDGOGx2QAewAroMbNnG2jYxiF20/edit?usp=drivesdk","Al-Wildan 10 Cipinang, Jakarta Timur_Jani, S.Pd._Diniyyah")</f>
        <v>Al-Wildan 10 Cipinang, Jakarta Timur_Jani, S.Pd._Diniyyah</v>
      </c>
      <c r="AP485" s="1" t="s">
        <v>7913</v>
      </c>
    </row>
    <row r="486">
      <c r="A486" s="6">
        <v>44711.797015185184</v>
      </c>
      <c r="B486" s="7" t="s">
        <v>7914</v>
      </c>
      <c r="C486" s="8" t="s">
        <v>7915</v>
      </c>
      <c r="D486" s="1" t="s">
        <v>7916</v>
      </c>
      <c r="E486" s="9" t="s">
        <v>7917</v>
      </c>
      <c r="F486" s="1" t="s">
        <v>7918</v>
      </c>
      <c r="G486" s="1" t="s">
        <v>7919</v>
      </c>
      <c r="H486" s="1" t="s">
        <v>1255</v>
      </c>
      <c r="I486" s="9" t="s">
        <v>7920</v>
      </c>
      <c r="J486" s="1" t="s">
        <v>7921</v>
      </c>
      <c r="K486" s="1" t="s">
        <v>151</v>
      </c>
      <c r="L486" s="1" t="s">
        <v>103</v>
      </c>
      <c r="M486" s="1" t="s">
        <v>104</v>
      </c>
      <c r="N486" s="1" t="s">
        <v>7922</v>
      </c>
      <c r="O486" s="1" t="s">
        <v>127</v>
      </c>
      <c r="P486" s="1" t="s">
        <v>5712</v>
      </c>
      <c r="Q486" s="1" t="s">
        <v>7923</v>
      </c>
      <c r="R486" s="1" t="s">
        <v>7924</v>
      </c>
      <c r="S486" s="1" t="s">
        <v>6799</v>
      </c>
      <c r="T486" s="1" t="s">
        <v>7923</v>
      </c>
      <c r="U486" s="1" t="s">
        <v>7925</v>
      </c>
      <c r="V486" s="1" t="s">
        <v>7926</v>
      </c>
      <c r="Z486" s="1" t="s">
        <v>7927</v>
      </c>
      <c r="AA486" s="10">
        <v>1200000.0</v>
      </c>
      <c r="AB486" s="1" t="s">
        <v>7928</v>
      </c>
      <c r="AC486" s="10">
        <v>1400000.0</v>
      </c>
      <c r="AD486" s="1" t="s">
        <v>7929</v>
      </c>
      <c r="AE486" s="10">
        <v>600000.0</v>
      </c>
      <c r="AF486" s="10">
        <v>6000000.0</v>
      </c>
      <c r="AG486" s="1">
        <v>7.197946134E9</v>
      </c>
      <c r="AJ486" s="1">
        <v>156.0</v>
      </c>
      <c r="AK486" s="1">
        <v>50.0</v>
      </c>
      <c r="AL486" s="1" t="s">
        <v>7930</v>
      </c>
      <c r="AM486" s="1" t="s">
        <v>7931</v>
      </c>
      <c r="AN486" s="7" t="s">
        <v>7932</v>
      </c>
      <c r="AO486" s="8" t="str">
        <f>HYPERLINK("https://docs.google.com/document/d/1yNlo03CvRk95TDW-qVqU-aQdBLeP5Vy9FIErtajKXQE/edit?usp=drivesdk","Al-Wildan 3 BSD City_Lingga Yuwana, M.Ag_PAI ENGLISH")</f>
        <v>Al-Wildan 3 BSD City_Lingga Yuwana, M.Ag_PAI ENGLISH</v>
      </c>
      <c r="AP486" s="1" t="s">
        <v>7933</v>
      </c>
    </row>
    <row r="487">
      <c r="A487" s="6">
        <v>44711.81192129629</v>
      </c>
      <c r="B487" s="7" t="s">
        <v>7934</v>
      </c>
      <c r="C487" s="8" t="s">
        <v>7935</v>
      </c>
      <c r="D487" s="1" t="s">
        <v>7936</v>
      </c>
      <c r="E487" s="9" t="s">
        <v>7937</v>
      </c>
      <c r="F487" s="1" t="s">
        <v>7938</v>
      </c>
      <c r="G487" s="1" t="s">
        <v>7939</v>
      </c>
      <c r="H487" s="1" t="s">
        <v>1078</v>
      </c>
      <c r="I487" s="9" t="s">
        <v>7940</v>
      </c>
      <c r="J487" s="1" t="s">
        <v>7941</v>
      </c>
      <c r="K487" s="1" t="s">
        <v>151</v>
      </c>
      <c r="L487" s="1" t="s">
        <v>103</v>
      </c>
      <c r="M487" s="1" t="s">
        <v>104</v>
      </c>
      <c r="N487" s="1" t="s">
        <v>235</v>
      </c>
      <c r="O487" s="1" t="s">
        <v>127</v>
      </c>
      <c r="P487" s="1" t="s">
        <v>237</v>
      </c>
      <c r="Q487" s="1" t="s">
        <v>7942</v>
      </c>
      <c r="R487" s="1" t="s">
        <v>2355</v>
      </c>
      <c r="S487" s="1">
        <v>3.76</v>
      </c>
      <c r="T487" s="1" t="s">
        <v>7943</v>
      </c>
      <c r="U487" s="1" t="s">
        <v>2355</v>
      </c>
      <c r="V487" s="1" t="s">
        <v>217</v>
      </c>
      <c r="Z487" s="1" t="s">
        <v>7944</v>
      </c>
      <c r="AA487" s="10">
        <v>6000000.0</v>
      </c>
      <c r="AB487" s="1" t="s">
        <v>217</v>
      </c>
      <c r="AC487" s="1" t="s">
        <v>217</v>
      </c>
      <c r="AD487" s="1" t="s">
        <v>217</v>
      </c>
      <c r="AE487" s="1" t="s">
        <v>217</v>
      </c>
      <c r="AF487" s="10">
        <v>7000000.0</v>
      </c>
      <c r="AG487" s="1">
        <v>1.120467313E9</v>
      </c>
      <c r="AJ487" s="1">
        <v>160.0</v>
      </c>
      <c r="AK487" s="1">
        <v>58.0</v>
      </c>
      <c r="AL487" s="1" t="s">
        <v>7945</v>
      </c>
      <c r="AM487" s="1" t="s">
        <v>7946</v>
      </c>
      <c r="AN487" s="7" t="s">
        <v>7947</v>
      </c>
      <c r="AO487" s="8" t="str">
        <f>HYPERLINK("https://docs.google.com/document/d/14Rjp6fDho8RF4--edHQURkqw78PlxhviOd8TpQ9ipd0/edit?usp=drivesdk","Al-Wildan 4 Lebak Bulus_Muhammad Muhollis S.Pd._Bahasa Arab")</f>
        <v>Al-Wildan 4 Lebak Bulus_Muhammad Muhollis S.Pd._Bahasa Arab</v>
      </c>
      <c r="AP487" s="1" t="s">
        <v>7948</v>
      </c>
    </row>
    <row r="488">
      <c r="A488" s="6">
        <v>44711.833114293986</v>
      </c>
      <c r="B488" s="7" t="s">
        <v>7949</v>
      </c>
      <c r="C488" s="8" t="s">
        <v>7950</v>
      </c>
      <c r="D488" s="1" t="s">
        <v>7951</v>
      </c>
      <c r="E488" s="9" t="s">
        <v>7952</v>
      </c>
      <c r="F488" s="1" t="s">
        <v>7953</v>
      </c>
      <c r="G488" s="1" t="s">
        <v>7954</v>
      </c>
      <c r="H488" s="1" t="s">
        <v>169</v>
      </c>
      <c r="I488" s="9" t="s">
        <v>7955</v>
      </c>
      <c r="J488" s="1" t="s">
        <v>2306</v>
      </c>
      <c r="K488" s="1" t="s">
        <v>102</v>
      </c>
      <c r="L488" s="1" t="s">
        <v>827</v>
      </c>
      <c r="M488" s="1" t="s">
        <v>104</v>
      </c>
      <c r="N488" s="1" t="s">
        <v>152</v>
      </c>
      <c r="O488" s="1" t="s">
        <v>312</v>
      </c>
      <c r="P488" s="1" t="s">
        <v>6187</v>
      </c>
      <c r="Q488" s="1" t="s">
        <v>6336</v>
      </c>
      <c r="R488" s="1" t="s">
        <v>7956</v>
      </c>
      <c r="S488" s="1" t="s">
        <v>755</v>
      </c>
      <c r="Z488" s="1" t="s">
        <v>7957</v>
      </c>
      <c r="AA488" s="1" t="s">
        <v>7958</v>
      </c>
      <c r="AB488" s="1" t="s">
        <v>7959</v>
      </c>
      <c r="AC488" s="10">
        <v>7500000.0</v>
      </c>
      <c r="AD488" s="1" t="s">
        <v>7960</v>
      </c>
      <c r="AE488" s="1" t="s">
        <v>7961</v>
      </c>
      <c r="AF488" s="10">
        <v>5000000.0</v>
      </c>
      <c r="AH488" s="9" t="s">
        <v>7962</v>
      </c>
      <c r="AI488" s="1" t="s">
        <v>159</v>
      </c>
      <c r="AJ488" s="1">
        <v>163.0</v>
      </c>
      <c r="AK488" s="1">
        <v>57.0</v>
      </c>
      <c r="AL488" s="1" t="s">
        <v>7963</v>
      </c>
      <c r="AM488" s="1" t="s">
        <v>7964</v>
      </c>
      <c r="AN488" s="7" t="s">
        <v>7965</v>
      </c>
      <c r="AO488" s="8" t="str">
        <f>HYPERLINK("https://docs.google.com/document/d/1WHo9foEQk5lDIqIEyIPeLm9VwFqW9A6LeuIbkrcv1Xc/edit?usp=drivesdk","Al-Wildan 14 Bumi Mutiara, Bogor_Aris Setiyani S.I.A_Bahasa Inggris")</f>
        <v>Al-Wildan 14 Bumi Mutiara, Bogor_Aris Setiyani S.I.A_Bahasa Inggris</v>
      </c>
      <c r="AP488" s="1" t="s">
        <v>7966</v>
      </c>
    </row>
    <row r="489">
      <c r="A489" s="6">
        <v>44711.90419673611</v>
      </c>
      <c r="B489" s="7" t="s">
        <v>7967</v>
      </c>
      <c r="C489" s="8" t="s">
        <v>7968</v>
      </c>
      <c r="D489" s="1" t="s">
        <v>7969</v>
      </c>
      <c r="E489" s="9" t="s">
        <v>7970</v>
      </c>
      <c r="F489" s="1" t="s">
        <v>7971</v>
      </c>
      <c r="G489" s="1" t="s">
        <v>7972</v>
      </c>
      <c r="H489" s="1" t="s">
        <v>5344</v>
      </c>
      <c r="I489" s="9" t="s">
        <v>864</v>
      </c>
      <c r="J489" s="1" t="s">
        <v>6719</v>
      </c>
      <c r="K489" s="1" t="s">
        <v>102</v>
      </c>
      <c r="L489" s="1" t="s">
        <v>103</v>
      </c>
      <c r="M489" s="1" t="s">
        <v>104</v>
      </c>
      <c r="N489" s="1" t="s">
        <v>152</v>
      </c>
      <c r="O489" s="1" t="s">
        <v>312</v>
      </c>
      <c r="P489" s="1" t="s">
        <v>107</v>
      </c>
      <c r="Q489" s="1" t="s">
        <v>7973</v>
      </c>
      <c r="R489" s="1" t="s">
        <v>7974</v>
      </c>
      <c r="S489" s="1" t="s">
        <v>7975</v>
      </c>
      <c r="Z489" s="1" t="s">
        <v>7976</v>
      </c>
      <c r="AA489" s="10">
        <v>4125000.0</v>
      </c>
      <c r="AB489" s="1" t="s">
        <v>7977</v>
      </c>
      <c r="AC489" s="10">
        <v>3000000.0</v>
      </c>
      <c r="AD489" s="1" t="s">
        <v>7978</v>
      </c>
      <c r="AE489" s="10">
        <v>7200000.0</v>
      </c>
      <c r="AF489" s="1" t="s">
        <v>176</v>
      </c>
      <c r="AG489" s="1">
        <v>1.044993432E9</v>
      </c>
      <c r="AJ489" s="1">
        <v>168.0</v>
      </c>
      <c r="AK489" s="1">
        <v>60.0</v>
      </c>
      <c r="AL489" s="1" t="s">
        <v>7979</v>
      </c>
      <c r="AM489" s="1" t="s">
        <v>7980</v>
      </c>
      <c r="AN489" s="7" t="s">
        <v>7981</v>
      </c>
      <c r="AO489" s="8" t="str">
        <f>HYPERLINK("https://docs.google.com/document/d/1VW4H-_FwUW25psvvarG7jphvtB3yFKO78OZl1fsm0w8/edit?usp=drivesdk","Al-Wildan 1 Gading Serpong_Warih Woro Retnadi, S.I.Kom._Bahasa Inggris")</f>
        <v>Al-Wildan 1 Gading Serpong_Warih Woro Retnadi, S.I.Kom._Bahasa Inggris</v>
      </c>
      <c r="AP489" s="1" t="s">
        <v>7982</v>
      </c>
    </row>
    <row r="490">
      <c r="A490" s="6">
        <v>44711.987893240745</v>
      </c>
      <c r="B490" s="7" t="s">
        <v>7983</v>
      </c>
      <c r="C490" s="8" t="s">
        <v>7984</v>
      </c>
      <c r="D490" s="1" t="s">
        <v>7985</v>
      </c>
      <c r="E490" s="9" t="s">
        <v>7986</v>
      </c>
      <c r="F490" s="1" t="s">
        <v>7987</v>
      </c>
      <c r="G490" s="1" t="s">
        <v>7988</v>
      </c>
      <c r="H490" s="1" t="s">
        <v>148</v>
      </c>
      <c r="I490" s="1" t="s">
        <v>7989</v>
      </c>
      <c r="J490" s="1" t="s">
        <v>7990</v>
      </c>
      <c r="K490" s="1" t="s">
        <v>102</v>
      </c>
      <c r="L490" s="1" t="s">
        <v>103</v>
      </c>
      <c r="M490" s="1" t="s">
        <v>104</v>
      </c>
      <c r="N490" s="1" t="s">
        <v>105</v>
      </c>
      <c r="O490" s="1" t="s">
        <v>312</v>
      </c>
      <c r="P490" s="1" t="s">
        <v>7991</v>
      </c>
      <c r="Q490" s="1" t="s">
        <v>7992</v>
      </c>
      <c r="R490" s="1" t="s">
        <v>7993</v>
      </c>
      <c r="S490" s="1" t="s">
        <v>131</v>
      </c>
      <c r="Z490" s="1" t="s">
        <v>7994</v>
      </c>
      <c r="AA490" s="10">
        <v>2000000.0</v>
      </c>
      <c r="AB490" s="1" t="s">
        <v>7995</v>
      </c>
      <c r="AC490" s="10">
        <v>2400000.0</v>
      </c>
      <c r="AD490" s="1" t="s">
        <v>7996</v>
      </c>
      <c r="AE490" s="10">
        <v>2500000.0</v>
      </c>
      <c r="AF490" s="10">
        <v>3500000.0</v>
      </c>
      <c r="AH490" s="1">
        <v>1.125000922E9</v>
      </c>
      <c r="AI490" s="1" t="s">
        <v>7997</v>
      </c>
      <c r="AJ490" s="1">
        <v>160.0</v>
      </c>
      <c r="AK490" s="1">
        <v>72.0</v>
      </c>
      <c r="AL490" s="1" t="s">
        <v>7998</v>
      </c>
      <c r="AM490" s="1" t="s">
        <v>7999</v>
      </c>
      <c r="AN490" s="7" t="s">
        <v>8000</v>
      </c>
      <c r="AO490" s="8" t="str">
        <f>HYPERLINK("https://docs.google.com/document/d/1Zwvl_gHKKRmm_vBmLkFUfOQSi0lpmWulD2GLyBkmH3s/edit?usp=drivesdk","Al-Wildan 12 Bulak Kapal, Bekasi_Yulia Indah Nurcahya AMd.MI_Bahasa Indonesia")</f>
        <v>Al-Wildan 12 Bulak Kapal, Bekasi_Yulia Indah Nurcahya AMd.MI_Bahasa Indonesia</v>
      </c>
      <c r="AP490" s="1" t="s">
        <v>8001</v>
      </c>
    </row>
    <row r="491">
      <c r="A491" s="6">
        <v>44712.13624738426</v>
      </c>
      <c r="B491" s="7" t="s">
        <v>8002</v>
      </c>
      <c r="C491" s="8" t="s">
        <v>8003</v>
      </c>
      <c r="D491" s="1" t="s">
        <v>8004</v>
      </c>
      <c r="E491" s="9" t="s">
        <v>8005</v>
      </c>
      <c r="F491" s="1" t="s">
        <v>8006</v>
      </c>
      <c r="G491" s="1" t="s">
        <v>8007</v>
      </c>
      <c r="H491" s="1" t="s">
        <v>8008</v>
      </c>
      <c r="I491" s="9" t="s">
        <v>8009</v>
      </c>
      <c r="J491" s="1">
        <v>30.0</v>
      </c>
      <c r="K491" s="1" t="s">
        <v>102</v>
      </c>
      <c r="L491" s="1" t="s">
        <v>329</v>
      </c>
      <c r="M491" s="1" t="s">
        <v>104</v>
      </c>
      <c r="N491" s="1" t="s">
        <v>8010</v>
      </c>
      <c r="O491" s="1" t="s">
        <v>127</v>
      </c>
      <c r="P491" s="1" t="s">
        <v>237</v>
      </c>
      <c r="Q491" s="1" t="s">
        <v>8011</v>
      </c>
      <c r="R491" s="1" t="s">
        <v>7010</v>
      </c>
      <c r="S491" s="9" t="s">
        <v>8012</v>
      </c>
      <c r="Z491" s="1" t="s">
        <v>8013</v>
      </c>
      <c r="AA491" s="1" t="s">
        <v>8014</v>
      </c>
      <c r="AB491" s="1" t="s">
        <v>8015</v>
      </c>
      <c r="AC491" s="1" t="s">
        <v>8016</v>
      </c>
      <c r="AD491" s="1" t="s">
        <v>8017</v>
      </c>
      <c r="AE491" s="1" t="s">
        <v>8018</v>
      </c>
      <c r="AF491" s="1" t="s">
        <v>8019</v>
      </c>
      <c r="AI491" s="1" t="s">
        <v>8020</v>
      </c>
      <c r="AJ491" s="1">
        <v>170.0</v>
      </c>
      <c r="AK491" s="1">
        <v>90.0</v>
      </c>
      <c r="AL491" s="1" t="s">
        <v>8021</v>
      </c>
      <c r="AM491" s="1" t="s">
        <v>8022</v>
      </c>
      <c r="AN491" s="7" t="s">
        <v>8023</v>
      </c>
      <c r="AO491" s="8" t="str">
        <f>HYPERLINK("https://docs.google.com/document/d/1kcTbwvbB8sZ7Mxf1FyU10TYI10K_miy5esAOAgUmXJg/edit?usp=drivesdk","Al-Wildan 4 Lebak Bulus_Ahmed Nabil Hassan_Native Arabic Teacher")</f>
        <v>Al-Wildan 4 Lebak Bulus_Ahmed Nabil Hassan_Native Arabic Teacher</v>
      </c>
      <c r="AP491" s="1" t="s">
        <v>8024</v>
      </c>
    </row>
    <row r="492">
      <c r="A492" s="6">
        <v>44712.30414</v>
      </c>
      <c r="B492" s="7" t="s">
        <v>8025</v>
      </c>
      <c r="C492" s="8" t="s">
        <v>8026</v>
      </c>
      <c r="D492" s="1" t="s">
        <v>8027</v>
      </c>
      <c r="E492" s="9" t="s">
        <v>8028</v>
      </c>
      <c r="F492" s="1" t="s">
        <v>8029</v>
      </c>
      <c r="G492" s="1" t="s">
        <v>8030</v>
      </c>
      <c r="H492" s="1" t="s">
        <v>169</v>
      </c>
      <c r="I492" s="9" t="s">
        <v>8031</v>
      </c>
      <c r="J492" s="1" t="s">
        <v>8032</v>
      </c>
      <c r="K492" s="1" t="s">
        <v>102</v>
      </c>
      <c r="L492" s="1" t="s">
        <v>103</v>
      </c>
      <c r="M492" s="1" t="s">
        <v>8033</v>
      </c>
      <c r="O492" s="1" t="s">
        <v>6151</v>
      </c>
      <c r="P492" s="1" t="s">
        <v>7991</v>
      </c>
      <c r="Q492" s="1" t="s">
        <v>6045</v>
      </c>
      <c r="R492" s="1" t="s">
        <v>6153</v>
      </c>
      <c r="S492" s="1">
        <v>3.26</v>
      </c>
      <c r="Z492" s="1" t="s">
        <v>8034</v>
      </c>
      <c r="AA492" s="10">
        <v>7600000.0</v>
      </c>
      <c r="AF492" s="10">
        <v>1.0E7</v>
      </c>
      <c r="AH492" s="9" t="s">
        <v>8035</v>
      </c>
      <c r="AI492" s="1" t="s">
        <v>2407</v>
      </c>
      <c r="AJ492" s="1">
        <v>174.0</v>
      </c>
      <c r="AK492" s="1">
        <v>81.0</v>
      </c>
      <c r="AL492" s="1" t="s">
        <v>8036</v>
      </c>
      <c r="AM492" s="1" t="s">
        <v>8037</v>
      </c>
      <c r="AN492" s="7" t="s">
        <v>8038</v>
      </c>
      <c r="AO492" s="8" t="str">
        <f>HYPERLINK("https://docs.google.com/document/d/1TREZdsmlE8qUaQ5AHKLQlRS2c70knJ7umP9k-l1H0AY/edit?usp=drivesdk","Al-Wildan 12 Bulak Kapal, Bekasi_Arsalan risyad, S.E._")</f>
        <v>Al-Wildan 12 Bulak Kapal, Bekasi_Arsalan risyad, S.E._</v>
      </c>
      <c r="AP492" s="1" t="s">
        <v>8039</v>
      </c>
    </row>
    <row r="493">
      <c r="A493" s="6">
        <v>44712.31921300926</v>
      </c>
      <c r="B493" s="7" t="s">
        <v>8040</v>
      </c>
      <c r="C493" s="8" t="s">
        <v>8041</v>
      </c>
      <c r="D493" s="1" t="s">
        <v>8042</v>
      </c>
      <c r="E493" s="9" t="s">
        <v>8043</v>
      </c>
      <c r="F493" s="1" t="s">
        <v>8044</v>
      </c>
      <c r="G493" s="1" t="s">
        <v>8045</v>
      </c>
      <c r="H493" s="1" t="s">
        <v>169</v>
      </c>
      <c r="I493" s="1" t="s">
        <v>8046</v>
      </c>
      <c r="J493" s="1" t="s">
        <v>8047</v>
      </c>
      <c r="K493" s="1" t="s">
        <v>151</v>
      </c>
      <c r="L493" s="1" t="s">
        <v>103</v>
      </c>
      <c r="M493" s="1" t="s">
        <v>104</v>
      </c>
      <c r="N493" s="1" t="s">
        <v>8048</v>
      </c>
      <c r="O493" s="1" t="s">
        <v>127</v>
      </c>
      <c r="P493" s="1" t="s">
        <v>6187</v>
      </c>
      <c r="Q493" s="1" t="s">
        <v>5414</v>
      </c>
      <c r="R493" s="1" t="s">
        <v>6436</v>
      </c>
      <c r="S493" s="1" t="s">
        <v>1060</v>
      </c>
      <c r="Z493" s="1" t="s">
        <v>8049</v>
      </c>
      <c r="AA493" s="1" t="s">
        <v>8050</v>
      </c>
      <c r="AB493" s="1" t="s">
        <v>8051</v>
      </c>
      <c r="AC493" s="1" t="s">
        <v>8052</v>
      </c>
      <c r="AF493" s="1" t="s">
        <v>8053</v>
      </c>
      <c r="AG493" s="1">
        <v>8.28551731E9</v>
      </c>
      <c r="AI493" s="1" t="s">
        <v>5561</v>
      </c>
      <c r="AJ493" s="1">
        <v>169.0</v>
      </c>
      <c r="AK493" s="1">
        <v>75.0</v>
      </c>
      <c r="AL493" s="1" t="s">
        <v>8054</v>
      </c>
      <c r="AM493" s="1" t="s">
        <v>8055</v>
      </c>
      <c r="AN493" s="7" t="s">
        <v>8056</v>
      </c>
      <c r="AO493" s="8" t="str">
        <f>HYPERLINK("https://docs.google.com/document/d/1irGDG2aobEFUyvJOQK_50LugP35Gnzywm6VRs9wg1RY/edit?usp=drivesdk","Al-Wildan 14 Bumi Mutiara, Bogor_Muhamad Fikri Zulfikar S.Si_Biologi - IPA")</f>
        <v>Al-Wildan 14 Bumi Mutiara, Bogor_Muhamad Fikri Zulfikar S.Si_Biologi - IPA</v>
      </c>
      <c r="AP493" s="1" t="s">
        <v>8057</v>
      </c>
    </row>
    <row r="494">
      <c r="A494" s="6">
        <v>44712.44542618055</v>
      </c>
      <c r="B494" s="7" t="s">
        <v>8058</v>
      </c>
      <c r="C494" s="8" t="s">
        <v>8059</v>
      </c>
      <c r="D494" s="1" t="s">
        <v>8060</v>
      </c>
      <c r="E494" s="9" t="s">
        <v>8061</v>
      </c>
      <c r="F494" s="1" t="s">
        <v>8062</v>
      </c>
      <c r="G494" s="1" t="s">
        <v>8063</v>
      </c>
      <c r="H494" s="1" t="s">
        <v>148</v>
      </c>
      <c r="I494" s="9" t="s">
        <v>8064</v>
      </c>
      <c r="J494" s="1" t="s">
        <v>4156</v>
      </c>
      <c r="K494" s="1" t="s">
        <v>102</v>
      </c>
      <c r="L494" s="1" t="s">
        <v>103</v>
      </c>
      <c r="M494" s="1" t="s">
        <v>104</v>
      </c>
      <c r="N494" s="1" t="s">
        <v>274</v>
      </c>
      <c r="O494" s="1" t="s">
        <v>127</v>
      </c>
      <c r="P494" s="1" t="s">
        <v>6659</v>
      </c>
      <c r="Q494" s="1" t="s">
        <v>1259</v>
      </c>
      <c r="R494" s="1" t="s">
        <v>8065</v>
      </c>
      <c r="S494" s="1" t="s">
        <v>8066</v>
      </c>
      <c r="Z494" s="1" t="s">
        <v>7599</v>
      </c>
      <c r="AA494" s="1" t="s">
        <v>8067</v>
      </c>
      <c r="AB494" s="1" t="s">
        <v>8068</v>
      </c>
      <c r="AC494" s="1" t="s">
        <v>8069</v>
      </c>
      <c r="AD494" s="1" t="s">
        <v>8070</v>
      </c>
      <c r="AE494" s="1" t="s">
        <v>8071</v>
      </c>
      <c r="AF494" s="10">
        <v>6000000.0</v>
      </c>
      <c r="AG494" s="1">
        <v>7.176682568E9</v>
      </c>
      <c r="AJ494" s="1">
        <v>158.0</v>
      </c>
      <c r="AK494" s="1">
        <v>45.0</v>
      </c>
      <c r="AL494" s="1" t="s">
        <v>8072</v>
      </c>
      <c r="AM494" s="1" t="s">
        <v>8073</v>
      </c>
      <c r="AN494" s="7" t="s">
        <v>8074</v>
      </c>
      <c r="AO494" s="8" t="str">
        <f>HYPERLINK("https://docs.google.com/document/d/1kaRVw04k1_AjlXFqiojHAgLynOM6VSh34KrPRIgnxb0/edit?usp=drivesdk","Al-Wildan 15 Kompas Indah, Tambun Bekasi._NURUL ADHCHIAH_Diniyyah")</f>
        <v>Al-Wildan 15 Kompas Indah, Tambun Bekasi._NURUL ADHCHIAH_Diniyyah</v>
      </c>
      <c r="AP494" s="1" t="s">
        <v>8075</v>
      </c>
    </row>
    <row r="495">
      <c r="A495" s="6">
        <v>44712.47847479167</v>
      </c>
      <c r="B495" s="7" t="s">
        <v>8076</v>
      </c>
      <c r="C495" s="8" t="s">
        <v>8077</v>
      </c>
      <c r="D495" s="1" t="s">
        <v>8078</v>
      </c>
      <c r="E495" s="9" t="s">
        <v>8079</v>
      </c>
      <c r="F495" s="1" t="s">
        <v>8080</v>
      </c>
      <c r="G495" s="1" t="s">
        <v>8081</v>
      </c>
      <c r="H495" s="1" t="s">
        <v>8082</v>
      </c>
      <c r="I495" s="9" t="s">
        <v>8083</v>
      </c>
      <c r="J495" s="1" t="s">
        <v>8084</v>
      </c>
      <c r="K495" s="1" t="s">
        <v>102</v>
      </c>
      <c r="L495" s="1" t="s">
        <v>310</v>
      </c>
      <c r="M495" s="1" t="s">
        <v>104</v>
      </c>
      <c r="N495" s="1" t="s">
        <v>235</v>
      </c>
      <c r="O495" s="1" t="s">
        <v>127</v>
      </c>
      <c r="P495" s="1" t="s">
        <v>237</v>
      </c>
      <c r="Q495" s="1" t="s">
        <v>8085</v>
      </c>
      <c r="R495" s="1" t="s">
        <v>7389</v>
      </c>
      <c r="S495" s="1" t="s">
        <v>2465</v>
      </c>
      <c r="Z495" s="1" t="s">
        <v>8086</v>
      </c>
      <c r="AA495" s="10">
        <v>5000000.0</v>
      </c>
      <c r="AF495" s="10">
        <v>6000000.0</v>
      </c>
      <c r="AG495" s="1">
        <v>8.37145344E9</v>
      </c>
      <c r="AJ495" s="1">
        <v>175.0</v>
      </c>
      <c r="AK495" s="1">
        <v>63.0</v>
      </c>
      <c r="AL495" s="1" t="s">
        <v>8087</v>
      </c>
      <c r="AM495" s="1" t="s">
        <v>8088</v>
      </c>
      <c r="AN495" s="7" t="s">
        <v>8089</v>
      </c>
      <c r="AO495" s="8" t="str">
        <f>HYPERLINK("https://docs.google.com/document/d/1duMQkjqQUEbicLDh5X_ZqE8FD_yhBzfXQgr5hKzsPfA/edit?usp=drivesdk","Al-Wildan 4 Lebak Bulus_Ibrahim Nashihul Haq S.Pd._Bahasa Arab")</f>
        <v>Al-Wildan 4 Lebak Bulus_Ibrahim Nashihul Haq S.Pd._Bahasa Arab</v>
      </c>
      <c r="AP495" s="1" t="s">
        <v>8090</v>
      </c>
    </row>
    <row r="496">
      <c r="A496" s="6">
        <v>44712.49974326389</v>
      </c>
      <c r="B496" s="7" t="s">
        <v>8091</v>
      </c>
      <c r="C496" s="8" t="s">
        <v>8092</v>
      </c>
      <c r="D496" s="1" t="s">
        <v>8093</v>
      </c>
      <c r="E496" s="9" t="s">
        <v>8094</v>
      </c>
      <c r="F496" s="1" t="s">
        <v>8095</v>
      </c>
      <c r="G496" s="1" t="s">
        <v>8096</v>
      </c>
      <c r="H496" s="1" t="s">
        <v>8097</v>
      </c>
      <c r="I496" s="9" t="s">
        <v>8098</v>
      </c>
      <c r="J496" s="1" t="s">
        <v>8099</v>
      </c>
      <c r="K496" s="1" t="s">
        <v>102</v>
      </c>
      <c r="L496" s="1" t="s">
        <v>103</v>
      </c>
      <c r="M496" s="1" t="s">
        <v>104</v>
      </c>
      <c r="N496" s="1" t="s">
        <v>8100</v>
      </c>
      <c r="O496" s="1" t="s">
        <v>312</v>
      </c>
      <c r="P496" s="1" t="s">
        <v>237</v>
      </c>
      <c r="Q496" s="1" t="s">
        <v>8101</v>
      </c>
      <c r="R496" s="1" t="s">
        <v>193</v>
      </c>
      <c r="S496" s="1">
        <v>3.75</v>
      </c>
      <c r="Z496" s="1" t="s">
        <v>8102</v>
      </c>
      <c r="AA496" s="1" t="s">
        <v>8103</v>
      </c>
      <c r="AB496" s="1" t="s">
        <v>8104</v>
      </c>
      <c r="AC496" s="10">
        <v>1500000.0</v>
      </c>
      <c r="AF496" s="1" t="s">
        <v>8105</v>
      </c>
      <c r="AG496" s="1">
        <v>7.167725133E9</v>
      </c>
      <c r="AJ496" s="1">
        <v>155.0</v>
      </c>
      <c r="AK496" s="1">
        <v>67.0</v>
      </c>
      <c r="AL496" s="1" t="s">
        <v>8106</v>
      </c>
      <c r="AM496" s="1" t="s">
        <v>8107</v>
      </c>
      <c r="AN496" s="7" t="s">
        <v>8108</v>
      </c>
      <c r="AO496" s="8" t="str">
        <f>HYPERLINK("https://docs.google.com/document/d/1F_V-k88tnqHrMVUhJi-fNSPmgkk4Q-_Fujkxw0eqeKY/edit?usp=drivesdk","Al-Wildan 4 Lebak Bulus_Pujo Ahmadi, B.A_Diniyah(PAI, Fiqih, Ahklak dll) ")</f>
        <v>Al-Wildan 4 Lebak Bulus_Pujo Ahmadi, B.A_Diniyah(PAI, Fiqih, Ahklak dll) </v>
      </c>
      <c r="AP496" s="1" t="s">
        <v>8109</v>
      </c>
    </row>
    <row r="497">
      <c r="A497" s="6">
        <v>44712.86090381944</v>
      </c>
      <c r="B497" s="7" t="s">
        <v>8110</v>
      </c>
      <c r="C497" s="8" t="s">
        <v>8111</v>
      </c>
      <c r="D497" s="1" t="s">
        <v>8112</v>
      </c>
      <c r="E497" s="9" t="s">
        <v>8113</v>
      </c>
      <c r="F497" s="1" t="s">
        <v>8114</v>
      </c>
      <c r="G497" s="1" t="s">
        <v>8115</v>
      </c>
      <c r="H497" s="1" t="s">
        <v>8116</v>
      </c>
      <c r="I497" s="1">
        <v>2.8021993E7</v>
      </c>
      <c r="J497" s="1" t="s">
        <v>2783</v>
      </c>
      <c r="K497" s="1" t="s">
        <v>102</v>
      </c>
      <c r="L497" s="1" t="s">
        <v>103</v>
      </c>
      <c r="M497" s="1" t="s">
        <v>8117</v>
      </c>
      <c r="O497" s="1" t="s">
        <v>5711</v>
      </c>
      <c r="P497" s="1" t="s">
        <v>237</v>
      </c>
      <c r="Q497" s="1" t="s">
        <v>8118</v>
      </c>
      <c r="R497" s="1" t="s">
        <v>8119</v>
      </c>
      <c r="S497" s="1">
        <v>3.58</v>
      </c>
      <c r="Z497" s="1" t="s">
        <v>8120</v>
      </c>
      <c r="AA497" s="1" t="s">
        <v>8121</v>
      </c>
      <c r="AB497" s="1" t="s">
        <v>8122</v>
      </c>
      <c r="AC497" s="1" t="s">
        <v>8123</v>
      </c>
      <c r="AD497" s="1" t="s">
        <v>8124</v>
      </c>
      <c r="AE497" s="1" t="s">
        <v>8125</v>
      </c>
      <c r="AH497" s="9" t="s">
        <v>8126</v>
      </c>
      <c r="AI497" s="1" t="s">
        <v>159</v>
      </c>
      <c r="AJ497" s="1">
        <v>163.0</v>
      </c>
      <c r="AK497" s="1">
        <v>61.0</v>
      </c>
      <c r="AL497" s="1" t="s">
        <v>8127</v>
      </c>
      <c r="AM497" s="1" t="s">
        <v>8128</v>
      </c>
      <c r="AN497" s="7" t="s">
        <v>8129</v>
      </c>
      <c r="AO497" s="8" t="str">
        <f>HYPERLINK("https://docs.google.com/document/d/1hb2X2F-gGy_MlC1-fda6H6flueBaREJHIx_sNqMtFmg/edit?usp=drivesdk","Al-Wildan 4 Lebak Bulus_dr. Rahma Ayu Wulandari_")</f>
        <v>Al-Wildan 4 Lebak Bulus_dr. Rahma Ayu Wulandari_</v>
      </c>
      <c r="AP497" s="1" t="s">
        <v>8130</v>
      </c>
    </row>
    <row r="498">
      <c r="A498" s="6">
        <v>44712.926763194446</v>
      </c>
      <c r="B498" s="7" t="s">
        <v>8131</v>
      </c>
      <c r="C498" s="8" t="s">
        <v>8132</v>
      </c>
      <c r="D498" s="1" t="s">
        <v>8133</v>
      </c>
      <c r="E498" s="9" t="s">
        <v>8134</v>
      </c>
      <c r="F498" s="1" t="s">
        <v>8135</v>
      </c>
      <c r="G498" s="1" t="s">
        <v>8136</v>
      </c>
      <c r="H498" s="1" t="s">
        <v>1078</v>
      </c>
      <c r="I498" s="9" t="s">
        <v>8137</v>
      </c>
      <c r="J498" s="1" t="s">
        <v>8138</v>
      </c>
      <c r="K498" s="1" t="s">
        <v>102</v>
      </c>
      <c r="L498" s="1" t="s">
        <v>103</v>
      </c>
      <c r="M498" s="1" t="s">
        <v>104</v>
      </c>
      <c r="N498" s="1" t="s">
        <v>235</v>
      </c>
      <c r="O498" s="1" t="s">
        <v>106</v>
      </c>
      <c r="P498" s="1" t="s">
        <v>5712</v>
      </c>
      <c r="Q498" s="1" t="s">
        <v>8139</v>
      </c>
      <c r="R498" s="1" t="s">
        <v>8140</v>
      </c>
      <c r="S498" s="1" t="s">
        <v>592</v>
      </c>
      <c r="Z498" s="1" t="s">
        <v>8141</v>
      </c>
      <c r="AA498" s="10">
        <v>4600000.0</v>
      </c>
      <c r="AF498" s="10">
        <v>6000000.0</v>
      </c>
      <c r="AG498" s="1">
        <v>1.127456837E9</v>
      </c>
      <c r="AH498" s="1">
        <v>3.100009119E9</v>
      </c>
      <c r="AI498" s="1" t="s">
        <v>8142</v>
      </c>
      <c r="AJ498" s="1">
        <v>170.0</v>
      </c>
      <c r="AK498" s="1">
        <v>72.0</v>
      </c>
      <c r="AL498" s="1" t="s">
        <v>8143</v>
      </c>
      <c r="AM498" s="1" t="s">
        <v>8144</v>
      </c>
      <c r="AN498" s="7" t="s">
        <v>8145</v>
      </c>
      <c r="AO498" s="8" t="str">
        <f>HYPERLINK("https://docs.google.com/document/d/1d4NTX2NBO4-5Lz7IMYuSSGo6th71io27hWPS8DB3DRs/edit?usp=drivesdk","Al-Wildan 3 BSD City_Adji Haerun Mutakin, S.Pd_Bahasa Arab")</f>
        <v>Al-Wildan 3 BSD City_Adji Haerun Mutakin, S.Pd_Bahasa Arab</v>
      </c>
      <c r="AP498" s="1" t="s">
        <v>8146</v>
      </c>
    </row>
    <row r="499">
      <c r="A499" s="6">
        <v>44713.37590888889</v>
      </c>
      <c r="B499" s="7" t="s">
        <v>8147</v>
      </c>
      <c r="C499" s="8" t="s">
        <v>8148</v>
      </c>
      <c r="D499" s="1" t="s">
        <v>8149</v>
      </c>
      <c r="E499" s="9" t="s">
        <v>8150</v>
      </c>
      <c r="F499" s="1" t="s">
        <v>8151</v>
      </c>
      <c r="G499" s="1" t="s">
        <v>8152</v>
      </c>
      <c r="H499" s="1" t="s">
        <v>169</v>
      </c>
      <c r="I499" s="9" t="s">
        <v>8153</v>
      </c>
      <c r="J499" s="1" t="s">
        <v>6642</v>
      </c>
      <c r="K499" s="1" t="s">
        <v>151</v>
      </c>
      <c r="L499" s="1" t="s">
        <v>103</v>
      </c>
      <c r="M499" s="1" t="s">
        <v>104</v>
      </c>
      <c r="N499" s="1" t="s">
        <v>8154</v>
      </c>
      <c r="O499" s="1" t="s">
        <v>106</v>
      </c>
      <c r="P499" s="1" t="s">
        <v>6187</v>
      </c>
      <c r="Q499" s="1" t="s">
        <v>8155</v>
      </c>
      <c r="R499" s="1" t="s">
        <v>8156</v>
      </c>
      <c r="S499" s="1">
        <v>3.28</v>
      </c>
      <c r="T499" s="1" t="s">
        <v>217</v>
      </c>
      <c r="U499" s="1" t="s">
        <v>217</v>
      </c>
      <c r="V499" s="1" t="s">
        <v>217</v>
      </c>
      <c r="W499" s="1" t="s">
        <v>217</v>
      </c>
      <c r="X499" s="1" t="s">
        <v>217</v>
      </c>
      <c r="Z499" s="1" t="s">
        <v>8157</v>
      </c>
      <c r="AA499" s="10">
        <v>4100000.0</v>
      </c>
      <c r="AB499" s="1" t="s">
        <v>8158</v>
      </c>
      <c r="AC499" s="10">
        <v>1300000.0</v>
      </c>
      <c r="AD499" s="1" t="s">
        <v>8159</v>
      </c>
      <c r="AE499" s="10">
        <v>2000000.0</v>
      </c>
      <c r="AF499" s="10">
        <v>5500000.0</v>
      </c>
      <c r="AG499" s="1">
        <v>7.018050708E9</v>
      </c>
      <c r="AI499" s="1" t="s">
        <v>4856</v>
      </c>
      <c r="AJ499" s="1">
        <v>155.0</v>
      </c>
      <c r="AK499" s="1">
        <v>64.0</v>
      </c>
      <c r="AL499" s="1" t="s">
        <v>8160</v>
      </c>
      <c r="AM499" s="1" t="s">
        <v>8161</v>
      </c>
      <c r="AN499" s="7" t="s">
        <v>8162</v>
      </c>
      <c r="AO499" s="8" t="str">
        <f>HYPERLINK("https://docs.google.com/document/d/1TXPxWg4G-kImPdMs-PQRva1ITkSVs-BZ6Nmh_ocfiw4/edit?usp=drivesdk","Al-Wildan 14 Bumi Mutiara, Bogor_Asri Eka Widyaningsih S.Pd_IPS / Ekonomi")</f>
        <v>Al-Wildan 14 Bumi Mutiara, Bogor_Asri Eka Widyaningsih S.Pd_IPS / Ekonomi</v>
      </c>
      <c r="AP499" s="1" t="s">
        <v>8163</v>
      </c>
    </row>
    <row r="500">
      <c r="A500" s="6">
        <v>44713.45880363426</v>
      </c>
      <c r="B500" s="7" t="s">
        <v>8164</v>
      </c>
      <c r="C500" s="8" t="s">
        <v>8165</v>
      </c>
      <c r="D500" s="1" t="s">
        <v>8166</v>
      </c>
      <c r="E500" s="9" t="s">
        <v>8167</v>
      </c>
      <c r="F500" s="1" t="s">
        <v>8168</v>
      </c>
      <c r="G500" s="1" t="s">
        <v>8169</v>
      </c>
      <c r="H500" s="1" t="s">
        <v>685</v>
      </c>
      <c r="I500" s="9" t="s">
        <v>8170</v>
      </c>
      <c r="J500" s="1" t="s">
        <v>8171</v>
      </c>
      <c r="K500" s="1" t="s">
        <v>1235</v>
      </c>
      <c r="L500" s="1" t="s">
        <v>103</v>
      </c>
      <c r="M500" s="1" t="s">
        <v>104</v>
      </c>
      <c r="N500" s="1" t="s">
        <v>152</v>
      </c>
      <c r="O500" s="1" t="s">
        <v>1202</v>
      </c>
      <c r="P500" s="1" t="s">
        <v>107</v>
      </c>
      <c r="Q500" s="1" t="s">
        <v>8172</v>
      </c>
      <c r="R500" s="1" t="s">
        <v>152</v>
      </c>
      <c r="S500" s="1" t="s">
        <v>969</v>
      </c>
      <c r="T500" s="1" t="s">
        <v>217</v>
      </c>
      <c r="U500" s="1" t="s">
        <v>217</v>
      </c>
      <c r="V500" s="1" t="s">
        <v>217</v>
      </c>
      <c r="W500" s="1" t="s">
        <v>217</v>
      </c>
      <c r="X500" s="1" t="s">
        <v>217</v>
      </c>
      <c r="Y500" s="1">
        <v>0.0</v>
      </c>
      <c r="Z500" s="1" t="s">
        <v>8173</v>
      </c>
      <c r="AA500" s="10">
        <v>2000000.0</v>
      </c>
      <c r="AB500" s="1" t="s">
        <v>8174</v>
      </c>
      <c r="AC500" s="10">
        <v>3500000.0</v>
      </c>
      <c r="AD500" s="1" t="s">
        <v>8175</v>
      </c>
      <c r="AE500" s="10">
        <v>9500000.0</v>
      </c>
      <c r="AF500" s="10">
        <v>8500000.0</v>
      </c>
      <c r="AG500" s="1">
        <v>7.181750027E9</v>
      </c>
      <c r="AH500" s="1">
        <v>0.0</v>
      </c>
      <c r="AI500" s="1" t="s">
        <v>217</v>
      </c>
      <c r="AJ500" s="1">
        <v>159.0</v>
      </c>
      <c r="AK500" s="1">
        <v>50.0</v>
      </c>
      <c r="AL500" s="1" t="s">
        <v>8176</v>
      </c>
      <c r="AM500" s="1" t="s">
        <v>8177</v>
      </c>
      <c r="AN500" s="7" t="s">
        <v>8178</v>
      </c>
      <c r="AO500" s="8" t="str">
        <f>HYPERLINK("https://docs.google.com/document/d/1gdhsg-5yYRzv2veB1L97fOcBUhM5ju7ZwWZKKq74eGM/edit?usp=drivesdk","Al-Wildan 1 Gading Serpong_Minorita Minosa S. Pd_Bahasa Inggris")</f>
        <v>Al-Wildan 1 Gading Serpong_Minorita Minosa S. Pd_Bahasa Inggris</v>
      </c>
      <c r="AP500" s="1" t="s">
        <v>8179</v>
      </c>
    </row>
    <row r="501">
      <c r="A501" s="6">
        <v>44714.41042321759</v>
      </c>
      <c r="B501" s="7" t="s">
        <v>8180</v>
      </c>
      <c r="C501" s="8" t="s">
        <v>8181</v>
      </c>
      <c r="D501" s="1" t="s">
        <v>8182</v>
      </c>
      <c r="E501" s="1">
        <v>8.52383506E10</v>
      </c>
      <c r="F501" s="1" t="s">
        <v>8183</v>
      </c>
      <c r="G501" s="1" t="s">
        <v>8184</v>
      </c>
      <c r="H501" s="1" t="s">
        <v>3105</v>
      </c>
      <c r="I501" s="9" t="s">
        <v>8185</v>
      </c>
      <c r="J501" s="1">
        <v>29.0</v>
      </c>
      <c r="K501" s="1" t="s">
        <v>102</v>
      </c>
      <c r="L501" s="1" t="s">
        <v>103</v>
      </c>
      <c r="M501" s="1" t="s">
        <v>104</v>
      </c>
      <c r="N501" s="1" t="s">
        <v>1623</v>
      </c>
      <c r="O501" s="1" t="s">
        <v>106</v>
      </c>
      <c r="P501" s="1" t="s">
        <v>237</v>
      </c>
      <c r="Q501" s="1" t="s">
        <v>7082</v>
      </c>
      <c r="R501" s="1" t="s">
        <v>8186</v>
      </c>
      <c r="S501" s="1" t="s">
        <v>1060</v>
      </c>
      <c r="T501" s="1" t="s">
        <v>8187</v>
      </c>
      <c r="Z501" s="1" t="s">
        <v>8188</v>
      </c>
      <c r="AA501" s="10">
        <v>5500000.0</v>
      </c>
      <c r="AF501" s="10">
        <v>5700000.0</v>
      </c>
      <c r="AG501" s="1">
        <v>8.98288085E9</v>
      </c>
      <c r="AI501" s="1" t="s">
        <v>5113</v>
      </c>
      <c r="AJ501" s="1">
        <v>168.0</v>
      </c>
      <c r="AK501" s="1">
        <v>48.0</v>
      </c>
      <c r="AL501" s="1" t="s">
        <v>8189</v>
      </c>
      <c r="AM501" s="1" t="s">
        <v>8190</v>
      </c>
      <c r="AN501" s="7" t="s">
        <v>8191</v>
      </c>
      <c r="AO501" s="8" t="str">
        <f>HYPERLINK("https://docs.google.com/document/d/1sgHZd6yrqLqKZa_5hZi57UuNHKmz7XlXM2tHTy0LZlk/edit?usp=drivesdk","Al-Wildan 4 Lebak Bulus_Ahmad Zainuddin _PAI")</f>
        <v>Al-Wildan 4 Lebak Bulus_Ahmad Zainuddin _PAI</v>
      </c>
      <c r="AP501" s="1" t="s">
        <v>8192</v>
      </c>
    </row>
    <row r="502">
      <c r="A502" s="6">
        <v>44714.43858188657</v>
      </c>
      <c r="B502" s="7" t="s">
        <v>8193</v>
      </c>
      <c r="C502" s="8" t="s">
        <v>8194</v>
      </c>
      <c r="D502" s="1" t="s">
        <v>8195</v>
      </c>
      <c r="E502" s="9" t="s">
        <v>8196</v>
      </c>
      <c r="F502" s="1" t="s">
        <v>8197</v>
      </c>
      <c r="G502" s="1" t="s">
        <v>8198</v>
      </c>
      <c r="H502" s="1" t="s">
        <v>3157</v>
      </c>
      <c r="I502" s="9" t="s">
        <v>7377</v>
      </c>
      <c r="J502" s="1" t="s">
        <v>8199</v>
      </c>
      <c r="K502" s="1" t="s">
        <v>102</v>
      </c>
      <c r="L502" s="1" t="s">
        <v>103</v>
      </c>
      <c r="M502" s="1" t="s">
        <v>104</v>
      </c>
      <c r="N502" s="1" t="s">
        <v>1623</v>
      </c>
      <c r="O502" s="1" t="s">
        <v>236</v>
      </c>
      <c r="P502" s="1" t="s">
        <v>237</v>
      </c>
      <c r="Q502" s="1" t="s">
        <v>8200</v>
      </c>
      <c r="R502" s="1" t="s">
        <v>499</v>
      </c>
      <c r="S502" s="1" t="s">
        <v>1023</v>
      </c>
      <c r="Z502" s="1" t="s">
        <v>8201</v>
      </c>
      <c r="AA502" s="10">
        <v>5600000.0</v>
      </c>
      <c r="AF502" s="10">
        <v>6000000.0</v>
      </c>
      <c r="AG502" s="1">
        <v>7.23976707E9</v>
      </c>
      <c r="AJ502" s="1">
        <v>165.0</v>
      </c>
      <c r="AK502" s="1">
        <v>67.0</v>
      </c>
      <c r="AL502" s="1" t="s">
        <v>8202</v>
      </c>
      <c r="AM502" s="1" t="s">
        <v>8203</v>
      </c>
      <c r="AN502" s="7" t="s">
        <v>8204</v>
      </c>
      <c r="AO502" s="8" t="str">
        <f>HYPERLINK("https://docs.google.com/document/d/11ajVI7CWegxnnFBIuv1kffNQHrfMAPsE5oTqm6jtQjw/edit?usp=drivesdk","Al-Wildan 4 Lebak Bulus_Novan Raja Kurniawan S.Ag_PAI")</f>
        <v>Al-Wildan 4 Lebak Bulus_Novan Raja Kurniawan S.Ag_PAI</v>
      </c>
      <c r="AP502" s="1" t="s">
        <v>8205</v>
      </c>
    </row>
    <row r="503">
      <c r="A503" s="6">
        <v>44714.52431862269</v>
      </c>
      <c r="B503" s="7" t="s">
        <v>8206</v>
      </c>
      <c r="C503" s="8" t="s">
        <v>8207</v>
      </c>
      <c r="D503" s="1" t="s">
        <v>8208</v>
      </c>
      <c r="E503" s="9" t="s">
        <v>8209</v>
      </c>
      <c r="F503" s="1" t="s">
        <v>8210</v>
      </c>
      <c r="G503" s="1" t="s">
        <v>8211</v>
      </c>
      <c r="H503" s="1" t="s">
        <v>169</v>
      </c>
      <c r="I503" s="9" t="s">
        <v>8212</v>
      </c>
      <c r="J503" s="1" t="s">
        <v>8213</v>
      </c>
      <c r="K503" s="1" t="s">
        <v>151</v>
      </c>
      <c r="L503" s="1" t="s">
        <v>256</v>
      </c>
      <c r="M503" s="1" t="s">
        <v>104</v>
      </c>
      <c r="N503" s="1" t="s">
        <v>8214</v>
      </c>
      <c r="O503" s="1" t="s">
        <v>127</v>
      </c>
      <c r="P503" s="1" t="s">
        <v>107</v>
      </c>
      <c r="Q503" s="1" t="s">
        <v>291</v>
      </c>
      <c r="R503" s="1" t="s">
        <v>130</v>
      </c>
      <c r="S503" s="1" t="s">
        <v>537</v>
      </c>
      <c r="Z503" s="1" t="s">
        <v>8215</v>
      </c>
      <c r="AA503" s="10">
        <v>6500000.0</v>
      </c>
      <c r="AF503" s="10">
        <v>7500000.0</v>
      </c>
      <c r="AG503" s="1">
        <v>7.039945357E9</v>
      </c>
      <c r="AI503" s="1" t="s">
        <v>4856</v>
      </c>
      <c r="AJ503" s="1">
        <v>157.0</v>
      </c>
      <c r="AK503" s="1">
        <v>55.0</v>
      </c>
      <c r="AL503" s="1" t="s">
        <v>8216</v>
      </c>
      <c r="AM503" s="1" t="s">
        <v>8217</v>
      </c>
      <c r="AN503" s="7" t="s">
        <v>8218</v>
      </c>
      <c r="AO503" s="8" t="str">
        <f>HYPERLINK("https://docs.google.com/document/d/1zn5jTGV_FqbMGlcBjHoW9PovbejrchRUDLzncw-DAK8/edit?usp=drivesdk","Al-Wildan 1 Gading Serpong_Dwi Rima Islami, S.Pd_Math (cambridge)")</f>
        <v>Al-Wildan 1 Gading Serpong_Dwi Rima Islami, S.Pd_Math (cambridge)</v>
      </c>
      <c r="AP503" s="1" t="s">
        <v>8219</v>
      </c>
    </row>
    <row r="504">
      <c r="A504" s="6">
        <v>44714.575363703705</v>
      </c>
      <c r="B504" s="7" t="s">
        <v>8220</v>
      </c>
      <c r="C504" s="8" t="s">
        <v>8221</v>
      </c>
      <c r="D504" s="1" t="s">
        <v>8222</v>
      </c>
      <c r="E504" s="1">
        <v>8.5950822015E10</v>
      </c>
      <c r="F504" s="1" t="s">
        <v>8223</v>
      </c>
      <c r="G504" s="1" t="s">
        <v>8224</v>
      </c>
      <c r="H504" s="1" t="s">
        <v>8225</v>
      </c>
      <c r="I504" s="9" t="s">
        <v>8226</v>
      </c>
      <c r="J504" s="1" t="s">
        <v>2111</v>
      </c>
      <c r="K504" s="1" t="s">
        <v>102</v>
      </c>
      <c r="L504" s="1" t="s">
        <v>103</v>
      </c>
      <c r="M504" s="1" t="s">
        <v>104</v>
      </c>
      <c r="N504" s="1" t="s">
        <v>1634</v>
      </c>
      <c r="O504" s="1" t="s">
        <v>106</v>
      </c>
      <c r="P504" s="1" t="s">
        <v>5712</v>
      </c>
      <c r="Q504" s="1" t="s">
        <v>1505</v>
      </c>
      <c r="R504" s="1" t="s">
        <v>8227</v>
      </c>
      <c r="S504" s="1" t="s">
        <v>8228</v>
      </c>
      <c r="Z504" s="1" t="s">
        <v>8229</v>
      </c>
      <c r="AB504" s="1" t="s">
        <v>8230</v>
      </c>
      <c r="AC504" s="10">
        <v>3500000.0</v>
      </c>
      <c r="AD504" s="1" t="s">
        <v>8231</v>
      </c>
      <c r="AE504" s="10">
        <v>4500000.0</v>
      </c>
      <c r="AF504" s="10">
        <v>5500000.0</v>
      </c>
      <c r="AG504" s="1">
        <v>8.07670763E9</v>
      </c>
      <c r="AJ504" s="1">
        <v>160.0</v>
      </c>
      <c r="AK504" s="1">
        <v>75.0</v>
      </c>
      <c r="AL504" s="1" t="s">
        <v>8232</v>
      </c>
      <c r="AM504" s="1" t="s">
        <v>8233</v>
      </c>
      <c r="AN504" s="7" t="s">
        <v>8234</v>
      </c>
      <c r="AO504" s="8" t="str">
        <f>HYPERLINK("https://docs.google.com/document/d/1fXEWR2h3UHyJ74ifWxyGdsuESc9GS8OnXw_G_5bZ18c/edit?usp=drivesdk","Al-Wildan 3 BSD City_Zulkarnaen, Lc. _Diniyah")</f>
        <v>Al-Wildan 3 BSD City_Zulkarnaen, Lc. _Diniyah</v>
      </c>
      <c r="AP504" s="1" t="s">
        <v>8235</v>
      </c>
    </row>
    <row r="505">
      <c r="A505" s="6">
        <v>44719.540796597226</v>
      </c>
      <c r="B505" s="7" t="s">
        <v>8236</v>
      </c>
      <c r="C505" s="8" t="s">
        <v>8237</v>
      </c>
      <c r="D505" s="1" t="s">
        <v>8238</v>
      </c>
      <c r="E505" s="9" t="s">
        <v>8239</v>
      </c>
      <c r="F505" s="1" t="s">
        <v>8240</v>
      </c>
      <c r="G505" s="1" t="s">
        <v>8241</v>
      </c>
      <c r="H505" s="1" t="s">
        <v>327</v>
      </c>
      <c r="I505" s="9" t="s">
        <v>8242</v>
      </c>
      <c r="J505" s="1" t="s">
        <v>4654</v>
      </c>
      <c r="K505" s="1" t="s">
        <v>102</v>
      </c>
      <c r="L505" s="1" t="s">
        <v>256</v>
      </c>
      <c r="M505" s="1" t="s">
        <v>6060</v>
      </c>
      <c r="O505" s="1" t="s">
        <v>106</v>
      </c>
      <c r="P505" s="1" t="s">
        <v>6659</v>
      </c>
      <c r="Q505" s="1" t="s">
        <v>8243</v>
      </c>
      <c r="R505" s="1" t="s">
        <v>130</v>
      </c>
      <c r="S505" s="1" t="s">
        <v>131</v>
      </c>
      <c r="Z505" s="1" t="s">
        <v>8244</v>
      </c>
      <c r="AA505" s="1" t="s">
        <v>8245</v>
      </c>
      <c r="AB505" s="1" t="s">
        <v>8246</v>
      </c>
      <c r="AC505" s="1" t="s">
        <v>8247</v>
      </c>
      <c r="AD505" s="1" t="s">
        <v>8248</v>
      </c>
      <c r="AE505" s="10">
        <v>2000000.0</v>
      </c>
      <c r="AH505" s="9" t="s">
        <v>8249</v>
      </c>
      <c r="AI505" s="1" t="s">
        <v>222</v>
      </c>
      <c r="AJ505" s="1">
        <v>167.0</v>
      </c>
      <c r="AK505" s="1">
        <v>70.0</v>
      </c>
      <c r="AL505" s="1" t="s">
        <v>8250</v>
      </c>
      <c r="AM505" s="1" t="s">
        <v>8251</v>
      </c>
      <c r="AN505" s="7" t="s">
        <v>8252</v>
      </c>
      <c r="AO505" s="8" t="str">
        <f>HYPERLINK("https://docs.google.com/document/d/1XoLc7yIYR1_l-dLeEmIdjJ1hkKSy-jidawzE_Jt0rs0/edit?usp=drivesdk","Al-Wildan 15 Kompas Indah, Tambun Bekasi._Haryono Suyono, S.Pd_")</f>
        <v>Al-Wildan 15 Kompas Indah, Tambun Bekasi._Haryono Suyono, S.Pd_</v>
      </c>
      <c r="AP505" s="1" t="s">
        <v>8253</v>
      </c>
    </row>
    <row r="506">
      <c r="A506" s="6">
        <v>44720.485891759265</v>
      </c>
      <c r="B506" s="7" t="s">
        <v>8254</v>
      </c>
      <c r="C506" s="8" t="s">
        <v>8255</v>
      </c>
      <c r="D506" s="1" t="s">
        <v>8256</v>
      </c>
      <c r="E506" s="9" t="s">
        <v>8257</v>
      </c>
      <c r="F506" s="1" t="s">
        <v>8258</v>
      </c>
      <c r="G506" s="1" t="s">
        <v>8259</v>
      </c>
      <c r="H506" s="1" t="s">
        <v>2914</v>
      </c>
      <c r="I506" s="9" t="s">
        <v>8260</v>
      </c>
      <c r="J506" s="1">
        <v>32.0</v>
      </c>
      <c r="K506" s="1" t="s">
        <v>102</v>
      </c>
      <c r="L506" s="1" t="s">
        <v>103</v>
      </c>
      <c r="M506" s="1" t="s">
        <v>6060</v>
      </c>
      <c r="O506" s="1" t="s">
        <v>236</v>
      </c>
      <c r="P506" s="1" t="s">
        <v>5712</v>
      </c>
      <c r="Q506" s="1" t="s">
        <v>8261</v>
      </c>
      <c r="R506" s="1" t="s">
        <v>6220</v>
      </c>
      <c r="S506" s="9" t="s">
        <v>8262</v>
      </c>
      <c r="Z506" s="1" t="s">
        <v>8263</v>
      </c>
      <c r="AA506" s="1">
        <v>3000000.0</v>
      </c>
      <c r="AB506" s="1" t="s">
        <v>8264</v>
      </c>
      <c r="AC506" s="1">
        <v>4500000.0</v>
      </c>
      <c r="AD506" s="1" t="s">
        <v>7411</v>
      </c>
      <c r="AE506" s="1">
        <v>4500000.0</v>
      </c>
      <c r="AF506" s="10">
        <v>5000000.0</v>
      </c>
      <c r="AG506" s="1">
        <v>7.100737366E9</v>
      </c>
      <c r="AJ506" s="1">
        <v>165.0</v>
      </c>
      <c r="AK506" s="1">
        <v>65.0</v>
      </c>
      <c r="AL506" s="1" t="s">
        <v>8265</v>
      </c>
      <c r="AM506" s="1" t="s">
        <v>8266</v>
      </c>
      <c r="AN506" s="7" t="s">
        <v>8267</v>
      </c>
      <c r="AO506" s="8" t="str">
        <f>HYPERLINK("https://docs.google.com/document/d/1s0XhoZ3GbTsNpap2hZjCz4TanTdy2ju0izO0P9C9QRk/edit?usp=drivesdk","Al-Wildan 3 BSD City_Muhammad Khoirul Umam_")</f>
        <v>Al-Wildan 3 BSD City_Muhammad Khoirul Umam_</v>
      </c>
      <c r="AP506" s="1" t="s">
        <v>8268</v>
      </c>
    </row>
    <row r="507">
      <c r="A507" s="6">
        <v>44720.49918967593</v>
      </c>
      <c r="B507" s="7" t="s">
        <v>8269</v>
      </c>
      <c r="C507" s="8" t="s">
        <v>8270</v>
      </c>
      <c r="D507" s="1" t="s">
        <v>8271</v>
      </c>
      <c r="E507" s="9" t="s">
        <v>8272</v>
      </c>
      <c r="F507" s="1" t="s">
        <v>8273</v>
      </c>
      <c r="G507" s="1" t="s">
        <v>8274</v>
      </c>
      <c r="H507" s="1" t="s">
        <v>169</v>
      </c>
      <c r="I507" s="9" t="s">
        <v>8275</v>
      </c>
      <c r="J507" s="1" t="s">
        <v>8276</v>
      </c>
      <c r="K507" s="1" t="s">
        <v>102</v>
      </c>
      <c r="L507" s="1" t="s">
        <v>827</v>
      </c>
      <c r="M507" s="1" t="s">
        <v>6060</v>
      </c>
      <c r="O507" s="1" t="s">
        <v>106</v>
      </c>
      <c r="P507" s="1" t="s">
        <v>5712</v>
      </c>
      <c r="Q507" s="1" t="s">
        <v>214</v>
      </c>
      <c r="R507" s="1" t="s">
        <v>6220</v>
      </c>
      <c r="S507" s="1" t="s">
        <v>240</v>
      </c>
      <c r="Z507" s="1" t="s">
        <v>8277</v>
      </c>
      <c r="AA507" s="10">
        <v>5609000.0</v>
      </c>
      <c r="AB507" s="1">
        <v>0.0</v>
      </c>
      <c r="AC507" s="1">
        <v>0.0</v>
      </c>
      <c r="AD507" s="1">
        <v>0.0</v>
      </c>
      <c r="AE507" s="1">
        <v>0.0</v>
      </c>
      <c r="AF507" s="10">
        <v>6000000.0</v>
      </c>
      <c r="AG507" s="1">
        <v>1.031789668E9</v>
      </c>
      <c r="AH507" s="1">
        <v>0.0</v>
      </c>
      <c r="AI507" s="1">
        <v>0.0</v>
      </c>
      <c r="AJ507" s="1">
        <v>165.0</v>
      </c>
      <c r="AK507" s="1">
        <v>56.0</v>
      </c>
      <c r="AL507" s="1" t="s">
        <v>8278</v>
      </c>
      <c r="AM507" s="1" t="s">
        <v>8279</v>
      </c>
      <c r="AN507" s="7" t="s">
        <v>8280</v>
      </c>
      <c r="AO507" s="8" t="str">
        <f>HYPERLINK("https://docs.google.com/document/d/1y5RhBCugo-2jkWsXCnCb7kiz9MK8if4l_pMX5XUFt00/edit?usp=drivesdk","Al-Wildan 3 BSD City_Ahmad Saefudin_")</f>
        <v>Al-Wildan 3 BSD City_Ahmad Saefudin_</v>
      </c>
      <c r="AP507" s="1" t="s">
        <v>8281</v>
      </c>
    </row>
    <row r="508">
      <c r="A508" s="6">
        <v>44720.53599305556</v>
      </c>
      <c r="B508" s="7" t="s">
        <v>8282</v>
      </c>
      <c r="C508" s="8" t="s">
        <v>8283</v>
      </c>
      <c r="D508" s="1" t="s">
        <v>8284</v>
      </c>
      <c r="E508" s="9" t="s">
        <v>8285</v>
      </c>
      <c r="F508" s="1" t="s">
        <v>8286</v>
      </c>
      <c r="G508" s="1" t="s">
        <v>8287</v>
      </c>
      <c r="H508" s="1" t="s">
        <v>148</v>
      </c>
      <c r="I508" s="9" t="s">
        <v>8288</v>
      </c>
      <c r="J508" s="1" t="s">
        <v>8289</v>
      </c>
      <c r="K508" s="1" t="s">
        <v>102</v>
      </c>
      <c r="L508" s="1" t="s">
        <v>103</v>
      </c>
      <c r="M508" s="1" t="s">
        <v>6060</v>
      </c>
      <c r="O508" s="1" t="s">
        <v>106</v>
      </c>
      <c r="P508" s="1" t="s">
        <v>6659</v>
      </c>
      <c r="Q508" s="1" t="s">
        <v>7463</v>
      </c>
      <c r="R508" s="1" t="s">
        <v>6220</v>
      </c>
      <c r="S508" s="1" t="s">
        <v>8290</v>
      </c>
      <c r="Z508" s="1" t="s">
        <v>8291</v>
      </c>
      <c r="AA508" s="10">
        <v>3500000.0</v>
      </c>
      <c r="AF508" s="10">
        <v>4000000.0</v>
      </c>
      <c r="AH508" s="9" t="s">
        <v>8292</v>
      </c>
      <c r="AI508" s="1" t="s">
        <v>8293</v>
      </c>
      <c r="AJ508" s="1">
        <v>174.0</v>
      </c>
      <c r="AK508" s="1">
        <v>82.0</v>
      </c>
      <c r="AL508" s="1" t="s">
        <v>8294</v>
      </c>
      <c r="AM508" s="1" t="s">
        <v>8295</v>
      </c>
      <c r="AN508" s="7" t="s">
        <v>8296</v>
      </c>
      <c r="AO508" s="8" t="str">
        <f>HYPERLINK("https://docs.google.com/document/d/1OivhdGrGAmFi_6ZX7jRP9eyzgP5F6yXWiV0NaKtXtJ8/edit?usp=drivesdk","Al-Wildan 15 Kompas Indah, Tambun Bekasi._Pambudi Cahyo Oktavian, S.Kom_")</f>
        <v>Al-Wildan 15 Kompas Indah, Tambun Bekasi._Pambudi Cahyo Oktavian, S.Kom_</v>
      </c>
      <c r="AP508" s="1" t="s">
        <v>8297</v>
      </c>
    </row>
    <row r="509">
      <c r="A509" s="6">
        <v>44721.050385069444</v>
      </c>
      <c r="B509" s="7" t="s">
        <v>8298</v>
      </c>
      <c r="C509" s="8" t="s">
        <v>8299</v>
      </c>
      <c r="D509" s="1" t="s">
        <v>8300</v>
      </c>
      <c r="E509" s="9" t="s">
        <v>8301</v>
      </c>
      <c r="F509" s="1" t="s">
        <v>8302</v>
      </c>
      <c r="G509" s="1" t="s">
        <v>8303</v>
      </c>
      <c r="H509" s="1" t="s">
        <v>169</v>
      </c>
      <c r="I509" s="9" t="s">
        <v>8304</v>
      </c>
      <c r="J509" s="1" t="s">
        <v>724</v>
      </c>
      <c r="K509" s="1" t="s">
        <v>151</v>
      </c>
      <c r="L509" s="1" t="s">
        <v>103</v>
      </c>
      <c r="M509" s="1" t="s">
        <v>104</v>
      </c>
      <c r="N509" s="1" t="s">
        <v>152</v>
      </c>
      <c r="O509" s="1" t="s">
        <v>312</v>
      </c>
      <c r="P509" s="1" t="s">
        <v>107</v>
      </c>
      <c r="Q509" s="1" t="s">
        <v>275</v>
      </c>
      <c r="R509" s="1" t="s">
        <v>8305</v>
      </c>
      <c r="S509" s="9" t="s">
        <v>5613</v>
      </c>
      <c r="Z509" s="1" t="s">
        <v>8306</v>
      </c>
      <c r="AA509" s="1" t="s">
        <v>8307</v>
      </c>
      <c r="AB509" s="1" t="s">
        <v>8308</v>
      </c>
      <c r="AC509" s="1" t="s">
        <v>8309</v>
      </c>
      <c r="AD509" s="1" t="s">
        <v>8310</v>
      </c>
      <c r="AE509" s="10">
        <v>4500000.0</v>
      </c>
      <c r="AF509" s="1" t="s">
        <v>8311</v>
      </c>
      <c r="AH509" s="9" t="s">
        <v>8312</v>
      </c>
      <c r="AI509" s="1" t="s">
        <v>159</v>
      </c>
      <c r="AJ509" s="1">
        <v>155.0</v>
      </c>
      <c r="AK509" s="1">
        <v>63.0</v>
      </c>
      <c r="AL509" s="1" t="s">
        <v>8313</v>
      </c>
      <c r="AM509" s="1" t="s">
        <v>8314</v>
      </c>
      <c r="AN509" s="7" t="s">
        <v>8315</v>
      </c>
      <c r="AO509" s="8" t="str">
        <f>HYPERLINK("https://docs.google.com/document/d/10weCf6H3sIMtUOHistH13qVYhpc2ATcswGyZOMyvFpI/edit?usp=drivesdk","Al-Wildan 1 Gading Serpong_Bilqis Ulfah Apriyadin, S.Hum_Bahasa Inggris")</f>
        <v>Al-Wildan 1 Gading Serpong_Bilqis Ulfah Apriyadin, S.Hum_Bahasa Inggris</v>
      </c>
      <c r="AP509" s="1" t="s">
        <v>8316</v>
      </c>
    </row>
    <row r="510">
      <c r="A510" s="6">
        <v>44725.87007017361</v>
      </c>
      <c r="B510" s="7" t="s">
        <v>8317</v>
      </c>
      <c r="C510" s="8" t="s">
        <v>8318</v>
      </c>
      <c r="D510" s="1" t="s">
        <v>8319</v>
      </c>
      <c r="E510" s="9" t="s">
        <v>8320</v>
      </c>
      <c r="F510" s="1" t="s">
        <v>8321</v>
      </c>
      <c r="G510" s="1" t="s">
        <v>8322</v>
      </c>
      <c r="H510" s="1" t="s">
        <v>8323</v>
      </c>
      <c r="I510" s="1" t="s">
        <v>8324</v>
      </c>
      <c r="J510" s="1" t="s">
        <v>8325</v>
      </c>
      <c r="K510" s="1" t="s">
        <v>151</v>
      </c>
      <c r="L510" s="1" t="s">
        <v>103</v>
      </c>
      <c r="M510" s="1" t="s">
        <v>6060</v>
      </c>
      <c r="O510" s="1" t="s">
        <v>106</v>
      </c>
      <c r="P510" s="1" t="s">
        <v>6659</v>
      </c>
      <c r="Q510" s="1" t="s">
        <v>108</v>
      </c>
      <c r="R510" s="1" t="s">
        <v>8326</v>
      </c>
      <c r="S510" s="1">
        <v>2.97</v>
      </c>
      <c r="Z510" s="1" t="s">
        <v>8327</v>
      </c>
      <c r="AA510" s="10">
        <v>3000000.0</v>
      </c>
      <c r="AB510" s="1" t="s">
        <v>8328</v>
      </c>
      <c r="AC510" s="10">
        <v>5500000.0</v>
      </c>
      <c r="AD510" s="1" t="s">
        <v>8329</v>
      </c>
      <c r="AE510" s="10">
        <v>1000000.0</v>
      </c>
      <c r="AF510" s="10">
        <v>5000000.0</v>
      </c>
      <c r="AH510" s="1">
        <v>7.391169946E9</v>
      </c>
      <c r="AI510" s="1" t="s">
        <v>222</v>
      </c>
      <c r="AJ510" s="1">
        <v>168.0</v>
      </c>
      <c r="AK510" s="1">
        <v>85.0</v>
      </c>
      <c r="AL510" s="1" t="s">
        <v>8330</v>
      </c>
      <c r="AM510" s="1" t="s">
        <v>8331</v>
      </c>
      <c r="AN510" s="7" t="s">
        <v>8332</v>
      </c>
      <c r="AO510" s="8" t="str">
        <f>HYPERLINK("https://docs.google.com/document/d/1jgW5fXYvTq9F5HVspVHTaeyxWSxEs5Q2GRTwDcCoko0/edit?usp=drivesdk","Al-Wildan 15 Kompas Indah, Tambun Bekasi._ramzil Majdi_")</f>
        <v>Al-Wildan 15 Kompas Indah, Tambun Bekasi._ramzil Majdi_</v>
      </c>
      <c r="AP510" s="1" t="s">
        <v>8333</v>
      </c>
    </row>
    <row r="511">
      <c r="A511" s="6">
        <v>44726.606234120365</v>
      </c>
      <c r="B511" s="7" t="s">
        <v>8334</v>
      </c>
      <c r="C511" s="8" t="s">
        <v>8335</v>
      </c>
      <c r="D511" s="1" t="s">
        <v>8336</v>
      </c>
      <c r="E511" s="9" t="s">
        <v>8337</v>
      </c>
      <c r="F511" s="1" t="s">
        <v>8338</v>
      </c>
      <c r="G511" s="1" t="s">
        <v>8339</v>
      </c>
      <c r="H511" s="1" t="s">
        <v>288</v>
      </c>
      <c r="I511" s="1">
        <v>2.3021996E7</v>
      </c>
      <c r="J511" s="1" t="s">
        <v>610</v>
      </c>
      <c r="K511" s="1" t="s">
        <v>151</v>
      </c>
      <c r="L511" s="1" t="s">
        <v>256</v>
      </c>
      <c r="M511" s="1" t="s">
        <v>104</v>
      </c>
      <c r="N511" s="1" t="s">
        <v>152</v>
      </c>
      <c r="O511" s="1" t="s">
        <v>312</v>
      </c>
      <c r="P511" s="1" t="s">
        <v>7162</v>
      </c>
      <c r="Q511" s="1" t="s">
        <v>1898</v>
      </c>
      <c r="R511" s="1" t="s">
        <v>152</v>
      </c>
      <c r="S511" s="1">
        <v>3.48</v>
      </c>
      <c r="Z511" s="1" t="s">
        <v>8340</v>
      </c>
      <c r="AA511" s="10">
        <v>2000000.0</v>
      </c>
      <c r="AF511" s="10">
        <v>5000000.0</v>
      </c>
      <c r="AG511" s="1">
        <v>7.132375997E9</v>
      </c>
      <c r="AJ511" s="1">
        <v>165.0</v>
      </c>
      <c r="AK511" s="1">
        <v>70.0</v>
      </c>
      <c r="AL511" s="1" t="s">
        <v>8341</v>
      </c>
      <c r="AM511" s="1" t="s">
        <v>8342</v>
      </c>
      <c r="AN511" s="7" t="s">
        <v>8343</v>
      </c>
      <c r="AO511" s="8" t="str">
        <f>HYPERLINK("https://docs.google.com/document/d/1FJFfdLajYxpoY8-icrULT165S7_OiI5ciGlPP2si8XQ/edit?usp=drivesdk","Al-Wildan 7 Serang_Yashinta Fatirinnisa, S.Hum_Bahasa Inggris")</f>
        <v>Al-Wildan 7 Serang_Yashinta Fatirinnisa, S.Hum_Bahasa Inggris</v>
      </c>
      <c r="AP511" s="1" t="s">
        <v>8344</v>
      </c>
    </row>
    <row r="512">
      <c r="A512" s="6">
        <v>44726.96516232639</v>
      </c>
      <c r="B512" s="7" t="s">
        <v>8345</v>
      </c>
      <c r="C512" s="8" t="s">
        <v>8346</v>
      </c>
      <c r="D512" s="1" t="s">
        <v>8347</v>
      </c>
      <c r="E512" s="9" t="s">
        <v>8348</v>
      </c>
      <c r="F512" s="1" t="s">
        <v>8349</v>
      </c>
      <c r="G512" s="1" t="s">
        <v>8350</v>
      </c>
      <c r="H512" s="1" t="s">
        <v>2146</v>
      </c>
      <c r="I512" s="9" t="s">
        <v>8351</v>
      </c>
      <c r="J512" s="1" t="s">
        <v>407</v>
      </c>
      <c r="K512" s="1" t="s">
        <v>151</v>
      </c>
      <c r="L512" s="1" t="s">
        <v>256</v>
      </c>
      <c r="M512" s="1" t="s">
        <v>104</v>
      </c>
      <c r="N512" s="1" t="s">
        <v>1623</v>
      </c>
      <c r="O512" s="1" t="s">
        <v>106</v>
      </c>
      <c r="P512" s="1" t="s">
        <v>237</v>
      </c>
      <c r="Q512" s="1" t="s">
        <v>811</v>
      </c>
      <c r="R512" s="1" t="s">
        <v>867</v>
      </c>
      <c r="S512" s="1">
        <v>4.71</v>
      </c>
      <c r="T512" s="1" t="s">
        <v>217</v>
      </c>
      <c r="U512" s="1" t="s">
        <v>217</v>
      </c>
      <c r="V512" s="1" t="s">
        <v>217</v>
      </c>
      <c r="W512" s="1" t="s">
        <v>217</v>
      </c>
      <c r="X512" s="1" t="s">
        <v>217</v>
      </c>
      <c r="Y512" s="1">
        <v>0.0</v>
      </c>
      <c r="Z512" s="1" t="s">
        <v>8352</v>
      </c>
      <c r="AA512" s="1" t="s">
        <v>8353</v>
      </c>
      <c r="AB512" s="1" t="s">
        <v>8354</v>
      </c>
      <c r="AC512" s="1" t="s">
        <v>8355</v>
      </c>
      <c r="AD512" s="1" t="s">
        <v>8356</v>
      </c>
      <c r="AE512" s="1" t="s">
        <v>8357</v>
      </c>
      <c r="AF512" s="10">
        <v>5000000.0</v>
      </c>
      <c r="AG512" s="1">
        <v>4.29267708E9</v>
      </c>
      <c r="AJ512" s="1">
        <v>158.0</v>
      </c>
      <c r="AK512" s="1">
        <v>65.0</v>
      </c>
      <c r="AL512" s="1" t="s">
        <v>8358</v>
      </c>
      <c r="AM512" s="1" t="s">
        <v>8359</v>
      </c>
      <c r="AN512" s="7" t="s">
        <v>8360</v>
      </c>
      <c r="AO512" s="8" t="str">
        <f>HYPERLINK("https://docs.google.com/document/d/1c4ibqgWMYTXmMVZtUdBjKmzG43Ak5foL-0kwq_KDsp4/edit?usp=drivesdk","Al-Wildan 4 Lebak Bulus_Haudhiya Niam Rahmani, BA_PAI")</f>
        <v>Al-Wildan 4 Lebak Bulus_Haudhiya Niam Rahmani, BA_PAI</v>
      </c>
      <c r="AP512" s="1" t="s">
        <v>8361</v>
      </c>
    </row>
    <row r="513">
      <c r="A513" s="6">
        <v>44727.323067523146</v>
      </c>
      <c r="B513" s="7" t="s">
        <v>8362</v>
      </c>
      <c r="C513" s="8" t="s">
        <v>8363</v>
      </c>
      <c r="D513" s="1" t="s">
        <v>8364</v>
      </c>
      <c r="E513" s="9" t="s">
        <v>8365</v>
      </c>
      <c r="F513" s="1" t="s">
        <v>8366</v>
      </c>
      <c r="G513" s="1" t="s">
        <v>8367</v>
      </c>
      <c r="H513" s="1" t="s">
        <v>99</v>
      </c>
      <c r="I513" s="9" t="s">
        <v>8368</v>
      </c>
      <c r="J513" s="1" t="s">
        <v>8369</v>
      </c>
      <c r="K513" s="1" t="s">
        <v>102</v>
      </c>
      <c r="L513" s="1" t="s">
        <v>103</v>
      </c>
      <c r="M513" s="1" t="s">
        <v>104</v>
      </c>
      <c r="N513" s="1" t="s">
        <v>1275</v>
      </c>
      <c r="O513" s="1" t="s">
        <v>127</v>
      </c>
      <c r="P513" s="1" t="s">
        <v>5712</v>
      </c>
      <c r="Q513" s="1" t="s">
        <v>8370</v>
      </c>
      <c r="R513" s="1" t="s">
        <v>1277</v>
      </c>
      <c r="S513" s="1" t="s">
        <v>8371</v>
      </c>
      <c r="Z513" s="1" t="s">
        <v>8372</v>
      </c>
      <c r="AA513" s="10">
        <v>1700000.0</v>
      </c>
      <c r="AB513" s="1" t="s">
        <v>8373</v>
      </c>
      <c r="AC513" s="1" t="s">
        <v>8374</v>
      </c>
      <c r="AD513" s="1" t="s">
        <v>8375</v>
      </c>
      <c r="AE513" s="10">
        <v>4600000.0</v>
      </c>
      <c r="AF513" s="1" t="s">
        <v>8376</v>
      </c>
      <c r="AG513" s="1">
        <v>8.29567401E9</v>
      </c>
      <c r="AH513" s="9" t="s">
        <v>8377</v>
      </c>
      <c r="AI513" s="1" t="s">
        <v>2407</v>
      </c>
      <c r="AJ513" s="1">
        <v>157.0</v>
      </c>
      <c r="AK513" s="1">
        <v>62.0</v>
      </c>
      <c r="AL513" s="1" t="s">
        <v>8378</v>
      </c>
      <c r="AM513" s="1" t="s">
        <v>8379</v>
      </c>
      <c r="AN513" s="7" t="s">
        <v>8380</v>
      </c>
      <c r="AO513" s="8" t="str">
        <f>HYPERLINK("https://docs.google.com/document/d/1M99DDLbQ9ZXkuK6DjYnwdtz9IHyOVD7mlUodGs4W-lM/edit?usp=drivesdk","Al-Wildan 3 BSD City_Andri Mulyani, S.Pd_Biologi")</f>
        <v>Al-Wildan 3 BSD City_Andri Mulyani, S.Pd_Biologi</v>
      </c>
      <c r="AP513" s="1" t="s">
        <v>8381</v>
      </c>
    </row>
    <row r="514">
      <c r="A514" s="6">
        <v>44727.63579186343</v>
      </c>
      <c r="B514" s="7" t="s">
        <v>8382</v>
      </c>
      <c r="C514" s="8" t="s">
        <v>8383</v>
      </c>
      <c r="D514" s="1" t="s">
        <v>8384</v>
      </c>
      <c r="E514" s="9" t="s">
        <v>8385</v>
      </c>
      <c r="F514" s="1" t="s">
        <v>8386</v>
      </c>
      <c r="G514" s="1" t="s">
        <v>8387</v>
      </c>
      <c r="H514" s="1" t="s">
        <v>6415</v>
      </c>
      <c r="I514" s="9" t="s">
        <v>8388</v>
      </c>
      <c r="J514" s="1" t="s">
        <v>4279</v>
      </c>
      <c r="K514" s="1" t="s">
        <v>102</v>
      </c>
      <c r="L514" s="1" t="s">
        <v>103</v>
      </c>
      <c r="M514" s="1" t="s">
        <v>104</v>
      </c>
      <c r="N514" s="1" t="s">
        <v>552</v>
      </c>
      <c r="O514" s="1" t="s">
        <v>236</v>
      </c>
      <c r="P514" s="1" t="s">
        <v>6044</v>
      </c>
      <c r="Q514" s="1" t="s">
        <v>8389</v>
      </c>
      <c r="R514" s="1" t="s">
        <v>8390</v>
      </c>
      <c r="S514" s="1">
        <v>3.07</v>
      </c>
      <c r="Z514" s="1" t="s">
        <v>8391</v>
      </c>
      <c r="AA514" s="10">
        <v>8.0E8</v>
      </c>
      <c r="AB514" s="1" t="s">
        <v>8392</v>
      </c>
      <c r="AC514" s="10">
        <v>6000000.0</v>
      </c>
      <c r="AD514" s="1" t="s">
        <v>8393</v>
      </c>
      <c r="AE514" s="10">
        <v>4.8E7</v>
      </c>
      <c r="AF514" s="10">
        <v>7500000.0</v>
      </c>
      <c r="AG514" s="1">
        <v>7.179034087E9</v>
      </c>
      <c r="AJ514" s="1">
        <v>160.0</v>
      </c>
      <c r="AK514" s="1">
        <v>60.0</v>
      </c>
      <c r="AL514" s="1" t="s">
        <v>8394</v>
      </c>
      <c r="AM514" s="1" t="s">
        <v>8395</v>
      </c>
      <c r="AN514" s="7" t="s">
        <v>8396</v>
      </c>
      <c r="AO514" s="8" t="str">
        <f>HYPERLINK("https://docs.google.com/document/d/1OWQjXPIFYtw3mqFSLdH73zHk5y8c4BLI_8WTFLD_Fl8/edit?usp=drivesdk","Al-Wildan Holding_Mochamad Wahyu Ardiatama,  S.T._Fisika")</f>
        <v>Al-Wildan Holding_Mochamad Wahyu Ardiatama,  S.T._Fisika</v>
      </c>
      <c r="AP514" s="1" t="s">
        <v>8397</v>
      </c>
    </row>
    <row r="515">
      <c r="A515" s="6">
        <v>44727.70297182871</v>
      </c>
      <c r="B515" s="7" t="s">
        <v>8398</v>
      </c>
      <c r="C515" s="8" t="s">
        <v>8399</v>
      </c>
      <c r="D515" s="1" t="s">
        <v>8400</v>
      </c>
      <c r="E515" s="9" t="s">
        <v>8401</v>
      </c>
      <c r="F515" s="1" t="s">
        <v>8402</v>
      </c>
      <c r="G515" s="1" t="s">
        <v>8403</v>
      </c>
      <c r="H515" s="1" t="s">
        <v>8404</v>
      </c>
      <c r="I515" s="9" t="s">
        <v>8405</v>
      </c>
      <c r="J515" s="1" t="s">
        <v>6548</v>
      </c>
      <c r="K515" s="1" t="s">
        <v>102</v>
      </c>
      <c r="L515" s="1" t="s">
        <v>256</v>
      </c>
      <c r="M515" s="1" t="s">
        <v>104</v>
      </c>
      <c r="N515" s="1" t="s">
        <v>552</v>
      </c>
      <c r="O515" s="1" t="s">
        <v>236</v>
      </c>
      <c r="P515" s="1" t="s">
        <v>6187</v>
      </c>
      <c r="Q515" s="1" t="s">
        <v>108</v>
      </c>
      <c r="R515" s="1" t="s">
        <v>410</v>
      </c>
      <c r="S515" s="1" t="s">
        <v>2181</v>
      </c>
      <c r="T515" s="1" t="s">
        <v>108</v>
      </c>
      <c r="U515" s="1" t="s">
        <v>410</v>
      </c>
      <c r="V515" s="1" t="s">
        <v>8406</v>
      </c>
      <c r="Z515" s="1" t="s">
        <v>8407</v>
      </c>
      <c r="AA515" s="10">
        <v>4000000.0</v>
      </c>
      <c r="AF515" s="10">
        <v>7000000.0</v>
      </c>
      <c r="AG515" s="1">
        <v>7.126478358E9</v>
      </c>
      <c r="AJ515" s="1">
        <v>158.0</v>
      </c>
      <c r="AK515" s="1">
        <v>58.0</v>
      </c>
      <c r="AL515" s="1" t="s">
        <v>8408</v>
      </c>
      <c r="AM515" s="1" t="s">
        <v>8409</v>
      </c>
      <c r="AN515" s="7" t="s">
        <v>8410</v>
      </c>
      <c r="AO515" s="8" t="str">
        <f>HYPERLINK("https://docs.google.com/document/d/1hPe_Rpur7tEjJhg0P5HM2acnJYOa47neiYR1UMtBb7U/edit?usp=drivesdk","Al-Wildan 14 Bumi Mutiara, Bogor_Syarifah Hafizah, S.Pd._Fisika")</f>
        <v>Al-Wildan 14 Bumi Mutiara, Bogor_Syarifah Hafizah, S.Pd._Fisika</v>
      </c>
      <c r="AP515" s="1" t="s">
        <v>8411</v>
      </c>
    </row>
    <row r="516">
      <c r="A516" s="6">
        <v>44728.5701852662</v>
      </c>
      <c r="B516" s="7" t="s">
        <v>8412</v>
      </c>
      <c r="C516" s="8" t="s">
        <v>8413</v>
      </c>
      <c r="D516" s="1" t="s">
        <v>8414</v>
      </c>
      <c r="E516" s="9" t="s">
        <v>1879</v>
      </c>
      <c r="F516" s="1" t="s">
        <v>1880</v>
      </c>
      <c r="G516" s="1" t="s">
        <v>722</v>
      </c>
      <c r="H516" s="1" t="s">
        <v>148</v>
      </c>
      <c r="I516" s="9" t="s">
        <v>1881</v>
      </c>
      <c r="J516" s="1" t="s">
        <v>5174</v>
      </c>
      <c r="K516" s="1" t="s">
        <v>151</v>
      </c>
      <c r="L516" s="1" t="s">
        <v>256</v>
      </c>
      <c r="M516" s="1" t="s">
        <v>104</v>
      </c>
      <c r="N516" s="1" t="s">
        <v>2197</v>
      </c>
      <c r="O516" s="1" t="s">
        <v>127</v>
      </c>
      <c r="P516" s="1" t="s">
        <v>107</v>
      </c>
      <c r="Z516" s="1" t="s">
        <v>7310</v>
      </c>
      <c r="AA516" s="10">
        <v>4000000.0</v>
      </c>
      <c r="AB516" s="1" t="s">
        <v>8415</v>
      </c>
      <c r="AC516" s="10">
        <v>3000000.0</v>
      </c>
      <c r="AF516" s="1" t="s">
        <v>8416</v>
      </c>
      <c r="AG516" s="1">
        <v>8.92335474E9</v>
      </c>
      <c r="AJ516" s="1">
        <v>155.0</v>
      </c>
      <c r="AK516" s="1">
        <v>50.0</v>
      </c>
      <c r="AL516" s="1" t="s">
        <v>8417</v>
      </c>
      <c r="AM516" s="1" t="s">
        <v>8418</v>
      </c>
      <c r="AN516" s="7" t="s">
        <v>8419</v>
      </c>
      <c r="AO516" s="8" t="str">
        <f>HYPERLINK("https://docs.google.com/document/d/1cu39pzlLJ8RJbiUiGmBDKXF3PyLz-5iUrYWygHNFNhw/edit?usp=drivesdk","Al-Wildan 1 Gading Serpong_Intansha Rifani Al-Hafidzoh_Al-Qur'an")</f>
        <v>Al-Wildan 1 Gading Serpong_Intansha Rifani Al-Hafidzoh_Al-Qur'an</v>
      </c>
      <c r="AP516" s="1" t="s">
        <v>8420</v>
      </c>
    </row>
    <row r="517">
      <c r="A517" s="6">
        <v>44729.311609930555</v>
      </c>
      <c r="B517" s="7" t="s">
        <v>8421</v>
      </c>
      <c r="C517" s="8" t="s">
        <v>8422</v>
      </c>
      <c r="D517" s="1" t="s">
        <v>8423</v>
      </c>
      <c r="E517" s="9" t="s">
        <v>8424</v>
      </c>
      <c r="F517" s="1" t="s">
        <v>8425</v>
      </c>
      <c r="G517" s="1" t="s">
        <v>8426</v>
      </c>
      <c r="H517" s="1" t="s">
        <v>8427</v>
      </c>
      <c r="I517" s="9" t="s">
        <v>8428</v>
      </c>
      <c r="J517" s="1" t="s">
        <v>8429</v>
      </c>
      <c r="K517" s="1" t="s">
        <v>151</v>
      </c>
      <c r="L517" s="1" t="s">
        <v>496</v>
      </c>
      <c r="M517" s="1" t="s">
        <v>4954</v>
      </c>
      <c r="N517" s="1" t="s">
        <v>6734</v>
      </c>
      <c r="O517" s="1" t="s">
        <v>312</v>
      </c>
      <c r="P517" s="1" t="s">
        <v>107</v>
      </c>
      <c r="Z517" s="1" t="s">
        <v>8430</v>
      </c>
      <c r="AA517" s="1" t="s">
        <v>8431</v>
      </c>
      <c r="AB517" s="1" t="s">
        <v>8432</v>
      </c>
      <c r="AC517" s="1" t="s">
        <v>8433</v>
      </c>
      <c r="AD517" s="1" t="s">
        <v>8434</v>
      </c>
      <c r="AE517" s="1" t="s">
        <v>8435</v>
      </c>
      <c r="AF517" s="10">
        <v>3000000.0</v>
      </c>
      <c r="AG517" s="1">
        <v>7.174057348E9</v>
      </c>
      <c r="AI517" s="1" t="s">
        <v>4856</v>
      </c>
      <c r="AJ517" s="1">
        <v>157.0</v>
      </c>
      <c r="AK517" s="1">
        <v>55.0</v>
      </c>
      <c r="AL517" s="1" t="s">
        <v>8436</v>
      </c>
      <c r="AM517" s="1" t="s">
        <v>8437</v>
      </c>
      <c r="AN517" s="7" t="s">
        <v>8438</v>
      </c>
      <c r="AO517" s="8" t="str">
        <f>HYPERLINK("https://docs.google.com/document/d/1VZ3_5F-FIbqdVw0YL8rRKnOHjr4y0Nj-lJeTgJDvbBc/edit?usp=drivesdk","Al-Wildan 1 Gading Serpong_Nurani Gunawan _Guru Al-Qur'an ")</f>
        <v>Al-Wildan 1 Gading Serpong_Nurani Gunawan _Guru Al-Qur'an </v>
      </c>
      <c r="AP517" s="1" t="s">
        <v>8439</v>
      </c>
    </row>
    <row r="518">
      <c r="A518" s="6">
        <v>44729.82425158565</v>
      </c>
      <c r="B518" s="7" t="s">
        <v>8440</v>
      </c>
      <c r="C518" s="8" t="s">
        <v>8441</v>
      </c>
      <c r="D518" s="1" t="s">
        <v>8442</v>
      </c>
      <c r="E518" s="9" t="s">
        <v>8443</v>
      </c>
      <c r="F518" s="1" t="s">
        <v>8444</v>
      </c>
      <c r="G518" s="1" t="s">
        <v>8445</v>
      </c>
      <c r="H518" s="1" t="s">
        <v>1018</v>
      </c>
      <c r="I518" s="9" t="s">
        <v>8446</v>
      </c>
      <c r="J518" s="1" t="s">
        <v>8447</v>
      </c>
      <c r="K518" s="1" t="s">
        <v>102</v>
      </c>
      <c r="L518" s="1" t="s">
        <v>310</v>
      </c>
      <c r="M518" s="1" t="s">
        <v>213</v>
      </c>
      <c r="O518" s="1" t="s">
        <v>6151</v>
      </c>
      <c r="P518" s="1" t="s">
        <v>6187</v>
      </c>
      <c r="Q518" s="1" t="s">
        <v>8448</v>
      </c>
      <c r="R518" s="1" t="s">
        <v>1623</v>
      </c>
      <c r="S518" s="1" t="s">
        <v>2032</v>
      </c>
      <c r="T518" s="1" t="s">
        <v>8449</v>
      </c>
      <c r="U518" s="1" t="s">
        <v>8450</v>
      </c>
      <c r="V518" s="1" t="s">
        <v>908</v>
      </c>
      <c r="W518" s="1" t="s">
        <v>3666</v>
      </c>
      <c r="X518" s="1" t="s">
        <v>8451</v>
      </c>
      <c r="Y518" s="1" t="s">
        <v>8452</v>
      </c>
      <c r="Z518" s="1" t="s">
        <v>8453</v>
      </c>
      <c r="AA518" s="10">
        <v>1.8E7</v>
      </c>
      <c r="AB518" s="1" t="s">
        <v>8454</v>
      </c>
      <c r="AC518" s="10">
        <v>1.0E7</v>
      </c>
      <c r="AD518" s="1" t="s">
        <v>8455</v>
      </c>
      <c r="AF518" s="10">
        <v>2.0E7</v>
      </c>
      <c r="AG518" s="1">
        <v>4.50673563E8</v>
      </c>
      <c r="AJ518" s="1">
        <v>165.0</v>
      </c>
      <c r="AK518" s="1">
        <v>87.0</v>
      </c>
      <c r="AL518" s="1" t="s">
        <v>8456</v>
      </c>
      <c r="AM518" s="1" t="s">
        <v>8457</v>
      </c>
      <c r="AN518" s="7" t="s">
        <v>8458</v>
      </c>
      <c r="AO518" s="8" t="str">
        <f>HYPERLINK("https://docs.google.com/document/d/1oduOoqsRHnocHlqBfT_-ICNm2c6LYO8hHPlLQWdqk5Y/edit?usp=drivesdk","Al-Wildan 14 Bumi Mutiara, Bogor_Dr. Ibnu Awwaliansyah, M. Ag_")</f>
        <v>Al-Wildan 14 Bumi Mutiara, Bogor_Dr. Ibnu Awwaliansyah, M. Ag_</v>
      </c>
      <c r="AP518" s="1" t="s">
        <v>8459</v>
      </c>
    </row>
    <row r="519">
      <c r="A519" s="6">
        <v>44730.64663481481</v>
      </c>
      <c r="B519" s="7" t="s">
        <v>8460</v>
      </c>
      <c r="C519" s="8" t="s">
        <v>8461</v>
      </c>
      <c r="D519" s="1" t="s">
        <v>8462</v>
      </c>
      <c r="E519" s="1">
        <v>6.28989361503E11</v>
      </c>
      <c r="F519" s="1" t="s">
        <v>8463</v>
      </c>
      <c r="G519" s="1" t="s">
        <v>8464</v>
      </c>
      <c r="H519" s="1" t="s">
        <v>4850</v>
      </c>
      <c r="I519" s="9" t="s">
        <v>8465</v>
      </c>
      <c r="J519" s="1" t="s">
        <v>7766</v>
      </c>
      <c r="K519" s="1" t="s">
        <v>102</v>
      </c>
      <c r="L519" s="1" t="s">
        <v>256</v>
      </c>
      <c r="M519" s="1" t="s">
        <v>104</v>
      </c>
      <c r="N519" s="1" t="s">
        <v>8466</v>
      </c>
      <c r="O519" s="1" t="s">
        <v>1202</v>
      </c>
      <c r="P519" s="1" t="s">
        <v>107</v>
      </c>
      <c r="Q519" s="1" t="s">
        <v>967</v>
      </c>
      <c r="R519" s="1" t="s">
        <v>172</v>
      </c>
      <c r="S519" s="1" t="s">
        <v>1680</v>
      </c>
      <c r="Z519" s="1" t="s">
        <v>8467</v>
      </c>
      <c r="AA519" s="1" t="s">
        <v>8468</v>
      </c>
      <c r="AB519" s="1" t="s">
        <v>8469</v>
      </c>
      <c r="AC519" s="1" t="s">
        <v>8470</v>
      </c>
      <c r="AF519" s="1" t="s">
        <v>8471</v>
      </c>
      <c r="AG519" s="1">
        <v>7.198309081E9</v>
      </c>
      <c r="AJ519" s="1">
        <v>158.0</v>
      </c>
      <c r="AK519" s="1">
        <v>55.0</v>
      </c>
      <c r="AL519" s="1" t="s">
        <v>8472</v>
      </c>
      <c r="AM519" s="1" t="s">
        <v>8473</v>
      </c>
      <c r="AN519" s="7" t="s">
        <v>8474</v>
      </c>
      <c r="AO519" s="8" t="str">
        <f>HYPERLINK("https://docs.google.com/document/d/1EHpra7Zq3vHRaqw9SD8B4NecW0DMnwVmePhI45MjUYM/edit?usp=drivesdk","Al-Wildan 1 Gading Serpong_Galih Permatasari, S.Pd_Guru TK Bahasa Inggris")</f>
        <v>Al-Wildan 1 Gading Serpong_Galih Permatasari, S.Pd_Guru TK Bahasa Inggris</v>
      </c>
      <c r="AP519" s="1" t="s">
        <v>8475</v>
      </c>
    </row>
    <row r="520">
      <c r="A520" s="6">
        <v>44732.32659728009</v>
      </c>
      <c r="B520" s="7" t="s">
        <v>8476</v>
      </c>
      <c r="C520" s="8" t="s">
        <v>8477</v>
      </c>
      <c r="D520" s="1" t="s">
        <v>8478</v>
      </c>
      <c r="E520" s="9" t="s">
        <v>8479</v>
      </c>
      <c r="F520" s="1" t="s">
        <v>8480</v>
      </c>
      <c r="G520" s="1" t="s">
        <v>8481</v>
      </c>
      <c r="H520" s="1" t="s">
        <v>2523</v>
      </c>
      <c r="I520" s="9" t="s">
        <v>8482</v>
      </c>
      <c r="J520" s="1" t="s">
        <v>8483</v>
      </c>
      <c r="K520" s="1" t="s">
        <v>151</v>
      </c>
      <c r="L520" s="1" t="s">
        <v>329</v>
      </c>
      <c r="M520" s="1" t="s">
        <v>6186</v>
      </c>
      <c r="O520" s="1" t="s">
        <v>6151</v>
      </c>
      <c r="P520" s="1" t="s">
        <v>6187</v>
      </c>
      <c r="Q520" s="1" t="s">
        <v>275</v>
      </c>
      <c r="R520" s="1" t="s">
        <v>8484</v>
      </c>
      <c r="S520" s="1" t="s">
        <v>1430</v>
      </c>
      <c r="Z520" s="1" t="s">
        <v>8485</v>
      </c>
      <c r="AA520" s="10">
        <v>4500000.0</v>
      </c>
      <c r="AG520" s="1">
        <v>7.155330176E9</v>
      </c>
      <c r="AI520" s="1" t="s">
        <v>4856</v>
      </c>
      <c r="AJ520" s="1">
        <v>174.0</v>
      </c>
      <c r="AK520" s="1">
        <v>71.0</v>
      </c>
      <c r="AL520" s="1" t="s">
        <v>8486</v>
      </c>
      <c r="AM520" s="1" t="s">
        <v>8487</v>
      </c>
      <c r="AN520" s="7" t="s">
        <v>8488</v>
      </c>
      <c r="AO520" s="8" t="str">
        <f>HYPERLINK("https://docs.google.com/document/d/1GqU6j-UD2FFjBZrojdXpFtBHB6wkWqTz7aHGP2HIp-8/edit?usp=drivesdk","Al-Wildan 14 Bumi Mutiara, Bogor_Muhammad Ario Prastyan, S.Si_")</f>
        <v>Al-Wildan 14 Bumi Mutiara, Bogor_Muhammad Ario Prastyan, S.Si_</v>
      </c>
      <c r="AP520" s="1" t="s">
        <v>8489</v>
      </c>
    </row>
    <row r="521">
      <c r="A521" s="6">
        <v>44733.58027189814</v>
      </c>
      <c r="B521" s="7" t="s">
        <v>8490</v>
      </c>
      <c r="C521" s="8" t="s">
        <v>8491</v>
      </c>
      <c r="D521" s="1" t="s">
        <v>8492</v>
      </c>
      <c r="E521" s="9" t="s">
        <v>8493</v>
      </c>
      <c r="F521" s="1" t="s">
        <v>8494</v>
      </c>
      <c r="G521" s="1" t="s">
        <v>8495</v>
      </c>
      <c r="H521" s="1" t="s">
        <v>169</v>
      </c>
      <c r="I521" s="9" t="s">
        <v>8496</v>
      </c>
      <c r="J521" s="1" t="s">
        <v>8497</v>
      </c>
      <c r="K521" s="1" t="s">
        <v>151</v>
      </c>
      <c r="L521" s="1" t="s">
        <v>256</v>
      </c>
      <c r="M521" s="1" t="s">
        <v>4954</v>
      </c>
      <c r="N521" s="1" t="s">
        <v>152</v>
      </c>
      <c r="O521" s="1" t="s">
        <v>312</v>
      </c>
      <c r="P521" s="1" t="s">
        <v>5712</v>
      </c>
      <c r="Q521" s="1" t="s">
        <v>1694</v>
      </c>
      <c r="R521" s="1" t="s">
        <v>8498</v>
      </c>
      <c r="S521" s="1" t="s">
        <v>1087</v>
      </c>
      <c r="Z521" s="1" t="s">
        <v>8499</v>
      </c>
      <c r="AA521" s="10">
        <v>3500000.0</v>
      </c>
      <c r="AB521" s="1" t="s">
        <v>8500</v>
      </c>
      <c r="AC521" s="10">
        <v>1500000.0</v>
      </c>
      <c r="AF521" s="1" t="s">
        <v>8501</v>
      </c>
      <c r="AH521" s="1">
        <v>1.180010461753E12</v>
      </c>
      <c r="AI521" s="1" t="s">
        <v>8502</v>
      </c>
      <c r="AJ521" s="1">
        <v>165.0</v>
      </c>
      <c r="AK521" s="1">
        <v>52.0</v>
      </c>
      <c r="AL521" s="1" t="s">
        <v>8503</v>
      </c>
      <c r="AM521" s="1" t="s">
        <v>8504</v>
      </c>
      <c r="AN521" s="7" t="s">
        <v>8505</v>
      </c>
      <c r="AO521" s="8" t="str">
        <f>HYPERLINK("https://docs.google.com/document/d/1FpcRGTfgxSrfHmYGyNz0XmcnRDNvG8gwLGLWSw3lZS0/edit?usp=drivesdk","Al-Wildan 3 BSD City_Fariha Ramadhani S. Hum._Bahasa Inggris")</f>
        <v>Al-Wildan 3 BSD City_Fariha Ramadhani S. Hum._Bahasa Inggris</v>
      </c>
      <c r="AP521" s="1" t="s">
        <v>8506</v>
      </c>
    </row>
    <row r="522">
      <c r="A522" s="6">
        <v>44733.92009315972</v>
      </c>
      <c r="B522" s="7" t="s">
        <v>8507</v>
      </c>
      <c r="C522" s="8" t="s">
        <v>8508</v>
      </c>
      <c r="D522" s="1" t="s">
        <v>8509</v>
      </c>
      <c r="E522" s="9" t="s">
        <v>8510</v>
      </c>
      <c r="F522" s="1" t="s">
        <v>8511</v>
      </c>
      <c r="G522" s="1" t="s">
        <v>8512</v>
      </c>
      <c r="H522" s="1" t="s">
        <v>8513</v>
      </c>
      <c r="I522" s="9" t="s">
        <v>8514</v>
      </c>
      <c r="J522" s="1" t="s">
        <v>8515</v>
      </c>
      <c r="K522" s="1" t="s">
        <v>1235</v>
      </c>
      <c r="L522" s="1" t="s">
        <v>329</v>
      </c>
      <c r="M522" s="1" t="s">
        <v>104</v>
      </c>
      <c r="N522" s="1" t="s">
        <v>126</v>
      </c>
      <c r="O522" s="1" t="s">
        <v>312</v>
      </c>
      <c r="P522" s="1" t="s">
        <v>107</v>
      </c>
      <c r="Q522" s="1" t="s">
        <v>8516</v>
      </c>
      <c r="R522" s="1" t="s">
        <v>6155</v>
      </c>
      <c r="S522" s="1" t="s">
        <v>315</v>
      </c>
      <c r="T522" s="1" t="s">
        <v>8517</v>
      </c>
      <c r="U522" s="1" t="s">
        <v>130</v>
      </c>
      <c r="V522" s="1" t="s">
        <v>8518</v>
      </c>
      <c r="Z522" s="1" t="s">
        <v>8519</v>
      </c>
      <c r="AA522" s="10">
        <v>4200000.0</v>
      </c>
      <c r="AF522" s="10">
        <v>4500000.0</v>
      </c>
      <c r="AG522" s="9" t="s">
        <v>8520</v>
      </c>
      <c r="AH522" s="9" t="s">
        <v>8521</v>
      </c>
      <c r="AI522" s="1" t="s">
        <v>8522</v>
      </c>
      <c r="AJ522" s="1">
        <v>160.0</v>
      </c>
      <c r="AK522" s="1">
        <v>75.0</v>
      </c>
      <c r="AL522" s="1" t="s">
        <v>8523</v>
      </c>
      <c r="AM522" s="1" t="s">
        <v>8524</v>
      </c>
      <c r="AN522" s="7" t="s">
        <v>8525</v>
      </c>
      <c r="AO522" s="8" t="str">
        <f>HYPERLINK("https://docs.google.com/document/d/1isRCEeBFq1T6rFb1IyAP5V0tOSWC5XAm0sM19MRFAL8/edit?usp=drivesdk","Al-Wildan 1 Gading Serpong_Vivie Savietri Devi, S.E_Matematika")</f>
        <v>Al-Wildan 1 Gading Serpong_Vivie Savietri Devi, S.E_Matematika</v>
      </c>
      <c r="AP522" s="1" t="s">
        <v>8526</v>
      </c>
    </row>
    <row r="523">
      <c r="A523" s="6">
        <v>44733.923334652776</v>
      </c>
      <c r="B523" s="7" t="s">
        <v>8527</v>
      </c>
      <c r="C523" s="8" t="s">
        <v>8528</v>
      </c>
      <c r="D523" s="1" t="s">
        <v>8529</v>
      </c>
      <c r="E523" s="9" t="s">
        <v>8530</v>
      </c>
      <c r="F523" s="1" t="s">
        <v>8531</v>
      </c>
      <c r="G523" s="1" t="s">
        <v>8532</v>
      </c>
      <c r="H523" s="1" t="s">
        <v>99</v>
      </c>
      <c r="I523" s="9" t="s">
        <v>8533</v>
      </c>
      <c r="J523" s="1" t="s">
        <v>3732</v>
      </c>
      <c r="K523" s="1" t="s">
        <v>102</v>
      </c>
      <c r="L523" s="1" t="s">
        <v>256</v>
      </c>
      <c r="M523" s="1" t="s">
        <v>104</v>
      </c>
      <c r="N523" s="1" t="s">
        <v>1275</v>
      </c>
      <c r="O523" s="1" t="s">
        <v>127</v>
      </c>
      <c r="P523" s="1" t="s">
        <v>107</v>
      </c>
      <c r="Q523" s="1" t="s">
        <v>291</v>
      </c>
      <c r="R523" s="1" t="s">
        <v>989</v>
      </c>
      <c r="S523" s="1" t="s">
        <v>8534</v>
      </c>
      <c r="Z523" s="1" t="s">
        <v>8535</v>
      </c>
      <c r="AA523" s="10">
        <v>3500000.0</v>
      </c>
      <c r="AF523" s="10">
        <v>6000000.0</v>
      </c>
      <c r="AG523" s="1">
        <v>7.197663035E9</v>
      </c>
      <c r="AI523" s="1" t="s">
        <v>4856</v>
      </c>
      <c r="AJ523" s="1">
        <v>147.0</v>
      </c>
      <c r="AK523" s="1">
        <v>47.0</v>
      </c>
      <c r="AL523" s="1" t="s">
        <v>8536</v>
      </c>
      <c r="AM523" s="1" t="s">
        <v>8537</v>
      </c>
      <c r="AN523" s="7" t="s">
        <v>8538</v>
      </c>
      <c r="AO523" s="8" t="str">
        <f>HYPERLINK("https://docs.google.com/document/d/1MoKvfW0RGyK1Iufl15QwEqglqiacw9CJAVDWIF5EFaE/edit?usp=drivesdk","Al-Wildan 1 Gading Serpong_Tika Khusnul Fatimahsari, S.Pd._Biologi")</f>
        <v>Al-Wildan 1 Gading Serpong_Tika Khusnul Fatimahsari, S.Pd._Biologi</v>
      </c>
      <c r="AP523" s="1" t="s">
        <v>8539</v>
      </c>
    </row>
    <row r="524">
      <c r="A524" s="6">
        <v>44733.98809850695</v>
      </c>
      <c r="B524" s="7" t="s">
        <v>8540</v>
      </c>
      <c r="C524" s="8" t="s">
        <v>8541</v>
      </c>
      <c r="D524" s="1" t="s">
        <v>8542</v>
      </c>
      <c r="E524" s="9" t="s">
        <v>8543</v>
      </c>
      <c r="F524" s="1" t="s">
        <v>8544</v>
      </c>
      <c r="G524" s="1" t="s">
        <v>390</v>
      </c>
      <c r="H524" s="1" t="s">
        <v>1272</v>
      </c>
      <c r="I524" s="9" t="s">
        <v>8545</v>
      </c>
      <c r="J524" s="1" t="s">
        <v>2496</v>
      </c>
      <c r="K524" s="1" t="s">
        <v>850</v>
      </c>
      <c r="L524" s="1" t="s">
        <v>496</v>
      </c>
      <c r="M524" s="1" t="s">
        <v>104</v>
      </c>
      <c r="N524" s="1" t="s">
        <v>8546</v>
      </c>
      <c r="O524" s="1" t="s">
        <v>106</v>
      </c>
      <c r="P524" s="1" t="s">
        <v>6044</v>
      </c>
      <c r="Q524" s="1" t="s">
        <v>8547</v>
      </c>
      <c r="R524" s="1" t="s">
        <v>8548</v>
      </c>
      <c r="S524" s="1" t="s">
        <v>8549</v>
      </c>
      <c r="Z524" s="1" t="s">
        <v>1998</v>
      </c>
      <c r="AA524" s="1" t="s">
        <v>8550</v>
      </c>
      <c r="AF524" s="10">
        <v>4000000.0</v>
      </c>
      <c r="AH524" s="1">
        <v>1.430006476E9</v>
      </c>
      <c r="AI524" s="1" t="s">
        <v>298</v>
      </c>
      <c r="AJ524" s="1">
        <v>167.0</v>
      </c>
      <c r="AK524" s="1">
        <v>53.0</v>
      </c>
      <c r="AL524" s="1" t="s">
        <v>8551</v>
      </c>
      <c r="AM524" s="1" t="s">
        <v>8552</v>
      </c>
      <c r="AN524" s="7" t="s">
        <v>8553</v>
      </c>
      <c r="AO524" s="8" t="str">
        <f>HYPERLINK("https://docs.google.com/document/d/12jRNGzcYSvmx6h9vC-_1PK3L_ZQwJjnpBNxC2x6hdDQ/edit?usp=drivesdk","Al-Wildan Holding_Tb Rifqi Hasbi Fauzan_Guru Al quran")</f>
        <v>Al-Wildan Holding_Tb Rifqi Hasbi Fauzan_Guru Al quran</v>
      </c>
      <c r="AP524" s="1" t="s">
        <v>8554</v>
      </c>
    </row>
    <row r="525">
      <c r="A525" s="6">
        <v>44734.529147361114</v>
      </c>
      <c r="B525" s="7" t="s">
        <v>8555</v>
      </c>
      <c r="C525" s="8" t="s">
        <v>8556</v>
      </c>
      <c r="D525" s="1" t="s">
        <v>8557</v>
      </c>
      <c r="E525" s="9" t="s">
        <v>8558</v>
      </c>
      <c r="F525" s="1" t="s">
        <v>8559</v>
      </c>
      <c r="G525" s="1" t="s">
        <v>8560</v>
      </c>
      <c r="H525" s="1" t="s">
        <v>8561</v>
      </c>
      <c r="I525" s="9" t="s">
        <v>8562</v>
      </c>
      <c r="J525" s="1" t="s">
        <v>457</v>
      </c>
      <c r="K525" s="1" t="s">
        <v>102</v>
      </c>
      <c r="L525" s="1" t="s">
        <v>256</v>
      </c>
      <c r="M525" s="1" t="s">
        <v>104</v>
      </c>
      <c r="N525" s="1" t="s">
        <v>8563</v>
      </c>
      <c r="O525" s="1" t="s">
        <v>312</v>
      </c>
      <c r="P525" s="1" t="s">
        <v>5712</v>
      </c>
      <c r="Q525" s="1" t="s">
        <v>8564</v>
      </c>
      <c r="R525" s="1" t="s">
        <v>8565</v>
      </c>
      <c r="S525" s="1" t="s">
        <v>1524</v>
      </c>
      <c r="Z525" s="1" t="s">
        <v>8566</v>
      </c>
      <c r="AA525" s="10">
        <v>2000000.0</v>
      </c>
      <c r="AB525" s="1" t="s">
        <v>8567</v>
      </c>
      <c r="AC525" s="10">
        <v>3500000.0</v>
      </c>
      <c r="AF525" s="10">
        <v>5800000.0</v>
      </c>
      <c r="AG525" s="1">
        <v>3.52265604E9</v>
      </c>
      <c r="AJ525" s="1">
        <v>169.0</v>
      </c>
      <c r="AK525" s="1">
        <v>76.0</v>
      </c>
      <c r="AL525" s="1" t="s">
        <v>8568</v>
      </c>
      <c r="AM525" s="1" t="s">
        <v>8569</v>
      </c>
      <c r="AN525" s="7" t="s">
        <v>8570</v>
      </c>
      <c r="AO525" s="8" t="str">
        <f>HYPERLINK("https://docs.google.com/document/d/1SyGoKhSHeEdQt_097HX32PdQ1_hN2XI9-fKf36Oa0Dw/edit?usp=drivesdk","Al-Wildan 3 BSD City_Mohammad Bachtiar Turchan, S.Pd_PAI ENGLISH ")</f>
        <v>Al-Wildan 3 BSD City_Mohammad Bachtiar Turchan, S.Pd_PAI ENGLISH </v>
      </c>
      <c r="AP525" s="1" t="s">
        <v>8571</v>
      </c>
    </row>
    <row r="526">
      <c r="A526" s="6">
        <v>44734.59906046296</v>
      </c>
      <c r="B526" s="7" t="s">
        <v>8572</v>
      </c>
      <c r="C526" s="8" t="s">
        <v>8573</v>
      </c>
      <c r="D526" s="1" t="s">
        <v>8574</v>
      </c>
      <c r="E526" s="9" t="s">
        <v>8575</v>
      </c>
      <c r="F526" s="1" t="s">
        <v>8576</v>
      </c>
      <c r="G526" s="1" t="s">
        <v>8577</v>
      </c>
      <c r="H526" s="1" t="s">
        <v>169</v>
      </c>
      <c r="I526" s="9" t="s">
        <v>8578</v>
      </c>
      <c r="J526" s="1" t="s">
        <v>8579</v>
      </c>
      <c r="K526" s="1" t="s">
        <v>151</v>
      </c>
      <c r="L526" s="1" t="s">
        <v>103</v>
      </c>
      <c r="M526" s="1" t="s">
        <v>8580</v>
      </c>
      <c r="N526" s="1" t="s">
        <v>8581</v>
      </c>
      <c r="O526" s="1" t="s">
        <v>312</v>
      </c>
      <c r="P526" s="1" t="s">
        <v>237</v>
      </c>
      <c r="Q526" s="1" t="s">
        <v>8582</v>
      </c>
      <c r="R526" s="1" t="s">
        <v>8583</v>
      </c>
      <c r="S526" s="1">
        <v>4.32</v>
      </c>
      <c r="Z526" s="1" t="s">
        <v>8584</v>
      </c>
      <c r="AA526" s="10">
        <v>2000000.0</v>
      </c>
      <c r="AF526" s="10">
        <v>3500000.0</v>
      </c>
      <c r="AG526" s="1">
        <v>6.95956666E9</v>
      </c>
      <c r="AJ526" s="1">
        <v>170.0</v>
      </c>
      <c r="AK526" s="1">
        <v>61.0</v>
      </c>
      <c r="AL526" s="1" t="s">
        <v>8585</v>
      </c>
      <c r="AM526" s="1" t="s">
        <v>8586</v>
      </c>
      <c r="AN526" s="7" t="s">
        <v>8587</v>
      </c>
      <c r="AO526" s="8" t="str">
        <f>HYPERLINK("https://docs.google.com/document/d/15c-Ccpwt4vX9yXcn4zkZ1TOmSJGTioqd3qwyFMQ8828/edit?usp=drivesdk","Al-Wildan 4 Lebak Bulus_Dwivananda meidio swalidra LC._Al-Qur'an ")</f>
        <v>Al-Wildan 4 Lebak Bulus_Dwivananda meidio swalidra LC._Al-Qur'an </v>
      </c>
      <c r="AP526" s="1" t="s">
        <v>8588</v>
      </c>
    </row>
    <row r="527">
      <c r="A527" s="6">
        <v>44734.599796712966</v>
      </c>
      <c r="B527" s="7" t="s">
        <v>8589</v>
      </c>
      <c r="C527" s="8" t="s">
        <v>8590</v>
      </c>
      <c r="D527" s="1" t="s">
        <v>8591</v>
      </c>
      <c r="E527" s="9" t="s">
        <v>8592</v>
      </c>
      <c r="F527" s="1" t="s">
        <v>8593</v>
      </c>
      <c r="G527" s="1" t="s">
        <v>8594</v>
      </c>
      <c r="H527" s="1" t="s">
        <v>288</v>
      </c>
      <c r="I527" s="9" t="s">
        <v>8595</v>
      </c>
      <c r="J527" s="1" t="s">
        <v>6870</v>
      </c>
      <c r="K527" s="1" t="s">
        <v>151</v>
      </c>
      <c r="L527" s="1" t="s">
        <v>256</v>
      </c>
      <c r="M527" s="1" t="s">
        <v>104</v>
      </c>
      <c r="N527" s="1" t="s">
        <v>152</v>
      </c>
      <c r="O527" s="1" t="s">
        <v>127</v>
      </c>
      <c r="P527" s="1" t="s">
        <v>107</v>
      </c>
      <c r="Q527" s="1" t="s">
        <v>291</v>
      </c>
      <c r="R527" s="1" t="s">
        <v>172</v>
      </c>
      <c r="S527" s="1" t="s">
        <v>3093</v>
      </c>
      <c r="Z527" s="1" t="s">
        <v>8596</v>
      </c>
      <c r="AA527" s="1" t="s">
        <v>8597</v>
      </c>
      <c r="AF527" s="1" t="s">
        <v>8598</v>
      </c>
      <c r="AH527" s="9" t="s">
        <v>8599</v>
      </c>
      <c r="AI527" s="1" t="s">
        <v>159</v>
      </c>
      <c r="AJ527" s="1">
        <v>153.0</v>
      </c>
      <c r="AK527" s="1">
        <v>48.0</v>
      </c>
      <c r="AL527" s="1" t="s">
        <v>8600</v>
      </c>
      <c r="AM527" s="1" t="s">
        <v>8601</v>
      </c>
      <c r="AN527" s="7" t="s">
        <v>8602</v>
      </c>
      <c r="AO527" s="8" t="str">
        <f>HYPERLINK("https://docs.google.com/document/d/1umX66GT50ctFuRGvfXXpX6srb1-T966F-Bs-Nrdyp-Q/edit?usp=drivesdk","Al-Wildan 1 Gading Serpong_NAURY AMILIA QISTI, S.Pd._Bahasa Inggris")</f>
        <v>Al-Wildan 1 Gading Serpong_NAURY AMILIA QISTI, S.Pd._Bahasa Inggris</v>
      </c>
      <c r="AP527" s="1" t="s">
        <v>8603</v>
      </c>
    </row>
    <row r="528">
      <c r="A528" s="6">
        <v>44734.61599414352</v>
      </c>
      <c r="B528" s="7" t="s">
        <v>8604</v>
      </c>
      <c r="C528" s="8" t="s">
        <v>8605</v>
      </c>
      <c r="D528" s="1" t="s">
        <v>8606</v>
      </c>
      <c r="E528" s="9" t="s">
        <v>8607</v>
      </c>
      <c r="F528" s="1">
        <v>3.20228600694004E14</v>
      </c>
      <c r="G528" s="1" t="s">
        <v>8608</v>
      </c>
      <c r="H528" s="1" t="s">
        <v>1217</v>
      </c>
      <c r="I528" s="9" t="s">
        <v>8609</v>
      </c>
      <c r="J528" s="1">
        <v>28.0</v>
      </c>
      <c r="K528" s="1" t="s">
        <v>102</v>
      </c>
      <c r="L528" s="1" t="s">
        <v>256</v>
      </c>
      <c r="M528" s="1" t="s">
        <v>104</v>
      </c>
      <c r="N528" s="1" t="s">
        <v>8610</v>
      </c>
      <c r="O528" s="1" t="s">
        <v>1202</v>
      </c>
      <c r="P528" s="1" t="s">
        <v>107</v>
      </c>
      <c r="Q528" s="1" t="s">
        <v>8611</v>
      </c>
      <c r="R528" s="1" t="s">
        <v>8612</v>
      </c>
      <c r="S528" s="1" t="s">
        <v>277</v>
      </c>
      <c r="Z528" s="1" t="s">
        <v>8613</v>
      </c>
      <c r="AA528" s="10">
        <v>1000000.0</v>
      </c>
      <c r="AB528" s="1" t="s">
        <v>8614</v>
      </c>
      <c r="AC528" s="10">
        <v>1200000.0</v>
      </c>
      <c r="AD528" s="1" t="s">
        <v>8615</v>
      </c>
      <c r="AE528" s="10">
        <v>2600000.0</v>
      </c>
      <c r="AF528" s="1" t="s">
        <v>8616</v>
      </c>
      <c r="AH528" s="9" t="s">
        <v>8617</v>
      </c>
      <c r="AI528" s="1" t="s">
        <v>159</v>
      </c>
      <c r="AJ528" s="1">
        <v>148.0</v>
      </c>
      <c r="AK528" s="1">
        <v>39.0</v>
      </c>
      <c r="AL528" s="1" t="s">
        <v>8618</v>
      </c>
      <c r="AM528" s="1" t="s">
        <v>8619</v>
      </c>
      <c r="AN528" s="7" t="s">
        <v>8620</v>
      </c>
      <c r="AO528" s="8" t="str">
        <f>HYPERLINK("https://docs.google.com/document/d/1XuoRy5cMKUT4XtqDIByPKTqMulNWxjXSw7NUCOMfTRg/edit?usp=drivesdk","Al-Wildan 1 Gading Serpong_Syahidah, S.Pd_PAI, Fiqh, Akhlak dll")</f>
        <v>Al-Wildan 1 Gading Serpong_Syahidah, S.Pd_PAI, Fiqh, Akhlak dll</v>
      </c>
      <c r="AP528" s="1" t="s">
        <v>8621</v>
      </c>
    </row>
    <row r="529">
      <c r="A529" s="6">
        <v>44736.603302013886</v>
      </c>
      <c r="B529" s="7" t="s">
        <v>8622</v>
      </c>
      <c r="C529" s="8" t="s">
        <v>8623</v>
      </c>
      <c r="D529" s="1" t="s">
        <v>8624</v>
      </c>
      <c r="E529" s="9" t="s">
        <v>8625</v>
      </c>
      <c r="F529" s="1" t="s">
        <v>8626</v>
      </c>
      <c r="G529" s="1" t="s">
        <v>8627</v>
      </c>
      <c r="H529" s="1" t="s">
        <v>169</v>
      </c>
      <c r="I529" s="9" t="s">
        <v>8628</v>
      </c>
      <c r="J529" s="1" t="s">
        <v>8629</v>
      </c>
      <c r="K529" s="1" t="s">
        <v>102</v>
      </c>
      <c r="L529" s="1" t="s">
        <v>827</v>
      </c>
      <c r="M529" s="1" t="s">
        <v>424</v>
      </c>
      <c r="O529" s="1" t="s">
        <v>312</v>
      </c>
      <c r="P529" s="1" t="s">
        <v>107</v>
      </c>
      <c r="R529" s="1" t="s">
        <v>1057</v>
      </c>
      <c r="S529" s="1" t="s">
        <v>908</v>
      </c>
      <c r="Z529" s="1" t="s">
        <v>8630</v>
      </c>
      <c r="AA529" s="10">
        <v>1.0E7</v>
      </c>
      <c r="AH529" s="1">
        <v>7.611001111E9</v>
      </c>
      <c r="AI529" s="1" t="s">
        <v>222</v>
      </c>
      <c r="AJ529" s="1">
        <v>157.0</v>
      </c>
      <c r="AK529" s="1">
        <v>63.0</v>
      </c>
      <c r="AL529" s="1" t="s">
        <v>8631</v>
      </c>
      <c r="AM529" s="1" t="s">
        <v>8632</v>
      </c>
      <c r="AN529" s="7" t="s">
        <v>8633</v>
      </c>
      <c r="AO529" s="8" t="str">
        <f>HYPERLINK("https://docs.google.com/document/d/1jE7dCPvnnRq7nSFyLp4ZMathXL1AH1z9DXBCc8CKAtA/edit?usp=drivesdk","Al-Wildan 1 Gading Serpong_Malini Ulfah,S.Psi._")</f>
        <v>Al-Wildan 1 Gading Serpong_Malini Ulfah,S.Psi._</v>
      </c>
      <c r="AP529" s="1" t="s">
        <v>8634</v>
      </c>
    </row>
    <row r="530">
      <c r="A530" s="6">
        <v>44736.89786179399</v>
      </c>
      <c r="B530" s="7" t="s">
        <v>8635</v>
      </c>
      <c r="C530" s="8" t="s">
        <v>8636</v>
      </c>
      <c r="D530" s="1" t="s">
        <v>8637</v>
      </c>
      <c r="E530" s="9" t="s">
        <v>8625</v>
      </c>
      <c r="F530" s="1" t="s">
        <v>8626</v>
      </c>
      <c r="G530" s="1" t="s">
        <v>8638</v>
      </c>
      <c r="H530" s="1" t="s">
        <v>169</v>
      </c>
      <c r="I530" s="9" t="s">
        <v>8628</v>
      </c>
      <c r="J530" s="1" t="s">
        <v>8639</v>
      </c>
      <c r="K530" s="1" t="s">
        <v>102</v>
      </c>
      <c r="L530" s="1" t="s">
        <v>310</v>
      </c>
      <c r="M530" s="1" t="s">
        <v>424</v>
      </c>
      <c r="N530" s="1" t="s">
        <v>6106</v>
      </c>
      <c r="O530" s="1" t="s">
        <v>312</v>
      </c>
      <c r="P530" s="1" t="s">
        <v>107</v>
      </c>
      <c r="Q530" s="1" t="s">
        <v>3409</v>
      </c>
      <c r="R530" s="1" t="s">
        <v>1057</v>
      </c>
      <c r="S530" s="1" t="s">
        <v>908</v>
      </c>
      <c r="Z530" s="1" t="s">
        <v>8640</v>
      </c>
      <c r="AB530" s="1" t="s">
        <v>8641</v>
      </c>
      <c r="AC530" s="10">
        <v>1.0E7</v>
      </c>
      <c r="AD530" s="1" t="s">
        <v>8642</v>
      </c>
      <c r="AF530" s="10">
        <v>8000000.0</v>
      </c>
      <c r="AH530" s="1">
        <v>7.611001111E9</v>
      </c>
      <c r="AI530" s="1" t="s">
        <v>222</v>
      </c>
      <c r="AJ530" s="1">
        <v>157.0</v>
      </c>
      <c r="AK530" s="1">
        <v>63.0</v>
      </c>
      <c r="AL530" s="1" t="s">
        <v>8631</v>
      </c>
      <c r="AM530" s="1" t="s">
        <v>8643</v>
      </c>
      <c r="AN530" s="7" t="s">
        <v>8644</v>
      </c>
      <c r="AO530" s="8" t="str">
        <f>HYPERLINK("https://docs.google.com/document/d/1IxvZB0lSrww3b_IwyA3oBUBXJUTuxU2uj31Km2AM_tc/edit?usp=drivesdk","Al-Wildan 1 Gading Serpong_Malini Ulfah, S. Psi_Bimbingan Konseling")</f>
        <v>Al-Wildan 1 Gading Serpong_Malini Ulfah, S. Psi_Bimbingan Konseling</v>
      </c>
      <c r="AP530" s="1" t="s">
        <v>8645</v>
      </c>
    </row>
    <row r="531">
      <c r="A531" s="6">
        <v>44736.94769840278</v>
      </c>
      <c r="B531" s="7" t="s">
        <v>8646</v>
      </c>
      <c r="C531" s="8" t="s">
        <v>8647</v>
      </c>
      <c r="D531" s="1" t="s">
        <v>8648</v>
      </c>
      <c r="E531" s="9" t="s">
        <v>8649</v>
      </c>
      <c r="F531" s="1" t="s">
        <v>8650</v>
      </c>
      <c r="G531" s="1" t="s">
        <v>8651</v>
      </c>
      <c r="H531" s="1" t="s">
        <v>722</v>
      </c>
      <c r="I531" s="9" t="s">
        <v>8652</v>
      </c>
      <c r="J531" s="1" t="s">
        <v>392</v>
      </c>
      <c r="K531" s="1" t="s">
        <v>151</v>
      </c>
      <c r="L531" s="1" t="s">
        <v>103</v>
      </c>
      <c r="M531" s="1" t="s">
        <v>104</v>
      </c>
      <c r="N531" s="1" t="s">
        <v>274</v>
      </c>
      <c r="O531" s="1" t="s">
        <v>312</v>
      </c>
      <c r="P531" s="1" t="s">
        <v>6533</v>
      </c>
      <c r="Q531" s="1" t="s">
        <v>8653</v>
      </c>
      <c r="R531" s="1" t="s">
        <v>8654</v>
      </c>
      <c r="Z531" s="1" t="s">
        <v>8655</v>
      </c>
      <c r="AA531" s="10">
        <v>4800000.0</v>
      </c>
      <c r="AF531" s="10">
        <v>4500000.0</v>
      </c>
      <c r="AG531" s="1">
        <v>1.058600659E9</v>
      </c>
      <c r="AJ531" s="1">
        <v>157.0</v>
      </c>
      <c r="AK531" s="1">
        <v>62.0</v>
      </c>
      <c r="AL531" s="1" t="s">
        <v>8656</v>
      </c>
      <c r="AM531" s="1" t="s">
        <v>8657</v>
      </c>
      <c r="AN531" s="7" t="s">
        <v>8658</v>
      </c>
      <c r="AO531" s="8" t="str">
        <f>HYPERLINK("https://docs.google.com/document/d/1Nyvl2oQ68HDXr3vf_RaHPePgshl0iRHFV0MbkZIWn2g/edit?usp=drivesdk","Al-Wildan 5 Benhil_Dzariyati Hikmah Bestari _Diniyyah")</f>
        <v>Al-Wildan 5 Benhil_Dzariyati Hikmah Bestari _Diniyyah</v>
      </c>
      <c r="AP531" s="1" t="s">
        <v>8659</v>
      </c>
    </row>
    <row r="532">
      <c r="A532" s="6">
        <v>44737.39536212963</v>
      </c>
      <c r="B532" s="7" t="s">
        <v>8660</v>
      </c>
      <c r="C532" s="8" t="s">
        <v>8661</v>
      </c>
      <c r="D532" s="1" t="s">
        <v>8662</v>
      </c>
      <c r="E532" s="9" t="s">
        <v>8663</v>
      </c>
      <c r="F532" s="1" t="s">
        <v>8664</v>
      </c>
      <c r="G532" s="1" t="s">
        <v>8665</v>
      </c>
      <c r="H532" s="1" t="s">
        <v>8666</v>
      </c>
      <c r="I532" s="9" t="s">
        <v>8667</v>
      </c>
      <c r="J532" s="1" t="s">
        <v>8668</v>
      </c>
      <c r="K532" s="1" t="s">
        <v>102</v>
      </c>
      <c r="L532" s="1" t="s">
        <v>310</v>
      </c>
      <c r="M532" s="1" t="s">
        <v>104</v>
      </c>
      <c r="N532" s="1" t="s">
        <v>552</v>
      </c>
      <c r="O532" s="1" t="s">
        <v>127</v>
      </c>
      <c r="P532" s="1" t="s">
        <v>237</v>
      </c>
      <c r="Q532" s="1" t="s">
        <v>347</v>
      </c>
      <c r="R532" s="1" t="s">
        <v>410</v>
      </c>
      <c r="S532" s="1">
        <v>3.02</v>
      </c>
      <c r="Z532" s="1" t="s">
        <v>8669</v>
      </c>
      <c r="AA532" s="1" t="s">
        <v>8670</v>
      </c>
      <c r="AB532" s="1" t="s">
        <v>8671</v>
      </c>
      <c r="AC532" s="10">
        <v>4500000.0</v>
      </c>
      <c r="AD532" s="1" t="s">
        <v>8672</v>
      </c>
      <c r="AE532" s="10">
        <v>3700000.0</v>
      </c>
      <c r="AF532" s="1" t="s">
        <v>217</v>
      </c>
      <c r="AH532" s="1">
        <v>5.27120831E8</v>
      </c>
      <c r="AI532" s="1" t="s">
        <v>159</v>
      </c>
      <c r="AJ532" s="1">
        <v>170.0</v>
      </c>
      <c r="AK532" s="1">
        <v>90.0</v>
      </c>
      <c r="AL532" s="1" t="s">
        <v>8673</v>
      </c>
      <c r="AM532" s="1" t="s">
        <v>8674</v>
      </c>
      <c r="AN532" s="7" t="s">
        <v>8675</v>
      </c>
      <c r="AO532" s="8" t="str">
        <f>HYPERLINK("https://docs.google.com/document/d/1MjNfkCsLAT3xQj_100GMlqYpZnJZ6q4DuyUiWynFcr4/edit?usp=drivesdk","Al-Wildan 4 Lebak Bulus_Abdul Azis, S. Pd_Fisika")</f>
        <v>Al-Wildan 4 Lebak Bulus_Abdul Azis, S. Pd_Fisika</v>
      </c>
      <c r="AP532" s="1" t="s">
        <v>8676</v>
      </c>
    </row>
    <row r="533">
      <c r="A533" s="6">
        <v>44737.42831462963</v>
      </c>
      <c r="B533" s="7" t="s">
        <v>8677</v>
      </c>
      <c r="C533" s="8" t="s">
        <v>8678</v>
      </c>
      <c r="D533" s="1" t="s">
        <v>8679</v>
      </c>
      <c r="E533" s="9" t="s">
        <v>8680</v>
      </c>
      <c r="F533" s="1" t="s">
        <v>8681</v>
      </c>
      <c r="G533" s="1" t="s">
        <v>8682</v>
      </c>
      <c r="H533" s="1" t="s">
        <v>8683</v>
      </c>
      <c r="I533" s="9" t="s">
        <v>8684</v>
      </c>
      <c r="J533" s="1" t="s">
        <v>8685</v>
      </c>
      <c r="K533" s="1" t="s">
        <v>151</v>
      </c>
      <c r="L533" s="1" t="s">
        <v>256</v>
      </c>
      <c r="M533" s="1" t="s">
        <v>104</v>
      </c>
      <c r="N533" s="1" t="s">
        <v>8686</v>
      </c>
      <c r="O533" s="1" t="s">
        <v>127</v>
      </c>
      <c r="P533" s="1" t="s">
        <v>6187</v>
      </c>
      <c r="Q533" s="1" t="s">
        <v>8687</v>
      </c>
      <c r="R533" s="1" t="s">
        <v>6153</v>
      </c>
      <c r="S533" s="1" t="s">
        <v>2387</v>
      </c>
      <c r="T533" s="1" t="s">
        <v>8688</v>
      </c>
      <c r="U533" s="1" t="s">
        <v>8689</v>
      </c>
      <c r="V533" s="1" t="s">
        <v>908</v>
      </c>
      <c r="AF533" s="1" t="s">
        <v>8690</v>
      </c>
      <c r="AH533" s="9" t="s">
        <v>8691</v>
      </c>
      <c r="AI533" s="1" t="s">
        <v>2407</v>
      </c>
      <c r="AJ533" s="1">
        <v>152.0</v>
      </c>
      <c r="AK533" s="1">
        <v>47.0</v>
      </c>
      <c r="AL533" s="1" t="s">
        <v>8692</v>
      </c>
      <c r="AM533" s="1" t="s">
        <v>8693</v>
      </c>
      <c r="AN533" s="7" t="s">
        <v>8694</v>
      </c>
      <c r="AO533" s="8" t="str">
        <f>HYPERLINK("https://docs.google.com/document/d/1uDr8UP7UrkCJY1IlRhKe771NjsWLyf_kEZdvGDENof4/edit?usp=drivesdk","Al-Wildan 14 Bumi Mutiara, Bogor_Rini Papana Siregar, S.E., M.Sc_Ekonomi / IPS Cambridge")</f>
        <v>Al-Wildan 14 Bumi Mutiara, Bogor_Rini Papana Siregar, S.E., M.Sc_Ekonomi / IPS Cambridge</v>
      </c>
      <c r="AP533" s="1" t="s">
        <v>8695</v>
      </c>
    </row>
    <row r="534">
      <c r="A534" s="6">
        <v>44737.56001458333</v>
      </c>
      <c r="B534" s="7" t="s">
        <v>8696</v>
      </c>
      <c r="C534" s="8" t="s">
        <v>8697</v>
      </c>
      <c r="D534" s="1" t="s">
        <v>8698</v>
      </c>
      <c r="E534" s="9" t="s">
        <v>8699</v>
      </c>
      <c r="F534" s="1" t="s">
        <v>8700</v>
      </c>
      <c r="G534" s="1" t="s">
        <v>8701</v>
      </c>
      <c r="H534" s="1" t="s">
        <v>6621</v>
      </c>
      <c r="I534" s="9" t="s">
        <v>8702</v>
      </c>
      <c r="J534" s="1" t="s">
        <v>7029</v>
      </c>
      <c r="K534" s="1" t="s">
        <v>151</v>
      </c>
      <c r="L534" s="1" t="s">
        <v>103</v>
      </c>
      <c r="M534" s="1" t="s">
        <v>104</v>
      </c>
      <c r="N534" s="1" t="s">
        <v>552</v>
      </c>
      <c r="O534" s="1" t="s">
        <v>236</v>
      </c>
      <c r="P534" s="1" t="s">
        <v>5712</v>
      </c>
      <c r="Q534" s="1" t="s">
        <v>3409</v>
      </c>
      <c r="R534" s="1" t="s">
        <v>552</v>
      </c>
      <c r="S534" s="1" t="s">
        <v>2582</v>
      </c>
      <c r="Z534" s="1" t="s">
        <v>8703</v>
      </c>
      <c r="AA534" s="10">
        <v>4500000.0</v>
      </c>
      <c r="AB534" s="1" t="s">
        <v>8704</v>
      </c>
      <c r="AC534" s="10">
        <v>5000000.0</v>
      </c>
      <c r="AF534" s="10">
        <v>6000000.0</v>
      </c>
      <c r="AG534" s="1">
        <v>4.80086489E9</v>
      </c>
      <c r="AJ534" s="1">
        <v>176.0</v>
      </c>
      <c r="AK534" s="1">
        <v>71.0</v>
      </c>
      <c r="AL534" s="1" t="s">
        <v>8705</v>
      </c>
      <c r="AM534" s="1" t="s">
        <v>8706</v>
      </c>
      <c r="AN534" s="7" t="s">
        <v>8707</v>
      </c>
      <c r="AO534" s="8" t="str">
        <f>HYPERLINK("https://docs.google.com/document/d/11iTKB4bFZYIaUBab_BUyQDZYVLhtF9GPev4x1cVVCtU/edit?usp=drivesdk","Al-Wildan 3 BSD City_Atthur El Fath, S.Si_Fisika")</f>
        <v>Al-Wildan 3 BSD City_Atthur El Fath, S.Si_Fisika</v>
      </c>
      <c r="AP534" s="1" t="s">
        <v>8708</v>
      </c>
    </row>
    <row r="535">
      <c r="A535" s="6">
        <v>44739.821249155095</v>
      </c>
      <c r="B535" s="7" t="s">
        <v>8709</v>
      </c>
      <c r="C535" s="8" t="s">
        <v>8710</v>
      </c>
      <c r="D535" s="1" t="s">
        <v>8711</v>
      </c>
      <c r="E535" s="9" t="s">
        <v>8712</v>
      </c>
      <c r="F535" s="1" t="s">
        <v>8713</v>
      </c>
      <c r="G535" s="1" t="s">
        <v>8714</v>
      </c>
      <c r="H535" s="1" t="s">
        <v>8715</v>
      </c>
      <c r="I535" s="9" t="s">
        <v>6733</v>
      </c>
      <c r="J535" s="1" t="s">
        <v>2306</v>
      </c>
      <c r="K535" s="1" t="s">
        <v>102</v>
      </c>
      <c r="L535" s="1" t="s">
        <v>103</v>
      </c>
      <c r="M535" s="1" t="s">
        <v>104</v>
      </c>
      <c r="N535" s="1" t="s">
        <v>8716</v>
      </c>
      <c r="O535" s="1" t="s">
        <v>312</v>
      </c>
      <c r="P535" s="1" t="s">
        <v>107</v>
      </c>
      <c r="Q535" s="1" t="s">
        <v>8717</v>
      </c>
      <c r="R535" s="1" t="s">
        <v>2355</v>
      </c>
      <c r="S535" s="1">
        <v>3.39</v>
      </c>
      <c r="T535" s="1" t="s">
        <v>217</v>
      </c>
      <c r="U535" s="1" t="s">
        <v>217</v>
      </c>
      <c r="V535" s="1" t="s">
        <v>217</v>
      </c>
      <c r="W535" s="1" t="s">
        <v>217</v>
      </c>
      <c r="X535" s="1" t="s">
        <v>217</v>
      </c>
      <c r="Z535" s="1" t="s">
        <v>8718</v>
      </c>
      <c r="AA535" s="10">
        <v>500000.0</v>
      </c>
      <c r="AB535" s="1" t="s">
        <v>217</v>
      </c>
      <c r="AC535" s="1" t="s">
        <v>217</v>
      </c>
      <c r="AD535" s="1" t="s">
        <v>217</v>
      </c>
      <c r="AE535" s="1" t="s">
        <v>217</v>
      </c>
      <c r="AF535" s="10">
        <v>5000000.0</v>
      </c>
      <c r="AG535" s="1">
        <v>7.158712584E9</v>
      </c>
      <c r="AI535" s="1" t="s">
        <v>8719</v>
      </c>
      <c r="AJ535" s="1">
        <v>159.0</v>
      </c>
      <c r="AK535" s="1">
        <v>70.0</v>
      </c>
      <c r="AL535" s="1" t="s">
        <v>8720</v>
      </c>
      <c r="AM535" s="1" t="s">
        <v>8721</v>
      </c>
      <c r="AN535" s="7" t="s">
        <v>8722</v>
      </c>
      <c r="AO535" s="8" t="str">
        <f>HYPERLINK("https://docs.google.com/document/d/1OZYbswRQLMXFfdVYhJL7tmPDCy55Cc4VnJQJ4zypwuk/edit?usp=drivesdk","Al-Wildan 1 Gading Serpong_Yuliana S.Pd_Arabic, Al-Qur'an, dan PAI")</f>
        <v>Al-Wildan 1 Gading Serpong_Yuliana S.Pd_Arabic, Al-Qur'an, dan PAI</v>
      </c>
      <c r="AP535" s="1" t="s">
        <v>8723</v>
      </c>
    </row>
    <row r="536">
      <c r="A536" s="6">
        <v>44739.82487805556</v>
      </c>
      <c r="B536" s="7" t="s">
        <v>8724</v>
      </c>
      <c r="C536" s="8" t="s">
        <v>8725</v>
      </c>
      <c r="D536" s="1" t="s">
        <v>8726</v>
      </c>
      <c r="E536" s="9" t="s">
        <v>8727</v>
      </c>
      <c r="F536" s="1" t="s">
        <v>8728</v>
      </c>
      <c r="G536" s="1" t="s">
        <v>8729</v>
      </c>
      <c r="H536" s="1" t="s">
        <v>169</v>
      </c>
      <c r="I536" s="9" t="s">
        <v>8730</v>
      </c>
      <c r="J536" s="1" t="s">
        <v>8731</v>
      </c>
      <c r="K536" s="1" t="s">
        <v>151</v>
      </c>
      <c r="L536" s="1" t="s">
        <v>256</v>
      </c>
      <c r="M536" s="1" t="s">
        <v>6043</v>
      </c>
      <c r="N536" s="1" t="s">
        <v>217</v>
      </c>
      <c r="O536" s="1" t="s">
        <v>6151</v>
      </c>
      <c r="P536" s="1" t="s">
        <v>107</v>
      </c>
      <c r="Q536" s="1" t="s">
        <v>8732</v>
      </c>
      <c r="R536" s="1" t="s">
        <v>8733</v>
      </c>
      <c r="S536" s="1">
        <v>3.3</v>
      </c>
      <c r="T536" s="1" t="s">
        <v>217</v>
      </c>
      <c r="U536" s="1" t="s">
        <v>217</v>
      </c>
      <c r="V536" s="1" t="s">
        <v>217</v>
      </c>
      <c r="W536" s="1" t="s">
        <v>217</v>
      </c>
      <c r="X536" s="1" t="s">
        <v>217</v>
      </c>
      <c r="Z536" s="7" t="s">
        <v>8734</v>
      </c>
      <c r="AA536" s="1" t="s">
        <v>8735</v>
      </c>
      <c r="AB536" s="1" t="s">
        <v>8736</v>
      </c>
      <c r="AC536" s="1" t="s">
        <v>217</v>
      </c>
      <c r="AD536" s="1" t="s">
        <v>217</v>
      </c>
      <c r="AE536" s="1" t="s">
        <v>217</v>
      </c>
      <c r="AF536" s="1" t="s">
        <v>217</v>
      </c>
      <c r="AH536" s="1">
        <v>6.042283009E9</v>
      </c>
      <c r="AI536" s="1" t="s">
        <v>8737</v>
      </c>
      <c r="AJ536" s="1">
        <v>163.0</v>
      </c>
      <c r="AK536" s="1">
        <v>51.0</v>
      </c>
      <c r="AL536" s="1" t="s">
        <v>8738</v>
      </c>
      <c r="AM536" s="1" t="s">
        <v>8739</v>
      </c>
      <c r="AN536" s="7" t="s">
        <v>8740</v>
      </c>
      <c r="AO536" s="8" t="str">
        <f>HYPERLINK("https://docs.google.com/document/d/15sXVAVoVLtOPcvQTJoZwErHRyFw-iH1lKagsVKCBXKI/edit?usp=drivesdk","Al-Wildan 1 Gading Serpong_Mutia Alifah_-")</f>
        <v>Al-Wildan 1 Gading Serpong_Mutia Alifah_-</v>
      </c>
      <c r="AP536" s="1" t="s">
        <v>8741</v>
      </c>
    </row>
    <row r="537">
      <c r="A537" s="6">
        <v>44740.518412233796</v>
      </c>
      <c r="B537" s="7" t="s">
        <v>8742</v>
      </c>
      <c r="C537" s="8" t="s">
        <v>8743</v>
      </c>
      <c r="D537" s="1" t="s">
        <v>8744</v>
      </c>
      <c r="E537" s="9" t="s">
        <v>8745</v>
      </c>
      <c r="F537" s="1" t="s">
        <v>8746</v>
      </c>
      <c r="G537" s="1" t="s">
        <v>8747</v>
      </c>
      <c r="H537" s="1" t="s">
        <v>8748</v>
      </c>
      <c r="I537" s="9" t="s">
        <v>8749</v>
      </c>
      <c r="J537" s="1" t="s">
        <v>7766</v>
      </c>
      <c r="K537" s="1" t="s">
        <v>102</v>
      </c>
      <c r="L537" s="1" t="s">
        <v>103</v>
      </c>
      <c r="M537" s="1" t="s">
        <v>104</v>
      </c>
      <c r="N537" s="1" t="s">
        <v>8750</v>
      </c>
      <c r="O537" s="1" t="s">
        <v>312</v>
      </c>
      <c r="P537" s="1" t="s">
        <v>5712</v>
      </c>
      <c r="Q537" s="1" t="s">
        <v>8751</v>
      </c>
      <c r="R537" s="1" t="s">
        <v>8752</v>
      </c>
      <c r="Z537" s="1" t="s">
        <v>8753</v>
      </c>
      <c r="AA537" s="10">
        <v>3150000.0</v>
      </c>
      <c r="AB537" s="1" t="s">
        <v>8754</v>
      </c>
      <c r="AC537" s="10">
        <v>1.5E8</v>
      </c>
      <c r="AF537" s="10">
        <v>4.0E7</v>
      </c>
      <c r="AH537" s="9" t="s">
        <v>8755</v>
      </c>
      <c r="AI537" s="1" t="s">
        <v>159</v>
      </c>
      <c r="AJ537" s="1">
        <v>170.0</v>
      </c>
      <c r="AK537" s="1">
        <v>72.0</v>
      </c>
      <c r="AL537" s="1" t="s">
        <v>8756</v>
      </c>
      <c r="AM537" s="1" t="s">
        <v>8757</v>
      </c>
      <c r="AN537" s="7" t="s">
        <v>8758</v>
      </c>
      <c r="AO537" s="8" t="str">
        <f>HYPERLINK("https://docs.google.com/document/d/1X21ILiXAYzfXOjxVsKd4x6lfrLw3-7U1IKqLAic_4m0/edit?usp=drivesdk","Al-Wildan 3 BSD City_Muhammad Yusuf Pattimahu _Guru Al quran, diniyyah , dan b.arab")</f>
        <v>Al-Wildan 3 BSD City_Muhammad Yusuf Pattimahu _Guru Al quran, diniyyah , dan b.arab</v>
      </c>
      <c r="AP537" s="1" t="s">
        <v>8759</v>
      </c>
    </row>
    <row r="538">
      <c r="A538" s="6">
        <v>44740.51856710648</v>
      </c>
      <c r="B538" s="7" t="s">
        <v>8760</v>
      </c>
      <c r="C538" s="8" t="s">
        <v>8761</v>
      </c>
      <c r="D538" s="1" t="s">
        <v>8762</v>
      </c>
      <c r="E538" s="9" t="s">
        <v>8763</v>
      </c>
      <c r="F538" s="1" t="s">
        <v>8764</v>
      </c>
      <c r="G538" s="1" t="s">
        <v>8765</v>
      </c>
      <c r="H538" s="1" t="s">
        <v>8766</v>
      </c>
      <c r="I538" s="1" t="s">
        <v>8767</v>
      </c>
      <c r="J538" s="1" t="s">
        <v>8768</v>
      </c>
      <c r="K538" s="1" t="s">
        <v>151</v>
      </c>
      <c r="L538" s="1" t="s">
        <v>496</v>
      </c>
      <c r="M538" s="1" t="s">
        <v>8769</v>
      </c>
      <c r="N538" s="1" t="s">
        <v>217</v>
      </c>
      <c r="O538" s="1" t="s">
        <v>236</v>
      </c>
      <c r="P538" s="1" t="s">
        <v>6187</v>
      </c>
      <c r="Q538" s="1" t="s">
        <v>217</v>
      </c>
      <c r="R538" s="1" t="s">
        <v>217</v>
      </c>
      <c r="S538" s="1" t="s">
        <v>217</v>
      </c>
      <c r="T538" s="1" t="s">
        <v>217</v>
      </c>
      <c r="U538" s="1" t="s">
        <v>217</v>
      </c>
      <c r="V538" s="1" t="s">
        <v>217</v>
      </c>
      <c r="W538" s="1" t="s">
        <v>217</v>
      </c>
      <c r="X538" s="1" t="s">
        <v>217</v>
      </c>
      <c r="Y538" s="1">
        <v>0.0</v>
      </c>
      <c r="Z538" s="1" t="s">
        <v>8770</v>
      </c>
      <c r="AA538" s="1">
        <v>1.2</v>
      </c>
      <c r="AB538" s="1" t="s">
        <v>217</v>
      </c>
      <c r="AC538" s="1" t="s">
        <v>217</v>
      </c>
      <c r="AD538" s="1" t="s">
        <v>217</v>
      </c>
      <c r="AE538" s="1" t="s">
        <v>217</v>
      </c>
      <c r="AF538" s="1">
        <v>1.5</v>
      </c>
      <c r="AG538" s="1">
        <v>0.0</v>
      </c>
      <c r="AH538" s="1">
        <v>1.410033724E9</v>
      </c>
      <c r="AI538" s="1" t="s">
        <v>8771</v>
      </c>
      <c r="AJ538" s="1">
        <v>160.0</v>
      </c>
      <c r="AK538" s="1">
        <v>48.0</v>
      </c>
      <c r="AL538" s="1" t="s">
        <v>8772</v>
      </c>
      <c r="AM538" s="1" t="s">
        <v>8773</v>
      </c>
      <c r="AN538" s="7" t="s">
        <v>8774</v>
      </c>
      <c r="AO538" s="8" t="str">
        <f>HYPERLINK("https://docs.google.com/document/d/1pWXYXaLm5pF-oLe6x2Iuk1r-3SJ3AagUeAEtOQFbLGA/edit?usp=drivesdk","Al-Wildan 14 Bumi Mutiara, Bogor_Aisah alsaini_-")</f>
        <v>Al-Wildan 14 Bumi Mutiara, Bogor_Aisah alsaini_-</v>
      </c>
      <c r="AP538" s="1" t="s">
        <v>8775</v>
      </c>
    </row>
    <row r="539">
      <c r="A539" s="6">
        <v>44740.52482015046</v>
      </c>
      <c r="B539" s="7" t="s">
        <v>8776</v>
      </c>
      <c r="C539" s="8" t="s">
        <v>8777</v>
      </c>
      <c r="D539" s="1" t="s">
        <v>8778</v>
      </c>
      <c r="E539" s="9" t="s">
        <v>8779</v>
      </c>
      <c r="F539" s="1" t="s">
        <v>8780</v>
      </c>
      <c r="G539" s="1" t="s">
        <v>8781</v>
      </c>
      <c r="H539" s="1" t="s">
        <v>8782</v>
      </c>
      <c r="I539" s="9" t="s">
        <v>8783</v>
      </c>
      <c r="J539" s="1" t="s">
        <v>8784</v>
      </c>
      <c r="K539" s="1" t="s">
        <v>102</v>
      </c>
      <c r="L539" s="1" t="s">
        <v>103</v>
      </c>
      <c r="M539" s="1" t="s">
        <v>104</v>
      </c>
      <c r="N539" s="1" t="s">
        <v>8785</v>
      </c>
      <c r="O539" s="1" t="s">
        <v>106</v>
      </c>
      <c r="P539" s="1" t="s">
        <v>5712</v>
      </c>
      <c r="Q539" s="1" t="s">
        <v>8786</v>
      </c>
      <c r="R539" s="1" t="s">
        <v>8787</v>
      </c>
      <c r="S539" s="1" t="s">
        <v>595</v>
      </c>
      <c r="Z539" s="1" t="s">
        <v>8788</v>
      </c>
      <c r="AA539" s="10">
        <v>4000000.0</v>
      </c>
      <c r="AF539" s="1" t="s">
        <v>8789</v>
      </c>
      <c r="AG539" s="1">
        <v>3.46883888E9</v>
      </c>
      <c r="AI539" s="1" t="s">
        <v>8790</v>
      </c>
      <c r="AJ539" s="1">
        <v>169.0</v>
      </c>
      <c r="AK539" s="1">
        <v>70.0</v>
      </c>
      <c r="AL539" s="1" t="s">
        <v>8791</v>
      </c>
      <c r="AM539" s="1" t="s">
        <v>8792</v>
      </c>
      <c r="AN539" s="7" t="s">
        <v>8793</v>
      </c>
      <c r="AO539" s="8" t="str">
        <f>HYPERLINK("https://docs.google.com/document/d/1yzNs3naTF-3kjI3t0oInmyUl3RhaDy2j7T49iSuZI74/edit?usp=drivesdk","Al-Wildan 3 BSD City_Aaj Abdul Rozak S.Pd.I  S.Q_Guru AlQuran ")</f>
        <v>Al-Wildan 3 BSD City_Aaj Abdul Rozak S.Pd.I  S.Q_Guru AlQuran </v>
      </c>
      <c r="AP539" s="1" t="s">
        <v>8794</v>
      </c>
    </row>
    <row r="540">
      <c r="A540" s="6">
        <v>44740.531309259255</v>
      </c>
      <c r="B540" s="7" t="s">
        <v>8795</v>
      </c>
      <c r="C540" s="8" t="s">
        <v>8796</v>
      </c>
      <c r="D540" s="1" t="s">
        <v>8797</v>
      </c>
      <c r="E540" s="9" t="s">
        <v>8798</v>
      </c>
      <c r="F540" s="1" t="s">
        <v>8799</v>
      </c>
      <c r="G540" s="1" t="s">
        <v>8800</v>
      </c>
      <c r="H540" s="1" t="s">
        <v>8801</v>
      </c>
      <c r="I540" s="9" t="s">
        <v>8802</v>
      </c>
      <c r="J540" s="1" t="s">
        <v>8803</v>
      </c>
      <c r="K540" s="1" t="s">
        <v>151</v>
      </c>
      <c r="L540" s="1" t="s">
        <v>496</v>
      </c>
      <c r="M540" s="1" t="s">
        <v>5671</v>
      </c>
      <c r="O540" s="1" t="s">
        <v>106</v>
      </c>
      <c r="P540" s="1" t="s">
        <v>5712</v>
      </c>
      <c r="Z540" s="1" t="s">
        <v>8804</v>
      </c>
      <c r="AA540" s="10">
        <v>1600.0</v>
      </c>
      <c r="AF540" s="10">
        <v>3000000.0</v>
      </c>
      <c r="AG540" s="1">
        <v>1.0582655E9</v>
      </c>
      <c r="AI540" s="1" t="s">
        <v>8805</v>
      </c>
      <c r="AJ540" s="1">
        <v>160.0</v>
      </c>
      <c r="AK540" s="1">
        <v>54.0</v>
      </c>
      <c r="AL540" s="1" t="s">
        <v>8806</v>
      </c>
      <c r="AM540" s="1" t="s">
        <v>8807</v>
      </c>
      <c r="AN540" s="7" t="s">
        <v>8808</v>
      </c>
      <c r="AO540" s="8" t="str">
        <f>HYPERLINK("https://docs.google.com/document/d/1A3cJPto9sLF6oNoOy7_uoW0FfmjUTXOIvHFZYks2kaY/edit?usp=drivesdk","Al-Wildan 3 BSD City_Rohman_")</f>
        <v>Al-Wildan 3 BSD City_Rohman_</v>
      </c>
      <c r="AP540" s="1" t="s">
        <v>8809</v>
      </c>
    </row>
    <row r="541">
      <c r="A541" s="6">
        <v>44740.577359930554</v>
      </c>
      <c r="B541" s="7" t="s">
        <v>8810</v>
      </c>
      <c r="C541" s="8" t="s">
        <v>8811</v>
      </c>
      <c r="D541" s="1" t="s">
        <v>8812</v>
      </c>
      <c r="E541" s="9" t="s">
        <v>8813</v>
      </c>
      <c r="F541" s="1">
        <v>5.20413021197001E14</v>
      </c>
      <c r="G541" s="1" t="s">
        <v>8814</v>
      </c>
      <c r="H541" s="1" t="s">
        <v>8815</v>
      </c>
      <c r="I541" s="9" t="s">
        <v>8816</v>
      </c>
      <c r="J541" s="1" t="s">
        <v>8817</v>
      </c>
      <c r="K541" s="1" t="s">
        <v>102</v>
      </c>
      <c r="L541" s="1" t="s">
        <v>103</v>
      </c>
      <c r="M541" s="1" t="s">
        <v>5671</v>
      </c>
      <c r="O541" s="1" t="s">
        <v>127</v>
      </c>
      <c r="P541" s="1" t="s">
        <v>5712</v>
      </c>
      <c r="Q541" s="1" t="s">
        <v>8818</v>
      </c>
      <c r="Z541" s="1" t="s">
        <v>8819</v>
      </c>
      <c r="AA541" s="9" t="s">
        <v>8820</v>
      </c>
      <c r="AF541" s="10">
        <v>4500000.0</v>
      </c>
      <c r="AG541" s="1">
        <v>7.188722061E9</v>
      </c>
      <c r="AI541" s="1" t="s">
        <v>5113</v>
      </c>
      <c r="AJ541" s="1">
        <v>167.0</v>
      </c>
      <c r="AK541" s="1">
        <v>68.0</v>
      </c>
      <c r="AL541" s="1" t="s">
        <v>8821</v>
      </c>
      <c r="AM541" s="1" t="s">
        <v>8822</v>
      </c>
      <c r="AN541" s="7" t="s">
        <v>8823</v>
      </c>
      <c r="AO541" s="8" t="str">
        <f>HYPERLINK("https://docs.google.com/document/d/1Ji8SVL63GGvKdzohQvSFknxw4CQ4OHe0JxClujdiDjw/edit?usp=drivesdk","Al-Wildan 3 BSD City_Rizki Ramadan_")</f>
        <v>Al-Wildan 3 BSD City_Rizki Ramadan_</v>
      </c>
      <c r="AP541" s="1" t="s">
        <v>8824</v>
      </c>
    </row>
    <row r="542">
      <c r="A542" s="6">
        <v>44740.5925625463</v>
      </c>
      <c r="B542" s="7" t="s">
        <v>8825</v>
      </c>
      <c r="C542" s="8" t="s">
        <v>8826</v>
      </c>
      <c r="D542" s="1" t="s">
        <v>8827</v>
      </c>
      <c r="E542" s="9" t="s">
        <v>8828</v>
      </c>
      <c r="F542" s="1" t="s">
        <v>8829</v>
      </c>
      <c r="G542" s="1" t="s">
        <v>8830</v>
      </c>
      <c r="H542" s="1" t="s">
        <v>8831</v>
      </c>
      <c r="I542" s="9" t="s">
        <v>8832</v>
      </c>
      <c r="J542" s="1" t="s">
        <v>3221</v>
      </c>
      <c r="K542" s="1" t="s">
        <v>102</v>
      </c>
      <c r="L542" s="1" t="s">
        <v>827</v>
      </c>
      <c r="M542" s="1" t="s">
        <v>7580</v>
      </c>
      <c r="N542" s="1" t="s">
        <v>8833</v>
      </c>
      <c r="O542" s="1" t="s">
        <v>127</v>
      </c>
      <c r="P542" s="1" t="s">
        <v>6091</v>
      </c>
      <c r="Q542" s="1" t="s">
        <v>192</v>
      </c>
      <c r="R542" s="1" t="s">
        <v>8834</v>
      </c>
      <c r="S542" s="1">
        <v>4.29</v>
      </c>
      <c r="Z542" s="1" t="s">
        <v>8835</v>
      </c>
      <c r="AA542" s="10">
        <v>1000000.0</v>
      </c>
      <c r="AB542" s="1" t="s">
        <v>2326</v>
      </c>
      <c r="AC542" s="10">
        <v>4000000.0</v>
      </c>
      <c r="AD542" s="1" t="s">
        <v>8836</v>
      </c>
      <c r="AE542" s="10">
        <v>4500000.0</v>
      </c>
      <c r="AF542" s="10">
        <v>4000000.0</v>
      </c>
      <c r="AG542" s="1">
        <v>7.08192857E9</v>
      </c>
      <c r="AJ542" s="1">
        <v>163.0</v>
      </c>
      <c r="AK542" s="1">
        <v>60.0</v>
      </c>
      <c r="AL542" s="1" t="s">
        <v>8837</v>
      </c>
      <c r="AM542" s="1" t="s">
        <v>8838</v>
      </c>
      <c r="AN542" s="7" t="s">
        <v>8839</v>
      </c>
      <c r="AO542" s="8" t="str">
        <f>HYPERLINK("https://docs.google.com/document/d/1VXXN_-Q14DA7cuhBBs5N5tASofHnB33d8USf8IQMohc/edit?usp=drivesdk","Al-Wildan 10 Cipinang, Jakarta Timur_Musyayyadah Lc_Al-Qur’an")</f>
        <v>Al-Wildan 10 Cipinang, Jakarta Timur_Musyayyadah Lc_Al-Qur’an</v>
      </c>
      <c r="AP542" s="1" t="s">
        <v>8840</v>
      </c>
    </row>
    <row r="543">
      <c r="A543" s="6">
        <v>44740.603042476854</v>
      </c>
      <c r="B543" s="7" t="s">
        <v>8841</v>
      </c>
      <c r="C543" s="8" t="s">
        <v>8842</v>
      </c>
      <c r="D543" s="1" t="s">
        <v>8843</v>
      </c>
      <c r="E543" s="9" t="s">
        <v>8844</v>
      </c>
      <c r="F543" s="1" t="s">
        <v>8845</v>
      </c>
      <c r="G543" s="1" t="s">
        <v>8846</v>
      </c>
      <c r="H543" s="1" t="s">
        <v>944</v>
      </c>
      <c r="I543" s="9" t="s">
        <v>8847</v>
      </c>
      <c r="J543" s="1">
        <v>22.0</v>
      </c>
      <c r="K543" s="1" t="s">
        <v>151</v>
      </c>
      <c r="L543" s="1" t="s">
        <v>103</v>
      </c>
      <c r="M543" s="1" t="s">
        <v>8769</v>
      </c>
      <c r="N543" s="1" t="s">
        <v>3171</v>
      </c>
      <c r="O543" s="1" t="s">
        <v>312</v>
      </c>
      <c r="P543" s="1" t="s">
        <v>5712</v>
      </c>
      <c r="Q543" s="1" t="s">
        <v>8848</v>
      </c>
      <c r="R543" s="1" t="s">
        <v>8849</v>
      </c>
      <c r="S543" s="1">
        <v>3.54</v>
      </c>
      <c r="T543" s="1" t="s">
        <v>1221</v>
      </c>
      <c r="U543" s="1" t="s">
        <v>1221</v>
      </c>
      <c r="V543" s="1" t="s">
        <v>1221</v>
      </c>
      <c r="Z543" s="1" t="s">
        <v>8850</v>
      </c>
      <c r="AA543" s="10">
        <v>1000000.0</v>
      </c>
      <c r="AH543" s="9" t="s">
        <v>8851</v>
      </c>
      <c r="AI543" s="1" t="s">
        <v>445</v>
      </c>
      <c r="AJ543" s="1">
        <v>155.0</v>
      </c>
      <c r="AK543" s="1">
        <v>56.0</v>
      </c>
      <c r="AL543" s="1" t="s">
        <v>8852</v>
      </c>
      <c r="AM543" s="1" t="s">
        <v>8853</v>
      </c>
      <c r="AN543" s="7" t="s">
        <v>8854</v>
      </c>
      <c r="AO543" s="8" t="str">
        <f>HYPERLINK("https://docs.google.com/document/d/1ev6MGLkamzK3weZNi3M7qNMde9gXqGP63m6kTLKazb0/edit?usp=drivesdk","Al-Wildan 3 BSD City_Nur Lita Rahmatia, S.Hum_Al Qur'an ")</f>
        <v>Al-Wildan 3 BSD City_Nur Lita Rahmatia, S.Hum_Al Qur'an </v>
      </c>
      <c r="AP543" s="1" t="s">
        <v>8855</v>
      </c>
    </row>
    <row r="544">
      <c r="A544" s="6">
        <v>44740.614968009264</v>
      </c>
      <c r="B544" s="7" t="s">
        <v>8856</v>
      </c>
      <c r="C544" s="8" t="s">
        <v>8857</v>
      </c>
      <c r="D544" s="1" t="s">
        <v>8858</v>
      </c>
      <c r="E544" s="9" t="s">
        <v>8859</v>
      </c>
      <c r="F544" s="1" t="s">
        <v>8860</v>
      </c>
      <c r="G544" s="1" t="s">
        <v>8861</v>
      </c>
      <c r="H544" s="1" t="s">
        <v>2026</v>
      </c>
      <c r="I544" s="9" t="s">
        <v>8862</v>
      </c>
      <c r="J544" s="1" t="s">
        <v>8863</v>
      </c>
      <c r="K544" s="1" t="s">
        <v>151</v>
      </c>
      <c r="L544" s="1" t="s">
        <v>496</v>
      </c>
      <c r="M544" s="1" t="s">
        <v>5012</v>
      </c>
      <c r="O544" s="1" t="s">
        <v>106</v>
      </c>
      <c r="P544" s="1" t="s">
        <v>5712</v>
      </c>
      <c r="AF544" s="1" t="s">
        <v>8864</v>
      </c>
      <c r="AG544" s="1">
        <v>7.198731913E9</v>
      </c>
      <c r="AI544" s="1" t="s">
        <v>5113</v>
      </c>
      <c r="AJ544" s="1">
        <v>172.0</v>
      </c>
      <c r="AK544" s="1">
        <v>53.0</v>
      </c>
      <c r="AL544" s="1" t="s">
        <v>8865</v>
      </c>
      <c r="AM544" s="1" t="s">
        <v>8866</v>
      </c>
      <c r="AN544" s="7" t="s">
        <v>8867</v>
      </c>
      <c r="AO544" s="8" t="str">
        <f>HYPERLINK("https://docs.google.com/document/d/1sGjVX_8F2hTI3N3UBDRElk8tSJs2oseqTmWWVqp4vqg/edit?usp=drivesdk","Al-Wildan 3 BSD City_LALU ZAKARIA_")</f>
        <v>Al-Wildan 3 BSD City_LALU ZAKARIA_</v>
      </c>
      <c r="AP544" s="1" t="s">
        <v>8868</v>
      </c>
    </row>
    <row r="545">
      <c r="A545" s="6">
        <v>44740.61672204861</v>
      </c>
      <c r="B545" s="7" t="s">
        <v>8869</v>
      </c>
      <c r="C545" s="8" t="s">
        <v>8870</v>
      </c>
      <c r="D545" s="1" t="s">
        <v>8871</v>
      </c>
      <c r="E545" s="9" t="s">
        <v>8872</v>
      </c>
      <c r="F545" s="1" t="s">
        <v>8873</v>
      </c>
      <c r="G545" s="1" t="s">
        <v>6897</v>
      </c>
      <c r="H545" s="1" t="s">
        <v>685</v>
      </c>
      <c r="I545" s="9" t="s">
        <v>8874</v>
      </c>
      <c r="J545" s="1" t="s">
        <v>8875</v>
      </c>
      <c r="K545" s="1" t="s">
        <v>102</v>
      </c>
      <c r="L545" s="1" t="s">
        <v>496</v>
      </c>
      <c r="M545" s="1" t="s">
        <v>5671</v>
      </c>
      <c r="O545" s="1" t="s">
        <v>127</v>
      </c>
      <c r="P545" s="1" t="s">
        <v>5712</v>
      </c>
      <c r="Z545" s="1" t="s">
        <v>8876</v>
      </c>
      <c r="AA545" s="10">
        <v>2000000.0</v>
      </c>
      <c r="AB545" s="1" t="s">
        <v>8877</v>
      </c>
      <c r="AC545" s="10">
        <v>2500000.0</v>
      </c>
      <c r="AF545" s="10">
        <v>3500000.0</v>
      </c>
      <c r="AG545" s="1">
        <v>8.29249467E9</v>
      </c>
      <c r="AJ545" s="1">
        <v>177.0</v>
      </c>
      <c r="AK545" s="1">
        <v>88.0</v>
      </c>
      <c r="AL545" s="1" t="s">
        <v>8878</v>
      </c>
      <c r="AM545" s="1" t="s">
        <v>8879</v>
      </c>
      <c r="AN545" s="7" t="s">
        <v>8880</v>
      </c>
      <c r="AO545" s="8" t="str">
        <f>HYPERLINK("https://docs.google.com/document/d/17c2uqGzgtL61ZeDvv1ZwlLKkHneDlpILOqrXczwUcsA/edit?usp=drivesdk","Al-Wildan 3 BSD City_Ilham Akbar Firdaus_")</f>
        <v>Al-Wildan 3 BSD City_Ilham Akbar Firdaus_</v>
      </c>
      <c r="AP545" s="1" t="s">
        <v>8881</v>
      </c>
    </row>
    <row r="546">
      <c r="A546" s="6">
        <v>44740.618203391205</v>
      </c>
      <c r="B546" s="7" t="s">
        <v>8882</v>
      </c>
      <c r="C546" s="8" t="s">
        <v>8883</v>
      </c>
      <c r="D546" s="1" t="s">
        <v>8884</v>
      </c>
      <c r="E546" s="9" t="s">
        <v>8885</v>
      </c>
      <c r="F546" s="1" t="s">
        <v>8886</v>
      </c>
      <c r="G546" s="1" t="s">
        <v>8887</v>
      </c>
      <c r="H546" s="1" t="s">
        <v>169</v>
      </c>
      <c r="I546" s="9" t="s">
        <v>8888</v>
      </c>
      <c r="J546" s="1" t="s">
        <v>8889</v>
      </c>
      <c r="K546" s="1" t="s">
        <v>102</v>
      </c>
      <c r="L546" s="1" t="s">
        <v>103</v>
      </c>
      <c r="M546" s="1" t="s">
        <v>424</v>
      </c>
      <c r="N546" s="1" t="s">
        <v>6106</v>
      </c>
      <c r="O546" s="1" t="s">
        <v>127</v>
      </c>
      <c r="P546" s="1" t="s">
        <v>237</v>
      </c>
      <c r="Q546" s="1" t="s">
        <v>3409</v>
      </c>
      <c r="R546" s="1" t="s">
        <v>1057</v>
      </c>
      <c r="S546" s="1" t="s">
        <v>1522</v>
      </c>
      <c r="T546" s="1" t="s">
        <v>3409</v>
      </c>
      <c r="U546" s="1" t="s">
        <v>8890</v>
      </c>
      <c r="V546" s="1" t="s">
        <v>1279</v>
      </c>
      <c r="Z546" s="1" t="s">
        <v>8891</v>
      </c>
      <c r="AA546" s="10">
        <v>5500000.0</v>
      </c>
      <c r="AF546" s="10">
        <v>6000000.0</v>
      </c>
      <c r="AH546" s="1">
        <v>8.801023185E9</v>
      </c>
      <c r="AI546" s="1" t="s">
        <v>222</v>
      </c>
      <c r="AJ546" s="1">
        <v>173.0</v>
      </c>
      <c r="AK546" s="1">
        <v>60.0</v>
      </c>
      <c r="AL546" s="1" t="s">
        <v>8892</v>
      </c>
      <c r="AM546" s="1" t="s">
        <v>8893</v>
      </c>
      <c r="AN546" s="7" t="s">
        <v>8894</v>
      </c>
      <c r="AO546" s="8" t="str">
        <f>HYPERLINK("https://docs.google.com/document/d/1IHjlgiuSTLAlZI7X6LHGYrHgixsVux0EOrqrBh27aXs/edit?usp=drivesdk","Al-Wildan 4 Lebak Bulus_Wahyu Syahputra_Bimbingan Konseling")</f>
        <v>Al-Wildan 4 Lebak Bulus_Wahyu Syahputra_Bimbingan Konseling</v>
      </c>
      <c r="AP546" s="1" t="s">
        <v>8895</v>
      </c>
    </row>
    <row r="547">
      <c r="A547" s="6">
        <v>44740.67531652778</v>
      </c>
      <c r="B547" s="7" t="s">
        <v>8896</v>
      </c>
      <c r="C547" s="8" t="s">
        <v>8897</v>
      </c>
      <c r="D547" s="1" t="s">
        <v>8898</v>
      </c>
      <c r="E547" s="9" t="s">
        <v>8899</v>
      </c>
      <c r="F547" s="1" t="s">
        <v>8900</v>
      </c>
      <c r="G547" s="1" t="s">
        <v>8901</v>
      </c>
      <c r="H547" s="1" t="s">
        <v>8902</v>
      </c>
      <c r="I547" s="9" t="s">
        <v>8903</v>
      </c>
      <c r="J547" s="1" t="s">
        <v>4834</v>
      </c>
      <c r="K547" s="1" t="s">
        <v>102</v>
      </c>
      <c r="L547" s="1" t="s">
        <v>103</v>
      </c>
      <c r="M547" s="1" t="s">
        <v>8904</v>
      </c>
      <c r="N547" s="1" t="s">
        <v>8905</v>
      </c>
      <c r="O547" s="1" t="s">
        <v>106</v>
      </c>
      <c r="P547" s="1" t="s">
        <v>5712</v>
      </c>
      <c r="Z547" s="1" t="s">
        <v>8906</v>
      </c>
      <c r="AA547" s="1" t="s">
        <v>8907</v>
      </c>
      <c r="AB547" s="1" t="s">
        <v>8908</v>
      </c>
      <c r="AD547" s="1" t="s">
        <v>8909</v>
      </c>
      <c r="AF547" s="10">
        <v>3500000.0</v>
      </c>
      <c r="AG547" s="1">
        <v>7.130230215E9</v>
      </c>
      <c r="AI547" s="1" t="s">
        <v>4856</v>
      </c>
      <c r="AJ547" s="1">
        <v>157.0</v>
      </c>
      <c r="AK547" s="1">
        <v>55.0</v>
      </c>
      <c r="AL547" s="1" t="s">
        <v>8910</v>
      </c>
      <c r="AM547" s="1" t="s">
        <v>8911</v>
      </c>
      <c r="AN547" s="7" t="s">
        <v>8912</v>
      </c>
      <c r="AO547" s="8" t="str">
        <f>HYPERLINK("https://docs.google.com/document/d/1crX2WdYLLmDGyLjyRTWF-cXLr9DLLst3QfbAmfjZ5EY/edit?usp=drivesdk","Al-Wildan 3 BSD City_M SIDIK_Guru Qur'an")</f>
        <v>Al-Wildan 3 BSD City_M SIDIK_Guru Qur'an</v>
      </c>
      <c r="AP547" s="1" t="s">
        <v>8913</v>
      </c>
    </row>
    <row r="548">
      <c r="A548" s="6">
        <v>44740.767945844906</v>
      </c>
      <c r="B548" s="7" t="s">
        <v>8914</v>
      </c>
      <c r="C548" s="8" t="s">
        <v>8915</v>
      </c>
      <c r="D548" s="1" t="s">
        <v>8916</v>
      </c>
      <c r="E548" s="9" t="s">
        <v>8917</v>
      </c>
      <c r="F548" s="1" t="s">
        <v>8918</v>
      </c>
      <c r="G548" s="1" t="s">
        <v>8919</v>
      </c>
      <c r="H548" s="1" t="s">
        <v>8920</v>
      </c>
      <c r="I548" s="9" t="s">
        <v>8921</v>
      </c>
      <c r="J548" s="1" t="s">
        <v>8922</v>
      </c>
      <c r="K548" s="1" t="s">
        <v>102</v>
      </c>
      <c r="L548" s="1" t="s">
        <v>256</v>
      </c>
      <c r="M548" s="1" t="s">
        <v>5671</v>
      </c>
      <c r="O548" s="1" t="s">
        <v>6151</v>
      </c>
      <c r="P548" s="1" t="s">
        <v>107</v>
      </c>
      <c r="Q548" s="1" t="s">
        <v>8923</v>
      </c>
      <c r="Z548" s="1" t="s">
        <v>8924</v>
      </c>
      <c r="AA548" s="10">
        <v>500000.0</v>
      </c>
      <c r="AB548" s="1" t="s">
        <v>8925</v>
      </c>
      <c r="AC548" s="10">
        <v>3000000.0</v>
      </c>
      <c r="AF548" s="1" t="s">
        <v>8926</v>
      </c>
      <c r="AG548" s="1">
        <v>7.178058848E9</v>
      </c>
      <c r="AJ548" s="1">
        <v>160.0</v>
      </c>
      <c r="AK548" s="1">
        <v>60.0</v>
      </c>
      <c r="AL548" s="1" t="s">
        <v>8927</v>
      </c>
      <c r="AM548" s="1" t="s">
        <v>8928</v>
      </c>
      <c r="AN548" s="7" t="s">
        <v>8929</v>
      </c>
      <c r="AO548" s="8" t="str">
        <f>HYPERLINK("https://docs.google.com/document/d/1bh0_w51-KyNiVoLdAUtC22GoO2qBIanOEmp0mkLnlmM/edit?usp=drivesdk","Al-Wildan 1 Gading Serpong_Haryanto_")</f>
        <v>Al-Wildan 1 Gading Serpong_Haryanto_</v>
      </c>
      <c r="AP548" s="1" t="s">
        <v>8930</v>
      </c>
    </row>
    <row r="549">
      <c r="A549" s="6">
        <v>44740.77177340278</v>
      </c>
      <c r="B549" s="7" t="s">
        <v>8931</v>
      </c>
      <c r="C549" s="8" t="s">
        <v>8932</v>
      </c>
      <c r="D549" s="1" t="s">
        <v>8933</v>
      </c>
      <c r="E549" s="9" t="s">
        <v>8934</v>
      </c>
      <c r="F549" s="1" t="s">
        <v>8935</v>
      </c>
      <c r="G549" s="1" t="s">
        <v>8936</v>
      </c>
      <c r="H549" s="1" t="s">
        <v>8937</v>
      </c>
      <c r="I549" s="9" t="s">
        <v>5187</v>
      </c>
      <c r="J549" s="1" t="s">
        <v>8938</v>
      </c>
      <c r="K549" s="1" t="s">
        <v>151</v>
      </c>
      <c r="L549" s="1" t="s">
        <v>496</v>
      </c>
      <c r="M549" s="1" t="s">
        <v>5671</v>
      </c>
      <c r="O549" s="1" t="s">
        <v>127</v>
      </c>
      <c r="P549" s="1" t="s">
        <v>237</v>
      </c>
      <c r="Z549" s="1" t="s">
        <v>8939</v>
      </c>
      <c r="AA549" s="10">
        <v>1000000.0</v>
      </c>
      <c r="AF549" s="1" t="s">
        <v>8940</v>
      </c>
      <c r="AG549" s="1">
        <v>1.130754305E9</v>
      </c>
      <c r="AJ549" s="1">
        <v>164.0</v>
      </c>
      <c r="AK549" s="1">
        <v>54.0</v>
      </c>
      <c r="AL549" s="1" t="s">
        <v>8941</v>
      </c>
      <c r="AM549" s="1" t="s">
        <v>8942</v>
      </c>
      <c r="AN549" s="7" t="s">
        <v>8943</v>
      </c>
      <c r="AO549" s="8" t="str">
        <f>HYPERLINK("https://docs.google.com/document/d/14KoTMatRl-tkf3qtD59QsvYeuNjQQDsPb3EUXD9YG7k/edit?usp=drivesdk","Al-Wildan 4 Lebak Bulus_Ridwan Rahmansyah _")</f>
        <v>Al-Wildan 4 Lebak Bulus_Ridwan Rahmansyah _</v>
      </c>
      <c r="AP549" s="1" t="s">
        <v>8944</v>
      </c>
    </row>
    <row r="550">
      <c r="A550" s="6">
        <v>44740.86531550926</v>
      </c>
      <c r="B550" s="7" t="s">
        <v>8945</v>
      </c>
      <c r="C550" s="8" t="s">
        <v>8946</v>
      </c>
      <c r="D550" s="1" t="s">
        <v>8916</v>
      </c>
      <c r="E550" s="9" t="s">
        <v>8947</v>
      </c>
      <c r="F550" s="1" t="s">
        <v>8918</v>
      </c>
      <c r="G550" s="1" t="s">
        <v>8948</v>
      </c>
      <c r="H550" s="1" t="s">
        <v>944</v>
      </c>
      <c r="I550" s="9" t="s">
        <v>8921</v>
      </c>
      <c r="J550" s="1" t="s">
        <v>3486</v>
      </c>
      <c r="K550" s="1" t="s">
        <v>102</v>
      </c>
      <c r="L550" s="1" t="s">
        <v>496</v>
      </c>
      <c r="M550" s="1" t="s">
        <v>5012</v>
      </c>
      <c r="O550" s="1" t="s">
        <v>106</v>
      </c>
      <c r="P550" s="1" t="s">
        <v>107</v>
      </c>
      <c r="Z550" s="1" t="s">
        <v>8949</v>
      </c>
      <c r="AA550" s="10">
        <v>500000.0</v>
      </c>
      <c r="AB550" s="1" t="s">
        <v>8950</v>
      </c>
      <c r="AC550" s="10">
        <v>3000000.0</v>
      </c>
      <c r="AF550" s="10">
        <v>5000000.0</v>
      </c>
      <c r="AG550" s="1">
        <v>7.178058848E9</v>
      </c>
      <c r="AI550" s="1" t="s">
        <v>5561</v>
      </c>
      <c r="AJ550" s="1">
        <v>160.0</v>
      </c>
      <c r="AK550" s="1">
        <v>62.0</v>
      </c>
      <c r="AL550" s="1" t="s">
        <v>8951</v>
      </c>
      <c r="AM550" s="1" t="s">
        <v>8952</v>
      </c>
      <c r="AN550" s="7" t="s">
        <v>8953</v>
      </c>
      <c r="AO550" s="8" t="str">
        <f>HYPERLINK("https://docs.google.com/document/d/19x63tirurpXKeByuqVWEVc8apw9jqA6heou0nCviJ1I/edit?usp=drivesdk","Al-Wildan 1 Gading Serpong_Haryanto_")</f>
        <v>Al-Wildan 1 Gading Serpong_Haryanto_</v>
      </c>
      <c r="AP550" s="1" t="s">
        <v>8954</v>
      </c>
    </row>
    <row r="551">
      <c r="A551" s="6">
        <v>44740.95873924768</v>
      </c>
      <c r="B551" s="7" t="s">
        <v>8955</v>
      </c>
      <c r="C551" s="8" t="s">
        <v>8956</v>
      </c>
      <c r="D551" s="1" t="s">
        <v>8957</v>
      </c>
      <c r="E551" s="9" t="s">
        <v>8958</v>
      </c>
      <c r="F551" s="1" t="s">
        <v>8959</v>
      </c>
      <c r="G551" s="1" t="s">
        <v>8960</v>
      </c>
      <c r="H551" s="1" t="s">
        <v>8961</v>
      </c>
      <c r="I551" s="9" t="s">
        <v>8962</v>
      </c>
      <c r="J551" s="1" t="s">
        <v>8579</v>
      </c>
      <c r="K551" s="1" t="s">
        <v>102</v>
      </c>
      <c r="L551" s="1" t="s">
        <v>827</v>
      </c>
      <c r="M551" s="1" t="s">
        <v>104</v>
      </c>
      <c r="N551" s="1" t="s">
        <v>8963</v>
      </c>
      <c r="O551" s="1" t="s">
        <v>106</v>
      </c>
      <c r="P551" s="1" t="s">
        <v>5213</v>
      </c>
      <c r="Z551" s="1" t="s">
        <v>8964</v>
      </c>
      <c r="AA551" s="10">
        <v>1.0E7</v>
      </c>
      <c r="AB551" s="1" t="s">
        <v>8965</v>
      </c>
      <c r="AC551" s="10">
        <v>1.5E7</v>
      </c>
      <c r="AF551" s="10">
        <v>1.5E7</v>
      </c>
      <c r="AH551" s="9" t="s">
        <v>8966</v>
      </c>
      <c r="AI551" s="1" t="s">
        <v>8967</v>
      </c>
      <c r="AJ551" s="1">
        <v>175.0</v>
      </c>
      <c r="AK551" s="1">
        <v>150.0</v>
      </c>
      <c r="AL551" s="1" t="s">
        <v>8968</v>
      </c>
      <c r="AM551" s="1" t="s">
        <v>8969</v>
      </c>
      <c r="AN551" s="7" t="s">
        <v>8970</v>
      </c>
      <c r="AO551" s="8" t="str">
        <f>HYPERLINK("https://docs.google.com/document/d/1vW5Ubr6vwPUbcMfDHSg2qNKyIJzY7dI-Gc-1QnwvtF8/edit?usp=drivesdk","Al-Wildan 2 Bekasi_Zander Botes_Native English Teacher")</f>
        <v>Al-Wildan 2 Bekasi_Zander Botes_Native English Teacher</v>
      </c>
      <c r="AP551" s="1" t="s">
        <v>8971</v>
      </c>
    </row>
    <row r="552">
      <c r="A552" s="6">
        <v>44741.48572221065</v>
      </c>
      <c r="B552" s="7" t="s">
        <v>8972</v>
      </c>
      <c r="C552" s="8" t="s">
        <v>8973</v>
      </c>
      <c r="D552" s="1" t="s">
        <v>8974</v>
      </c>
      <c r="E552" s="9" t="s">
        <v>8975</v>
      </c>
      <c r="F552" s="1" t="s">
        <v>8976</v>
      </c>
      <c r="G552" s="1" t="s">
        <v>8977</v>
      </c>
      <c r="H552" s="1" t="s">
        <v>99</v>
      </c>
      <c r="I552" s="9" t="s">
        <v>6416</v>
      </c>
      <c r="J552" s="1" t="s">
        <v>8978</v>
      </c>
      <c r="K552" s="1" t="s">
        <v>151</v>
      </c>
      <c r="L552" s="1" t="s">
        <v>103</v>
      </c>
      <c r="M552" s="1" t="s">
        <v>424</v>
      </c>
      <c r="O552" s="1" t="s">
        <v>236</v>
      </c>
      <c r="P552" s="1" t="s">
        <v>237</v>
      </c>
      <c r="Q552" s="1" t="s">
        <v>8979</v>
      </c>
      <c r="R552" s="1" t="s">
        <v>1057</v>
      </c>
      <c r="S552" s="1">
        <v>3.77</v>
      </c>
      <c r="Z552" s="1" t="s">
        <v>8980</v>
      </c>
      <c r="AA552" s="10">
        <v>8700000.0</v>
      </c>
      <c r="AB552" s="1" t="s">
        <v>8981</v>
      </c>
      <c r="AC552" s="10">
        <v>4500000.0</v>
      </c>
      <c r="AD552" s="1" t="s">
        <v>8982</v>
      </c>
      <c r="AE552" s="10">
        <v>3800000.0</v>
      </c>
      <c r="AF552" s="1" t="s">
        <v>8983</v>
      </c>
      <c r="AG552" s="1">
        <v>1.059685932E9</v>
      </c>
      <c r="AJ552" s="1">
        <v>160.0</v>
      </c>
      <c r="AK552" s="1">
        <v>100.0</v>
      </c>
      <c r="AL552" s="1" t="s">
        <v>8984</v>
      </c>
      <c r="AM552" s="1" t="s">
        <v>8985</v>
      </c>
      <c r="AN552" s="7" t="s">
        <v>8986</v>
      </c>
      <c r="AO552" s="8" t="str">
        <f>HYPERLINK("https://docs.google.com/document/d/1o5axTDCenThts2FNMv8PwWov301Jfq3K0W8N-Fkjhiw/edit?usp=drivesdk","Al-Wildan 4 Lebak Bulus_Ultari Addie Syahputri, S.Psi_")</f>
        <v>Al-Wildan 4 Lebak Bulus_Ultari Addie Syahputri, S.Psi_</v>
      </c>
      <c r="AP552" s="1" t="s">
        <v>8987</v>
      </c>
    </row>
    <row r="553">
      <c r="A553" s="6">
        <v>44741.49157650463</v>
      </c>
      <c r="B553" s="7" t="s">
        <v>8988</v>
      </c>
      <c r="C553" s="8" t="s">
        <v>8989</v>
      </c>
      <c r="D553" s="1" t="s">
        <v>8990</v>
      </c>
      <c r="E553" s="9" t="s">
        <v>8991</v>
      </c>
      <c r="F553" s="1" t="s">
        <v>8992</v>
      </c>
      <c r="G553" s="1" t="s">
        <v>8993</v>
      </c>
      <c r="H553" s="1" t="s">
        <v>722</v>
      </c>
      <c r="I553" s="9" t="s">
        <v>8994</v>
      </c>
      <c r="J553" s="1" t="s">
        <v>3959</v>
      </c>
      <c r="K553" s="1" t="s">
        <v>102</v>
      </c>
      <c r="L553" s="1" t="s">
        <v>103</v>
      </c>
      <c r="M553" s="1" t="s">
        <v>8995</v>
      </c>
      <c r="O553" s="1" t="s">
        <v>6151</v>
      </c>
      <c r="P553" s="1" t="s">
        <v>5712</v>
      </c>
      <c r="Q553" s="1" t="s">
        <v>8996</v>
      </c>
      <c r="R553" s="1" t="s">
        <v>8997</v>
      </c>
      <c r="S553" s="1" t="s">
        <v>8998</v>
      </c>
      <c r="Z553" s="1" t="s">
        <v>8999</v>
      </c>
      <c r="AA553" s="10">
        <v>5200000.0</v>
      </c>
      <c r="AB553" s="1" t="s">
        <v>9000</v>
      </c>
      <c r="AC553" s="10">
        <v>4200000.0</v>
      </c>
      <c r="AF553" s="10">
        <v>5000000.0</v>
      </c>
      <c r="AH553" s="9" t="s">
        <v>9001</v>
      </c>
      <c r="AI553" s="1" t="s">
        <v>9002</v>
      </c>
      <c r="AJ553" s="1">
        <v>170.0</v>
      </c>
      <c r="AK553" s="1">
        <v>60.0</v>
      </c>
      <c r="AL553" s="1" t="s">
        <v>9003</v>
      </c>
      <c r="AM553" s="1" t="s">
        <v>9004</v>
      </c>
      <c r="AN553" s="7" t="s">
        <v>9005</v>
      </c>
      <c r="AO553" s="8" t="str">
        <f>HYPERLINK("https://docs.google.com/document/d/1uG4cj1E2yLc9kcoOAsmUTJdXGj20YebWwmwqwwVIjv0/edit?usp=drivesdk","Al-Wildan 3 BSD City_Roby Mahesa Putra, A.Md._")</f>
        <v>Al-Wildan 3 BSD City_Roby Mahesa Putra, A.Md._</v>
      </c>
      <c r="AP553" s="1" t="s">
        <v>9006</v>
      </c>
    </row>
    <row r="554">
      <c r="A554" s="6">
        <v>44741.579032939815</v>
      </c>
      <c r="B554" s="7" t="s">
        <v>9007</v>
      </c>
      <c r="C554" s="8" t="s">
        <v>9008</v>
      </c>
      <c r="D554" s="1" t="s">
        <v>9009</v>
      </c>
      <c r="E554" s="9" t="s">
        <v>9010</v>
      </c>
      <c r="F554" s="1" t="s">
        <v>9011</v>
      </c>
      <c r="G554" s="1" t="s">
        <v>9012</v>
      </c>
      <c r="H554" s="1" t="s">
        <v>9013</v>
      </c>
      <c r="I554" s="9" t="s">
        <v>9014</v>
      </c>
      <c r="J554" s="1" t="s">
        <v>9015</v>
      </c>
      <c r="K554" s="1" t="s">
        <v>151</v>
      </c>
      <c r="L554" s="1" t="s">
        <v>256</v>
      </c>
      <c r="M554" s="1" t="s">
        <v>104</v>
      </c>
      <c r="N554" s="1" t="s">
        <v>5937</v>
      </c>
      <c r="O554" s="1" t="s">
        <v>127</v>
      </c>
      <c r="P554" s="1" t="s">
        <v>107</v>
      </c>
      <c r="Q554" s="11" t="s">
        <v>9016</v>
      </c>
      <c r="R554" s="1" t="s">
        <v>2249</v>
      </c>
      <c r="S554" s="1" t="s">
        <v>9017</v>
      </c>
      <c r="Z554" s="1" t="s">
        <v>9018</v>
      </c>
      <c r="AA554" s="1" t="s">
        <v>9019</v>
      </c>
      <c r="AG554" s="1">
        <v>7.78957135E9</v>
      </c>
      <c r="AJ554" s="1">
        <v>145.0</v>
      </c>
      <c r="AK554" s="1">
        <v>40.0</v>
      </c>
      <c r="AL554" s="1" t="s">
        <v>9020</v>
      </c>
      <c r="AM554" s="1" t="s">
        <v>9021</v>
      </c>
      <c r="AN554" s="7" t="s">
        <v>9022</v>
      </c>
      <c r="AO554" s="8" t="str">
        <f>HYPERLINK("https://docs.google.com/document/d/1dASuzpuH36ZTDNCeA0g0KPl-X8ck3vFurmdGUeP483c/edit?usp=drivesdk","Al-Wildan 1 Gading Serpong_DAAN NURROYYAN A _PAI English")</f>
        <v>Al-Wildan 1 Gading Serpong_DAAN NURROYYAN A _PAI English</v>
      </c>
      <c r="AP554" s="1" t="s">
        <v>9023</v>
      </c>
    </row>
    <row r="555">
      <c r="A555" s="6">
        <v>44741.58762755787</v>
      </c>
      <c r="B555" s="7" t="s">
        <v>9024</v>
      </c>
      <c r="C555" s="8" t="s">
        <v>9025</v>
      </c>
      <c r="D555" s="1" t="s">
        <v>9026</v>
      </c>
      <c r="E555" s="9" t="s">
        <v>9027</v>
      </c>
      <c r="F555" s="1" t="s">
        <v>9028</v>
      </c>
      <c r="G555" s="1" t="s">
        <v>9029</v>
      </c>
      <c r="H555" s="1" t="s">
        <v>99</v>
      </c>
      <c r="I555" s="9" t="s">
        <v>9030</v>
      </c>
      <c r="J555" s="1" t="s">
        <v>190</v>
      </c>
      <c r="K555" s="1" t="s">
        <v>102</v>
      </c>
      <c r="L555" s="1" t="s">
        <v>103</v>
      </c>
      <c r="M555" s="1" t="s">
        <v>8995</v>
      </c>
      <c r="O555" s="1" t="s">
        <v>6151</v>
      </c>
      <c r="P555" s="1" t="s">
        <v>5712</v>
      </c>
      <c r="Z555" s="1" t="s">
        <v>9031</v>
      </c>
      <c r="AA555" s="1">
        <v>4690000.0</v>
      </c>
      <c r="AB555" s="1" t="s">
        <v>9031</v>
      </c>
      <c r="AF555" s="1">
        <v>5000000.0</v>
      </c>
      <c r="AH555" s="1">
        <v>5.87501455E9</v>
      </c>
      <c r="AI555" s="1" t="s">
        <v>222</v>
      </c>
      <c r="AJ555" s="1">
        <v>165.0</v>
      </c>
      <c r="AK555" s="1">
        <v>50.0</v>
      </c>
      <c r="AL555" s="1" t="s">
        <v>9032</v>
      </c>
      <c r="AM555" s="1" t="s">
        <v>9033</v>
      </c>
      <c r="AN555" s="7" t="s">
        <v>9034</v>
      </c>
      <c r="AO555" s="8" t="str">
        <f>HYPERLINK("https://docs.google.com/document/d/1FwJzaWPs9y1N-s7v_Us1idKcbV4TubWnrteDujp43rI/edit?usp=drivesdk","Al-Wildan 3 BSD City_Muhammad Subeni_")</f>
        <v>Al-Wildan 3 BSD City_Muhammad Subeni_</v>
      </c>
      <c r="AP555" s="1" t="s">
        <v>9035</v>
      </c>
    </row>
    <row r="556">
      <c r="A556" s="6">
        <v>44741.92278331019</v>
      </c>
      <c r="B556" s="7" t="s">
        <v>9036</v>
      </c>
      <c r="C556" s="8" t="s">
        <v>9037</v>
      </c>
      <c r="D556" s="1" t="s">
        <v>9038</v>
      </c>
      <c r="E556" s="9" t="s">
        <v>9039</v>
      </c>
      <c r="F556" s="1" t="s">
        <v>9040</v>
      </c>
      <c r="G556" s="1" t="s">
        <v>9041</v>
      </c>
      <c r="H556" s="1" t="s">
        <v>169</v>
      </c>
      <c r="I556" s="9" t="s">
        <v>9042</v>
      </c>
      <c r="J556" s="1" t="s">
        <v>9043</v>
      </c>
      <c r="K556" s="1" t="s">
        <v>1235</v>
      </c>
      <c r="L556" s="1" t="s">
        <v>256</v>
      </c>
      <c r="M556" s="1" t="s">
        <v>6186</v>
      </c>
      <c r="N556" s="1" t="s">
        <v>217</v>
      </c>
      <c r="O556" s="1" t="s">
        <v>6151</v>
      </c>
      <c r="P556" s="1" t="s">
        <v>6091</v>
      </c>
      <c r="Q556" s="1" t="s">
        <v>9044</v>
      </c>
      <c r="R556" s="1" t="s">
        <v>9045</v>
      </c>
      <c r="S556" s="1">
        <v>3.2</v>
      </c>
      <c r="T556" s="1" t="s">
        <v>217</v>
      </c>
      <c r="U556" s="1" t="s">
        <v>217</v>
      </c>
      <c r="V556" s="1" t="s">
        <v>217</v>
      </c>
      <c r="W556" s="1" t="s">
        <v>217</v>
      </c>
      <c r="X556" s="1" t="s">
        <v>217</v>
      </c>
      <c r="Y556" s="1">
        <v>0.0</v>
      </c>
      <c r="Z556" s="1" t="s">
        <v>9046</v>
      </c>
      <c r="AA556" s="10">
        <v>3000000.0</v>
      </c>
      <c r="AB556" s="1" t="s">
        <v>9047</v>
      </c>
      <c r="AC556" s="10">
        <v>4000000.0</v>
      </c>
      <c r="AD556" s="1" t="s">
        <v>9048</v>
      </c>
      <c r="AE556" s="10">
        <v>8000000.0</v>
      </c>
      <c r="AF556" s="1" t="s">
        <v>217</v>
      </c>
      <c r="AG556" s="1">
        <v>0.0</v>
      </c>
      <c r="AH556" s="1">
        <v>4.960106631E9</v>
      </c>
      <c r="AI556" s="1" t="s">
        <v>222</v>
      </c>
      <c r="AJ556" s="1">
        <v>169.0</v>
      </c>
      <c r="AK556" s="1">
        <v>70.0</v>
      </c>
      <c r="AL556" s="1" t="s">
        <v>9049</v>
      </c>
      <c r="AM556" s="1" t="s">
        <v>9050</v>
      </c>
      <c r="AN556" s="7" t="s">
        <v>9051</v>
      </c>
      <c r="AO556" s="8" t="str">
        <f>HYPERLINK("https://docs.google.com/document/d/17zjDDJWXJpOugF9joV3xi1btGLa2ZjkcOVaoZcer2aY/edit?usp=drivesdk","Al-Wildan 10 Cipinang, Jakarta Timur_Siti Zakiah S.H_-")</f>
        <v>Al-Wildan 10 Cipinang, Jakarta Timur_Siti Zakiah S.H_-</v>
      </c>
      <c r="AP556" s="1" t="s">
        <v>9052</v>
      </c>
    </row>
    <row r="557">
      <c r="A557" s="6">
        <v>44742.290927141206</v>
      </c>
      <c r="B557" s="7" t="s">
        <v>9053</v>
      </c>
      <c r="C557" s="8" t="s">
        <v>9054</v>
      </c>
      <c r="D557" s="1" t="s">
        <v>9055</v>
      </c>
      <c r="E557" s="1">
        <v>8.1220468853E10</v>
      </c>
      <c r="F557" s="1" t="s">
        <v>9056</v>
      </c>
      <c r="G557" s="1" t="s">
        <v>9057</v>
      </c>
      <c r="H557" s="1" t="s">
        <v>2176</v>
      </c>
      <c r="I557" s="9" t="s">
        <v>9058</v>
      </c>
      <c r="J557" s="1" t="s">
        <v>9059</v>
      </c>
      <c r="K557" s="1" t="s">
        <v>102</v>
      </c>
      <c r="L557" s="1" t="s">
        <v>827</v>
      </c>
      <c r="M557" s="1" t="s">
        <v>104</v>
      </c>
      <c r="N557" s="1" t="s">
        <v>1623</v>
      </c>
      <c r="O557" s="1" t="s">
        <v>127</v>
      </c>
      <c r="P557" s="1" t="s">
        <v>5712</v>
      </c>
      <c r="Q557" s="1" t="s">
        <v>9060</v>
      </c>
      <c r="R557" s="1" t="s">
        <v>499</v>
      </c>
      <c r="S557" s="1" t="s">
        <v>740</v>
      </c>
      <c r="Z557" s="1" t="s">
        <v>9061</v>
      </c>
      <c r="AA557" s="10">
        <v>2000000.0</v>
      </c>
      <c r="AB557" s="1" t="s">
        <v>9062</v>
      </c>
      <c r="AC557" s="10">
        <v>1900000.0</v>
      </c>
      <c r="AF557" s="10">
        <v>6000000.0</v>
      </c>
      <c r="AG557" s="1">
        <v>6.338486E9</v>
      </c>
      <c r="AJ557" s="1">
        <v>146.0</v>
      </c>
      <c r="AK557" s="1">
        <v>50.0</v>
      </c>
      <c r="AL557" s="1" t="s">
        <v>9063</v>
      </c>
      <c r="AM557" s="1" t="s">
        <v>9064</v>
      </c>
      <c r="AN557" s="7" t="s">
        <v>9065</v>
      </c>
      <c r="AO557" s="8" t="str">
        <f>HYPERLINK("https://docs.google.com/document/d/10GDek4Vu52LwmqeFSqjqwV-Ctd557c6BDQ9jbHluPK0/edit?usp=drivesdk","Al-Wildan 3 BSD City_Hamdan S. Ag_PAI")</f>
        <v>Al-Wildan 3 BSD City_Hamdan S. Ag_PAI</v>
      </c>
      <c r="AP557" s="1" t="s">
        <v>9066</v>
      </c>
    </row>
    <row r="558">
      <c r="A558" s="6">
        <v>44742.55840180555</v>
      </c>
      <c r="B558" s="7" t="s">
        <v>9067</v>
      </c>
      <c r="C558" s="8" t="s">
        <v>9068</v>
      </c>
      <c r="D558" s="1" t="s">
        <v>9069</v>
      </c>
      <c r="E558" s="9" t="s">
        <v>9070</v>
      </c>
      <c r="F558" s="1" t="s">
        <v>9071</v>
      </c>
      <c r="G558" s="1" t="s">
        <v>9072</v>
      </c>
      <c r="H558" s="1" t="s">
        <v>4092</v>
      </c>
      <c r="I558" s="9" t="s">
        <v>9073</v>
      </c>
      <c r="J558" s="1">
        <v>37.0</v>
      </c>
      <c r="K558" s="1" t="s">
        <v>151</v>
      </c>
      <c r="L558" s="1" t="s">
        <v>329</v>
      </c>
      <c r="M558" s="1" t="s">
        <v>104</v>
      </c>
      <c r="N558" s="1" t="s">
        <v>9074</v>
      </c>
      <c r="O558" s="1" t="s">
        <v>127</v>
      </c>
      <c r="P558" s="1" t="s">
        <v>7991</v>
      </c>
      <c r="Q558" s="1" t="s">
        <v>9075</v>
      </c>
      <c r="R558" s="1" t="s">
        <v>9076</v>
      </c>
      <c r="S558" s="9" t="s">
        <v>3807</v>
      </c>
      <c r="T558" s="1" t="s">
        <v>9077</v>
      </c>
      <c r="Z558" s="1" t="s">
        <v>9078</v>
      </c>
      <c r="AB558" s="1" t="s">
        <v>9079</v>
      </c>
      <c r="AF558" s="1" t="s">
        <v>9080</v>
      </c>
      <c r="AG558" s="1">
        <v>8.6030528E7</v>
      </c>
      <c r="AJ558" s="1">
        <v>175.0</v>
      </c>
      <c r="AK558" s="1">
        <v>55.0</v>
      </c>
      <c r="AL558" s="1" t="s">
        <v>9081</v>
      </c>
      <c r="AM558" s="1" t="s">
        <v>9082</v>
      </c>
      <c r="AN558" s="7" t="s">
        <v>9083</v>
      </c>
      <c r="AO558" s="8" t="str">
        <f>HYPERLINK("https://docs.google.com/document/d/1rKDEqU-iYuxgCwZvybFo2GIWzJ-_YWlfQ5FWmtim5wE/edit?usp=drivesdk","Al-Wildan 12 Bulak Kapal, Bekasi_Emil Yazid, B.A. _1st Preference: English 2nd Preference: Cambridge IPS")</f>
        <v>Al-Wildan 12 Bulak Kapal, Bekasi_Emil Yazid, B.A. _1st Preference: English 2nd Preference: Cambridge IPS</v>
      </c>
      <c r="AP558" s="1" t="s">
        <v>9084</v>
      </c>
    </row>
    <row r="559">
      <c r="A559" s="6">
        <v>44742.56353756944</v>
      </c>
      <c r="B559" s="7" t="s">
        <v>9085</v>
      </c>
      <c r="C559" s="8" t="s">
        <v>9086</v>
      </c>
      <c r="D559" s="1" t="s">
        <v>9087</v>
      </c>
      <c r="E559" s="9" t="s">
        <v>9088</v>
      </c>
      <c r="F559" s="1" t="s">
        <v>9089</v>
      </c>
      <c r="G559" s="1" t="s">
        <v>9090</v>
      </c>
      <c r="H559" s="1" t="s">
        <v>7750</v>
      </c>
      <c r="I559" s="9" t="s">
        <v>9091</v>
      </c>
      <c r="J559" s="1" t="s">
        <v>7366</v>
      </c>
      <c r="K559" s="1" t="s">
        <v>102</v>
      </c>
      <c r="L559" s="1" t="s">
        <v>103</v>
      </c>
      <c r="M559" s="1" t="s">
        <v>104</v>
      </c>
      <c r="N559" s="1" t="s">
        <v>152</v>
      </c>
      <c r="O559" s="1" t="s">
        <v>127</v>
      </c>
      <c r="P559" s="1" t="s">
        <v>6091</v>
      </c>
      <c r="Q559" s="1" t="s">
        <v>108</v>
      </c>
      <c r="R559" s="1" t="s">
        <v>154</v>
      </c>
      <c r="S559" s="9" t="s">
        <v>7808</v>
      </c>
      <c r="T559" s="1" t="s">
        <v>9092</v>
      </c>
      <c r="U559" s="1" t="s">
        <v>9093</v>
      </c>
      <c r="V559" s="9" t="s">
        <v>796</v>
      </c>
      <c r="Z559" s="1" t="s">
        <v>3410</v>
      </c>
      <c r="AA559" s="10">
        <v>4300000.0</v>
      </c>
      <c r="AB559" s="1" t="s">
        <v>3410</v>
      </c>
      <c r="AC559" s="10">
        <v>4700000.0</v>
      </c>
      <c r="AF559" s="10">
        <v>5000000.0</v>
      </c>
      <c r="AG559" s="1">
        <v>6.10113477E9</v>
      </c>
      <c r="AI559" s="1" t="s">
        <v>4856</v>
      </c>
      <c r="AJ559" s="1">
        <v>160.0</v>
      </c>
      <c r="AK559" s="1">
        <v>58.0</v>
      </c>
      <c r="AL559" s="1" t="s">
        <v>9094</v>
      </c>
      <c r="AM559" s="1" t="s">
        <v>9095</v>
      </c>
      <c r="AN559" s="7" t="s">
        <v>9096</v>
      </c>
      <c r="AO559" s="8" t="str">
        <f>HYPERLINK("https://docs.google.com/document/d/1xlYT8KHUA23dhetgMlabh12x66dPoBtAF_j7Fu8vOaI/edit?usp=drivesdk","Al-Wildan 10 Cipinang, Jakarta Timur_Erik Jonedi_Bahasa Inggris")</f>
        <v>Al-Wildan 10 Cipinang, Jakarta Timur_Erik Jonedi_Bahasa Inggris</v>
      </c>
      <c r="AP559" s="1" t="s">
        <v>9097</v>
      </c>
    </row>
    <row r="560">
      <c r="A560" s="6">
        <v>44742.98965618055</v>
      </c>
      <c r="B560" s="7" t="s">
        <v>9098</v>
      </c>
      <c r="C560" s="8" t="s">
        <v>9099</v>
      </c>
      <c r="D560" s="1" t="s">
        <v>9100</v>
      </c>
      <c r="E560" s="9" t="s">
        <v>9101</v>
      </c>
      <c r="F560" s="1" t="s">
        <v>9102</v>
      </c>
      <c r="G560" s="1" t="s">
        <v>9103</v>
      </c>
      <c r="H560" s="1" t="s">
        <v>2914</v>
      </c>
      <c r="I560" s="9" t="s">
        <v>9104</v>
      </c>
      <c r="J560" s="1" t="s">
        <v>9105</v>
      </c>
      <c r="K560" s="1" t="s">
        <v>151</v>
      </c>
      <c r="L560" s="1" t="s">
        <v>256</v>
      </c>
      <c r="M560" s="1" t="s">
        <v>104</v>
      </c>
      <c r="N560" s="1" t="s">
        <v>152</v>
      </c>
      <c r="O560" s="1" t="s">
        <v>312</v>
      </c>
      <c r="P560" s="1" t="s">
        <v>6091</v>
      </c>
      <c r="Q560" s="1" t="s">
        <v>347</v>
      </c>
      <c r="R560" s="1" t="s">
        <v>172</v>
      </c>
      <c r="S560" s="1" t="s">
        <v>8998</v>
      </c>
      <c r="Z560" s="1" t="s">
        <v>9106</v>
      </c>
      <c r="AA560" s="10">
        <v>1500000.0</v>
      </c>
      <c r="AB560" s="1" t="s">
        <v>9107</v>
      </c>
      <c r="AC560" s="10">
        <v>2000000.0</v>
      </c>
      <c r="AF560" s="10">
        <v>5000000.0</v>
      </c>
      <c r="AH560" s="9" t="s">
        <v>9108</v>
      </c>
      <c r="AI560" s="1" t="s">
        <v>159</v>
      </c>
      <c r="AJ560" s="1">
        <v>152.0</v>
      </c>
      <c r="AK560" s="1">
        <v>41.0</v>
      </c>
      <c r="AL560" s="1" t="s">
        <v>9109</v>
      </c>
      <c r="AM560" s="1" t="s">
        <v>9110</v>
      </c>
      <c r="AN560" s="7" t="s">
        <v>9111</v>
      </c>
      <c r="AO560" s="8" t="str">
        <f>HYPERLINK("https://docs.google.com/document/d/1GGeE2Q3tJdBW3wtVtVDjs_COyFd8HD5h1w_oQlY3uSU/edit?usp=drivesdk","Al-Wildan 10 Cipinang, Jakarta Timur_Nisrina Zhia Karima, S. Pd._Bahasa Inggris")</f>
        <v>Al-Wildan 10 Cipinang, Jakarta Timur_Nisrina Zhia Karima, S. Pd._Bahasa Inggris</v>
      </c>
      <c r="AP560" s="1" t="s">
        <v>9112</v>
      </c>
    </row>
    <row r="561">
      <c r="A561" s="6">
        <v>44743.29232490741</v>
      </c>
      <c r="B561" s="7" t="s">
        <v>9113</v>
      </c>
      <c r="C561" s="8" t="s">
        <v>9114</v>
      </c>
      <c r="D561" s="1" t="s">
        <v>9115</v>
      </c>
      <c r="E561" s="9" t="s">
        <v>9116</v>
      </c>
      <c r="F561" s="1" t="s">
        <v>9117</v>
      </c>
      <c r="G561" s="1" t="s">
        <v>9118</v>
      </c>
      <c r="H561" s="1" t="s">
        <v>685</v>
      </c>
      <c r="I561" s="9" t="s">
        <v>9119</v>
      </c>
      <c r="J561" s="1" t="s">
        <v>4834</v>
      </c>
      <c r="K561" s="1" t="s">
        <v>151</v>
      </c>
      <c r="L561" s="1" t="s">
        <v>496</v>
      </c>
      <c r="M561" s="1" t="s">
        <v>5671</v>
      </c>
      <c r="O561" s="1" t="s">
        <v>106</v>
      </c>
      <c r="P561" s="1" t="s">
        <v>5712</v>
      </c>
      <c r="Q561" s="1" t="s">
        <v>9120</v>
      </c>
      <c r="R561" s="1" t="s">
        <v>9121</v>
      </c>
      <c r="S561" s="9" t="s">
        <v>9122</v>
      </c>
      <c r="Z561" s="1" t="s">
        <v>9123</v>
      </c>
      <c r="AA561" s="10">
        <v>2100000.0</v>
      </c>
      <c r="AB561" s="1" t="s">
        <v>9124</v>
      </c>
      <c r="AC561" s="10">
        <v>1500000.0</v>
      </c>
      <c r="AD561" s="1" t="s">
        <v>9125</v>
      </c>
      <c r="AE561" s="10">
        <v>500000.0</v>
      </c>
      <c r="AF561" s="10">
        <v>4500000.0</v>
      </c>
      <c r="AG561" s="1">
        <v>7.133410265E9</v>
      </c>
      <c r="AJ561" s="1">
        <v>170.0</v>
      </c>
      <c r="AK561" s="1">
        <v>55.0</v>
      </c>
      <c r="AL561" s="1" t="s">
        <v>9126</v>
      </c>
      <c r="AM561" s="1" t="s">
        <v>9127</v>
      </c>
      <c r="AN561" s="7" t="s">
        <v>9128</v>
      </c>
      <c r="AO561" s="8" t="str">
        <f>HYPERLINK("https://docs.google.com/document/d/19a7KcyAcwd4huli2WvAxxYDoTntJ7NgeElfbNoh-WkE/edit?usp=drivesdk","Al-Wildan 3 BSD City_Maulana Rasyid Ridho _")</f>
        <v>Al-Wildan 3 BSD City_Maulana Rasyid Ridho _</v>
      </c>
      <c r="AP561" s="1" t="s">
        <v>9129</v>
      </c>
    </row>
    <row r="562">
      <c r="A562" s="6">
        <v>44743.30382981482</v>
      </c>
      <c r="B562" s="7" t="s">
        <v>9130</v>
      </c>
      <c r="C562" s="8" t="s">
        <v>9131</v>
      </c>
      <c r="D562" s="1" t="s">
        <v>9132</v>
      </c>
      <c r="E562" s="1" t="s">
        <v>9133</v>
      </c>
      <c r="F562" s="1" t="s">
        <v>9134</v>
      </c>
      <c r="G562" s="1" t="s">
        <v>9135</v>
      </c>
      <c r="H562" s="1" t="s">
        <v>169</v>
      </c>
      <c r="I562" s="9" t="s">
        <v>9136</v>
      </c>
      <c r="J562" s="1" t="s">
        <v>8429</v>
      </c>
      <c r="K562" s="1" t="s">
        <v>151</v>
      </c>
      <c r="L562" s="1" t="s">
        <v>256</v>
      </c>
      <c r="M562" s="1" t="s">
        <v>104</v>
      </c>
      <c r="N562" s="1" t="s">
        <v>9137</v>
      </c>
      <c r="O562" s="1" t="s">
        <v>312</v>
      </c>
      <c r="P562" s="1" t="s">
        <v>6533</v>
      </c>
      <c r="Q562" s="1" t="s">
        <v>9138</v>
      </c>
      <c r="R562" s="1" t="s">
        <v>172</v>
      </c>
      <c r="S562" s="1" t="s">
        <v>2032</v>
      </c>
      <c r="Z562" s="1" t="s">
        <v>9139</v>
      </c>
      <c r="AA562" s="1" t="s">
        <v>9140</v>
      </c>
      <c r="AB562" s="1" t="s">
        <v>9141</v>
      </c>
      <c r="AC562" s="1" t="s">
        <v>9142</v>
      </c>
      <c r="AF562" s="10">
        <v>3500000.0</v>
      </c>
      <c r="AH562" s="1">
        <v>1.290011151863E12</v>
      </c>
      <c r="AI562" s="1" t="s">
        <v>2119</v>
      </c>
      <c r="AJ562" s="1">
        <v>168.0</v>
      </c>
      <c r="AK562" s="1">
        <v>86.0</v>
      </c>
      <c r="AL562" s="1" t="s">
        <v>9143</v>
      </c>
      <c r="AM562" s="1" t="s">
        <v>9144</v>
      </c>
      <c r="AN562" s="7" t="s">
        <v>9145</v>
      </c>
      <c r="AO562" s="8" t="str">
        <f>HYPERLINK("https://docs.google.com/document/d/1EC3NRgSJiEpPxKLBiyJRWYwEu-ALmS_2bIwHSxGW1IM/edit?usp=drivesdk","Al-Wildan 5 Benhil_Putri Zahrah S.Pd._English Teacher")</f>
        <v>Al-Wildan 5 Benhil_Putri Zahrah S.Pd._English Teacher</v>
      </c>
      <c r="AP562" s="1" t="s">
        <v>9146</v>
      </c>
    </row>
    <row r="563">
      <c r="A563" s="6">
        <v>44743.31349179398</v>
      </c>
      <c r="B563" s="7" t="s">
        <v>9147</v>
      </c>
      <c r="C563" s="8" t="s">
        <v>9148</v>
      </c>
      <c r="D563" s="1" t="s">
        <v>9149</v>
      </c>
      <c r="E563" s="9" t="s">
        <v>9150</v>
      </c>
      <c r="F563" s="1" t="s">
        <v>9151</v>
      </c>
      <c r="G563" s="1" t="s">
        <v>9152</v>
      </c>
      <c r="H563" s="1" t="s">
        <v>99</v>
      </c>
      <c r="I563" s="9" t="s">
        <v>9153</v>
      </c>
      <c r="J563" s="1" t="s">
        <v>9154</v>
      </c>
      <c r="K563" s="1" t="s">
        <v>151</v>
      </c>
      <c r="L563" s="1" t="s">
        <v>103</v>
      </c>
      <c r="M563" s="1" t="s">
        <v>6060</v>
      </c>
      <c r="O563" s="1" t="s">
        <v>6151</v>
      </c>
      <c r="P563" s="1" t="s">
        <v>107</v>
      </c>
      <c r="Q563" s="1" t="s">
        <v>9155</v>
      </c>
      <c r="R563" s="1" t="s">
        <v>238</v>
      </c>
      <c r="S563" s="1" t="s">
        <v>6092</v>
      </c>
      <c r="Z563" s="1" t="s">
        <v>9156</v>
      </c>
      <c r="AF563" s="10">
        <v>5500000.0</v>
      </c>
      <c r="AJ563" s="1">
        <v>155.0</v>
      </c>
      <c r="AK563" s="1">
        <v>48.0</v>
      </c>
      <c r="AL563" s="1" t="s">
        <v>9157</v>
      </c>
      <c r="AM563" s="1" t="s">
        <v>9158</v>
      </c>
      <c r="AN563" s="7" t="s">
        <v>9159</v>
      </c>
      <c r="AO563" s="8" t="str">
        <f>HYPERLINK("https://docs.google.com/document/d/1HG0G0qT-RMlrCeoeJ1EoVhS6dTQnM7-LL1upoJ3AOGM/edit?usp=drivesdk","Al-Wildan 1 Gading Serpong_Nurwahyuningsih Anjaswara S.Pd_")</f>
        <v>Al-Wildan 1 Gading Serpong_Nurwahyuningsih Anjaswara S.Pd_</v>
      </c>
      <c r="AP563" s="1" t="s">
        <v>9160</v>
      </c>
    </row>
    <row r="564">
      <c r="A564" s="6">
        <v>44743.36167383102</v>
      </c>
      <c r="B564" s="7" t="s">
        <v>9161</v>
      </c>
      <c r="C564" s="8" t="s">
        <v>9162</v>
      </c>
      <c r="D564" s="1" t="s">
        <v>9163</v>
      </c>
      <c r="E564" s="9" t="s">
        <v>9164</v>
      </c>
      <c r="F564" s="1" t="s">
        <v>9165</v>
      </c>
      <c r="G564" s="1" t="s">
        <v>9166</v>
      </c>
      <c r="H564" s="1" t="s">
        <v>9167</v>
      </c>
      <c r="I564" s="9" t="s">
        <v>9168</v>
      </c>
      <c r="J564" s="1">
        <v>26.0</v>
      </c>
      <c r="K564" s="1" t="s">
        <v>151</v>
      </c>
      <c r="L564" s="1" t="s">
        <v>103</v>
      </c>
      <c r="M564" s="1" t="s">
        <v>9169</v>
      </c>
      <c r="O564" s="1" t="s">
        <v>6151</v>
      </c>
      <c r="P564" s="1" t="s">
        <v>237</v>
      </c>
      <c r="Q564" s="1" t="s">
        <v>9170</v>
      </c>
      <c r="R564" s="1" t="s">
        <v>9171</v>
      </c>
      <c r="Z564" s="1" t="s">
        <v>9172</v>
      </c>
      <c r="AA564" s="10">
        <v>3000000.0</v>
      </c>
      <c r="AG564" s="1">
        <v>7.189617978E9</v>
      </c>
      <c r="AI564" s="1" t="s">
        <v>8790</v>
      </c>
      <c r="AJ564" s="1">
        <v>178.0</v>
      </c>
      <c r="AK564" s="1">
        <v>69.0</v>
      </c>
      <c r="AL564" s="1" t="s">
        <v>9173</v>
      </c>
      <c r="AM564" s="1" t="s">
        <v>9174</v>
      </c>
      <c r="AN564" s="7" t="s">
        <v>9175</v>
      </c>
      <c r="AO564" s="8" t="str">
        <f>HYPERLINK("https://docs.google.com/document/d/1ERMiQzC0Tx3P7mK9XoR42p_Q0QLAxdUZ0p8FgKA0-GA/edit?usp=drivesdk","Al-Wildan 4 Lebak Bulus_Edy Wahyudin_")</f>
        <v>Al-Wildan 4 Lebak Bulus_Edy Wahyudin_</v>
      </c>
      <c r="AP564" s="1" t="s">
        <v>9176</v>
      </c>
    </row>
    <row r="565">
      <c r="A565" s="6">
        <v>44743.402881608796</v>
      </c>
      <c r="B565" s="7" t="s">
        <v>9177</v>
      </c>
      <c r="C565" s="8" t="s">
        <v>9178</v>
      </c>
      <c r="D565" s="1" t="s">
        <v>9179</v>
      </c>
      <c r="E565" s="9" t="s">
        <v>9180</v>
      </c>
      <c r="F565" s="1" t="s">
        <v>9181</v>
      </c>
      <c r="G565" s="1" t="s">
        <v>9182</v>
      </c>
      <c r="H565" s="1" t="s">
        <v>169</v>
      </c>
      <c r="I565" s="9" t="s">
        <v>9183</v>
      </c>
      <c r="J565" s="1" t="s">
        <v>9184</v>
      </c>
      <c r="K565" s="1" t="s">
        <v>151</v>
      </c>
      <c r="L565" s="1" t="s">
        <v>256</v>
      </c>
      <c r="M565" s="1" t="s">
        <v>4954</v>
      </c>
      <c r="N565" s="1" t="s">
        <v>2691</v>
      </c>
      <c r="O565" s="1" t="s">
        <v>236</v>
      </c>
      <c r="P565" s="1" t="s">
        <v>107</v>
      </c>
      <c r="Q565" s="1" t="s">
        <v>1058</v>
      </c>
      <c r="R565" s="1" t="s">
        <v>9185</v>
      </c>
      <c r="S565" s="1" t="s">
        <v>426</v>
      </c>
      <c r="Z565" s="1" t="s">
        <v>9186</v>
      </c>
      <c r="AA565" s="10">
        <v>1000000.0</v>
      </c>
      <c r="AF565" s="10">
        <v>3000000.0</v>
      </c>
      <c r="AH565" s="9" t="s">
        <v>9187</v>
      </c>
      <c r="AI565" s="1" t="s">
        <v>9188</v>
      </c>
      <c r="AJ565" s="1">
        <v>150.0</v>
      </c>
      <c r="AK565" s="1">
        <v>37.0</v>
      </c>
      <c r="AL565" s="1" t="s">
        <v>9189</v>
      </c>
      <c r="AM565" s="1" t="s">
        <v>9190</v>
      </c>
      <c r="AN565" s="7" t="s">
        <v>9191</v>
      </c>
      <c r="AO565" s="8" t="str">
        <f>HYPERLINK("https://docs.google.com/document/d/1zUU-0bumtk0GCf6Iek9xseWWDBR9NpfJPyWSMbwDpT4/edit?usp=drivesdk","Al-Wildan 1 Gading Serpong_Maryati S.Sos.i_Al Quran")</f>
        <v>Al-Wildan 1 Gading Serpong_Maryati S.Sos.i_Al Quran</v>
      </c>
      <c r="AP565" s="1" t="s">
        <v>9192</v>
      </c>
    </row>
    <row r="566">
      <c r="A566" s="6">
        <v>44743.463888715276</v>
      </c>
      <c r="B566" s="7" t="s">
        <v>9193</v>
      </c>
      <c r="C566" s="8" t="s">
        <v>9194</v>
      </c>
      <c r="D566" s="1" t="s">
        <v>9195</v>
      </c>
      <c r="E566" s="9" t="s">
        <v>9196</v>
      </c>
      <c r="F566" s="1" t="s">
        <v>9197</v>
      </c>
      <c r="G566" s="1" t="s">
        <v>9198</v>
      </c>
      <c r="H566" s="1" t="s">
        <v>685</v>
      </c>
      <c r="I566" s="9" t="s">
        <v>9199</v>
      </c>
      <c r="J566" s="1" t="s">
        <v>6719</v>
      </c>
      <c r="K566" s="1" t="s">
        <v>151</v>
      </c>
      <c r="L566" s="1" t="s">
        <v>256</v>
      </c>
      <c r="M566" s="1" t="s">
        <v>104</v>
      </c>
      <c r="N566" s="1" t="s">
        <v>152</v>
      </c>
      <c r="O566" s="1" t="s">
        <v>312</v>
      </c>
      <c r="P566" s="1" t="s">
        <v>6091</v>
      </c>
      <c r="Q566" s="1" t="s">
        <v>440</v>
      </c>
      <c r="R566" s="1" t="s">
        <v>2584</v>
      </c>
      <c r="S566" s="1" t="s">
        <v>1522</v>
      </c>
      <c r="T566" s="1" t="s">
        <v>7223</v>
      </c>
      <c r="U566" s="1" t="s">
        <v>9200</v>
      </c>
      <c r="V566" s="1" t="s">
        <v>1364</v>
      </c>
      <c r="Z566" s="1" t="s">
        <v>9201</v>
      </c>
      <c r="AA566" s="10">
        <v>800000.0</v>
      </c>
      <c r="AB566" s="1" t="s">
        <v>9202</v>
      </c>
      <c r="AC566" s="10">
        <v>2000000.0</v>
      </c>
      <c r="AF566" s="10">
        <v>4500000.0</v>
      </c>
      <c r="AG566" s="1">
        <v>7.99004812E9</v>
      </c>
      <c r="AJ566" s="1">
        <v>159.0</v>
      </c>
      <c r="AK566" s="1">
        <v>53.0</v>
      </c>
      <c r="AL566" s="1" t="s">
        <v>9203</v>
      </c>
      <c r="AM566" s="1" t="s">
        <v>9204</v>
      </c>
      <c r="AN566" s="7" t="s">
        <v>9205</v>
      </c>
      <c r="AO566" s="8" t="str">
        <f>HYPERLINK("https://docs.google.com/document/d/1IXV9REDmv0rotBoPMru3zD1I5AJyslyK1v-eVJqnpfU/edit?usp=drivesdk","Al-Wildan 10 Cipinang, Jakarta Timur_Martika Fitria Damayanti, S.Pd._Bahasa Inggris")</f>
        <v>Al-Wildan 10 Cipinang, Jakarta Timur_Martika Fitria Damayanti, S.Pd._Bahasa Inggris</v>
      </c>
      <c r="AP566" s="1" t="s">
        <v>9206</v>
      </c>
    </row>
    <row r="567">
      <c r="A567" s="6">
        <v>44743.62522821759</v>
      </c>
      <c r="B567" s="7" t="s">
        <v>9207</v>
      </c>
      <c r="C567" s="8" t="s">
        <v>9208</v>
      </c>
      <c r="D567" s="1" t="s">
        <v>9209</v>
      </c>
      <c r="E567" s="9" t="s">
        <v>9210</v>
      </c>
      <c r="F567" s="1" t="s">
        <v>9211</v>
      </c>
      <c r="G567" s="1" t="s">
        <v>9212</v>
      </c>
      <c r="H567" s="1" t="s">
        <v>1255</v>
      </c>
      <c r="I567" s="1">
        <v>2.904199E7</v>
      </c>
      <c r="J567" s="1" t="s">
        <v>9059</v>
      </c>
      <c r="K567" s="1" t="s">
        <v>102</v>
      </c>
      <c r="L567" s="1" t="s">
        <v>103</v>
      </c>
      <c r="M567" s="1" t="s">
        <v>104</v>
      </c>
      <c r="N567" s="1" t="s">
        <v>771</v>
      </c>
      <c r="O567" s="1" t="s">
        <v>312</v>
      </c>
      <c r="P567" s="1" t="s">
        <v>6659</v>
      </c>
      <c r="Q567" s="1" t="s">
        <v>9213</v>
      </c>
      <c r="R567" s="1" t="s">
        <v>5612</v>
      </c>
      <c r="S567" s="1" t="s">
        <v>9214</v>
      </c>
      <c r="T567" s="1" t="s">
        <v>9215</v>
      </c>
      <c r="U567" s="1" t="s">
        <v>9216</v>
      </c>
      <c r="V567" s="1" t="s">
        <v>8452</v>
      </c>
      <c r="Z567" s="1" t="s">
        <v>9217</v>
      </c>
      <c r="AA567" s="10">
        <v>3000000.0</v>
      </c>
      <c r="AB567" s="1" t="s">
        <v>9218</v>
      </c>
      <c r="AC567" s="10">
        <v>6500000.0</v>
      </c>
      <c r="AF567" s="10">
        <v>7500000.0</v>
      </c>
      <c r="AG567" s="1">
        <v>7.622229999E9</v>
      </c>
      <c r="AJ567" s="1">
        <v>151.0</v>
      </c>
      <c r="AK567" s="1">
        <v>75.0</v>
      </c>
      <c r="AL567" s="1" t="s">
        <v>9219</v>
      </c>
      <c r="AM567" s="1" t="s">
        <v>9220</v>
      </c>
      <c r="AN567" s="7" t="s">
        <v>9221</v>
      </c>
      <c r="AO567" s="8" t="str">
        <f>HYPERLINK("https://docs.google.com/document/d/1ecApzvnPJTfD_4ZmcDPqqwcghQcKjxjYRCL1RJ4dA7Y/edit?usp=drivesdk","Al-Wildan 15 Kompas Indah, Tambun Bekasi._Devi Isniawati, S.S., M.M_English")</f>
        <v>Al-Wildan 15 Kompas Indah, Tambun Bekasi._Devi Isniawati, S.S., M.M_English</v>
      </c>
      <c r="AP567" s="1" t="s">
        <v>9222</v>
      </c>
    </row>
    <row r="568">
      <c r="A568" s="6">
        <v>44743.63468582176</v>
      </c>
      <c r="B568" s="7" t="s">
        <v>9223</v>
      </c>
      <c r="C568" s="8" t="s">
        <v>9224</v>
      </c>
      <c r="D568" s="1" t="s">
        <v>9225</v>
      </c>
      <c r="E568" s="9" t="s">
        <v>9226</v>
      </c>
      <c r="F568" s="1" t="s">
        <v>9227</v>
      </c>
      <c r="G568" s="1" t="s">
        <v>148</v>
      </c>
      <c r="H568" s="1" t="s">
        <v>9228</v>
      </c>
      <c r="I568" s="9" t="s">
        <v>9229</v>
      </c>
      <c r="J568" s="1" t="s">
        <v>2851</v>
      </c>
      <c r="K568" s="1" t="s">
        <v>102</v>
      </c>
      <c r="L568" s="1" t="s">
        <v>103</v>
      </c>
      <c r="M568" s="1" t="s">
        <v>104</v>
      </c>
      <c r="N568" s="1" t="s">
        <v>9230</v>
      </c>
      <c r="O568" s="1" t="s">
        <v>312</v>
      </c>
      <c r="P568" s="1" t="s">
        <v>5213</v>
      </c>
      <c r="Q568" s="1" t="s">
        <v>9231</v>
      </c>
      <c r="R568" s="1" t="s">
        <v>9232</v>
      </c>
      <c r="S568" s="1" t="s">
        <v>1730</v>
      </c>
      <c r="Z568" s="1" t="s">
        <v>9233</v>
      </c>
      <c r="AA568" s="10">
        <v>2200000.0</v>
      </c>
      <c r="AF568" s="10">
        <v>4000000.0</v>
      </c>
      <c r="AG568" s="1">
        <v>1.130584206E9</v>
      </c>
      <c r="AJ568" s="1">
        <v>157.0</v>
      </c>
      <c r="AK568" s="1">
        <v>58.0</v>
      </c>
      <c r="AL568" s="1" t="s">
        <v>9234</v>
      </c>
      <c r="AM568" s="1" t="s">
        <v>9235</v>
      </c>
      <c r="AN568" s="7" t="s">
        <v>9236</v>
      </c>
      <c r="AO568" s="8" t="str">
        <f>HYPERLINK("https://docs.google.com/document/d/174ggXQ2fRv-Sp4nXF-ih-eGsXvAqPJpatoWH3Wc75lw/edit?usp=drivesdk","Al-Wildan 2 Bekasi_Ummi Hani,S.Pd _Guru Mata Pelajaran ")</f>
        <v>Al-Wildan 2 Bekasi_Ummi Hani,S.Pd _Guru Mata Pelajaran </v>
      </c>
      <c r="AP568" s="1" t="s">
        <v>9237</v>
      </c>
    </row>
    <row r="569">
      <c r="A569" s="6">
        <v>44744.626158969906</v>
      </c>
      <c r="B569" s="7" t="s">
        <v>9238</v>
      </c>
      <c r="C569" s="8" t="s">
        <v>9239</v>
      </c>
      <c r="D569" s="1" t="s">
        <v>9240</v>
      </c>
      <c r="E569" s="9" t="s">
        <v>9241</v>
      </c>
      <c r="F569" s="1" t="s">
        <v>9242</v>
      </c>
      <c r="G569" s="1" t="s">
        <v>9243</v>
      </c>
      <c r="H569" s="1" t="s">
        <v>1018</v>
      </c>
      <c r="I569" s="9" t="s">
        <v>9244</v>
      </c>
      <c r="J569" s="1" t="s">
        <v>1360</v>
      </c>
      <c r="K569" s="1" t="s">
        <v>102</v>
      </c>
      <c r="L569" s="1" t="s">
        <v>103</v>
      </c>
      <c r="M569" s="1" t="s">
        <v>104</v>
      </c>
      <c r="N569" s="1" t="s">
        <v>152</v>
      </c>
      <c r="O569" s="1" t="s">
        <v>312</v>
      </c>
      <c r="P569" s="1" t="s">
        <v>237</v>
      </c>
      <c r="Q569" s="1" t="s">
        <v>9245</v>
      </c>
      <c r="R569" s="1" t="s">
        <v>172</v>
      </c>
      <c r="S569" s="1" t="s">
        <v>1997</v>
      </c>
      <c r="T569" s="1" t="s">
        <v>217</v>
      </c>
      <c r="U569" s="1" t="s">
        <v>217</v>
      </c>
      <c r="V569" s="1" t="s">
        <v>217</v>
      </c>
      <c r="W569" s="1" t="s">
        <v>217</v>
      </c>
      <c r="X569" s="1" t="s">
        <v>217</v>
      </c>
      <c r="Y569" s="1">
        <v>0.0</v>
      </c>
      <c r="Z569" s="1" t="s">
        <v>9246</v>
      </c>
      <c r="AA569" s="10">
        <v>3000000.0</v>
      </c>
      <c r="AB569" s="1" t="s">
        <v>9247</v>
      </c>
      <c r="AC569" s="10">
        <v>6500000.0</v>
      </c>
      <c r="AD569" s="1" t="s">
        <v>217</v>
      </c>
      <c r="AE569" s="1" t="s">
        <v>217</v>
      </c>
      <c r="AF569" s="10">
        <v>5000000.0</v>
      </c>
      <c r="AG569" s="1">
        <v>0.0</v>
      </c>
      <c r="AH569" s="9" t="s">
        <v>9248</v>
      </c>
      <c r="AI569" s="1" t="s">
        <v>159</v>
      </c>
      <c r="AJ569" s="1">
        <v>152.0</v>
      </c>
      <c r="AK569" s="1">
        <v>51.0</v>
      </c>
      <c r="AL569" s="1" t="s">
        <v>9249</v>
      </c>
      <c r="AM569" s="1" t="s">
        <v>9250</v>
      </c>
      <c r="AN569" s="7" t="s">
        <v>9251</v>
      </c>
      <c r="AO569" s="8" t="str">
        <f>HYPERLINK("https://docs.google.com/document/d/1SUeCqh7unYMPopg6JltFmaii4BLvP3XVKRJEED_LC6U/edit?usp=drivesdk","Al-Wildan 4 Lebak Bulus_Fitria Nunung Sulastri, S.Pd._Bahasa Inggris")</f>
        <v>Al-Wildan 4 Lebak Bulus_Fitria Nunung Sulastri, S.Pd._Bahasa Inggris</v>
      </c>
      <c r="AP569" s="1" t="s">
        <v>9252</v>
      </c>
    </row>
    <row r="570">
      <c r="A570" s="6">
        <v>44745.91691410879</v>
      </c>
      <c r="B570" s="7" t="s">
        <v>9253</v>
      </c>
      <c r="C570" s="8" t="s">
        <v>9254</v>
      </c>
      <c r="D570" s="1" t="s">
        <v>9255</v>
      </c>
      <c r="E570" s="9" t="s">
        <v>9256</v>
      </c>
      <c r="F570" s="1" t="s">
        <v>9257</v>
      </c>
      <c r="G570" s="1" t="s">
        <v>9258</v>
      </c>
      <c r="H570" s="1" t="s">
        <v>99</v>
      </c>
      <c r="I570" s="9" t="s">
        <v>9259</v>
      </c>
      <c r="J570" s="1" t="s">
        <v>9260</v>
      </c>
      <c r="K570" s="1" t="s">
        <v>102</v>
      </c>
      <c r="L570" s="1" t="s">
        <v>103</v>
      </c>
      <c r="M570" s="1" t="s">
        <v>4954</v>
      </c>
      <c r="N570" s="1" t="s">
        <v>9261</v>
      </c>
      <c r="O570" s="1" t="s">
        <v>1202</v>
      </c>
      <c r="P570" s="1" t="s">
        <v>107</v>
      </c>
      <c r="Q570" s="1" t="s">
        <v>291</v>
      </c>
      <c r="R570" s="1" t="s">
        <v>989</v>
      </c>
      <c r="S570" s="1" t="s">
        <v>1612</v>
      </c>
      <c r="T570" s="1" t="s">
        <v>153</v>
      </c>
      <c r="U570" s="1" t="s">
        <v>989</v>
      </c>
      <c r="V570" s="1" t="s">
        <v>2372</v>
      </c>
      <c r="Z570" s="1" t="s">
        <v>9262</v>
      </c>
      <c r="AA570" s="10">
        <v>3000000.0</v>
      </c>
      <c r="AF570" s="10">
        <v>4000000.0</v>
      </c>
      <c r="AG570" s="1">
        <v>1.009876517E9</v>
      </c>
      <c r="AJ570" s="1">
        <v>170.0</v>
      </c>
      <c r="AK570" s="1">
        <v>72.0</v>
      </c>
      <c r="AL570" s="1" t="s">
        <v>9263</v>
      </c>
      <c r="AM570" s="1" t="s">
        <v>9264</v>
      </c>
      <c r="AN570" s="7" t="s">
        <v>9265</v>
      </c>
      <c r="AO570" s="8" t="str">
        <f>HYPERLINK("https://docs.google.com/document/d/1SzRbgPyae4akZO2weZYAU2FfkRCxm7pdQI5ad6kMZXE/edit?usp=drivesdk","Al-Wildan 1 Gading Serpong_Noviani Utami, M.Pd_Kindergarten")</f>
        <v>Al-Wildan 1 Gading Serpong_Noviani Utami, M.Pd_Kindergarten</v>
      </c>
      <c r="AP570" s="1" t="s">
        <v>9266</v>
      </c>
    </row>
    <row r="571">
      <c r="A571" s="6">
        <v>44746.46276953704</v>
      </c>
      <c r="B571" s="7" t="s">
        <v>9267</v>
      </c>
      <c r="C571" s="8" t="s">
        <v>9268</v>
      </c>
      <c r="D571" s="1" t="s">
        <v>9269</v>
      </c>
      <c r="E571" s="9" t="s">
        <v>9270</v>
      </c>
      <c r="F571" s="1" t="s">
        <v>9271</v>
      </c>
      <c r="G571" s="1" t="s">
        <v>9272</v>
      </c>
      <c r="H571" s="1" t="s">
        <v>4139</v>
      </c>
      <c r="I571" s="9" t="s">
        <v>9273</v>
      </c>
      <c r="J571" s="1" t="s">
        <v>9274</v>
      </c>
      <c r="K571" s="1" t="s">
        <v>151</v>
      </c>
      <c r="L571" s="1" t="s">
        <v>103</v>
      </c>
      <c r="M571" s="1" t="s">
        <v>104</v>
      </c>
      <c r="N571" s="1" t="s">
        <v>1275</v>
      </c>
      <c r="O571" s="1" t="s">
        <v>236</v>
      </c>
      <c r="P571" s="1" t="s">
        <v>6187</v>
      </c>
      <c r="Q571" s="1" t="s">
        <v>275</v>
      </c>
      <c r="R571" s="1" t="s">
        <v>1275</v>
      </c>
      <c r="S571" s="1" t="s">
        <v>1680</v>
      </c>
      <c r="T571" s="1" t="s">
        <v>275</v>
      </c>
      <c r="U571" s="1" t="s">
        <v>9275</v>
      </c>
      <c r="V571" s="1" t="s">
        <v>4892</v>
      </c>
      <c r="Z571" s="1" t="s">
        <v>9276</v>
      </c>
      <c r="AA571" s="10">
        <v>7209000.0</v>
      </c>
      <c r="AF571" s="10">
        <v>8500000.0</v>
      </c>
      <c r="AG571" s="1">
        <v>1.060094485E9</v>
      </c>
      <c r="AJ571" s="1">
        <v>172.0</v>
      </c>
      <c r="AK571" s="1">
        <v>70.0</v>
      </c>
      <c r="AL571" s="1" t="s">
        <v>9277</v>
      </c>
      <c r="AM571" s="1" t="s">
        <v>9278</v>
      </c>
      <c r="AN571" s="7" t="s">
        <v>9279</v>
      </c>
      <c r="AO571" s="8" t="str">
        <f>HYPERLINK("https://docs.google.com/document/d/19S5tS93uHjH0aGR_skr_imD7MWROhYAg8WPujNmpuEg/edit?usp=drivesdk","Al-Wildan 14 Bumi Mutiara, Bogor_Risti Sifa' Fadhillah, S.Si, M.Biomed_Biologi")</f>
        <v>Al-Wildan 14 Bumi Mutiara, Bogor_Risti Sifa' Fadhillah, S.Si, M.Biomed_Biologi</v>
      </c>
      <c r="AP571" s="1" t="s">
        <v>9280</v>
      </c>
    </row>
    <row r="572">
      <c r="A572" s="6">
        <v>44746.483578576386</v>
      </c>
      <c r="B572" s="7" t="s">
        <v>9281</v>
      </c>
      <c r="C572" s="8" t="s">
        <v>9282</v>
      </c>
      <c r="D572" s="1" t="s">
        <v>9283</v>
      </c>
      <c r="E572" s="9" t="s">
        <v>9284</v>
      </c>
      <c r="F572" s="1" t="s">
        <v>9285</v>
      </c>
      <c r="G572" s="1" t="s">
        <v>9286</v>
      </c>
      <c r="H572" s="1" t="s">
        <v>99</v>
      </c>
      <c r="I572" s="9" t="s">
        <v>9287</v>
      </c>
      <c r="J572" s="1" t="s">
        <v>9288</v>
      </c>
      <c r="K572" s="1" t="s">
        <v>102</v>
      </c>
      <c r="L572" s="1" t="s">
        <v>103</v>
      </c>
      <c r="M572" s="1" t="s">
        <v>104</v>
      </c>
      <c r="N572" s="1" t="s">
        <v>130</v>
      </c>
      <c r="O572" s="1" t="s">
        <v>106</v>
      </c>
      <c r="P572" s="1" t="s">
        <v>5712</v>
      </c>
      <c r="Q572" s="1" t="s">
        <v>9289</v>
      </c>
      <c r="R572" s="1" t="s">
        <v>130</v>
      </c>
      <c r="S572" s="1" t="s">
        <v>831</v>
      </c>
      <c r="T572" s="1" t="s">
        <v>108</v>
      </c>
      <c r="U572" s="1" t="s">
        <v>130</v>
      </c>
      <c r="V572" s="1" t="s">
        <v>4513</v>
      </c>
      <c r="W572" s="1" t="s">
        <v>217</v>
      </c>
      <c r="X572" s="1" t="s">
        <v>217</v>
      </c>
      <c r="Z572" s="1" t="s">
        <v>9290</v>
      </c>
      <c r="AA572" s="10">
        <v>5500000.0</v>
      </c>
      <c r="AB572" s="1" t="s">
        <v>9291</v>
      </c>
      <c r="AC572" s="10">
        <v>2500000.0</v>
      </c>
      <c r="AF572" s="10">
        <v>8000000.0</v>
      </c>
      <c r="AH572" s="9" t="s">
        <v>9292</v>
      </c>
      <c r="AI572" s="1" t="s">
        <v>9293</v>
      </c>
      <c r="AJ572" s="1">
        <v>165.0</v>
      </c>
      <c r="AK572" s="1">
        <v>65.0</v>
      </c>
      <c r="AL572" s="1" t="s">
        <v>9294</v>
      </c>
      <c r="AM572" s="1" t="s">
        <v>9295</v>
      </c>
      <c r="AN572" s="7" t="s">
        <v>9296</v>
      </c>
      <c r="AO572" s="8" t="str">
        <f>HYPERLINK("https://docs.google.com/document/d/1V7mES7VnoqU3MOJdLMF6QjedurvuJAQc5_49a8kqxvQ/edit?usp=drivesdk","Al-Wildan 3 BSD City_Dwi Yulianto, M.Pd_Pendidikan Matematika")</f>
        <v>Al-Wildan 3 BSD City_Dwi Yulianto, M.Pd_Pendidikan Matematika</v>
      </c>
      <c r="AP572" s="1" t="s">
        <v>9297</v>
      </c>
    </row>
    <row r="573">
      <c r="A573" s="6">
        <v>44746.549794583334</v>
      </c>
      <c r="B573" s="7" t="s">
        <v>9298</v>
      </c>
      <c r="C573" s="8" t="s">
        <v>9299</v>
      </c>
      <c r="D573" s="1" t="s">
        <v>9300</v>
      </c>
      <c r="E573" s="9" t="s">
        <v>9301</v>
      </c>
      <c r="F573" s="1" t="s">
        <v>9302</v>
      </c>
      <c r="G573" s="1" t="s">
        <v>9303</v>
      </c>
      <c r="H573" s="1" t="s">
        <v>1411</v>
      </c>
      <c r="I573" s="9" t="s">
        <v>9304</v>
      </c>
      <c r="J573" s="1" t="s">
        <v>9305</v>
      </c>
      <c r="K573" s="1" t="s">
        <v>151</v>
      </c>
      <c r="L573" s="1" t="s">
        <v>256</v>
      </c>
      <c r="M573" s="1" t="s">
        <v>104</v>
      </c>
      <c r="N573" s="1" t="s">
        <v>9306</v>
      </c>
      <c r="O573" s="1" t="s">
        <v>312</v>
      </c>
      <c r="P573" s="1" t="s">
        <v>6659</v>
      </c>
      <c r="Q573" s="1" t="s">
        <v>9307</v>
      </c>
      <c r="R573" s="1" t="s">
        <v>8565</v>
      </c>
      <c r="S573" s="1" t="s">
        <v>8452</v>
      </c>
      <c r="Z573" s="1" t="s">
        <v>9308</v>
      </c>
      <c r="AA573" s="10">
        <v>1500000.0</v>
      </c>
      <c r="AB573" s="1" t="s">
        <v>9309</v>
      </c>
      <c r="AC573" s="10">
        <v>2500000.0</v>
      </c>
      <c r="AF573" s="10">
        <v>3000000.0</v>
      </c>
      <c r="AH573" s="1">
        <v>4.79401013644537E14</v>
      </c>
      <c r="AI573" s="1" t="s">
        <v>2407</v>
      </c>
      <c r="AJ573" s="1">
        <v>163.0</v>
      </c>
      <c r="AK573" s="1">
        <v>63.0</v>
      </c>
      <c r="AL573" s="1" t="s">
        <v>9310</v>
      </c>
      <c r="AM573" s="1" t="s">
        <v>9311</v>
      </c>
      <c r="AN573" s="7" t="s">
        <v>9312</v>
      </c>
      <c r="AO573" s="8" t="str">
        <f>HYPERLINK("https://docs.google.com/document/d/1CZUZbIM1IE7OVWfFlq_F0unNd2llnfocLAGUc5WYw7k/edit?usp=drivesdk","Al-Wildan 15 Kompas Indah, Tambun Bekasi._Luthfiana Ulfah, S.Pd_PAI English ")</f>
        <v>Al-Wildan 15 Kompas Indah, Tambun Bekasi._Luthfiana Ulfah, S.Pd_PAI English </v>
      </c>
      <c r="AP573" s="1" t="s">
        <v>9313</v>
      </c>
    </row>
    <row r="574">
      <c r="A574" s="6">
        <v>44746.60894913194</v>
      </c>
      <c r="B574" s="7" t="s">
        <v>9314</v>
      </c>
      <c r="C574" s="8" t="s">
        <v>9315</v>
      </c>
      <c r="D574" s="1" t="s">
        <v>9316</v>
      </c>
      <c r="E574" s="9" t="s">
        <v>9317</v>
      </c>
      <c r="F574" s="1" t="s">
        <v>9318</v>
      </c>
      <c r="G574" s="1" t="s">
        <v>9319</v>
      </c>
      <c r="H574" s="1" t="s">
        <v>148</v>
      </c>
      <c r="I574" s="9" t="s">
        <v>9320</v>
      </c>
      <c r="J574" s="1" t="s">
        <v>610</v>
      </c>
      <c r="K574" s="1" t="s">
        <v>102</v>
      </c>
      <c r="L574" s="1" t="s">
        <v>329</v>
      </c>
      <c r="M574" s="1" t="s">
        <v>104</v>
      </c>
      <c r="N574" s="1" t="s">
        <v>126</v>
      </c>
      <c r="O574" s="1" t="s">
        <v>312</v>
      </c>
      <c r="P574" s="1" t="s">
        <v>6659</v>
      </c>
      <c r="Q574" s="1" t="s">
        <v>9321</v>
      </c>
      <c r="R574" s="1" t="s">
        <v>9322</v>
      </c>
      <c r="S574" s="1" t="s">
        <v>931</v>
      </c>
      <c r="Z574" s="1" t="s">
        <v>9323</v>
      </c>
      <c r="AA574" s="10">
        <v>6100000.0</v>
      </c>
      <c r="AF574" s="10">
        <v>6100000.0</v>
      </c>
      <c r="AG574" s="1">
        <v>7.181360547E9</v>
      </c>
      <c r="AJ574" s="1">
        <v>164.0</v>
      </c>
      <c r="AK574" s="1">
        <v>48.0</v>
      </c>
      <c r="AL574" s="1" t="s">
        <v>9324</v>
      </c>
      <c r="AM574" s="1" t="s">
        <v>9325</v>
      </c>
      <c r="AN574" s="7" t="s">
        <v>9326</v>
      </c>
      <c r="AO574" s="8" t="str">
        <f>HYPERLINK("https://docs.google.com/document/d/1vh5Ne2OxHw5XxtJAEazdqcOpV95QtNrQGyjQY7pngjc/edit?usp=drivesdk","Al-Wildan 15 Kompas Indah, Tambun Bekasi._Dinan Fakhrana Ramadhani, S.Si. _Matematika")</f>
        <v>Al-Wildan 15 Kompas Indah, Tambun Bekasi._Dinan Fakhrana Ramadhani, S.Si. _Matematika</v>
      </c>
      <c r="AP574" s="1" t="s">
        <v>9327</v>
      </c>
    </row>
    <row r="575">
      <c r="A575" s="6">
        <v>44746.75406166667</v>
      </c>
      <c r="B575" s="7" t="s">
        <v>9328</v>
      </c>
      <c r="C575" s="8" t="s">
        <v>9329</v>
      </c>
      <c r="D575" s="1" t="s">
        <v>9330</v>
      </c>
      <c r="E575" s="9" t="s">
        <v>9331</v>
      </c>
      <c r="F575" s="1" t="s">
        <v>9332</v>
      </c>
      <c r="G575" s="1" t="s">
        <v>9333</v>
      </c>
      <c r="H575" s="1" t="s">
        <v>148</v>
      </c>
      <c r="I575" s="9" t="s">
        <v>9334</v>
      </c>
      <c r="J575" s="1" t="s">
        <v>9335</v>
      </c>
      <c r="K575" s="1" t="s">
        <v>102</v>
      </c>
      <c r="L575" s="1" t="s">
        <v>103</v>
      </c>
      <c r="M575" s="1" t="s">
        <v>104</v>
      </c>
      <c r="N575" s="1" t="s">
        <v>126</v>
      </c>
      <c r="O575" s="1" t="s">
        <v>236</v>
      </c>
      <c r="P575" s="1" t="s">
        <v>5712</v>
      </c>
      <c r="Z575" s="1" t="s">
        <v>9336</v>
      </c>
      <c r="AA575" s="10">
        <v>7000000.0</v>
      </c>
      <c r="AB575" s="1" t="s">
        <v>9337</v>
      </c>
      <c r="AC575" s="10">
        <v>1.0E7</v>
      </c>
      <c r="AF575" s="10">
        <v>8000000.0</v>
      </c>
      <c r="AG575" s="1">
        <v>7.185315589E9</v>
      </c>
      <c r="AJ575" s="1">
        <v>170.0</v>
      </c>
      <c r="AK575" s="1">
        <v>76.0</v>
      </c>
      <c r="AL575" s="1" t="s">
        <v>9338</v>
      </c>
      <c r="AM575" s="1" t="s">
        <v>9339</v>
      </c>
      <c r="AN575" s="7" t="s">
        <v>9340</v>
      </c>
      <c r="AO575" s="8" t="str">
        <f>HYPERLINK("https://docs.google.com/document/d/1DLgjjAlYQCd3ObzxAwUyYp7wWc1VHyidQCNUJNVDZMU/edit?usp=drivesdk","Al-Wildan 3 BSD City_UTOROADJI TUNGGUL ANGGORO_Matematika")</f>
        <v>Al-Wildan 3 BSD City_UTOROADJI TUNGGUL ANGGORO_Matematika</v>
      </c>
      <c r="AP575" s="1" t="s">
        <v>9341</v>
      </c>
    </row>
    <row r="576">
      <c r="A576" s="6">
        <v>44747.152801759265</v>
      </c>
      <c r="B576" s="7" t="s">
        <v>9342</v>
      </c>
      <c r="C576" s="8" t="s">
        <v>9343</v>
      </c>
      <c r="D576" s="1" t="s">
        <v>9344</v>
      </c>
      <c r="E576" s="9" t="s">
        <v>9345</v>
      </c>
      <c r="F576" s="1" t="s">
        <v>9346</v>
      </c>
      <c r="G576" s="1" t="s">
        <v>9347</v>
      </c>
      <c r="H576" s="1" t="s">
        <v>2689</v>
      </c>
      <c r="I576" s="9" t="s">
        <v>9348</v>
      </c>
      <c r="J576" s="1" t="s">
        <v>645</v>
      </c>
      <c r="K576" s="1" t="s">
        <v>102</v>
      </c>
      <c r="L576" s="1" t="s">
        <v>103</v>
      </c>
      <c r="M576" s="1" t="s">
        <v>104</v>
      </c>
      <c r="N576" s="1" t="s">
        <v>126</v>
      </c>
      <c r="O576" s="1" t="s">
        <v>127</v>
      </c>
      <c r="P576" s="1" t="s">
        <v>5712</v>
      </c>
      <c r="Z576" s="1" t="s">
        <v>9349</v>
      </c>
      <c r="AA576" s="10">
        <v>8115000.0</v>
      </c>
      <c r="AB576" s="1" t="s">
        <v>9350</v>
      </c>
      <c r="AC576" s="10">
        <v>5500000.0</v>
      </c>
      <c r="AF576" s="10">
        <v>5000000.0</v>
      </c>
      <c r="AG576" s="1">
        <v>7.27162604E9</v>
      </c>
      <c r="AI576" s="1" t="s">
        <v>4856</v>
      </c>
      <c r="AJ576" s="1">
        <v>168.0</v>
      </c>
      <c r="AK576" s="1">
        <v>86.0</v>
      </c>
      <c r="AL576" s="1" t="s">
        <v>9351</v>
      </c>
      <c r="AM576" s="1" t="s">
        <v>9352</v>
      </c>
      <c r="AN576" s="7" t="s">
        <v>9353</v>
      </c>
      <c r="AO576" s="8" t="str">
        <f>HYPERLINK("https://docs.google.com/document/d/1GloN4hGUq9jzUTL0-rN5NItC8ZdyGef8e0WS1p04jEs/edit?usp=drivesdk","Al-Wildan 3 BSD City_Aditya Krishna Subagiyo_Matematika")</f>
        <v>Al-Wildan 3 BSD City_Aditya Krishna Subagiyo_Matematika</v>
      </c>
      <c r="AP576" s="1" t="s">
        <v>9354</v>
      </c>
    </row>
    <row r="577">
      <c r="A577" s="6">
        <v>44747.23800576389</v>
      </c>
      <c r="B577" s="7" t="s">
        <v>9355</v>
      </c>
      <c r="C577" s="8" t="s">
        <v>9356</v>
      </c>
      <c r="D577" s="1" t="s">
        <v>9357</v>
      </c>
      <c r="E577" s="9" t="s">
        <v>9358</v>
      </c>
      <c r="F577" s="1" t="s">
        <v>9359</v>
      </c>
      <c r="G577" s="1" t="s">
        <v>9360</v>
      </c>
      <c r="H577" s="1" t="s">
        <v>4905</v>
      </c>
      <c r="I577" s="9" t="s">
        <v>9361</v>
      </c>
      <c r="J577" s="1" t="s">
        <v>6917</v>
      </c>
      <c r="K577" s="1" t="s">
        <v>102</v>
      </c>
      <c r="L577" s="1" t="s">
        <v>103</v>
      </c>
      <c r="M577" s="1" t="s">
        <v>104</v>
      </c>
      <c r="N577" s="1" t="s">
        <v>152</v>
      </c>
      <c r="O577" s="1" t="s">
        <v>1202</v>
      </c>
      <c r="P577" s="1" t="s">
        <v>107</v>
      </c>
      <c r="Q577" s="1" t="s">
        <v>4001</v>
      </c>
      <c r="R577" s="1" t="s">
        <v>172</v>
      </c>
      <c r="S577" s="1">
        <v>3.29</v>
      </c>
      <c r="Z577" s="1" t="s">
        <v>9362</v>
      </c>
      <c r="AA577" s="10">
        <v>3900000.0</v>
      </c>
      <c r="AF577" s="10">
        <v>4500000.0</v>
      </c>
      <c r="AH577" s="1">
        <v>7.295397403E9</v>
      </c>
      <c r="AI577" s="1" t="s">
        <v>222</v>
      </c>
      <c r="AJ577" s="1">
        <v>157.0</v>
      </c>
      <c r="AK577" s="1">
        <v>85.0</v>
      </c>
      <c r="AL577" s="1" t="s">
        <v>9363</v>
      </c>
      <c r="AM577" s="1" t="s">
        <v>9364</v>
      </c>
      <c r="AN577" s="7" t="s">
        <v>9365</v>
      </c>
      <c r="AO577" s="8" t="str">
        <f>HYPERLINK("https://docs.google.com/document/d/1dWsi2S71A9OpYE7IO12-w7usv4I_iH0rQcLYi3NTqk0/edit?usp=drivesdk","Al-Wildan 1 Gading Serpong_Rika Hardianti Tenri, S.Pd._Bahasa Inggris")</f>
        <v>Al-Wildan 1 Gading Serpong_Rika Hardianti Tenri, S.Pd._Bahasa Inggris</v>
      </c>
      <c r="AP577" s="1" t="s">
        <v>9366</v>
      </c>
    </row>
    <row r="578">
      <c r="A578" s="6">
        <v>44748.468687141205</v>
      </c>
      <c r="B578" s="7" t="s">
        <v>9367</v>
      </c>
      <c r="C578" s="8" t="s">
        <v>9368</v>
      </c>
      <c r="D578" s="1" t="s">
        <v>9369</v>
      </c>
      <c r="E578" s="9" t="s">
        <v>9370</v>
      </c>
      <c r="F578" s="1" t="s">
        <v>9371</v>
      </c>
      <c r="G578" s="1" t="s">
        <v>9372</v>
      </c>
      <c r="H578" s="1" t="s">
        <v>1217</v>
      </c>
      <c r="I578" s="9" t="s">
        <v>9373</v>
      </c>
      <c r="J578" s="1" t="s">
        <v>610</v>
      </c>
      <c r="K578" s="1" t="s">
        <v>102</v>
      </c>
      <c r="L578" s="1" t="s">
        <v>827</v>
      </c>
      <c r="M578" s="1" t="s">
        <v>104</v>
      </c>
      <c r="N578" s="1" t="s">
        <v>2769</v>
      </c>
      <c r="O578" s="1" t="s">
        <v>312</v>
      </c>
      <c r="P578" s="1" t="s">
        <v>6091</v>
      </c>
      <c r="Q578" s="1" t="s">
        <v>9374</v>
      </c>
      <c r="R578" s="1" t="s">
        <v>2355</v>
      </c>
      <c r="S578" s="1">
        <v>3.66</v>
      </c>
      <c r="Z578" s="1" t="s">
        <v>9375</v>
      </c>
      <c r="AA578" s="10">
        <v>2900000.0</v>
      </c>
      <c r="AF578" s="10">
        <v>5000000.0</v>
      </c>
      <c r="AH578" s="1">
        <v>2.730004115E9</v>
      </c>
      <c r="AI578" s="1" t="s">
        <v>298</v>
      </c>
      <c r="AJ578" s="1">
        <v>157.0</v>
      </c>
      <c r="AK578" s="1">
        <v>54.0</v>
      </c>
      <c r="AL578" s="1" t="s">
        <v>9376</v>
      </c>
      <c r="AM578" s="1" t="s">
        <v>9377</v>
      </c>
      <c r="AN578" s="7" t="s">
        <v>9378</v>
      </c>
      <c r="AO578" s="8" t="str">
        <f>HYPERLINK("https://docs.google.com/document/d/1rKb84STJHK9kdbz9_dIFv-kgFQFPggSmjGRZiRwcDqw/edit?usp=drivesdk","Al-Wildan 10 Cipinang, Jakarta Timur_Karnilah Spd_Arabic")</f>
        <v>Al-Wildan 10 Cipinang, Jakarta Timur_Karnilah Spd_Arabic</v>
      </c>
      <c r="AP578" s="1" t="s">
        <v>9379</v>
      </c>
    </row>
    <row r="579">
      <c r="A579" s="6">
        <v>44749.686390069444</v>
      </c>
      <c r="B579" s="7" t="s">
        <v>9380</v>
      </c>
      <c r="C579" s="8" t="s">
        <v>9381</v>
      </c>
      <c r="D579" s="1" t="s">
        <v>9382</v>
      </c>
      <c r="E579" s="1" t="s">
        <v>9383</v>
      </c>
      <c r="F579" s="1" t="s">
        <v>9384</v>
      </c>
      <c r="G579" s="1" t="s">
        <v>9385</v>
      </c>
      <c r="H579" s="1" t="s">
        <v>1411</v>
      </c>
      <c r="I579" s="9" t="s">
        <v>9386</v>
      </c>
      <c r="J579" s="1" t="s">
        <v>9387</v>
      </c>
      <c r="K579" s="1" t="s">
        <v>102</v>
      </c>
      <c r="L579" s="1" t="s">
        <v>310</v>
      </c>
      <c r="M579" s="1" t="s">
        <v>104</v>
      </c>
      <c r="N579" s="1" t="s">
        <v>9388</v>
      </c>
      <c r="O579" s="1" t="s">
        <v>127</v>
      </c>
      <c r="P579" s="1" t="s">
        <v>5712</v>
      </c>
      <c r="Q579" s="1" t="s">
        <v>9389</v>
      </c>
      <c r="R579" s="1" t="s">
        <v>9390</v>
      </c>
      <c r="S579" s="1" t="s">
        <v>9391</v>
      </c>
      <c r="T579" s="1" t="s">
        <v>9392</v>
      </c>
      <c r="U579" s="1" t="s">
        <v>2584</v>
      </c>
      <c r="V579" s="1">
        <v>4.0</v>
      </c>
      <c r="Z579" s="1" t="s">
        <v>9393</v>
      </c>
      <c r="AB579" s="1" t="s">
        <v>9394</v>
      </c>
      <c r="AD579" s="1" t="s">
        <v>9395</v>
      </c>
      <c r="AF579" s="1" t="s">
        <v>9396</v>
      </c>
      <c r="AH579" s="9" t="s">
        <v>9397</v>
      </c>
      <c r="AI579" s="1" t="s">
        <v>159</v>
      </c>
      <c r="AJ579" s="1">
        <v>170.0</v>
      </c>
      <c r="AK579" s="1">
        <v>60.0</v>
      </c>
      <c r="AL579" s="1" t="s">
        <v>9398</v>
      </c>
      <c r="AM579" s="1" t="s">
        <v>9399</v>
      </c>
      <c r="AN579" s="7" t="s">
        <v>9400</v>
      </c>
      <c r="AO579" s="8" t="str">
        <f>HYPERLINK("https://docs.google.com/document/d/1f-F61yukPsFRfxQvaCVRKyx8BAP-QKW97yw8zvFdpis/edit?usp=drivesdk","Al-Wildan 3 BSD City_Bentar Nuur Robbikah, S.S., CH., CHt. _English ")</f>
        <v>Al-Wildan 3 BSD City_Bentar Nuur Robbikah, S.S., CH., CHt. _English </v>
      </c>
      <c r="AP579" s="1" t="s">
        <v>9401</v>
      </c>
    </row>
    <row r="580">
      <c r="A580" s="6">
        <v>44749.75525101852</v>
      </c>
      <c r="B580" s="7" t="s">
        <v>9402</v>
      </c>
      <c r="C580" s="8" t="s">
        <v>9403</v>
      </c>
      <c r="D580" s="1" t="s">
        <v>9404</v>
      </c>
      <c r="E580" s="9" t="s">
        <v>9405</v>
      </c>
      <c r="F580" s="1">
        <v>3.17301170882001E15</v>
      </c>
      <c r="G580" s="1" t="s">
        <v>9406</v>
      </c>
      <c r="H580" s="1" t="s">
        <v>169</v>
      </c>
      <c r="I580" s="9" t="s">
        <v>9407</v>
      </c>
      <c r="J580" s="1" t="s">
        <v>9408</v>
      </c>
      <c r="K580" s="1" t="s">
        <v>102</v>
      </c>
      <c r="L580" s="1" t="s">
        <v>310</v>
      </c>
      <c r="M580" s="1" t="s">
        <v>104</v>
      </c>
      <c r="N580" s="1" t="s">
        <v>152</v>
      </c>
      <c r="O580" s="1" t="s">
        <v>106</v>
      </c>
      <c r="P580" s="1" t="s">
        <v>5712</v>
      </c>
      <c r="Q580" s="1" t="s">
        <v>9409</v>
      </c>
      <c r="R580" s="1" t="s">
        <v>5612</v>
      </c>
      <c r="S580" s="1" t="s">
        <v>4021</v>
      </c>
      <c r="T580" s="1" t="s">
        <v>9409</v>
      </c>
      <c r="U580" s="1" t="s">
        <v>6155</v>
      </c>
      <c r="V580" s="1" t="s">
        <v>2032</v>
      </c>
      <c r="Z580" s="1" t="s">
        <v>9410</v>
      </c>
      <c r="AA580" s="10">
        <v>5000000.0</v>
      </c>
      <c r="AB580" s="1" t="s">
        <v>9411</v>
      </c>
      <c r="AC580" s="10">
        <v>1.0E7</v>
      </c>
      <c r="AD580" s="1" t="s">
        <v>9412</v>
      </c>
      <c r="AE580" s="10">
        <v>5000000.0</v>
      </c>
      <c r="AF580" s="10">
        <v>1.1E7</v>
      </c>
      <c r="AH580" s="1">
        <v>6.470183282E9</v>
      </c>
      <c r="AI580" s="1" t="s">
        <v>222</v>
      </c>
      <c r="AJ580" s="1">
        <v>170.0</v>
      </c>
      <c r="AK580" s="1">
        <v>80.0</v>
      </c>
      <c r="AL580" s="1" t="s">
        <v>9413</v>
      </c>
      <c r="AM580" s="1" t="s">
        <v>9414</v>
      </c>
      <c r="AN580" s="7" t="s">
        <v>9415</v>
      </c>
      <c r="AO580" s="8" t="str">
        <f>HYPERLINK("https://docs.google.com/document/d/1ehYFoWVIrgBevcElLSWaHPN1a9VZx4JZlysYtFCUdAM/edit?usp=drivesdk","Al-Wildan 3 BSD City_Agus Necholase, SS., MM._Bahasa Inggris")</f>
        <v>Al-Wildan 3 BSD City_Agus Necholase, SS., MM._Bahasa Inggris</v>
      </c>
      <c r="AP580" s="1" t="s">
        <v>9416</v>
      </c>
    </row>
    <row r="581">
      <c r="A581" s="6">
        <v>44749.838277187504</v>
      </c>
      <c r="B581" s="7" t="s">
        <v>9417</v>
      </c>
      <c r="C581" s="8" t="s">
        <v>9418</v>
      </c>
      <c r="D581" s="1" t="s">
        <v>9419</v>
      </c>
      <c r="E581" s="1" t="s">
        <v>9420</v>
      </c>
      <c r="F581" s="1" t="s">
        <v>9421</v>
      </c>
      <c r="G581" s="1" t="s">
        <v>1555</v>
      </c>
      <c r="H581" s="1" t="s">
        <v>9422</v>
      </c>
      <c r="I581" s="9" t="s">
        <v>9423</v>
      </c>
      <c r="J581" s="1" t="s">
        <v>533</v>
      </c>
      <c r="K581" s="1" t="s">
        <v>151</v>
      </c>
      <c r="L581" s="1" t="s">
        <v>103</v>
      </c>
      <c r="M581" s="1" t="s">
        <v>104</v>
      </c>
      <c r="N581" s="1" t="s">
        <v>152</v>
      </c>
      <c r="O581" s="1" t="s">
        <v>127</v>
      </c>
      <c r="P581" s="1" t="s">
        <v>7991</v>
      </c>
      <c r="Q581" s="1" t="s">
        <v>7410</v>
      </c>
      <c r="R581" s="1" t="s">
        <v>172</v>
      </c>
      <c r="S581" s="1">
        <v>3.78</v>
      </c>
      <c r="Z581" s="1" t="s">
        <v>9424</v>
      </c>
      <c r="AA581" s="12">
        <v>2000000.0</v>
      </c>
      <c r="AB581" s="1" t="s">
        <v>9425</v>
      </c>
      <c r="AC581" s="1" t="s">
        <v>9426</v>
      </c>
      <c r="AD581" s="1" t="s">
        <v>9427</v>
      </c>
      <c r="AE581" s="12">
        <v>1000000.0</v>
      </c>
      <c r="AF581" s="1" t="s">
        <v>9428</v>
      </c>
      <c r="AG581" s="1">
        <v>9.69749695E9</v>
      </c>
      <c r="AJ581" s="1">
        <v>155.0</v>
      </c>
      <c r="AK581" s="1">
        <v>56.0</v>
      </c>
      <c r="AL581" s="1" t="s">
        <v>9429</v>
      </c>
      <c r="AM581" s="1" t="s">
        <v>9430</v>
      </c>
      <c r="AN581" s="7" t="s">
        <v>9431</v>
      </c>
      <c r="AO581" s="8" t="str">
        <f>HYPERLINK("https://docs.google.com/document/d/1B7vsNIm88_jNDJb38_IYywOflpeToJSgoyG4i-XEA3c/edit?usp=drivesdk","Al-Wildan 12 Bulak Kapal, Bekasi_Annisa_Bahasa Inggris")</f>
        <v>Al-Wildan 12 Bulak Kapal, Bekasi_Annisa_Bahasa Inggris</v>
      </c>
      <c r="AP581" s="1" t="s">
        <v>9432</v>
      </c>
    </row>
    <row r="582">
      <c r="A582" s="6">
        <v>44750.36159518518</v>
      </c>
      <c r="B582" s="7" t="s">
        <v>9433</v>
      </c>
      <c r="C582" s="8" t="s">
        <v>9434</v>
      </c>
      <c r="D582" s="1" t="s">
        <v>9435</v>
      </c>
      <c r="E582" s="9" t="s">
        <v>9436</v>
      </c>
      <c r="F582" s="1" t="s">
        <v>9437</v>
      </c>
      <c r="G582" s="1" t="s">
        <v>9438</v>
      </c>
      <c r="H582" s="1" t="s">
        <v>1003</v>
      </c>
      <c r="I582" s="9" t="s">
        <v>9439</v>
      </c>
      <c r="J582" s="1" t="s">
        <v>9440</v>
      </c>
      <c r="K582" s="1" t="s">
        <v>102</v>
      </c>
      <c r="L582" s="1" t="s">
        <v>103</v>
      </c>
      <c r="M582" s="1" t="s">
        <v>104</v>
      </c>
      <c r="N582" s="1" t="s">
        <v>9441</v>
      </c>
      <c r="O582" s="1" t="s">
        <v>236</v>
      </c>
      <c r="P582" s="1" t="s">
        <v>5712</v>
      </c>
      <c r="Q582" s="1" t="s">
        <v>9442</v>
      </c>
      <c r="R582" s="1" t="s">
        <v>9443</v>
      </c>
      <c r="S582" s="1" t="s">
        <v>9444</v>
      </c>
      <c r="T582" s="1" t="s">
        <v>9445</v>
      </c>
      <c r="U582" s="1" t="s">
        <v>9446</v>
      </c>
      <c r="V582" s="1">
        <v>3.55</v>
      </c>
      <c r="Z582" s="1" t="s">
        <v>9447</v>
      </c>
      <c r="AA582" s="10">
        <v>4500000.0</v>
      </c>
      <c r="AB582" s="1" t="s">
        <v>9448</v>
      </c>
      <c r="AC582" s="10">
        <v>3500000.0</v>
      </c>
      <c r="AD582" s="1" t="s">
        <v>9449</v>
      </c>
      <c r="AE582" s="10">
        <v>3500000.0</v>
      </c>
      <c r="AF582" s="10">
        <v>7000000.0</v>
      </c>
      <c r="AG582" s="1">
        <v>3.94614954E9</v>
      </c>
      <c r="AI582" s="1" t="s">
        <v>9450</v>
      </c>
      <c r="AJ582" s="1">
        <v>165.0</v>
      </c>
      <c r="AK582" s="1">
        <v>60.0</v>
      </c>
      <c r="AL582" s="1" t="s">
        <v>9451</v>
      </c>
      <c r="AM582" s="1" t="s">
        <v>9452</v>
      </c>
      <c r="AN582" s="7" t="s">
        <v>9453</v>
      </c>
      <c r="AO582" s="8" t="str">
        <f>HYPERLINK("https://docs.google.com/document/d/1G3rXyPaWas56dNpdEnBWO5G3O2ikodii37B18ergiBg/edit?usp=drivesdk","Al-Wildan 3 BSD City_Mugiriyanto, S. Pd., M. Pd. _Guru Bahasa Indonesia")</f>
        <v>Al-Wildan 3 BSD City_Mugiriyanto, S. Pd., M. Pd. _Guru Bahasa Indonesia</v>
      </c>
      <c r="AP582" s="1" t="s">
        <v>9454</v>
      </c>
    </row>
    <row r="583">
      <c r="A583" s="6">
        <v>44750.37117427083</v>
      </c>
      <c r="B583" s="7" t="s">
        <v>9455</v>
      </c>
      <c r="C583" s="8" t="s">
        <v>9456</v>
      </c>
      <c r="D583" s="1" t="s">
        <v>9457</v>
      </c>
      <c r="E583" s="9" t="s">
        <v>9458</v>
      </c>
      <c r="F583" s="1" t="s">
        <v>9459</v>
      </c>
      <c r="G583" s="1" t="s">
        <v>9460</v>
      </c>
      <c r="H583" s="1" t="s">
        <v>4092</v>
      </c>
      <c r="I583" s="9" t="s">
        <v>9461</v>
      </c>
      <c r="J583" s="1" t="s">
        <v>5428</v>
      </c>
      <c r="K583" s="1" t="s">
        <v>102</v>
      </c>
      <c r="L583" s="1" t="s">
        <v>103</v>
      </c>
      <c r="M583" s="1" t="s">
        <v>104</v>
      </c>
      <c r="N583" s="1" t="s">
        <v>152</v>
      </c>
      <c r="O583" s="1" t="s">
        <v>127</v>
      </c>
      <c r="P583" s="1" t="s">
        <v>7991</v>
      </c>
      <c r="Q583" s="1" t="s">
        <v>9462</v>
      </c>
      <c r="R583" s="1" t="s">
        <v>172</v>
      </c>
      <c r="S583" s="1" t="s">
        <v>4892</v>
      </c>
      <c r="T583" s="1" t="s">
        <v>108</v>
      </c>
      <c r="U583" s="1" t="s">
        <v>9463</v>
      </c>
      <c r="V583" s="1" t="s">
        <v>1060</v>
      </c>
      <c r="W583" s="1" t="s">
        <v>217</v>
      </c>
      <c r="X583" s="1" t="s">
        <v>217</v>
      </c>
      <c r="Z583" s="1" t="s">
        <v>9464</v>
      </c>
      <c r="AA583" s="1" t="s">
        <v>9465</v>
      </c>
      <c r="AF583" s="1" t="s">
        <v>9466</v>
      </c>
      <c r="AJ583" s="1">
        <v>165.0</v>
      </c>
      <c r="AK583" s="1">
        <v>85.0</v>
      </c>
      <c r="AL583" s="1" t="s">
        <v>9467</v>
      </c>
      <c r="AM583" s="1" t="s">
        <v>9468</v>
      </c>
      <c r="AN583" s="7" t="s">
        <v>9469</v>
      </c>
      <c r="AO583" s="8" t="str">
        <f>HYPERLINK("https://docs.google.com/document/d/1xloGRWYy1Xv3HNLbi2w-IfJRjOI_PRTRb7w-rc4NG-0/edit?usp=drivesdk","Al-Wildan 12 Bulak Kapal, Bekasi_Arfierahman, S.Pd, M.Pd._Bahasa Inggris")</f>
        <v>Al-Wildan 12 Bulak Kapal, Bekasi_Arfierahman, S.Pd, M.Pd._Bahasa Inggris</v>
      </c>
      <c r="AP583" s="1" t="s">
        <v>9470</v>
      </c>
    </row>
    <row r="584">
      <c r="A584" s="6">
        <v>44750.61581019676</v>
      </c>
      <c r="B584" s="7" t="s">
        <v>9471</v>
      </c>
      <c r="C584" s="8" t="s">
        <v>9472</v>
      </c>
      <c r="D584" s="1" t="s">
        <v>9473</v>
      </c>
      <c r="E584" s="9" t="s">
        <v>9474</v>
      </c>
      <c r="F584" s="1" t="s">
        <v>9475</v>
      </c>
      <c r="G584" s="1" t="s">
        <v>9476</v>
      </c>
      <c r="H584" s="1" t="s">
        <v>7578</v>
      </c>
      <c r="I584" s="9" t="s">
        <v>9477</v>
      </c>
      <c r="J584" s="1" t="s">
        <v>2737</v>
      </c>
      <c r="K584" s="1" t="s">
        <v>151</v>
      </c>
      <c r="L584" s="1" t="s">
        <v>103</v>
      </c>
      <c r="M584" s="1" t="s">
        <v>104</v>
      </c>
      <c r="N584" s="1" t="s">
        <v>9478</v>
      </c>
      <c r="O584" s="1" t="s">
        <v>312</v>
      </c>
      <c r="P584" s="1" t="s">
        <v>237</v>
      </c>
      <c r="Q584" s="1" t="s">
        <v>6335</v>
      </c>
      <c r="R584" s="1" t="s">
        <v>552</v>
      </c>
      <c r="S584" s="1" t="s">
        <v>9479</v>
      </c>
      <c r="Z584" s="1" t="s">
        <v>9480</v>
      </c>
      <c r="AA584" s="10">
        <v>5000000.0</v>
      </c>
      <c r="AB584" s="1" t="s">
        <v>9481</v>
      </c>
      <c r="AC584" s="10">
        <v>1500000.0</v>
      </c>
      <c r="AF584" s="10">
        <v>7000000.0</v>
      </c>
      <c r="AH584" s="1">
        <v>8.420840072E9</v>
      </c>
      <c r="AI584" s="1" t="s">
        <v>222</v>
      </c>
      <c r="AJ584" s="1">
        <v>150.0</v>
      </c>
      <c r="AK584" s="1">
        <v>46.0</v>
      </c>
      <c r="AL584" s="1" t="s">
        <v>9482</v>
      </c>
      <c r="AM584" s="1" t="s">
        <v>9483</v>
      </c>
      <c r="AN584" s="7" t="s">
        <v>9484</v>
      </c>
      <c r="AO584" s="8" t="str">
        <f>HYPERLINK("https://docs.google.com/document/d/1EJIEKc5qyz5ugs7clzg4kEm_hsfNkmfBJIkl6gMlZVg/edit?usp=drivesdk","Al-Wildan 4 Lebak Bulus_Annisa Fitri Nur Hanifah, S.Si_Mathematics")</f>
        <v>Al-Wildan 4 Lebak Bulus_Annisa Fitri Nur Hanifah, S.Si_Mathematics</v>
      </c>
      <c r="AP584" s="1" t="s">
        <v>9485</v>
      </c>
    </row>
    <row r="585">
      <c r="A585" s="6">
        <v>44750.74402017361</v>
      </c>
      <c r="B585" s="7" t="s">
        <v>9486</v>
      </c>
      <c r="C585" s="8" t="s">
        <v>9487</v>
      </c>
      <c r="D585" s="1" t="s">
        <v>9488</v>
      </c>
      <c r="E585" s="9" t="s">
        <v>9489</v>
      </c>
      <c r="F585" s="1" t="s">
        <v>9490</v>
      </c>
      <c r="G585" s="1" t="s">
        <v>9491</v>
      </c>
      <c r="H585" s="1" t="s">
        <v>169</v>
      </c>
      <c r="I585" s="9" t="s">
        <v>9492</v>
      </c>
      <c r="J585" s="1" t="s">
        <v>6658</v>
      </c>
      <c r="K585" s="1" t="s">
        <v>151</v>
      </c>
      <c r="L585" s="1" t="s">
        <v>310</v>
      </c>
      <c r="M585" s="1" t="s">
        <v>104</v>
      </c>
      <c r="N585" s="1" t="s">
        <v>126</v>
      </c>
      <c r="O585" s="1" t="s">
        <v>236</v>
      </c>
      <c r="P585" s="1" t="s">
        <v>237</v>
      </c>
      <c r="Q585" s="1" t="s">
        <v>9493</v>
      </c>
      <c r="R585" s="1" t="s">
        <v>552</v>
      </c>
      <c r="S585" s="1">
        <v>3.79</v>
      </c>
      <c r="Z585" s="1" t="s">
        <v>9494</v>
      </c>
      <c r="AA585" s="1" t="s">
        <v>9495</v>
      </c>
      <c r="AB585" s="1" t="s">
        <v>9496</v>
      </c>
      <c r="AC585" s="10">
        <v>3000000.0</v>
      </c>
      <c r="AF585" s="10">
        <v>7000000.0</v>
      </c>
      <c r="AG585" s="1">
        <v>7.118640203E9</v>
      </c>
      <c r="AJ585" s="1">
        <v>172.0</v>
      </c>
      <c r="AK585" s="1">
        <v>100.0</v>
      </c>
      <c r="AL585" s="1" t="s">
        <v>9497</v>
      </c>
      <c r="AM585" s="1" t="s">
        <v>9498</v>
      </c>
      <c r="AN585" s="7" t="s">
        <v>9499</v>
      </c>
      <c r="AO585" s="8" t="str">
        <f>HYPERLINK("https://docs.google.com/document/d/1QgD-3gnEu9RZFVY6Kk4mZ-WmfHWZGndMq_xn1Yk3PHs/edit?usp=drivesdk","Al-Wildan 4 Lebak Bulus_Alvin Dior Al Ghifari, S.Si._Matematika")</f>
        <v>Al-Wildan 4 Lebak Bulus_Alvin Dior Al Ghifari, S.Si._Matematika</v>
      </c>
      <c r="AP585" s="1" t="s">
        <v>9500</v>
      </c>
    </row>
    <row r="586">
      <c r="A586" s="6">
        <v>44750.96769265046</v>
      </c>
      <c r="B586" s="7" t="s">
        <v>9501</v>
      </c>
      <c r="C586" s="8" t="s">
        <v>9502</v>
      </c>
      <c r="D586" s="1" t="s">
        <v>9503</v>
      </c>
      <c r="E586" s="9" t="s">
        <v>9504</v>
      </c>
      <c r="F586" s="1">
        <v>3.27508460291001E15</v>
      </c>
      <c r="G586" s="1" t="s">
        <v>9505</v>
      </c>
      <c r="H586" s="1" t="s">
        <v>169</v>
      </c>
      <c r="I586" s="9" t="s">
        <v>9506</v>
      </c>
      <c r="J586" s="1" t="s">
        <v>2111</v>
      </c>
      <c r="K586" s="1" t="s">
        <v>151</v>
      </c>
      <c r="L586" s="1" t="s">
        <v>256</v>
      </c>
      <c r="M586" s="1" t="s">
        <v>104</v>
      </c>
      <c r="N586" s="1" t="s">
        <v>9507</v>
      </c>
      <c r="O586" s="1" t="s">
        <v>127</v>
      </c>
      <c r="P586" s="1" t="s">
        <v>6091</v>
      </c>
      <c r="Q586" s="1" t="s">
        <v>3090</v>
      </c>
      <c r="R586" s="1" t="s">
        <v>9508</v>
      </c>
      <c r="S586" s="1" t="s">
        <v>6437</v>
      </c>
      <c r="T586" s="1" t="s">
        <v>9509</v>
      </c>
      <c r="U586" s="1" t="s">
        <v>9510</v>
      </c>
      <c r="V586" s="1" t="s">
        <v>9511</v>
      </c>
      <c r="Z586" s="1" t="s">
        <v>9512</v>
      </c>
      <c r="AA586" s="10">
        <v>8400000.0</v>
      </c>
      <c r="AB586" s="1" t="s">
        <v>9513</v>
      </c>
      <c r="AC586" s="10">
        <v>7500000.0</v>
      </c>
      <c r="AF586" s="1" t="s">
        <v>9514</v>
      </c>
      <c r="AG586" s="1">
        <v>1.021196537E9</v>
      </c>
      <c r="AJ586" s="1">
        <v>162.0</v>
      </c>
      <c r="AK586" s="1">
        <v>61.0</v>
      </c>
      <c r="AL586" s="1" t="s">
        <v>9515</v>
      </c>
      <c r="AM586" s="1" t="s">
        <v>9516</v>
      </c>
      <c r="AN586" s="7" t="s">
        <v>9517</v>
      </c>
      <c r="AO586" s="8" t="str">
        <f>HYPERLINK("https://docs.google.com/document/d/1rBAjHup8LARWxrzO6Wb2v5vO6aHOWokUUVzAZWtd51w/edit?usp=drivesdk","Al-Wildan 10 Cipinang, Jakarta Timur_Andrea Lestari Wibowo, S.S._Bahasa Inggris (English)")</f>
        <v>Al-Wildan 10 Cipinang, Jakarta Timur_Andrea Lestari Wibowo, S.S._Bahasa Inggris (English)</v>
      </c>
      <c r="AP586" s="1" t="s">
        <v>9518</v>
      </c>
    </row>
    <row r="587">
      <c r="A587" s="6">
        <v>44755.3282615625</v>
      </c>
      <c r="B587" s="7" t="s">
        <v>9519</v>
      </c>
      <c r="C587" s="8" t="s">
        <v>9520</v>
      </c>
      <c r="D587" s="1" t="s">
        <v>9521</v>
      </c>
      <c r="E587" s="9" t="s">
        <v>9522</v>
      </c>
      <c r="F587" s="1" t="s">
        <v>9523</v>
      </c>
      <c r="G587" s="1" t="s">
        <v>9524</v>
      </c>
      <c r="H587" s="1" t="s">
        <v>9525</v>
      </c>
      <c r="I587" s="9" t="s">
        <v>9526</v>
      </c>
      <c r="J587" s="1" t="s">
        <v>6623</v>
      </c>
      <c r="K587" s="1" t="s">
        <v>151</v>
      </c>
      <c r="L587" s="1" t="s">
        <v>310</v>
      </c>
      <c r="M587" s="1" t="s">
        <v>104</v>
      </c>
      <c r="N587" s="1" t="s">
        <v>4312</v>
      </c>
      <c r="O587" s="1" t="s">
        <v>312</v>
      </c>
      <c r="P587" s="1" t="s">
        <v>107</v>
      </c>
      <c r="Q587" s="1" t="s">
        <v>9527</v>
      </c>
      <c r="R587" s="1" t="s">
        <v>9528</v>
      </c>
      <c r="S587" s="1" t="s">
        <v>9529</v>
      </c>
      <c r="Z587" s="1" t="s">
        <v>9530</v>
      </c>
      <c r="AA587" s="10">
        <v>5600000.0</v>
      </c>
      <c r="AF587" s="10">
        <v>6000000.0</v>
      </c>
      <c r="AG587" s="1">
        <v>5.66671431E9</v>
      </c>
      <c r="AJ587" s="1">
        <v>168.0</v>
      </c>
      <c r="AK587" s="1">
        <v>48.0</v>
      </c>
      <c r="AL587" s="1" t="s">
        <v>9531</v>
      </c>
      <c r="AM587" s="1" t="s">
        <v>9532</v>
      </c>
      <c r="AN587" s="7" t="s">
        <v>9533</v>
      </c>
      <c r="AO587" s="8" t="str">
        <f>HYPERLINK("https://docs.google.com/document/d/1dZ8Fq64EPdN8IzCkaM-QgceYgy3cTkDnk038OMc-qso/edit?usp=drivesdk","Al-Wildan 1 Gading Serpong_Kesya Adhalia Ganinduto S. Psi_Science")</f>
        <v>Al-Wildan 1 Gading Serpong_Kesya Adhalia Ganinduto S. Psi_Science</v>
      </c>
      <c r="AP587" s="1" t="s">
        <v>9534</v>
      </c>
    </row>
    <row r="588">
      <c r="A588" s="6">
        <v>44755.39611572916</v>
      </c>
      <c r="B588" s="7" t="s">
        <v>9535</v>
      </c>
      <c r="C588" s="8" t="s">
        <v>9536</v>
      </c>
      <c r="D588" s="1" t="s">
        <v>9537</v>
      </c>
      <c r="E588" s="9" t="s">
        <v>9538</v>
      </c>
      <c r="F588" s="1" t="s">
        <v>9539</v>
      </c>
      <c r="G588" s="1" t="s">
        <v>9540</v>
      </c>
      <c r="H588" s="1" t="s">
        <v>2244</v>
      </c>
      <c r="I588" s="9" t="s">
        <v>9541</v>
      </c>
      <c r="J588" s="1" t="s">
        <v>9542</v>
      </c>
      <c r="K588" s="1" t="s">
        <v>151</v>
      </c>
      <c r="L588" s="1" t="s">
        <v>256</v>
      </c>
      <c r="M588" s="1" t="s">
        <v>104</v>
      </c>
      <c r="N588" s="1" t="s">
        <v>152</v>
      </c>
      <c r="O588" s="1" t="s">
        <v>106</v>
      </c>
      <c r="P588" s="1" t="s">
        <v>237</v>
      </c>
      <c r="Q588" s="1" t="s">
        <v>9543</v>
      </c>
      <c r="S588" s="1" t="s">
        <v>155</v>
      </c>
      <c r="Z588" s="1" t="s">
        <v>9544</v>
      </c>
      <c r="AA588" s="10">
        <v>4500000.0</v>
      </c>
      <c r="AF588" s="10">
        <v>6000000.0</v>
      </c>
      <c r="AH588" s="1">
        <v>1.057954078E9</v>
      </c>
      <c r="AI588" s="1" t="s">
        <v>9545</v>
      </c>
      <c r="AJ588" s="1">
        <v>155.0</v>
      </c>
      <c r="AK588" s="1">
        <v>43.0</v>
      </c>
      <c r="AL588" s="1" t="s">
        <v>9546</v>
      </c>
      <c r="AM588" s="1" t="s">
        <v>9547</v>
      </c>
      <c r="AN588" s="7" t="s">
        <v>9548</v>
      </c>
      <c r="AO588" s="8" t="str">
        <f>HYPERLINK("https://docs.google.com/document/d/1YNW6aw3GlZHX-Uj7ngL9IAjyogxmFQ33_lWKYYTICjg/edit?usp=drivesdk","Al-Wildan 4 Lebak Bulus_Hanifa Diba Widjaya, S. Hum._Bahasa Inggris")</f>
        <v>Al-Wildan 4 Lebak Bulus_Hanifa Diba Widjaya, S. Hum._Bahasa Inggris</v>
      </c>
      <c r="AP588" s="1" t="s">
        <v>9549</v>
      </c>
    </row>
    <row r="589">
      <c r="A589" s="6">
        <v>44755.45338076389</v>
      </c>
      <c r="B589" s="7" t="s">
        <v>9550</v>
      </c>
      <c r="C589" s="8" t="s">
        <v>9551</v>
      </c>
      <c r="D589" s="1" t="s">
        <v>9552</v>
      </c>
      <c r="E589" s="1">
        <v>8.5729761722E10</v>
      </c>
      <c r="F589" s="1" t="s">
        <v>9553</v>
      </c>
      <c r="G589" s="1" t="s">
        <v>9554</v>
      </c>
      <c r="H589" s="1" t="s">
        <v>768</v>
      </c>
      <c r="I589" s="9" t="s">
        <v>9555</v>
      </c>
      <c r="J589" s="1" t="s">
        <v>7117</v>
      </c>
      <c r="K589" s="1" t="s">
        <v>151</v>
      </c>
      <c r="L589" s="1" t="s">
        <v>103</v>
      </c>
      <c r="M589" s="1" t="s">
        <v>104</v>
      </c>
      <c r="N589" s="1" t="s">
        <v>9556</v>
      </c>
      <c r="O589" s="1" t="s">
        <v>236</v>
      </c>
      <c r="P589" s="1" t="s">
        <v>5712</v>
      </c>
      <c r="Q589" s="1" t="s">
        <v>9557</v>
      </c>
      <c r="R589" s="1" t="s">
        <v>130</v>
      </c>
      <c r="S589" s="1" t="s">
        <v>592</v>
      </c>
      <c r="Z589" s="1" t="s">
        <v>9558</v>
      </c>
      <c r="AA589" s="1">
        <v>4800000.0</v>
      </c>
      <c r="AB589" s="1" t="s">
        <v>9559</v>
      </c>
      <c r="AC589" s="1">
        <v>5500000.0</v>
      </c>
      <c r="AJ589" s="1">
        <v>174.0</v>
      </c>
      <c r="AK589" s="1">
        <v>74.0</v>
      </c>
      <c r="AL589" s="1" t="s">
        <v>9560</v>
      </c>
      <c r="AM589" s="1" t="s">
        <v>9561</v>
      </c>
      <c r="AN589" s="7" t="s">
        <v>9562</v>
      </c>
      <c r="AO589" s="8" t="str">
        <f>HYPERLINK("https://docs.google.com/document/d/1wILWM1_tYSXF2p6jcgFWlT2oIIMFijxEM9wl6BCMZ8k/edit?usp=drivesdk","Al-Wildan 3 BSD City_ADHIE LEGOWO, SP.d._Math cambridge")</f>
        <v>Al-Wildan 3 BSD City_ADHIE LEGOWO, SP.d._Math cambridge</v>
      </c>
      <c r="AP589" s="1" t="s">
        <v>9563</v>
      </c>
    </row>
    <row r="590">
      <c r="A590" s="6">
        <v>44755.51070658564</v>
      </c>
      <c r="B590" s="7" t="s">
        <v>9564</v>
      </c>
      <c r="C590" s="8" t="s">
        <v>9565</v>
      </c>
      <c r="D590" s="1" t="s">
        <v>9566</v>
      </c>
      <c r="E590" s="9" t="s">
        <v>9567</v>
      </c>
      <c r="F590" s="1" t="s">
        <v>9568</v>
      </c>
      <c r="G590" s="1" t="s">
        <v>9569</v>
      </c>
      <c r="H590" s="1" t="s">
        <v>1411</v>
      </c>
      <c r="I590" s="9" t="s">
        <v>9570</v>
      </c>
      <c r="J590" s="1" t="s">
        <v>9571</v>
      </c>
      <c r="K590" s="1" t="s">
        <v>102</v>
      </c>
      <c r="L590" s="1" t="s">
        <v>103</v>
      </c>
      <c r="M590" s="1" t="s">
        <v>104</v>
      </c>
      <c r="N590" s="1" t="s">
        <v>152</v>
      </c>
      <c r="O590" s="1" t="s">
        <v>106</v>
      </c>
      <c r="P590" s="1" t="s">
        <v>5712</v>
      </c>
      <c r="Q590" s="1" t="s">
        <v>9572</v>
      </c>
      <c r="R590" s="1" t="s">
        <v>2584</v>
      </c>
      <c r="S590" s="1" t="s">
        <v>1522</v>
      </c>
      <c r="Z590" s="1" t="s">
        <v>9573</v>
      </c>
      <c r="AA590" s="10">
        <v>5000000.0</v>
      </c>
      <c r="AB590" s="1" t="s">
        <v>9574</v>
      </c>
      <c r="AC590" s="10">
        <v>5800000.0</v>
      </c>
      <c r="AD590" s="1" t="s">
        <v>9575</v>
      </c>
      <c r="AE590" s="10">
        <v>5000000.0</v>
      </c>
      <c r="AF590" s="10">
        <v>5500000.0</v>
      </c>
      <c r="AH590" s="1">
        <v>2.88173366E9</v>
      </c>
      <c r="AI590" s="1" t="s">
        <v>222</v>
      </c>
      <c r="AJ590" s="1">
        <v>170.0</v>
      </c>
      <c r="AK590" s="1">
        <v>60.0</v>
      </c>
      <c r="AL590" s="1" t="s">
        <v>9576</v>
      </c>
      <c r="AM590" s="1" t="s">
        <v>9577</v>
      </c>
      <c r="AN590" s="7" t="s">
        <v>9578</v>
      </c>
      <c r="AO590" s="8" t="str">
        <f>HYPERLINK("https://docs.google.com/document/d/1hBmPDUdVLBJ1e8d-4aAWILuabGAu_X0C-TFernW3Txo/edit?usp=drivesdk","Al-Wildan 3 BSD City_Sony Kurniawan _Bahasa Inggris")</f>
        <v>Al-Wildan 3 BSD City_Sony Kurniawan _Bahasa Inggris</v>
      </c>
      <c r="AP590" s="1" t="s">
        <v>9579</v>
      </c>
    </row>
    <row r="591">
      <c r="A591" s="6">
        <v>44756.436626875</v>
      </c>
      <c r="B591" s="7" t="s">
        <v>9580</v>
      </c>
      <c r="C591" s="8" t="s">
        <v>9581</v>
      </c>
      <c r="D591" s="1" t="s">
        <v>9582</v>
      </c>
      <c r="E591" s="9" t="s">
        <v>9583</v>
      </c>
      <c r="F591" s="1" t="s">
        <v>9584</v>
      </c>
      <c r="G591" s="1" t="s">
        <v>1003</v>
      </c>
      <c r="H591" s="1" t="s">
        <v>1003</v>
      </c>
      <c r="I591" s="9" t="s">
        <v>9585</v>
      </c>
      <c r="J591" s="1" t="s">
        <v>1666</v>
      </c>
      <c r="K591" s="1" t="s">
        <v>151</v>
      </c>
      <c r="L591" s="1" t="s">
        <v>256</v>
      </c>
      <c r="M591" s="1" t="s">
        <v>104</v>
      </c>
      <c r="N591" s="1" t="s">
        <v>9586</v>
      </c>
      <c r="O591" s="1" t="s">
        <v>312</v>
      </c>
      <c r="P591" s="1" t="s">
        <v>7991</v>
      </c>
      <c r="Q591" s="1" t="s">
        <v>5126</v>
      </c>
      <c r="R591" s="1" t="s">
        <v>9587</v>
      </c>
      <c r="S591" s="1">
        <v>3.55</v>
      </c>
      <c r="Z591" s="1" t="s">
        <v>9588</v>
      </c>
      <c r="AA591" s="10">
        <v>4000000.0</v>
      </c>
      <c r="AF591" s="10">
        <v>4.5E7</v>
      </c>
      <c r="AG591" s="1">
        <v>7.176534887E9</v>
      </c>
      <c r="AI591" s="1" t="s">
        <v>5113</v>
      </c>
      <c r="AJ591" s="1">
        <v>146.0</v>
      </c>
      <c r="AK591" s="1">
        <v>41.0</v>
      </c>
      <c r="AL591" s="1" t="s">
        <v>9589</v>
      </c>
      <c r="AM591" s="1" t="s">
        <v>9590</v>
      </c>
      <c r="AN591" s="7" t="s">
        <v>9591</v>
      </c>
      <c r="AO591" s="8" t="str">
        <f>HYPERLINK("https://docs.google.com/document/d/1O8JpBeMIbXJLKjdeYcDnyTU8IWabfGDN-fwU7NHvM8Q/edit?usp=drivesdk","Al-Wildan 12 Bulak Kapal, Bekasi_Hikmah Maesaroh, S.H_Arabic, diniyyah, Qur'an")</f>
        <v>Al-Wildan 12 Bulak Kapal, Bekasi_Hikmah Maesaroh, S.H_Arabic, diniyyah, Qur'an</v>
      </c>
      <c r="AP591" s="1" t="s">
        <v>9592</v>
      </c>
    </row>
    <row r="592">
      <c r="A592" s="6">
        <v>44756.46220620371</v>
      </c>
      <c r="B592" s="7" t="s">
        <v>9593</v>
      </c>
      <c r="C592" s="8" t="s">
        <v>9594</v>
      </c>
      <c r="D592" s="1" t="s">
        <v>9595</v>
      </c>
      <c r="E592" s="9" t="s">
        <v>9596</v>
      </c>
      <c r="F592" s="1" t="s">
        <v>9597</v>
      </c>
      <c r="G592" s="1" t="s">
        <v>9598</v>
      </c>
      <c r="H592" s="1" t="s">
        <v>9599</v>
      </c>
      <c r="I592" s="9" t="s">
        <v>9600</v>
      </c>
      <c r="J592" s="1">
        <v>43.0</v>
      </c>
      <c r="K592" s="1" t="s">
        <v>102</v>
      </c>
      <c r="L592" s="1" t="s">
        <v>103</v>
      </c>
      <c r="M592" s="1" t="s">
        <v>5012</v>
      </c>
      <c r="O592" s="1" t="s">
        <v>6151</v>
      </c>
      <c r="P592" s="1" t="s">
        <v>6187</v>
      </c>
      <c r="Z592" s="1" t="s">
        <v>9601</v>
      </c>
      <c r="AA592" s="10">
        <v>1000000.0</v>
      </c>
      <c r="AB592" s="1" t="s">
        <v>9602</v>
      </c>
      <c r="AC592" s="10">
        <v>1000000.0</v>
      </c>
      <c r="AD592" s="1" t="s">
        <v>9603</v>
      </c>
      <c r="AE592" s="10">
        <v>1500000.0</v>
      </c>
      <c r="AF592" s="10">
        <v>5000000.0</v>
      </c>
      <c r="AG592" s="1">
        <v>7.195293303E9</v>
      </c>
      <c r="AH592" s="1">
        <v>4.74201030724535E14</v>
      </c>
      <c r="AI592" s="1" t="s">
        <v>2407</v>
      </c>
      <c r="AJ592" s="1">
        <v>165.0</v>
      </c>
      <c r="AK592" s="1">
        <v>65.0</v>
      </c>
      <c r="AL592" s="1" t="s">
        <v>9604</v>
      </c>
      <c r="AM592" s="1" t="s">
        <v>9605</v>
      </c>
      <c r="AN592" s="7" t="s">
        <v>9606</v>
      </c>
      <c r="AO592" s="8" t="str">
        <f>HYPERLINK("https://docs.google.com/document/d/1p7xjXR4juxt4CNrI5BvpKou4Q6BAuE5D1wCoqnLE5Ws/edit?usp=drivesdk","Al-Wildan 14 Bumi Mutiara, Bogor_Jalaluddin_")</f>
        <v>Al-Wildan 14 Bumi Mutiara, Bogor_Jalaluddin_</v>
      </c>
      <c r="AP592" s="1" t="s">
        <v>9607</v>
      </c>
    </row>
    <row r="593">
      <c r="A593" s="6">
        <v>44756.52832960648</v>
      </c>
      <c r="B593" s="7" t="s">
        <v>9608</v>
      </c>
      <c r="C593" s="8" t="s">
        <v>9609</v>
      </c>
      <c r="D593" s="1" t="s">
        <v>9610</v>
      </c>
      <c r="E593" s="1">
        <v>8.3808927454E10</v>
      </c>
      <c r="F593" s="1" t="s">
        <v>9611</v>
      </c>
      <c r="G593" s="1" t="s">
        <v>9612</v>
      </c>
      <c r="H593" s="1" t="s">
        <v>9613</v>
      </c>
      <c r="I593" s="9" t="s">
        <v>9614</v>
      </c>
      <c r="J593" s="1" t="s">
        <v>9615</v>
      </c>
      <c r="K593" s="1" t="s">
        <v>102</v>
      </c>
      <c r="L593" s="1" t="s">
        <v>103</v>
      </c>
      <c r="M593" s="1" t="s">
        <v>104</v>
      </c>
      <c r="N593" s="1" t="s">
        <v>9616</v>
      </c>
      <c r="O593" s="1" t="s">
        <v>127</v>
      </c>
      <c r="P593" s="1" t="s">
        <v>5712</v>
      </c>
      <c r="Q593" s="1" t="s">
        <v>9617</v>
      </c>
      <c r="R593" s="1" t="s">
        <v>9618</v>
      </c>
      <c r="S593" s="1" t="s">
        <v>4192</v>
      </c>
      <c r="Z593" s="1" t="s">
        <v>9619</v>
      </c>
      <c r="AA593" s="10">
        <v>6500000.0</v>
      </c>
      <c r="AB593" s="1" t="s">
        <v>9620</v>
      </c>
      <c r="AC593" s="10">
        <v>1.0E7</v>
      </c>
      <c r="AF593" s="10">
        <v>1.5E7</v>
      </c>
      <c r="AG593" s="1">
        <v>7.86144709E9</v>
      </c>
      <c r="AI593" s="1" t="s">
        <v>9621</v>
      </c>
      <c r="AJ593" s="1">
        <v>173.0</v>
      </c>
      <c r="AK593" s="1">
        <v>98.0</v>
      </c>
      <c r="AL593" s="1" t="s">
        <v>9622</v>
      </c>
      <c r="AM593" s="1" t="s">
        <v>9623</v>
      </c>
      <c r="AN593" s="7" t="s">
        <v>9624</v>
      </c>
      <c r="AO593" s="8" t="str">
        <f>HYPERLINK("https://docs.google.com/document/d/1ur89a6NLT93WggeiRP7vPu-G-_Po5BX3bS8_YeN_lds/edit?usp=drivesdk","Al-Wildan 3 BSD City_Abubakar Shaban Omar _Physics /Chemistry ")</f>
        <v>Al-Wildan 3 BSD City_Abubakar Shaban Omar _Physics /Chemistry </v>
      </c>
      <c r="AP593" s="1" t="s">
        <v>9625</v>
      </c>
    </row>
    <row r="594">
      <c r="A594" s="6">
        <v>44756.69881886574</v>
      </c>
      <c r="B594" s="7" t="s">
        <v>9626</v>
      </c>
      <c r="C594" s="8" t="s">
        <v>9627</v>
      </c>
      <c r="D594" s="1" t="s">
        <v>9628</v>
      </c>
      <c r="E594" s="9" t="s">
        <v>9629</v>
      </c>
      <c r="F594" s="1" t="s">
        <v>9630</v>
      </c>
      <c r="G594" s="1" t="s">
        <v>9631</v>
      </c>
      <c r="H594" s="1" t="s">
        <v>9632</v>
      </c>
      <c r="I594" s="9" t="s">
        <v>9633</v>
      </c>
      <c r="J594" s="1">
        <v>30.0</v>
      </c>
      <c r="K594" s="1" t="s">
        <v>102</v>
      </c>
      <c r="L594" s="1" t="s">
        <v>103</v>
      </c>
      <c r="M594" s="1" t="s">
        <v>104</v>
      </c>
      <c r="N594" s="1" t="s">
        <v>9634</v>
      </c>
      <c r="O594" s="1" t="s">
        <v>106</v>
      </c>
      <c r="P594" s="1" t="s">
        <v>5712</v>
      </c>
      <c r="Q594" s="1" t="s">
        <v>9635</v>
      </c>
      <c r="R594" s="1" t="s">
        <v>9636</v>
      </c>
      <c r="S594" s="1" t="s">
        <v>277</v>
      </c>
      <c r="T594" s="1" t="s">
        <v>9637</v>
      </c>
      <c r="U594" s="1" t="s">
        <v>4023</v>
      </c>
      <c r="Z594" s="1" t="s">
        <v>9638</v>
      </c>
      <c r="AA594" s="1" t="s">
        <v>9639</v>
      </c>
      <c r="AB594" s="1" t="s">
        <v>9640</v>
      </c>
      <c r="AC594" s="10">
        <v>2000000.0</v>
      </c>
      <c r="AD594" s="1" t="s">
        <v>9641</v>
      </c>
      <c r="AE594" s="10">
        <v>6000000.0</v>
      </c>
      <c r="AF594" s="10">
        <v>6000000.0</v>
      </c>
      <c r="AG594" s="1">
        <v>7.23758713E9</v>
      </c>
      <c r="AJ594" s="1">
        <v>168.0</v>
      </c>
      <c r="AK594" s="1">
        <v>63.0</v>
      </c>
      <c r="AL594" s="1" t="s">
        <v>9642</v>
      </c>
      <c r="AM594" s="1" t="s">
        <v>9643</v>
      </c>
      <c r="AN594" s="7" t="s">
        <v>9644</v>
      </c>
      <c r="AO594" s="8" t="str">
        <f>HYPERLINK("https://docs.google.com/document/d/1dWg0W6Qn9J8vM4fxlxrjfRain_yGM55Jfu2YzNDZZD4/edit?usp=drivesdk","Al-Wildan 3 BSD City_Agus Triyanto, S.Pd.I_Bahasa Arab (wali kelas 7 ME 1)")</f>
        <v>Al-Wildan 3 BSD City_Agus Triyanto, S.Pd.I_Bahasa Arab (wali kelas 7 ME 1)</v>
      </c>
      <c r="AP594" s="1" t="s">
        <v>9645</v>
      </c>
    </row>
    <row r="595">
      <c r="A595" s="6">
        <v>44756.93201434027</v>
      </c>
      <c r="B595" s="7" t="s">
        <v>9646</v>
      </c>
      <c r="C595" s="8" t="s">
        <v>9647</v>
      </c>
      <c r="D595" s="1" t="s">
        <v>9648</v>
      </c>
      <c r="E595" s="9" t="s">
        <v>9649</v>
      </c>
      <c r="F595" s="1" t="s">
        <v>9650</v>
      </c>
      <c r="G595" s="1" t="s">
        <v>9651</v>
      </c>
      <c r="H595" s="1" t="s">
        <v>9652</v>
      </c>
      <c r="I595" s="9" t="s">
        <v>9653</v>
      </c>
      <c r="J595" s="1" t="s">
        <v>9654</v>
      </c>
      <c r="K595" s="1" t="s">
        <v>151</v>
      </c>
      <c r="L595" s="1" t="s">
        <v>827</v>
      </c>
      <c r="M595" s="1" t="s">
        <v>5710</v>
      </c>
      <c r="O595" s="1" t="s">
        <v>5711</v>
      </c>
      <c r="P595" s="1" t="s">
        <v>237</v>
      </c>
      <c r="Q595" s="1" t="s">
        <v>9655</v>
      </c>
      <c r="R595" s="1" t="s">
        <v>9656</v>
      </c>
      <c r="S595" s="1">
        <v>3.54</v>
      </c>
      <c r="Z595" s="1" t="s">
        <v>9657</v>
      </c>
      <c r="AA595" s="10">
        <v>900000.0</v>
      </c>
      <c r="AF595" s="10">
        <v>5500000.0</v>
      </c>
      <c r="AG595" s="1">
        <v>7.135392458E9</v>
      </c>
      <c r="AJ595" s="1">
        <v>155.0</v>
      </c>
      <c r="AK595" s="1">
        <v>56.0</v>
      </c>
      <c r="AL595" s="1" t="s">
        <v>9658</v>
      </c>
      <c r="AM595" s="1" t="s">
        <v>9659</v>
      </c>
      <c r="AN595" s="7" t="s">
        <v>9660</v>
      </c>
      <c r="AO595" s="8" t="str">
        <f>HYPERLINK("https://docs.google.com/document/d/1DT-GSqTx_4w5bP4cE6hYF-y5rlwW7XaS4s0b4TDXEQ8/edit?usp=drivesdk","Al-Wildan 4 Lebak Bulus_Rahmasari A.Md.Kep_")</f>
        <v>Al-Wildan 4 Lebak Bulus_Rahmasari A.Md.Kep_</v>
      </c>
      <c r="AP595" s="1" t="s">
        <v>9661</v>
      </c>
    </row>
    <row r="596">
      <c r="A596" s="6">
        <v>44756.94530640046</v>
      </c>
      <c r="B596" s="7" t="s">
        <v>9662</v>
      </c>
      <c r="C596" s="8" t="s">
        <v>9663</v>
      </c>
      <c r="D596" s="1" t="s">
        <v>9664</v>
      </c>
      <c r="E596" s="9" t="s">
        <v>9665</v>
      </c>
      <c r="F596" s="1" t="s">
        <v>9666</v>
      </c>
      <c r="G596" s="1" t="s">
        <v>9667</v>
      </c>
      <c r="H596" s="1" t="s">
        <v>722</v>
      </c>
      <c r="I596" s="9" t="s">
        <v>9668</v>
      </c>
      <c r="J596" s="1" t="s">
        <v>9669</v>
      </c>
      <c r="K596" s="1" t="s">
        <v>151</v>
      </c>
      <c r="L596" s="1" t="s">
        <v>256</v>
      </c>
      <c r="M596" s="1" t="s">
        <v>5710</v>
      </c>
      <c r="O596" s="1" t="s">
        <v>5711</v>
      </c>
      <c r="P596" s="1" t="s">
        <v>237</v>
      </c>
      <c r="Q596" s="1" t="s">
        <v>9670</v>
      </c>
      <c r="R596" s="1" t="s">
        <v>5731</v>
      </c>
      <c r="S596" s="1" t="s">
        <v>990</v>
      </c>
      <c r="Z596" s="1" t="s">
        <v>9671</v>
      </c>
      <c r="AA596" s="10">
        <v>1.0E7</v>
      </c>
      <c r="AB596" s="1" t="s">
        <v>9672</v>
      </c>
      <c r="AC596" s="10">
        <v>7500000.0</v>
      </c>
      <c r="AD596" s="1" t="s">
        <v>9673</v>
      </c>
      <c r="AE596" s="10">
        <v>4000000.0</v>
      </c>
      <c r="AF596" s="10">
        <v>5000000.0</v>
      </c>
      <c r="AG596" s="1">
        <v>7.182370899E9</v>
      </c>
      <c r="AJ596" s="1">
        <v>174.0</v>
      </c>
      <c r="AK596" s="1">
        <v>79.0</v>
      </c>
      <c r="AL596" s="1" t="s">
        <v>9674</v>
      </c>
      <c r="AM596" s="1" t="s">
        <v>9675</v>
      </c>
      <c r="AN596" s="7" t="s">
        <v>9676</v>
      </c>
      <c r="AO596" s="8" t="str">
        <f>HYPERLINK("https://docs.google.com/document/d/1YQEMJLK6EP5NOY5msCABOBSUksryCoLVrkDrRZA9thA/edit?usp=drivesdk","Al-Wildan 4 Lebak Bulus_Rizky Maulana Yusuf Amd.Kep_")</f>
        <v>Al-Wildan 4 Lebak Bulus_Rizky Maulana Yusuf Amd.Kep_</v>
      </c>
      <c r="AP596" s="1" t="s">
        <v>9677</v>
      </c>
    </row>
    <row r="597">
      <c r="A597" s="6">
        <v>44757.28502769676</v>
      </c>
      <c r="B597" s="7" t="s">
        <v>9678</v>
      </c>
      <c r="C597" s="8" t="s">
        <v>9679</v>
      </c>
      <c r="D597" s="1" t="s">
        <v>9680</v>
      </c>
      <c r="E597" s="9" t="s">
        <v>9681</v>
      </c>
      <c r="F597" s="1" t="s">
        <v>9682</v>
      </c>
      <c r="G597" s="1" t="s">
        <v>9683</v>
      </c>
      <c r="H597" s="1" t="s">
        <v>99</v>
      </c>
      <c r="I597" s="9" t="s">
        <v>9684</v>
      </c>
      <c r="J597" s="1" t="s">
        <v>9685</v>
      </c>
      <c r="K597" s="1" t="s">
        <v>151</v>
      </c>
      <c r="L597" s="1" t="s">
        <v>496</v>
      </c>
      <c r="M597" s="1" t="s">
        <v>5671</v>
      </c>
      <c r="O597" s="1" t="s">
        <v>236</v>
      </c>
      <c r="P597" s="1" t="s">
        <v>5712</v>
      </c>
      <c r="AB597" s="1" t="s">
        <v>9686</v>
      </c>
      <c r="AF597" s="10">
        <v>2000000.0</v>
      </c>
      <c r="AH597" s="1">
        <v>7.177088538E9</v>
      </c>
      <c r="AI597" s="1" t="s">
        <v>9687</v>
      </c>
      <c r="AJ597" s="1">
        <v>170.0</v>
      </c>
      <c r="AK597" s="1">
        <v>55.0</v>
      </c>
      <c r="AL597" s="1" t="s">
        <v>9688</v>
      </c>
      <c r="AM597" s="1" t="s">
        <v>9689</v>
      </c>
      <c r="AN597" s="7" t="s">
        <v>9690</v>
      </c>
      <c r="AO597" s="8" t="str">
        <f>HYPERLINK("https://docs.google.com/document/d/1z5ShSiCdwGfajjYOo-cElD2mzUStv-tBHeiBdmMXUJQ/edit?usp=drivesdk","Al-Wildan 3 BSD City_Muhammad Furqon _")</f>
        <v>Al-Wildan 3 BSD City_Muhammad Furqon _</v>
      </c>
      <c r="AP597" s="1" t="s">
        <v>9691</v>
      </c>
    </row>
    <row r="598">
      <c r="A598" s="6">
        <v>44757.665522048614</v>
      </c>
      <c r="B598" s="7" t="s">
        <v>9692</v>
      </c>
      <c r="C598" s="8" t="s">
        <v>9693</v>
      </c>
      <c r="D598" s="1" t="s">
        <v>9694</v>
      </c>
      <c r="E598" s="9" t="s">
        <v>9695</v>
      </c>
      <c r="F598" s="1" t="s">
        <v>9696</v>
      </c>
      <c r="G598" s="1" t="s">
        <v>9697</v>
      </c>
      <c r="H598" s="1" t="s">
        <v>9167</v>
      </c>
      <c r="I598" s="9" t="s">
        <v>9698</v>
      </c>
      <c r="J598" s="1" t="s">
        <v>2336</v>
      </c>
      <c r="K598" s="1" t="s">
        <v>102</v>
      </c>
      <c r="L598" s="1" t="s">
        <v>103</v>
      </c>
      <c r="M598" s="1" t="s">
        <v>104</v>
      </c>
      <c r="N598" s="1" t="s">
        <v>8565</v>
      </c>
      <c r="O598" s="1" t="s">
        <v>127</v>
      </c>
      <c r="P598" s="1" t="s">
        <v>107</v>
      </c>
      <c r="Q598" s="1" t="s">
        <v>9699</v>
      </c>
      <c r="R598" s="1" t="s">
        <v>362</v>
      </c>
      <c r="S598" s="1" t="s">
        <v>4701</v>
      </c>
      <c r="AH598" s="1">
        <v>7.81301009293531E14</v>
      </c>
      <c r="AI598" s="1" t="s">
        <v>5015</v>
      </c>
      <c r="AJ598" s="1">
        <v>146.0</v>
      </c>
      <c r="AK598" s="1">
        <v>46.0</v>
      </c>
      <c r="AL598" s="1" t="s">
        <v>9700</v>
      </c>
      <c r="AM598" s="1" t="s">
        <v>9701</v>
      </c>
      <c r="AN598" s="7" t="s">
        <v>9702</v>
      </c>
      <c r="AO598" s="8" t="str">
        <f>HYPERLINK("https://docs.google.com/document/d/1uRaGZSazrc49oesMBGL4bqINxbiwhdKnZ-BatQOjs28/edit?usp=drivesdk","Al-Wildan 1 Gading Serpong_Fijri Al Chazar. Spd_Pendidikan Agama Islam ")</f>
        <v>Al-Wildan 1 Gading Serpong_Fijri Al Chazar. Spd_Pendidikan Agama Islam </v>
      </c>
      <c r="AP598" s="1" t="s">
        <v>9703</v>
      </c>
    </row>
    <row r="599">
      <c r="A599" s="6">
        <v>44758.31858924769</v>
      </c>
      <c r="B599" s="7" t="s">
        <v>9704</v>
      </c>
      <c r="C599" s="8" t="s">
        <v>9705</v>
      </c>
      <c r="D599" s="1" t="s">
        <v>9706</v>
      </c>
      <c r="E599" s="9" t="s">
        <v>9707</v>
      </c>
      <c r="F599" s="1" t="s">
        <v>9708</v>
      </c>
      <c r="G599" s="1" t="s">
        <v>9709</v>
      </c>
      <c r="H599" s="1" t="s">
        <v>9167</v>
      </c>
      <c r="I599" s="9" t="s">
        <v>9710</v>
      </c>
      <c r="J599" s="1" t="s">
        <v>7117</v>
      </c>
      <c r="K599" s="1" t="s">
        <v>1235</v>
      </c>
      <c r="L599" s="1" t="s">
        <v>103</v>
      </c>
      <c r="M599" s="1" t="s">
        <v>104</v>
      </c>
      <c r="N599" s="1" t="s">
        <v>9711</v>
      </c>
      <c r="O599" s="1" t="s">
        <v>106</v>
      </c>
      <c r="P599" s="1" t="s">
        <v>107</v>
      </c>
      <c r="Q599" s="1" t="s">
        <v>9712</v>
      </c>
      <c r="R599" s="1" t="s">
        <v>238</v>
      </c>
      <c r="S599" s="1" t="s">
        <v>6437</v>
      </c>
      <c r="Z599" s="1" t="s">
        <v>9713</v>
      </c>
      <c r="AA599" s="10">
        <v>3200000.0</v>
      </c>
      <c r="AB599" s="1" t="s">
        <v>9714</v>
      </c>
      <c r="AC599" s="10">
        <v>3000000.0</v>
      </c>
      <c r="AD599" s="1" t="s">
        <v>9715</v>
      </c>
      <c r="AE599" s="10">
        <v>2800000.0</v>
      </c>
      <c r="AF599" s="10">
        <v>5000000.0</v>
      </c>
      <c r="AG599" s="1">
        <v>9.09581244E9</v>
      </c>
      <c r="AJ599" s="1">
        <v>152.0</v>
      </c>
      <c r="AK599" s="1">
        <v>43.0</v>
      </c>
      <c r="AL599" s="1" t="s">
        <v>9716</v>
      </c>
      <c r="AM599" s="1" t="s">
        <v>9717</v>
      </c>
      <c r="AN599" s="7" t="s">
        <v>9718</v>
      </c>
      <c r="AO599" s="8" t="str">
        <f>HYPERLINK("https://docs.google.com/document/d/1jZRJI7rxm9i5b_FvYGOkJq0r4T1qVYRlOjJG85l5QfA/edit?usp=drivesdk","Al-Wildan 1 Gading Serpong_Rini Susilawati, S.Pd_PKn ")</f>
        <v>Al-Wildan 1 Gading Serpong_Rini Susilawati, S.Pd_PKn </v>
      </c>
      <c r="AP599" s="1" t="s">
        <v>9719</v>
      </c>
    </row>
    <row r="600">
      <c r="A600" s="6">
        <v>44758.34906559028</v>
      </c>
      <c r="B600" s="7" t="s">
        <v>9720</v>
      </c>
      <c r="C600" s="8" t="s">
        <v>9721</v>
      </c>
      <c r="D600" s="1" t="s">
        <v>9722</v>
      </c>
      <c r="E600" s="9" t="s">
        <v>9723</v>
      </c>
      <c r="F600" s="1" t="s">
        <v>9724</v>
      </c>
      <c r="G600" s="1" t="s">
        <v>9725</v>
      </c>
      <c r="H600" s="1" t="s">
        <v>169</v>
      </c>
      <c r="I600" s="9" t="s">
        <v>9726</v>
      </c>
      <c r="J600" s="1" t="s">
        <v>4156</v>
      </c>
      <c r="K600" s="1" t="s">
        <v>102</v>
      </c>
      <c r="L600" s="1" t="s">
        <v>103</v>
      </c>
      <c r="M600" s="1" t="s">
        <v>104</v>
      </c>
      <c r="N600" s="1" t="s">
        <v>9727</v>
      </c>
      <c r="O600" s="1" t="s">
        <v>127</v>
      </c>
      <c r="P600" s="1" t="s">
        <v>5712</v>
      </c>
      <c r="Q600" s="1" t="s">
        <v>9728</v>
      </c>
      <c r="R600" s="1" t="s">
        <v>9729</v>
      </c>
      <c r="S600" s="1" t="s">
        <v>969</v>
      </c>
      <c r="Z600" s="1" t="s">
        <v>9730</v>
      </c>
      <c r="AA600" s="1" t="s">
        <v>9731</v>
      </c>
      <c r="AB600" s="1" t="s">
        <v>9732</v>
      </c>
      <c r="AC600" s="1" t="s">
        <v>9733</v>
      </c>
      <c r="AD600" s="1" t="s">
        <v>9734</v>
      </c>
      <c r="AE600" s="1" t="s">
        <v>9735</v>
      </c>
      <c r="AF600" s="1" t="s">
        <v>9733</v>
      </c>
      <c r="AG600" s="1">
        <v>7.130013168E9</v>
      </c>
      <c r="AJ600" s="1">
        <v>169.0</v>
      </c>
      <c r="AK600" s="1">
        <v>83.0</v>
      </c>
      <c r="AL600" s="1" t="s">
        <v>9736</v>
      </c>
      <c r="AM600" s="1" t="s">
        <v>9737</v>
      </c>
      <c r="AN600" s="7" t="s">
        <v>9738</v>
      </c>
      <c r="AO600" s="8" t="str">
        <f>HYPERLINK("https://docs.google.com/document/d/1SIw_FJ0BYR_UhSiJHy12iyu08o99dUguHlnxxkdiRNM/edit?usp=drivesdk","Al-Wildan 3 BSD City_Muhammad Taufik Akbar R., S.P_PPKN ")</f>
        <v>Al-Wildan 3 BSD City_Muhammad Taufik Akbar R., S.P_PPKN </v>
      </c>
      <c r="AP600" s="1" t="s">
        <v>9739</v>
      </c>
    </row>
    <row r="601">
      <c r="A601" s="6">
        <v>44758.41623231482</v>
      </c>
      <c r="B601" s="7" t="s">
        <v>9740</v>
      </c>
      <c r="C601" s="8" t="s">
        <v>9741</v>
      </c>
      <c r="D601" s="1" t="s">
        <v>9742</v>
      </c>
      <c r="E601" s="9" t="s">
        <v>9743</v>
      </c>
      <c r="F601" s="1" t="s">
        <v>9744</v>
      </c>
      <c r="G601" s="1" t="s">
        <v>9745</v>
      </c>
      <c r="H601" s="1" t="s">
        <v>9746</v>
      </c>
      <c r="I601" s="1" t="s">
        <v>9747</v>
      </c>
      <c r="J601" s="1" t="s">
        <v>2580</v>
      </c>
      <c r="K601" s="1" t="s">
        <v>102</v>
      </c>
      <c r="L601" s="1" t="s">
        <v>103</v>
      </c>
      <c r="M601" s="1" t="s">
        <v>8995</v>
      </c>
      <c r="O601" s="1" t="s">
        <v>127</v>
      </c>
      <c r="P601" s="1" t="s">
        <v>5712</v>
      </c>
      <c r="Q601" s="1" t="s">
        <v>3409</v>
      </c>
      <c r="R601" s="1" t="s">
        <v>9748</v>
      </c>
      <c r="S601" s="1" t="s">
        <v>9749</v>
      </c>
      <c r="Z601" s="1" t="s">
        <v>9750</v>
      </c>
      <c r="AA601" s="10">
        <v>2500000.0</v>
      </c>
      <c r="AB601" s="1" t="s">
        <v>9751</v>
      </c>
      <c r="AC601" s="10">
        <v>2800000.0</v>
      </c>
      <c r="AF601" s="10">
        <v>3000000.0</v>
      </c>
      <c r="AH601" s="9" t="s">
        <v>9752</v>
      </c>
      <c r="AI601" s="1" t="s">
        <v>222</v>
      </c>
      <c r="AJ601" s="1">
        <v>167.0</v>
      </c>
      <c r="AK601" s="1">
        <v>63.0</v>
      </c>
      <c r="AL601" s="1" t="s">
        <v>9753</v>
      </c>
      <c r="AM601" s="1" t="s">
        <v>9754</v>
      </c>
      <c r="AN601" s="7" t="s">
        <v>9755</v>
      </c>
      <c r="AO601" s="8" t="str">
        <f>HYPERLINK("https://docs.google.com/document/d/13nsrOAh3b1p2tLCVDxsKy6wupcxTd5i7u5KW_2PgEv4/edit?usp=drivesdk","Al-Wildan 3 BSD City_Mulyadi Zaki S.Ag_")</f>
        <v>Al-Wildan 3 BSD City_Mulyadi Zaki S.Ag_</v>
      </c>
      <c r="AP601" s="1" t="s">
        <v>9756</v>
      </c>
    </row>
    <row r="602">
      <c r="A602" s="6">
        <v>44758.59033546296</v>
      </c>
      <c r="B602" s="7" t="s">
        <v>9757</v>
      </c>
      <c r="C602" s="8" t="s">
        <v>9758</v>
      </c>
      <c r="D602" s="1" t="s">
        <v>9759</v>
      </c>
      <c r="E602" s="1">
        <v>8.2359068138E10</v>
      </c>
      <c r="F602" s="1" t="s">
        <v>9760</v>
      </c>
      <c r="G602" s="1" t="s">
        <v>9761</v>
      </c>
      <c r="H602" s="1" t="s">
        <v>2076</v>
      </c>
      <c r="I602" s="9" t="s">
        <v>9762</v>
      </c>
      <c r="J602" s="1" t="s">
        <v>9763</v>
      </c>
      <c r="K602" s="1" t="s">
        <v>102</v>
      </c>
      <c r="L602" s="1" t="s">
        <v>329</v>
      </c>
      <c r="M602" s="1" t="s">
        <v>8117</v>
      </c>
      <c r="O602" s="1" t="s">
        <v>5711</v>
      </c>
      <c r="P602" s="1" t="s">
        <v>5712</v>
      </c>
      <c r="Q602" s="1" t="s">
        <v>9764</v>
      </c>
      <c r="R602" s="1" t="s">
        <v>9765</v>
      </c>
      <c r="S602" s="1" t="s">
        <v>1084</v>
      </c>
      <c r="Z602" s="1" t="s">
        <v>9766</v>
      </c>
      <c r="AA602" s="10">
        <v>6000000.0</v>
      </c>
      <c r="AB602" s="1" t="s">
        <v>9767</v>
      </c>
      <c r="AC602" s="10">
        <v>9000000.0</v>
      </c>
      <c r="AD602" s="1" t="s">
        <v>9768</v>
      </c>
      <c r="AE602" s="10">
        <v>2.0E7</v>
      </c>
      <c r="AF602" s="1" t="s">
        <v>9769</v>
      </c>
      <c r="AH602" s="1">
        <v>1.610003864035E12</v>
      </c>
      <c r="AI602" s="1" t="s">
        <v>2119</v>
      </c>
      <c r="AJ602" s="1">
        <v>165.0</v>
      </c>
      <c r="AK602" s="1">
        <v>60.0</v>
      </c>
      <c r="AL602" s="1" t="s">
        <v>9770</v>
      </c>
      <c r="AM602" s="1" t="s">
        <v>9771</v>
      </c>
      <c r="AN602" s="7" t="s">
        <v>9772</v>
      </c>
      <c r="AO602" s="8" t="str">
        <f>HYPERLINK("https://docs.google.com/document/d/1_h7MSvvqfLY0j8NS-gEAJ19fKunlVcQwFyeQoToTq7s/edit?usp=drivesdk","Al-Wildan 3 BSD City_dr. Naji Aldino_")</f>
        <v>Al-Wildan 3 BSD City_dr. Naji Aldino_</v>
      </c>
      <c r="AP602" s="1" t="s">
        <v>9773</v>
      </c>
    </row>
    <row r="603">
      <c r="A603" s="6">
        <v>44760.75522005787</v>
      </c>
      <c r="B603" s="7" t="s">
        <v>9774</v>
      </c>
      <c r="C603" s="8" t="s">
        <v>9775</v>
      </c>
      <c r="D603" s="1" t="s">
        <v>9776</v>
      </c>
      <c r="E603" s="9" t="s">
        <v>9777</v>
      </c>
      <c r="F603" s="1">
        <v>3.2751261020003E13</v>
      </c>
      <c r="G603" s="1" t="s">
        <v>9778</v>
      </c>
      <c r="H603" s="1" t="s">
        <v>9779</v>
      </c>
      <c r="I603" s="9" t="s">
        <v>9780</v>
      </c>
      <c r="J603" s="1" t="s">
        <v>4322</v>
      </c>
      <c r="K603" s="1" t="s">
        <v>151</v>
      </c>
      <c r="L603" s="1" t="s">
        <v>329</v>
      </c>
      <c r="M603" s="1" t="s">
        <v>104</v>
      </c>
      <c r="N603" s="1" t="s">
        <v>6720</v>
      </c>
      <c r="O603" s="1" t="s">
        <v>312</v>
      </c>
      <c r="P603" s="1" t="s">
        <v>107</v>
      </c>
      <c r="Z603" s="1" t="s">
        <v>2230</v>
      </c>
      <c r="AA603" s="10">
        <v>800000.0</v>
      </c>
      <c r="AE603" s="10">
        <v>4000000.0</v>
      </c>
      <c r="AF603" s="10">
        <v>4000000.0</v>
      </c>
      <c r="AG603" s="1">
        <v>7.1941806024E10</v>
      </c>
      <c r="AI603" s="1" t="s">
        <v>5113</v>
      </c>
      <c r="AJ603" s="1">
        <v>148.0</v>
      </c>
      <c r="AK603" s="1">
        <v>56.0</v>
      </c>
      <c r="AL603" s="1" t="s">
        <v>9781</v>
      </c>
      <c r="AM603" s="1" t="s">
        <v>9782</v>
      </c>
      <c r="AN603" s="7" t="s">
        <v>9783</v>
      </c>
      <c r="AO603" s="8" t="str">
        <f>HYPERLINK("https://docs.google.com/document/d/1IS924h3IXrmSRjxs1Jm-5Ez6_WzfRyANAJev37xCEz0/edit?usp=drivesdk","Al-Wildan 1 Gading Serpong_Nur afifah al adawiyah_Tahfidz")</f>
        <v>Al-Wildan 1 Gading Serpong_Nur afifah al adawiyah_Tahfidz</v>
      </c>
      <c r="AP603" s="1" t="s">
        <v>9784</v>
      </c>
    </row>
    <row r="604">
      <c r="A604" s="6">
        <v>44764.63596494213</v>
      </c>
      <c r="B604" s="7" t="s">
        <v>9785</v>
      </c>
      <c r="C604" s="8" t="s">
        <v>9786</v>
      </c>
      <c r="D604" s="1" t="s">
        <v>9787</v>
      </c>
      <c r="E604" s="9" t="s">
        <v>9788</v>
      </c>
      <c r="F604" s="1" t="s">
        <v>9789</v>
      </c>
      <c r="G604" s="1" t="s">
        <v>9790</v>
      </c>
      <c r="H604" s="1" t="s">
        <v>944</v>
      </c>
      <c r="I604" s="9" t="s">
        <v>9791</v>
      </c>
      <c r="J604" s="1" t="s">
        <v>9792</v>
      </c>
      <c r="K604" s="1" t="s">
        <v>102</v>
      </c>
      <c r="L604" s="1" t="s">
        <v>496</v>
      </c>
      <c r="M604" s="1" t="s">
        <v>104</v>
      </c>
      <c r="N604" s="1" t="s">
        <v>9793</v>
      </c>
      <c r="O604" s="1" t="s">
        <v>9794</v>
      </c>
      <c r="P604" s="1" t="s">
        <v>5712</v>
      </c>
      <c r="Q604" s="1" t="s">
        <v>9795</v>
      </c>
      <c r="R604" s="1" t="s">
        <v>9796</v>
      </c>
      <c r="S604" s="1" t="s">
        <v>7926</v>
      </c>
      <c r="Z604" s="1" t="s">
        <v>9797</v>
      </c>
      <c r="AA604" s="10">
        <v>3000000.0</v>
      </c>
      <c r="AF604" s="10">
        <v>6000000.0</v>
      </c>
      <c r="AG604" s="1">
        <v>7.194909432E9</v>
      </c>
      <c r="AJ604" s="1">
        <v>163.0</v>
      </c>
      <c r="AK604" s="1">
        <v>58.0</v>
      </c>
      <c r="AL604" s="1" t="s">
        <v>9798</v>
      </c>
      <c r="AM604" s="1" t="s">
        <v>9799</v>
      </c>
      <c r="AN604" s="7" t="s">
        <v>9800</v>
      </c>
      <c r="AO604" s="8" t="str">
        <f>HYPERLINK("https://docs.google.com/document/d/156djVDNr4jvIhL3cWkKErzAWfmn-n09XTki8IVIp2j8/edit?usp=drivesdk","Al-Wildan 3 BSD City_Setiawan Bipa, S.Pd_Olahraga")</f>
        <v>Al-Wildan 3 BSD City_Setiawan Bipa, S.Pd_Olahraga</v>
      </c>
      <c r="AP604" s="1" t="s">
        <v>9801</v>
      </c>
    </row>
    <row r="605">
      <c r="A605" s="6">
        <v>44764.64538091436</v>
      </c>
      <c r="B605" s="7" t="s">
        <v>9802</v>
      </c>
      <c r="C605" s="8" t="s">
        <v>9803</v>
      </c>
      <c r="D605" s="1" t="s">
        <v>9804</v>
      </c>
      <c r="E605" s="9" t="s">
        <v>9805</v>
      </c>
      <c r="F605" s="1" t="s">
        <v>9806</v>
      </c>
      <c r="G605" s="1" t="s">
        <v>944</v>
      </c>
      <c r="H605" s="1" t="s">
        <v>944</v>
      </c>
      <c r="I605" s="9" t="s">
        <v>9807</v>
      </c>
      <c r="J605" s="1" t="s">
        <v>9808</v>
      </c>
      <c r="K605" s="1" t="s">
        <v>151</v>
      </c>
      <c r="L605" s="1" t="s">
        <v>827</v>
      </c>
      <c r="M605" s="1" t="s">
        <v>104</v>
      </c>
      <c r="N605" s="1" t="s">
        <v>9793</v>
      </c>
      <c r="O605" s="1" t="s">
        <v>106</v>
      </c>
      <c r="P605" s="1" t="s">
        <v>237</v>
      </c>
      <c r="Q605" s="1" t="s">
        <v>9795</v>
      </c>
      <c r="R605" s="1" t="s">
        <v>9796</v>
      </c>
      <c r="S605" s="1" t="s">
        <v>6437</v>
      </c>
      <c r="Z605" s="1" t="s">
        <v>9809</v>
      </c>
      <c r="AA605" s="10">
        <v>3000000.0</v>
      </c>
      <c r="AF605" s="10">
        <v>4500000.0</v>
      </c>
      <c r="AH605" s="1">
        <v>1.422124475E9</v>
      </c>
      <c r="AI605" s="1" t="s">
        <v>159</v>
      </c>
      <c r="AJ605" s="1">
        <v>170.0</v>
      </c>
      <c r="AK605" s="1">
        <v>60.0</v>
      </c>
      <c r="AL605" s="1" t="s">
        <v>9810</v>
      </c>
      <c r="AM605" s="1" t="s">
        <v>9811</v>
      </c>
      <c r="AN605" s="7" t="s">
        <v>9812</v>
      </c>
      <c r="AO605" s="8" t="str">
        <f>HYPERLINK("https://docs.google.com/document/d/1SD-EA4DuDnfEny44bbYmUc_pKYlVvXoiGCfZBorQO3A/edit?usp=drivesdk","Al-Wildan 4 Lebak Bulus_Wahyu Prasetio, S.Pd_Olahraga")</f>
        <v>Al-Wildan 4 Lebak Bulus_Wahyu Prasetio, S.Pd_Olahraga</v>
      </c>
      <c r="AP605" s="1" t="s">
        <v>9813</v>
      </c>
    </row>
    <row r="606">
      <c r="A606" s="6">
        <v>44764.70793769676</v>
      </c>
      <c r="B606" s="7" t="s">
        <v>9814</v>
      </c>
      <c r="C606" s="8" t="s">
        <v>9815</v>
      </c>
      <c r="D606" s="1" t="s">
        <v>9816</v>
      </c>
      <c r="E606" s="9" t="s">
        <v>9817</v>
      </c>
      <c r="F606" s="1" t="s">
        <v>9818</v>
      </c>
      <c r="G606" s="1" t="s">
        <v>9819</v>
      </c>
      <c r="H606" s="1" t="s">
        <v>5230</v>
      </c>
      <c r="I606" s="9" t="s">
        <v>9820</v>
      </c>
      <c r="J606" s="1" t="s">
        <v>6750</v>
      </c>
      <c r="K606" s="1" t="s">
        <v>102</v>
      </c>
      <c r="L606" s="1" t="s">
        <v>103</v>
      </c>
      <c r="M606" s="1" t="s">
        <v>104</v>
      </c>
      <c r="N606" s="1" t="s">
        <v>9821</v>
      </c>
      <c r="O606" s="1" t="s">
        <v>127</v>
      </c>
      <c r="P606" s="1" t="s">
        <v>5712</v>
      </c>
      <c r="Q606" s="1" t="s">
        <v>668</v>
      </c>
      <c r="R606" s="1" t="s">
        <v>707</v>
      </c>
      <c r="S606" s="1" t="s">
        <v>9822</v>
      </c>
      <c r="Z606" s="1" t="s">
        <v>9823</v>
      </c>
      <c r="AA606" s="10">
        <v>500000.0</v>
      </c>
      <c r="AB606" s="1" t="s">
        <v>9824</v>
      </c>
      <c r="AC606" s="10">
        <v>700000.0</v>
      </c>
      <c r="AD606" s="1" t="s">
        <v>9825</v>
      </c>
      <c r="AE606" s="10">
        <v>200000.0</v>
      </c>
      <c r="AF606" s="10">
        <v>5500000.0</v>
      </c>
      <c r="AG606" s="1">
        <v>8.2864086E9</v>
      </c>
      <c r="AI606" s="1" t="s">
        <v>5113</v>
      </c>
      <c r="AJ606" s="1">
        <v>164.0</v>
      </c>
      <c r="AK606" s="1">
        <v>73.0</v>
      </c>
      <c r="AL606" s="1" t="s">
        <v>9826</v>
      </c>
      <c r="AM606" s="1" t="s">
        <v>9827</v>
      </c>
      <c r="AN606" s="7" t="s">
        <v>9828</v>
      </c>
      <c r="AO606" s="8" t="str">
        <f>HYPERLINK("https://docs.google.com/document/d/1pxpYF8yk6igR7tD4cMUYWHV4tMlKxCvT6Mc_Gp5Xzew/edit?usp=drivesdk","Al-Wildan 3 BSD City_Muhamad Nashirul Haqqi.BA _Pelajaran Diniyyah (Tauhid, Fiqh, dll) &amp; Bahasa Arab ")</f>
        <v>Al-Wildan 3 BSD City_Muhamad Nashirul Haqqi.BA _Pelajaran Diniyyah (Tauhid, Fiqh, dll) &amp; Bahasa Arab </v>
      </c>
      <c r="AP606" s="1" t="s">
        <v>9829</v>
      </c>
    </row>
    <row r="607">
      <c r="A607" s="6">
        <v>44764.8322834375</v>
      </c>
      <c r="B607" s="7" t="s">
        <v>9830</v>
      </c>
      <c r="C607" s="8" t="s">
        <v>9831</v>
      </c>
      <c r="D607" s="1" t="s">
        <v>9832</v>
      </c>
      <c r="E607" s="9" t="s">
        <v>9833</v>
      </c>
      <c r="F607" s="1" t="s">
        <v>9834</v>
      </c>
      <c r="G607" s="1" t="s">
        <v>9835</v>
      </c>
      <c r="H607" s="1" t="s">
        <v>169</v>
      </c>
      <c r="I607" s="9" t="s">
        <v>9836</v>
      </c>
      <c r="J607" s="1" t="s">
        <v>9837</v>
      </c>
      <c r="K607" s="1" t="s">
        <v>102</v>
      </c>
      <c r="L607" s="1" t="s">
        <v>103</v>
      </c>
      <c r="M607" s="1" t="s">
        <v>9838</v>
      </c>
      <c r="O607" s="1" t="s">
        <v>6151</v>
      </c>
      <c r="P607" s="1" t="s">
        <v>7991</v>
      </c>
      <c r="AJ607" s="1">
        <v>170.0</v>
      </c>
      <c r="AK607" s="1">
        <v>80.0</v>
      </c>
      <c r="AL607" s="1" t="s">
        <v>9839</v>
      </c>
      <c r="AM607" s="1" t="s">
        <v>9840</v>
      </c>
      <c r="AN607" s="7" t="s">
        <v>9841</v>
      </c>
      <c r="AO607" s="8" t="str">
        <f>HYPERLINK("https://docs.google.com/document/d/1Cdkk-YTzV6954tHlY5FfPbFzXNnXVT74aDYI9OJQ0gM/edit?usp=drivesdk","Al-Wildan 12 Bulak Kapal, Bekasi_Zakaria, S.T._")</f>
        <v>Al-Wildan 12 Bulak Kapal, Bekasi_Zakaria, S.T._</v>
      </c>
      <c r="AP607" s="1" t="s">
        <v>9842</v>
      </c>
    </row>
    <row r="608">
      <c r="A608" s="6">
        <v>44764.84379033565</v>
      </c>
      <c r="B608" s="7" t="s">
        <v>9843</v>
      </c>
      <c r="C608" s="8" t="s">
        <v>9844</v>
      </c>
      <c r="D608" s="1" t="s">
        <v>9845</v>
      </c>
      <c r="E608" s="9" t="s">
        <v>9846</v>
      </c>
      <c r="F608" s="1" t="s">
        <v>9847</v>
      </c>
      <c r="G608" s="1" t="s">
        <v>9848</v>
      </c>
      <c r="H608" s="1" t="s">
        <v>944</v>
      </c>
      <c r="I608" s="9" t="s">
        <v>9849</v>
      </c>
      <c r="J608" s="1" t="s">
        <v>4558</v>
      </c>
      <c r="K608" s="1" t="s">
        <v>151</v>
      </c>
      <c r="L608" s="1" t="s">
        <v>496</v>
      </c>
      <c r="M608" s="1" t="s">
        <v>5790</v>
      </c>
      <c r="O608" s="1" t="s">
        <v>9794</v>
      </c>
      <c r="P608" s="1" t="s">
        <v>6659</v>
      </c>
      <c r="Q608" s="1" t="s">
        <v>9795</v>
      </c>
      <c r="R608" s="1" t="s">
        <v>410</v>
      </c>
      <c r="S608" s="1" t="s">
        <v>2582</v>
      </c>
      <c r="AF608" s="1" t="s">
        <v>9850</v>
      </c>
      <c r="AH608" s="1">
        <v>1.610007011997E12</v>
      </c>
      <c r="AI608" s="1" t="s">
        <v>4483</v>
      </c>
      <c r="AJ608" s="1">
        <v>170.0</v>
      </c>
      <c r="AK608" s="1">
        <v>62.0</v>
      </c>
      <c r="AL608" s="1" t="s">
        <v>9851</v>
      </c>
      <c r="AM608" s="1" t="s">
        <v>9852</v>
      </c>
      <c r="AN608" s="7" t="s">
        <v>9853</v>
      </c>
      <c r="AO608" s="8" t="str">
        <f>HYPERLINK("https://docs.google.com/document/d/1QqW6h2YNtJd4zQJKiW0DGqJ-hOLFYsRg2ZrKRntCB3c/edit?usp=drivesdk","Al-Wildan 15 Kompas Indah, Tambun Bekasi._Amrin_")</f>
        <v>Al-Wildan 15 Kompas Indah, Tambun Bekasi._Amrin_</v>
      </c>
      <c r="AP608" s="1" t="s">
        <v>9854</v>
      </c>
    </row>
    <row r="609">
      <c r="A609" s="6">
        <v>44764.8973602662</v>
      </c>
      <c r="B609" s="7" t="s">
        <v>9855</v>
      </c>
      <c r="C609" s="8" t="s">
        <v>9856</v>
      </c>
      <c r="D609" s="1" t="s">
        <v>9857</v>
      </c>
      <c r="E609" s="1" t="s">
        <v>9858</v>
      </c>
      <c r="F609" s="1" t="s">
        <v>9859</v>
      </c>
      <c r="G609" s="1" t="s">
        <v>9860</v>
      </c>
      <c r="H609" s="1" t="s">
        <v>9861</v>
      </c>
      <c r="I609" s="1" t="s">
        <v>9862</v>
      </c>
      <c r="J609" s="1">
        <v>42.0</v>
      </c>
      <c r="K609" s="1" t="s">
        <v>102</v>
      </c>
      <c r="L609" s="1" t="s">
        <v>310</v>
      </c>
      <c r="M609" s="1" t="s">
        <v>104</v>
      </c>
      <c r="N609" s="1" t="s">
        <v>771</v>
      </c>
      <c r="O609" s="1" t="s">
        <v>312</v>
      </c>
      <c r="P609" s="1" t="s">
        <v>107</v>
      </c>
      <c r="Q609" s="1" t="s">
        <v>9863</v>
      </c>
      <c r="R609" s="1" t="s">
        <v>9864</v>
      </c>
      <c r="T609" s="1" t="s">
        <v>9865</v>
      </c>
      <c r="Z609" s="1" t="s">
        <v>9866</v>
      </c>
      <c r="AH609" s="9" t="s">
        <v>9867</v>
      </c>
      <c r="AI609" s="1" t="s">
        <v>222</v>
      </c>
      <c r="AJ609" s="1">
        <v>172.0</v>
      </c>
      <c r="AK609" s="1">
        <v>74.0</v>
      </c>
      <c r="AL609" s="1" t="s">
        <v>9868</v>
      </c>
      <c r="AM609" s="1" t="s">
        <v>9869</v>
      </c>
      <c r="AN609" s="7" t="s">
        <v>9870</v>
      </c>
      <c r="AO609" s="8" t="str">
        <f>HYPERLINK("https://docs.google.com/document/d/1m2yptDZUAIImgQrF1rALEStVM8gFfG2ch_TFk6Ic7cU/edit?usp=drivesdk","Al-Wildan 1 Gading Serpong_Muhammad Nazaket_English")</f>
        <v>Al-Wildan 1 Gading Serpong_Muhammad Nazaket_English</v>
      </c>
      <c r="AP609" s="1" t="s">
        <v>9871</v>
      </c>
    </row>
    <row r="610">
      <c r="A610" s="6">
        <v>44765.318588229165</v>
      </c>
      <c r="B610" s="7" t="s">
        <v>9872</v>
      </c>
      <c r="C610" s="8" t="s">
        <v>9873</v>
      </c>
      <c r="D610" s="1" t="s">
        <v>9874</v>
      </c>
      <c r="E610" s="9" t="s">
        <v>9875</v>
      </c>
      <c r="F610" s="1" t="s">
        <v>9876</v>
      </c>
      <c r="G610" s="1" t="s">
        <v>9877</v>
      </c>
      <c r="H610" s="1" t="s">
        <v>9878</v>
      </c>
      <c r="I610" s="9" t="s">
        <v>9879</v>
      </c>
      <c r="J610" s="1" t="s">
        <v>9880</v>
      </c>
      <c r="K610" s="1" t="s">
        <v>102</v>
      </c>
      <c r="L610" s="1" t="s">
        <v>329</v>
      </c>
      <c r="M610" s="1" t="s">
        <v>104</v>
      </c>
      <c r="N610" s="1" t="s">
        <v>235</v>
      </c>
      <c r="O610" s="1" t="s">
        <v>312</v>
      </c>
      <c r="P610" s="1" t="s">
        <v>107</v>
      </c>
      <c r="Q610" s="1" t="s">
        <v>9881</v>
      </c>
      <c r="R610" s="1" t="s">
        <v>5556</v>
      </c>
      <c r="S610" s="1" t="s">
        <v>9882</v>
      </c>
      <c r="T610" s="1" t="s">
        <v>9883</v>
      </c>
      <c r="U610" s="1" t="s">
        <v>259</v>
      </c>
      <c r="V610" s="1" t="s">
        <v>5399</v>
      </c>
      <c r="Z610" s="1" t="s">
        <v>7599</v>
      </c>
      <c r="AD610" s="1" t="s">
        <v>9884</v>
      </c>
      <c r="AH610" s="1">
        <v>1.620005524E9</v>
      </c>
      <c r="AI610" s="1" t="s">
        <v>298</v>
      </c>
      <c r="AJ610" s="1">
        <v>154.0</v>
      </c>
      <c r="AK610" s="1">
        <v>38.0</v>
      </c>
      <c r="AL610" s="1" t="s">
        <v>9885</v>
      </c>
      <c r="AM610" s="1" t="s">
        <v>9886</v>
      </c>
      <c r="AN610" s="7" t="s">
        <v>9887</v>
      </c>
      <c r="AO610" s="8" t="str">
        <f>HYPERLINK("https://docs.google.com/document/d/1x1uwV43JnfOoRPEX6wX86CmqIAlZuNObkFDAuk6qbsw/edit?usp=drivesdk","Al-Wildan 1 Gading Serpong_Arawati, S.Pd.I, M.Pd_Bahasa Arab")</f>
        <v>Al-Wildan 1 Gading Serpong_Arawati, S.Pd.I, M.Pd_Bahasa Arab</v>
      </c>
      <c r="AP610" s="1" t="s">
        <v>9888</v>
      </c>
    </row>
    <row r="611">
      <c r="A611" s="6">
        <v>44765.32920238426</v>
      </c>
      <c r="B611" s="7" t="s">
        <v>9889</v>
      </c>
      <c r="C611" s="8" t="s">
        <v>9890</v>
      </c>
      <c r="D611" s="1" t="s">
        <v>9891</v>
      </c>
      <c r="E611" s="9" t="s">
        <v>9892</v>
      </c>
      <c r="F611" s="1" t="s">
        <v>9893</v>
      </c>
      <c r="G611" s="1" t="s">
        <v>9894</v>
      </c>
      <c r="H611" s="1" t="s">
        <v>9652</v>
      </c>
      <c r="I611" s="9" t="s">
        <v>9895</v>
      </c>
      <c r="J611" s="1" t="s">
        <v>9896</v>
      </c>
      <c r="K611" s="1" t="s">
        <v>151</v>
      </c>
      <c r="L611" s="1" t="s">
        <v>256</v>
      </c>
      <c r="M611" s="1" t="s">
        <v>9897</v>
      </c>
      <c r="N611" s="1" t="s">
        <v>9898</v>
      </c>
      <c r="O611" s="1" t="s">
        <v>9794</v>
      </c>
      <c r="P611" s="1" t="s">
        <v>107</v>
      </c>
      <c r="Q611" s="1" t="s">
        <v>9795</v>
      </c>
      <c r="R611" s="1" t="s">
        <v>9899</v>
      </c>
      <c r="S611" s="1" t="s">
        <v>6338</v>
      </c>
      <c r="Z611" s="1" t="s">
        <v>9900</v>
      </c>
      <c r="AA611" s="10">
        <v>500000.0</v>
      </c>
      <c r="AB611" s="1" t="s">
        <v>9901</v>
      </c>
      <c r="AC611" s="10">
        <v>1000000.0</v>
      </c>
      <c r="AF611" s="10">
        <v>5000000.0</v>
      </c>
      <c r="AG611" s="1">
        <v>1.041850457E9</v>
      </c>
      <c r="AH611" s="1">
        <v>1.324313522E9</v>
      </c>
      <c r="AI611" s="1" t="s">
        <v>159</v>
      </c>
      <c r="AJ611" s="1">
        <v>155.0</v>
      </c>
      <c r="AK611" s="1">
        <v>52.0</v>
      </c>
      <c r="AL611" s="1" t="s">
        <v>9902</v>
      </c>
      <c r="AM611" s="1" t="s">
        <v>9903</v>
      </c>
      <c r="AN611" s="7" t="s">
        <v>9904</v>
      </c>
      <c r="AO611" s="8" t="str">
        <f>HYPERLINK("https://docs.google.com/document/d/1zeMmktRAuOY6FvvLDFH6kr0mLdh0h8uYrI8CJoDS3DY/edit?usp=drivesdk","Al-Wildan 1 Gading Serpong_Fitri Marwahdiyanti, S. Pd_Penjaskesrek (Olahraga)")</f>
        <v>Al-Wildan 1 Gading Serpong_Fitri Marwahdiyanti, S. Pd_Penjaskesrek (Olahraga)</v>
      </c>
      <c r="AP611" s="1" t="s">
        <v>9905</v>
      </c>
    </row>
    <row r="612">
      <c r="A612" s="6">
        <v>44765.47870626157</v>
      </c>
      <c r="B612" s="7" t="s">
        <v>9906</v>
      </c>
      <c r="C612" s="8" t="s">
        <v>9907</v>
      </c>
      <c r="D612" s="1" t="s">
        <v>9908</v>
      </c>
      <c r="E612" s="9" t="s">
        <v>9909</v>
      </c>
      <c r="F612" s="1" t="s">
        <v>9910</v>
      </c>
      <c r="G612" s="1" t="s">
        <v>9911</v>
      </c>
      <c r="H612" s="1" t="s">
        <v>9912</v>
      </c>
      <c r="I612" s="9" t="s">
        <v>9913</v>
      </c>
      <c r="J612" s="1" t="s">
        <v>2737</v>
      </c>
      <c r="K612" s="1" t="s">
        <v>151</v>
      </c>
      <c r="L612" s="1" t="s">
        <v>256</v>
      </c>
      <c r="M612" s="1" t="s">
        <v>9914</v>
      </c>
      <c r="O612" s="1" t="s">
        <v>9794</v>
      </c>
      <c r="P612" s="1" t="s">
        <v>237</v>
      </c>
      <c r="Q612" s="1" t="s">
        <v>9915</v>
      </c>
      <c r="R612" s="1" t="s">
        <v>9916</v>
      </c>
      <c r="S612" s="1">
        <v>3.8</v>
      </c>
      <c r="Z612" s="1" t="s">
        <v>9917</v>
      </c>
      <c r="AA612" s="10">
        <v>1000000.0</v>
      </c>
      <c r="AB612" s="1" t="s">
        <v>9918</v>
      </c>
      <c r="AF612" s="10">
        <v>5500000.0</v>
      </c>
      <c r="AH612" s="1">
        <v>1.324313522E9</v>
      </c>
      <c r="AI612" s="1" t="s">
        <v>159</v>
      </c>
      <c r="AJ612" s="1">
        <v>150.0</v>
      </c>
      <c r="AK612" s="1">
        <v>41.0</v>
      </c>
      <c r="AL612" s="1" t="s">
        <v>9919</v>
      </c>
      <c r="AM612" s="1" t="s">
        <v>9920</v>
      </c>
      <c r="AN612" s="7" t="s">
        <v>9921</v>
      </c>
      <c r="AO612" s="8" t="str">
        <f>HYPERLINK("https://docs.google.com/document/d/12QTMEXRwbuR-PvSgzTMHxHwR3rXPhGJ9aPxJmtUQ3Ro/edit?usp=drivesdk","Al-Wildan 4 Lebak Bulus_Ine Febrianti S.Pd_")</f>
        <v>Al-Wildan 4 Lebak Bulus_Ine Febrianti S.Pd_</v>
      </c>
      <c r="AP612" s="1" t="s">
        <v>9922</v>
      </c>
    </row>
    <row r="613">
      <c r="A613" s="6">
        <v>44765.5964331713</v>
      </c>
      <c r="B613" s="7" t="s">
        <v>9923</v>
      </c>
      <c r="C613" s="8" t="s">
        <v>9924</v>
      </c>
      <c r="D613" s="1" t="s">
        <v>9925</v>
      </c>
      <c r="E613" s="9" t="s">
        <v>9926</v>
      </c>
      <c r="F613" s="1" t="s">
        <v>9927</v>
      </c>
      <c r="G613" s="1" t="s">
        <v>9928</v>
      </c>
      <c r="H613" s="1" t="s">
        <v>169</v>
      </c>
      <c r="I613" s="9" t="s">
        <v>9929</v>
      </c>
      <c r="J613" s="1" t="s">
        <v>9930</v>
      </c>
      <c r="K613" s="1" t="s">
        <v>102</v>
      </c>
      <c r="L613" s="1" t="s">
        <v>103</v>
      </c>
      <c r="M613" s="1" t="s">
        <v>104</v>
      </c>
      <c r="N613" s="1" t="s">
        <v>5937</v>
      </c>
      <c r="O613" s="1" t="s">
        <v>127</v>
      </c>
      <c r="P613" s="1" t="s">
        <v>5712</v>
      </c>
      <c r="Q613" s="1" t="s">
        <v>9931</v>
      </c>
      <c r="R613" s="1" t="s">
        <v>9932</v>
      </c>
      <c r="S613" s="1">
        <v>3.41</v>
      </c>
      <c r="T613" s="1" t="s">
        <v>9933</v>
      </c>
      <c r="U613" s="1" t="s">
        <v>9934</v>
      </c>
      <c r="V613" s="9" t="s">
        <v>6976</v>
      </c>
      <c r="Z613" s="1" t="s">
        <v>9935</v>
      </c>
      <c r="AA613" s="1" t="s">
        <v>3759</v>
      </c>
      <c r="AB613" s="1" t="s">
        <v>9936</v>
      </c>
      <c r="AC613" s="1" t="s">
        <v>9937</v>
      </c>
      <c r="AF613" s="1" t="s">
        <v>9938</v>
      </c>
      <c r="AG613" s="1">
        <v>3.69447766E9</v>
      </c>
      <c r="AJ613" s="1">
        <v>165.0</v>
      </c>
      <c r="AK613" s="1">
        <v>71.0</v>
      </c>
      <c r="AL613" s="1" t="s">
        <v>9939</v>
      </c>
      <c r="AM613" s="1" t="s">
        <v>9940</v>
      </c>
      <c r="AN613" s="7" t="s">
        <v>9941</v>
      </c>
      <c r="AO613" s="8" t="str">
        <f>HYPERLINK("https://docs.google.com/document/d/138YvLPn1zhYjA0B1a_fCPgZwO7XKLkQbweOTHuDxqpI/edit?usp=drivesdk","Al-Wildan 3 BSD City_Jeihan Adam Islami S.S.I, M.A._PAI English")</f>
        <v>Al-Wildan 3 BSD City_Jeihan Adam Islami S.S.I, M.A._PAI English</v>
      </c>
      <c r="AP613" s="1" t="s">
        <v>9942</v>
      </c>
    </row>
    <row r="614">
      <c r="A614" s="6">
        <v>44766.18484523148</v>
      </c>
      <c r="B614" s="7" t="s">
        <v>9943</v>
      </c>
      <c r="C614" s="8" t="s">
        <v>9944</v>
      </c>
      <c r="D614" s="1" t="s">
        <v>9945</v>
      </c>
      <c r="E614" s="1" t="s">
        <v>9946</v>
      </c>
      <c r="F614" s="1" t="s">
        <v>9947</v>
      </c>
      <c r="G614" s="1" t="s">
        <v>9911</v>
      </c>
      <c r="H614" s="1" t="s">
        <v>944</v>
      </c>
      <c r="I614" s="1" t="s">
        <v>9948</v>
      </c>
      <c r="J614" s="1" t="s">
        <v>290</v>
      </c>
      <c r="K614" s="1" t="s">
        <v>151</v>
      </c>
      <c r="L614" s="1" t="s">
        <v>256</v>
      </c>
      <c r="M614" s="1" t="s">
        <v>9914</v>
      </c>
      <c r="O614" s="1" t="s">
        <v>9794</v>
      </c>
      <c r="P614" s="1" t="s">
        <v>107</v>
      </c>
      <c r="Q614" s="1" t="s">
        <v>9795</v>
      </c>
      <c r="R614" s="1" t="s">
        <v>152</v>
      </c>
      <c r="S614" s="1" t="s">
        <v>1023</v>
      </c>
      <c r="Z614" s="1" t="s">
        <v>9949</v>
      </c>
      <c r="AA614" s="1" t="s">
        <v>9950</v>
      </c>
      <c r="AB614" s="1" t="s">
        <v>9951</v>
      </c>
      <c r="AC614" s="1" t="s">
        <v>9952</v>
      </c>
      <c r="AD614" s="1" t="s">
        <v>9953</v>
      </c>
      <c r="AE614" s="1" t="s">
        <v>9954</v>
      </c>
      <c r="AF614" s="10">
        <v>5000000.0</v>
      </c>
      <c r="AG614" s="1">
        <v>1.324313522E9</v>
      </c>
      <c r="AJ614" s="1">
        <v>153.0</v>
      </c>
      <c r="AK614" s="1">
        <v>45.0</v>
      </c>
      <c r="AL614" s="1" t="s">
        <v>9955</v>
      </c>
      <c r="AM614" s="1" t="s">
        <v>9956</v>
      </c>
      <c r="AN614" s="7" t="s">
        <v>9957</v>
      </c>
      <c r="AO614" s="8" t="str">
        <f>HYPERLINK("https://docs.google.com/document/d/1tv9euoW1H5wSOoIZlUv9hASNZTooQCGPAE-zYZfoVbk/edit?usp=drivesdk","Al-Wildan 1 Gading Serpong_Nurul Hikmah, S. Pd_")</f>
        <v>Al-Wildan 1 Gading Serpong_Nurul Hikmah, S. Pd_</v>
      </c>
      <c r="AP614" s="1" t="s">
        <v>9958</v>
      </c>
    </row>
    <row r="615">
      <c r="A615" s="6">
        <v>44767.526094409724</v>
      </c>
      <c r="B615" s="7" t="s">
        <v>9959</v>
      </c>
      <c r="C615" s="8" t="s">
        <v>9960</v>
      </c>
      <c r="D615" s="1" t="s">
        <v>9961</v>
      </c>
      <c r="E615" s="9" t="s">
        <v>9962</v>
      </c>
      <c r="F615" s="1" t="s">
        <v>9963</v>
      </c>
      <c r="G615" s="1" t="s">
        <v>9964</v>
      </c>
      <c r="H615" s="1" t="s">
        <v>169</v>
      </c>
      <c r="I615" s="9" t="s">
        <v>9965</v>
      </c>
      <c r="J615" s="1" t="s">
        <v>7921</v>
      </c>
      <c r="K615" s="1" t="s">
        <v>102</v>
      </c>
      <c r="L615" s="1" t="s">
        <v>103</v>
      </c>
      <c r="M615" s="1" t="s">
        <v>104</v>
      </c>
      <c r="N615" s="1" t="s">
        <v>9966</v>
      </c>
      <c r="O615" s="1" t="s">
        <v>127</v>
      </c>
      <c r="P615" s="1" t="s">
        <v>7162</v>
      </c>
      <c r="Q615" s="1" t="s">
        <v>9967</v>
      </c>
      <c r="R615" s="1" t="s">
        <v>9968</v>
      </c>
      <c r="Z615" s="1" t="s">
        <v>9969</v>
      </c>
      <c r="AG615" s="1">
        <v>7.3390617E9</v>
      </c>
      <c r="AJ615" s="1">
        <v>180.0</v>
      </c>
      <c r="AK615" s="1">
        <v>77.0</v>
      </c>
      <c r="AL615" s="1" t="s">
        <v>9970</v>
      </c>
      <c r="AM615" s="1" t="s">
        <v>9971</v>
      </c>
      <c r="AN615" s="7" t="s">
        <v>9972</v>
      </c>
      <c r="AO615" s="8" t="str">
        <f>HYPERLINK("https://docs.google.com/document/d/1ZZXJkAVUr3Dk7zwqwnRlAp6MkX_QV_K-BmNPlM7n0u4/edit?usp=drivesdk","Al-Wildan 7 Serang_Akmal, Lc. _Fiqih")</f>
        <v>Al-Wildan 7 Serang_Akmal, Lc. _Fiqih</v>
      </c>
      <c r="AP615" s="1" t="s">
        <v>9973</v>
      </c>
    </row>
    <row r="616">
      <c r="A616" s="6">
        <v>44768.53640677083</v>
      </c>
      <c r="B616" s="7" t="s">
        <v>9974</v>
      </c>
      <c r="C616" s="8" t="s">
        <v>9975</v>
      </c>
      <c r="D616" s="1" t="s">
        <v>9976</v>
      </c>
      <c r="E616" s="1" t="s">
        <v>9977</v>
      </c>
      <c r="F616" s="1" t="s">
        <v>9978</v>
      </c>
      <c r="G616" s="1" t="s">
        <v>9979</v>
      </c>
      <c r="H616" s="1" t="s">
        <v>9980</v>
      </c>
      <c r="I616" s="1" t="s">
        <v>9981</v>
      </c>
      <c r="J616" s="1" t="s">
        <v>9982</v>
      </c>
      <c r="K616" s="1" t="s">
        <v>102</v>
      </c>
      <c r="L616" s="1" t="s">
        <v>310</v>
      </c>
      <c r="M616" s="1" t="s">
        <v>104</v>
      </c>
      <c r="N616" s="1" t="s">
        <v>9983</v>
      </c>
      <c r="O616" s="1" t="s">
        <v>106</v>
      </c>
      <c r="P616" s="1" t="s">
        <v>5712</v>
      </c>
      <c r="Q616" s="1" t="s">
        <v>9984</v>
      </c>
      <c r="R616" s="1" t="s">
        <v>9985</v>
      </c>
      <c r="S616" s="1" t="s">
        <v>315</v>
      </c>
      <c r="T616" s="1" t="s">
        <v>9986</v>
      </c>
      <c r="U616" s="1" t="s">
        <v>9987</v>
      </c>
      <c r="V616" s="1" t="s">
        <v>411</v>
      </c>
      <c r="Z616" s="1" t="s">
        <v>9988</v>
      </c>
      <c r="AA616" s="10">
        <v>8500000.0</v>
      </c>
      <c r="AB616" s="1" t="s">
        <v>9989</v>
      </c>
      <c r="AC616" s="10">
        <v>7000000.0</v>
      </c>
      <c r="AD616" s="1" t="s">
        <v>9990</v>
      </c>
      <c r="AE616" s="10">
        <v>5000000.0</v>
      </c>
      <c r="AF616" s="10">
        <v>1.3E7</v>
      </c>
      <c r="AG616" s="1">
        <v>3.55186252E9</v>
      </c>
      <c r="AH616" s="1">
        <v>7.147550078E9</v>
      </c>
      <c r="AI616" s="1" t="s">
        <v>9991</v>
      </c>
      <c r="AJ616" s="1">
        <v>175.0</v>
      </c>
      <c r="AK616" s="1">
        <v>63.0</v>
      </c>
      <c r="AL616" s="1" t="s">
        <v>9992</v>
      </c>
      <c r="AM616" s="1" t="s">
        <v>9993</v>
      </c>
      <c r="AN616" s="7" t="s">
        <v>9994</v>
      </c>
      <c r="AO616" s="8" t="str">
        <f>HYPERLINK("https://docs.google.com/document/d/1w_TXOKBBbmPC1xzOp3VTm_8FP6BrIBVAxjsiQF9ew6Q/edit?usp=drivesdk","Al-Wildan 3 BSD City_Shabani Ally Ramadhani, B.Sc, M.Pd_Cambridge Mathematics")</f>
        <v>Al-Wildan 3 BSD City_Shabani Ally Ramadhani, B.Sc, M.Pd_Cambridge Mathematics</v>
      </c>
      <c r="AP616" s="1" t="s">
        <v>9995</v>
      </c>
    </row>
    <row r="617">
      <c r="A617" s="6">
        <v>44768.53685414352</v>
      </c>
      <c r="B617" s="7" t="s">
        <v>9996</v>
      </c>
      <c r="C617" s="8" t="s">
        <v>9997</v>
      </c>
      <c r="D617" s="1" t="s">
        <v>9998</v>
      </c>
      <c r="E617" s="9" t="s">
        <v>9999</v>
      </c>
      <c r="F617" s="1" t="s">
        <v>10000</v>
      </c>
      <c r="G617" s="1" t="s">
        <v>10001</v>
      </c>
      <c r="H617" s="1" t="s">
        <v>169</v>
      </c>
      <c r="I617" s="9" t="s">
        <v>10002</v>
      </c>
      <c r="J617" s="1" t="s">
        <v>10003</v>
      </c>
      <c r="K617" s="1" t="s">
        <v>102</v>
      </c>
      <c r="L617" s="1" t="s">
        <v>310</v>
      </c>
      <c r="M617" s="1" t="s">
        <v>104</v>
      </c>
      <c r="N617" s="1" t="s">
        <v>10004</v>
      </c>
      <c r="O617" s="1" t="s">
        <v>312</v>
      </c>
      <c r="P617" s="1" t="s">
        <v>6091</v>
      </c>
      <c r="Z617" s="1" t="s">
        <v>10005</v>
      </c>
      <c r="AA617" s="10">
        <v>5000000.0</v>
      </c>
      <c r="AF617" s="1">
        <v>5000000.0</v>
      </c>
      <c r="AH617" s="9" t="s">
        <v>8966</v>
      </c>
      <c r="AI617" s="1" t="s">
        <v>222</v>
      </c>
      <c r="AJ617" s="1">
        <v>165.0</v>
      </c>
      <c r="AK617" s="1">
        <v>90.0</v>
      </c>
      <c r="AL617" s="1" t="s">
        <v>10006</v>
      </c>
      <c r="AM617" s="1" t="s">
        <v>10007</v>
      </c>
      <c r="AN617" s="7" t="s">
        <v>10008</v>
      </c>
      <c r="AO617" s="8" t="str">
        <f>HYPERLINK("https://docs.google.com/document/d/1kZY9kAbdUIKPN1K1MbdrEBeeycg0J1qKOvhjEDo6SGo/edit?usp=drivesdk","Al-Wildan 10 Cipinang, Jakarta Timur_Tiara Ratih _Bahasa Inggris ")</f>
        <v>Al-Wildan 10 Cipinang, Jakarta Timur_Tiara Ratih _Bahasa Inggris </v>
      </c>
      <c r="AP617" s="1" t="s">
        <v>10009</v>
      </c>
    </row>
    <row r="618">
      <c r="A618" s="6">
        <v>44770.31930047454</v>
      </c>
      <c r="B618" s="7" t="s">
        <v>10010</v>
      </c>
      <c r="C618" s="8" t="s">
        <v>10011</v>
      </c>
      <c r="D618" s="1" t="s">
        <v>10012</v>
      </c>
      <c r="E618" s="9" t="s">
        <v>10013</v>
      </c>
      <c r="F618" s="1" t="s">
        <v>10014</v>
      </c>
      <c r="G618" s="1" t="s">
        <v>10015</v>
      </c>
      <c r="H618" s="1" t="s">
        <v>685</v>
      </c>
      <c r="I618" s="9" t="s">
        <v>10016</v>
      </c>
      <c r="J618" s="1" t="s">
        <v>4887</v>
      </c>
      <c r="K618" s="1" t="s">
        <v>102</v>
      </c>
      <c r="L618" s="1" t="s">
        <v>310</v>
      </c>
      <c r="M618" s="1" t="s">
        <v>213</v>
      </c>
      <c r="O618" s="1" t="s">
        <v>6151</v>
      </c>
      <c r="P618" s="1" t="s">
        <v>5213</v>
      </c>
      <c r="Q618" s="1" t="s">
        <v>10017</v>
      </c>
      <c r="R618" s="1" t="s">
        <v>10018</v>
      </c>
      <c r="S618" s="1">
        <v>2.96</v>
      </c>
      <c r="T618" s="1" t="s">
        <v>10019</v>
      </c>
      <c r="U618" s="1" t="s">
        <v>10020</v>
      </c>
      <c r="V618" s="1">
        <v>3.45</v>
      </c>
      <c r="W618" s="1" t="s">
        <v>10021</v>
      </c>
      <c r="X618" s="1" t="s">
        <v>10022</v>
      </c>
      <c r="Y618" s="1" t="s">
        <v>1279</v>
      </c>
      <c r="Z618" s="1" t="s">
        <v>10023</v>
      </c>
      <c r="AA618" s="10">
        <v>8000000.0</v>
      </c>
      <c r="AF618" s="10">
        <v>1.0E7</v>
      </c>
      <c r="AG618" s="1">
        <v>3.45587483E9</v>
      </c>
      <c r="AJ618" s="1">
        <v>180.0</v>
      </c>
      <c r="AK618" s="1">
        <v>90.0</v>
      </c>
      <c r="AL618" s="1" t="s">
        <v>10024</v>
      </c>
      <c r="AM618" s="1" t="s">
        <v>10025</v>
      </c>
      <c r="AN618" s="7" t="s">
        <v>10026</v>
      </c>
      <c r="AO618" s="8" t="str">
        <f>HYPERLINK("https://docs.google.com/document/d/1tNKVDFFIdBC6ffd-rc3Th8t17Qgtsq6m_NgzDDpas7Q/edit?usp=drivesdk","Al-Wildan 2 Bekasi_Agus Haryono M.M_")</f>
        <v>Al-Wildan 2 Bekasi_Agus Haryono M.M_</v>
      </c>
      <c r="AP618" s="1" t="s">
        <v>10027</v>
      </c>
    </row>
    <row r="619">
      <c r="A619" s="6">
        <v>44770.4984849537</v>
      </c>
      <c r="B619" s="7" t="s">
        <v>10028</v>
      </c>
      <c r="C619" s="8" t="s">
        <v>10029</v>
      </c>
      <c r="D619" s="1" t="s">
        <v>10030</v>
      </c>
      <c r="E619" s="9" t="s">
        <v>10031</v>
      </c>
      <c r="F619" s="1" t="s">
        <v>10032</v>
      </c>
      <c r="G619" s="1" t="s">
        <v>10033</v>
      </c>
      <c r="H619" s="1" t="s">
        <v>169</v>
      </c>
      <c r="I619" s="9" t="s">
        <v>10034</v>
      </c>
      <c r="J619" s="1" t="s">
        <v>2336</v>
      </c>
      <c r="K619" s="1" t="s">
        <v>102</v>
      </c>
      <c r="L619" s="1" t="s">
        <v>310</v>
      </c>
      <c r="M619" s="1" t="s">
        <v>8033</v>
      </c>
      <c r="O619" s="1" t="s">
        <v>6151</v>
      </c>
      <c r="P619" s="1" t="s">
        <v>7162</v>
      </c>
      <c r="Q619" s="1" t="s">
        <v>10035</v>
      </c>
      <c r="R619" s="1" t="s">
        <v>10036</v>
      </c>
      <c r="S619" s="9" t="s">
        <v>8262</v>
      </c>
      <c r="T619" s="1" t="s">
        <v>10037</v>
      </c>
      <c r="U619" s="1" t="s">
        <v>10038</v>
      </c>
      <c r="V619" s="1" t="s">
        <v>2372</v>
      </c>
      <c r="Z619" s="1" t="s">
        <v>10039</v>
      </c>
      <c r="AA619" s="10">
        <v>7800000.0</v>
      </c>
      <c r="AF619" s="1" t="s">
        <v>10040</v>
      </c>
      <c r="AG619" s="1">
        <v>7.201617159E9</v>
      </c>
      <c r="AI619" s="1" t="s">
        <v>10041</v>
      </c>
      <c r="AJ619" s="1">
        <v>165.0</v>
      </c>
      <c r="AK619" s="1">
        <v>57.0</v>
      </c>
      <c r="AL619" s="1" t="s">
        <v>10042</v>
      </c>
      <c r="AM619" s="1" t="s">
        <v>10043</v>
      </c>
      <c r="AN619" s="7" t="s">
        <v>10044</v>
      </c>
      <c r="AO619" s="8" t="str">
        <f>HYPERLINK("https://docs.google.com/document/d/10yUEZbHl_Gte7BLGGzXof-3oBnNqJ5w6VXPjo0a-JrE/edit?usp=drivesdk","Al-Wildan 7 Serang_FITRI MUTIARA SARI, S.H., M.Kn_")</f>
        <v>Al-Wildan 7 Serang_FITRI MUTIARA SARI, S.H., M.Kn_</v>
      </c>
      <c r="AP619" s="1" t="s">
        <v>10045</v>
      </c>
    </row>
    <row r="620">
      <c r="A620" s="6">
        <v>44770.584099687505</v>
      </c>
      <c r="B620" s="7" t="s">
        <v>10046</v>
      </c>
      <c r="C620" s="8" t="s">
        <v>10047</v>
      </c>
      <c r="D620" s="1" t="s">
        <v>10048</v>
      </c>
      <c r="E620" s="9" t="s">
        <v>10049</v>
      </c>
      <c r="F620" s="1" t="s">
        <v>10050</v>
      </c>
      <c r="G620" s="1" t="s">
        <v>10051</v>
      </c>
      <c r="H620" s="1" t="s">
        <v>10051</v>
      </c>
      <c r="I620" s="9" t="s">
        <v>10052</v>
      </c>
      <c r="J620" s="1" t="s">
        <v>10053</v>
      </c>
      <c r="K620" s="1" t="s">
        <v>102</v>
      </c>
      <c r="L620" s="1" t="s">
        <v>256</v>
      </c>
      <c r="M620" s="1" t="s">
        <v>424</v>
      </c>
      <c r="O620" s="1" t="s">
        <v>9794</v>
      </c>
      <c r="P620" s="1" t="s">
        <v>5712</v>
      </c>
      <c r="Q620" s="1" t="s">
        <v>10054</v>
      </c>
      <c r="R620" s="1" t="s">
        <v>10055</v>
      </c>
      <c r="S620" s="1" t="s">
        <v>595</v>
      </c>
      <c r="T620" s="1" t="s">
        <v>10056</v>
      </c>
      <c r="U620" s="1" t="s">
        <v>10057</v>
      </c>
      <c r="V620" s="1" t="s">
        <v>5523</v>
      </c>
      <c r="Z620" s="1" t="s">
        <v>10058</v>
      </c>
      <c r="AA620" s="10">
        <v>6000000.0</v>
      </c>
      <c r="AF620" s="10">
        <v>7000000.0</v>
      </c>
      <c r="AG620" s="1">
        <v>7.185595077E9</v>
      </c>
      <c r="AJ620" s="1">
        <v>168.0</v>
      </c>
      <c r="AK620" s="1">
        <v>57.0</v>
      </c>
      <c r="AL620" s="1" t="s">
        <v>10059</v>
      </c>
      <c r="AM620" s="1" t="s">
        <v>10060</v>
      </c>
      <c r="AN620" s="7" t="s">
        <v>10061</v>
      </c>
      <c r="AO620" s="8" t="str">
        <f>HYPERLINK("https://docs.google.com/document/d/1tNXKx1UKcqfIoibWWi_dYPX5XWyvbn3tItRuArkFJkU/edit?usp=drivesdk","Al-Wildan 3 BSD City_Kasropin Nugroho, S.Psi., M.Pd._")</f>
        <v>Al-Wildan 3 BSD City_Kasropin Nugroho, S.Psi., M.Pd._</v>
      </c>
      <c r="AP620" s="1" t="s">
        <v>10062</v>
      </c>
    </row>
    <row r="621">
      <c r="A621" s="6">
        <v>44770.63477578704</v>
      </c>
      <c r="B621" s="7" t="s">
        <v>10063</v>
      </c>
      <c r="C621" s="8" t="s">
        <v>10064</v>
      </c>
      <c r="D621" s="1" t="s">
        <v>10065</v>
      </c>
      <c r="E621" s="9" t="s">
        <v>10066</v>
      </c>
      <c r="F621" s="1">
        <v>3.27703270269002E14</v>
      </c>
      <c r="G621" s="1" t="s">
        <v>10067</v>
      </c>
      <c r="H621" s="1" t="s">
        <v>359</v>
      </c>
      <c r="I621" s="9" t="s">
        <v>10068</v>
      </c>
      <c r="J621" s="1">
        <v>53.0</v>
      </c>
      <c r="K621" s="1" t="s">
        <v>102</v>
      </c>
      <c r="L621" s="1" t="s">
        <v>329</v>
      </c>
      <c r="M621" s="1" t="s">
        <v>9169</v>
      </c>
      <c r="O621" s="1" t="s">
        <v>10069</v>
      </c>
      <c r="P621" s="1" t="s">
        <v>6044</v>
      </c>
      <c r="Q621" s="1" t="s">
        <v>10070</v>
      </c>
      <c r="R621" s="1" t="s">
        <v>5714</v>
      </c>
      <c r="AJ621" s="1">
        <v>167.0</v>
      </c>
      <c r="AK621" s="1">
        <v>76.0</v>
      </c>
      <c r="AL621" s="1" t="s">
        <v>10071</v>
      </c>
      <c r="AM621" s="1" t="s">
        <v>10072</v>
      </c>
      <c r="AN621" s="7" t="s">
        <v>10073</v>
      </c>
      <c r="AO621" s="8" t="str">
        <f>HYPERLINK("https://docs.google.com/document/d/1eK-AVVBJWq2yXvt73H0RNeB0cQGirqA04e6WUut7w6M/edit?usp=drivesdk","Al-Wildan Holding_syaiful bahri_")</f>
        <v>Al-Wildan Holding_syaiful bahri_</v>
      </c>
      <c r="AP621" s="1" t="s">
        <v>10074</v>
      </c>
    </row>
    <row r="622">
      <c r="A622" s="6">
        <v>44770.715115555555</v>
      </c>
      <c r="B622" s="7" t="s">
        <v>10075</v>
      </c>
      <c r="C622" s="8" t="s">
        <v>10076</v>
      </c>
      <c r="D622" s="1" t="s">
        <v>10077</v>
      </c>
      <c r="E622" s="9" t="s">
        <v>10078</v>
      </c>
      <c r="F622" s="1" t="s">
        <v>10079</v>
      </c>
      <c r="G622" s="1" t="s">
        <v>10080</v>
      </c>
      <c r="H622" s="1" t="s">
        <v>10081</v>
      </c>
      <c r="I622" s="9" t="s">
        <v>10082</v>
      </c>
      <c r="J622" s="1" t="s">
        <v>10083</v>
      </c>
      <c r="K622" s="1" t="s">
        <v>102</v>
      </c>
      <c r="L622" s="1" t="s">
        <v>103</v>
      </c>
      <c r="M622" s="1" t="s">
        <v>424</v>
      </c>
      <c r="N622" s="1" t="s">
        <v>425</v>
      </c>
      <c r="O622" s="1" t="s">
        <v>106</v>
      </c>
      <c r="P622" s="1" t="s">
        <v>237</v>
      </c>
      <c r="Q622" s="1" t="s">
        <v>10084</v>
      </c>
      <c r="R622" s="1" t="s">
        <v>425</v>
      </c>
      <c r="S622" s="1">
        <v>3.69</v>
      </c>
      <c r="T622" s="1" t="s">
        <v>153</v>
      </c>
      <c r="U622" s="1" t="s">
        <v>425</v>
      </c>
      <c r="V622" s="1">
        <v>3.54</v>
      </c>
      <c r="W622" s="1" t="s">
        <v>217</v>
      </c>
      <c r="X622" s="1" t="s">
        <v>217</v>
      </c>
      <c r="Z622" s="1" t="s">
        <v>217</v>
      </c>
      <c r="AA622" s="1" t="s">
        <v>217</v>
      </c>
      <c r="AB622" s="1" t="s">
        <v>217</v>
      </c>
      <c r="AC622" s="1" t="s">
        <v>217</v>
      </c>
      <c r="AD622" s="1" t="s">
        <v>217</v>
      </c>
      <c r="AE622" s="1" t="s">
        <v>217</v>
      </c>
      <c r="AF622" s="10">
        <v>6000000.0</v>
      </c>
      <c r="AG622" s="1">
        <v>7.150004057E9</v>
      </c>
      <c r="AJ622" s="1">
        <v>150.0</v>
      </c>
      <c r="AK622" s="1">
        <v>58.0</v>
      </c>
      <c r="AL622" s="1" t="s">
        <v>10085</v>
      </c>
      <c r="AM622" s="1" t="s">
        <v>10086</v>
      </c>
      <c r="AN622" s="7" t="s">
        <v>10087</v>
      </c>
      <c r="AO622" s="8" t="str">
        <f>HYPERLINK("https://docs.google.com/document/d/1vun1C78B3gqwuYGVwzA73X2PD4dWplO60lgaYSzbf3o/edit?usp=drivesdk","Al-Wildan 4 Lebak Bulus_Raodhatul Jannah, M.Pd_Bimbingan dan Konseling")</f>
        <v>Al-Wildan 4 Lebak Bulus_Raodhatul Jannah, M.Pd_Bimbingan dan Konseling</v>
      </c>
      <c r="AP622" s="1" t="s">
        <v>10088</v>
      </c>
    </row>
    <row r="623">
      <c r="A623" s="6">
        <v>44770.74695971065</v>
      </c>
      <c r="B623" s="7" t="s">
        <v>10089</v>
      </c>
      <c r="C623" s="8" t="s">
        <v>10090</v>
      </c>
      <c r="D623" s="1" t="s">
        <v>10091</v>
      </c>
      <c r="E623" s="9" t="s">
        <v>10092</v>
      </c>
      <c r="F623" s="1" t="s">
        <v>10093</v>
      </c>
      <c r="G623" s="1" t="s">
        <v>10094</v>
      </c>
      <c r="H623" s="1" t="s">
        <v>10095</v>
      </c>
      <c r="I623" s="9" t="s">
        <v>10096</v>
      </c>
      <c r="J623" s="1" t="s">
        <v>8213</v>
      </c>
      <c r="K623" s="1" t="s">
        <v>102</v>
      </c>
      <c r="L623" s="1" t="s">
        <v>103</v>
      </c>
      <c r="M623" s="1" t="s">
        <v>104</v>
      </c>
      <c r="N623" s="1" t="s">
        <v>10097</v>
      </c>
      <c r="O623" s="1" t="s">
        <v>9794</v>
      </c>
      <c r="P623" s="1" t="s">
        <v>5213</v>
      </c>
      <c r="Q623" s="1" t="s">
        <v>10098</v>
      </c>
      <c r="R623" s="1" t="s">
        <v>10099</v>
      </c>
      <c r="S623" s="1" t="s">
        <v>4889</v>
      </c>
      <c r="T623" s="1" t="s">
        <v>10100</v>
      </c>
      <c r="U623" s="1" t="s">
        <v>2355</v>
      </c>
      <c r="V623" s="1" t="s">
        <v>908</v>
      </c>
      <c r="Z623" s="1" t="s">
        <v>10101</v>
      </c>
      <c r="AA623" s="10">
        <v>5000000.0</v>
      </c>
      <c r="AB623" s="1" t="s">
        <v>10102</v>
      </c>
      <c r="AC623" s="10">
        <v>3500000.0</v>
      </c>
      <c r="AD623" s="1" t="s">
        <v>10103</v>
      </c>
      <c r="AE623" s="10">
        <v>1500000.0</v>
      </c>
      <c r="AF623" s="10">
        <v>5500000.0</v>
      </c>
      <c r="AG623" s="1">
        <v>7.17216938E9</v>
      </c>
      <c r="AJ623" s="1">
        <v>160.0</v>
      </c>
      <c r="AK623" s="1">
        <v>53.0</v>
      </c>
      <c r="AL623" s="1" t="s">
        <v>10104</v>
      </c>
      <c r="AM623" s="1" t="s">
        <v>10105</v>
      </c>
      <c r="AN623" s="7" t="s">
        <v>10106</v>
      </c>
      <c r="AO623" s="8" t="str">
        <f>HYPERLINK("https://docs.google.com/document/d/160ScWv5KzuQ3AI3bu_p1ab0i-1KqrQp9wEaM-14GLrs/edit?usp=drivesdk","Al-Wildan 2 Bekasi_Ramadhan Saputra, Lc, M.Ed_Bahasa Arab/Diniyyah")</f>
        <v>Al-Wildan 2 Bekasi_Ramadhan Saputra, Lc, M.Ed_Bahasa Arab/Diniyyah</v>
      </c>
      <c r="AP623" s="1" t="s">
        <v>10107</v>
      </c>
    </row>
    <row r="624">
      <c r="A624" s="6">
        <v>44770.76470383102</v>
      </c>
      <c r="B624" s="7" t="s">
        <v>10108</v>
      </c>
      <c r="C624" s="8" t="s">
        <v>10109</v>
      </c>
      <c r="D624" s="1" t="s">
        <v>10110</v>
      </c>
      <c r="E624" s="9" t="s">
        <v>10111</v>
      </c>
      <c r="F624" s="1" t="s">
        <v>10112</v>
      </c>
      <c r="G624" s="1" t="s">
        <v>10113</v>
      </c>
      <c r="H624" s="1" t="s">
        <v>1411</v>
      </c>
      <c r="I624" s="9" t="s">
        <v>10114</v>
      </c>
      <c r="J624" s="1" t="s">
        <v>1811</v>
      </c>
      <c r="K624" s="1" t="s">
        <v>151</v>
      </c>
      <c r="L624" s="1" t="s">
        <v>256</v>
      </c>
      <c r="M624" s="1" t="s">
        <v>104</v>
      </c>
      <c r="N624" s="1" t="s">
        <v>10115</v>
      </c>
      <c r="O624" s="1" t="s">
        <v>312</v>
      </c>
      <c r="P624" s="1" t="s">
        <v>6533</v>
      </c>
      <c r="Z624" s="1" t="s">
        <v>10116</v>
      </c>
      <c r="AC624" s="10">
        <v>2000000.0</v>
      </c>
      <c r="AF624" s="10">
        <v>4000000.0</v>
      </c>
      <c r="AG624" s="1">
        <v>7.187951059E9</v>
      </c>
      <c r="AI624" s="1" t="s">
        <v>10110</v>
      </c>
      <c r="AJ624" s="1">
        <v>162.0</v>
      </c>
      <c r="AK624" s="1">
        <v>45.0</v>
      </c>
      <c r="AL624" s="1" t="s">
        <v>10117</v>
      </c>
      <c r="AM624" s="1" t="s">
        <v>10118</v>
      </c>
      <c r="AN624" s="7" t="s">
        <v>10119</v>
      </c>
      <c r="AO624" s="8" t="str">
        <f>HYPERLINK("https://docs.google.com/document/d/1OcJMZ3mLbmTKHJRM44P_K1MhHJr9CPQALH_DBwJhhFw/edit?usp=drivesdk","Al-Wildan 5 Benhil_Amirah Salwa _Guru al-quran ")</f>
        <v>Al-Wildan 5 Benhil_Amirah Salwa _Guru al-quran </v>
      </c>
      <c r="AP624" s="1" t="s">
        <v>10120</v>
      </c>
    </row>
    <row r="625">
      <c r="A625" s="6">
        <v>44771.439068287036</v>
      </c>
      <c r="B625" s="7" t="s">
        <v>10121</v>
      </c>
      <c r="C625" s="8" t="s">
        <v>10122</v>
      </c>
      <c r="D625" s="1" t="s">
        <v>10123</v>
      </c>
      <c r="E625" s="9" t="s">
        <v>10124</v>
      </c>
      <c r="F625" s="1">
        <v>3.50405060391003E14</v>
      </c>
      <c r="G625" s="1" t="s">
        <v>10125</v>
      </c>
      <c r="H625" s="1" t="s">
        <v>3280</v>
      </c>
      <c r="I625" s="9" t="s">
        <v>10126</v>
      </c>
      <c r="J625" s="1">
        <v>31.0</v>
      </c>
      <c r="K625" s="1" t="s">
        <v>102</v>
      </c>
      <c r="L625" s="1" t="s">
        <v>103</v>
      </c>
      <c r="M625" s="1" t="s">
        <v>104</v>
      </c>
      <c r="N625" s="1" t="s">
        <v>771</v>
      </c>
      <c r="O625" s="1" t="s">
        <v>127</v>
      </c>
      <c r="P625" s="1" t="s">
        <v>7991</v>
      </c>
      <c r="Q625" s="1" t="s">
        <v>10127</v>
      </c>
      <c r="R625" s="1" t="s">
        <v>10128</v>
      </c>
      <c r="S625" s="1" t="s">
        <v>908</v>
      </c>
      <c r="T625" s="1" t="s">
        <v>217</v>
      </c>
      <c r="U625" s="1" t="s">
        <v>217</v>
      </c>
      <c r="V625" s="1" t="s">
        <v>217</v>
      </c>
      <c r="W625" s="1" t="s">
        <v>217</v>
      </c>
      <c r="X625" s="1" t="s">
        <v>217</v>
      </c>
      <c r="Z625" s="1" t="s">
        <v>10129</v>
      </c>
      <c r="AA625" s="10">
        <v>6000000.0</v>
      </c>
      <c r="AB625" s="1" t="s">
        <v>10130</v>
      </c>
      <c r="AC625" s="10">
        <v>4000000.0</v>
      </c>
      <c r="AD625" s="1" t="s">
        <v>10131</v>
      </c>
      <c r="AE625" s="10">
        <v>4250000.0</v>
      </c>
      <c r="AF625" s="10">
        <v>5000000.0</v>
      </c>
      <c r="AG625" s="1">
        <v>7.138836554E9</v>
      </c>
      <c r="AJ625" s="1">
        <v>183.0</v>
      </c>
      <c r="AK625" s="1">
        <v>100.0</v>
      </c>
      <c r="AL625" s="1" t="s">
        <v>10132</v>
      </c>
      <c r="AM625" s="1" t="s">
        <v>10133</v>
      </c>
      <c r="AN625" s="7" t="s">
        <v>10134</v>
      </c>
      <c r="AO625" s="8" t="str">
        <f>HYPERLINK("https://docs.google.com/document/d/1GZmaftkzGSn5FE75dfL2kgi8oPfdz7QcCDKp1k-U-uU/edit?usp=drivesdk","Al-Wildan 12 Bulak Kapal, Bekasi_Rizad Prasetyoi, S.Pd_English")</f>
        <v>Al-Wildan 12 Bulak Kapal, Bekasi_Rizad Prasetyoi, S.Pd_English</v>
      </c>
      <c r="AP625" s="1" t="s">
        <v>10135</v>
      </c>
    </row>
    <row r="626">
      <c r="A626" s="6">
        <v>44771.64992069444</v>
      </c>
      <c r="B626" s="7" t="s">
        <v>10136</v>
      </c>
      <c r="C626" s="8" t="s">
        <v>10137</v>
      </c>
      <c r="D626" s="1" t="s">
        <v>10138</v>
      </c>
      <c r="E626" s="1" t="s">
        <v>10139</v>
      </c>
      <c r="F626" s="1" t="s">
        <v>10140</v>
      </c>
      <c r="G626" s="1" t="s">
        <v>10141</v>
      </c>
      <c r="H626" s="1" t="s">
        <v>3817</v>
      </c>
      <c r="I626" s="9" t="s">
        <v>2599</v>
      </c>
      <c r="J626" s="1" t="s">
        <v>1557</v>
      </c>
      <c r="K626" s="1" t="s">
        <v>102</v>
      </c>
      <c r="L626" s="1" t="s">
        <v>329</v>
      </c>
      <c r="M626" s="1" t="s">
        <v>104</v>
      </c>
      <c r="N626" s="1" t="s">
        <v>3998</v>
      </c>
      <c r="O626" s="1" t="s">
        <v>312</v>
      </c>
      <c r="P626" s="1" t="s">
        <v>237</v>
      </c>
      <c r="Q626" s="1" t="s">
        <v>2602</v>
      </c>
      <c r="R626" s="1" t="s">
        <v>6172</v>
      </c>
      <c r="S626" s="1" t="s">
        <v>10142</v>
      </c>
      <c r="Z626" s="1" t="s">
        <v>10143</v>
      </c>
      <c r="AA626" s="10">
        <v>5500000.0</v>
      </c>
      <c r="AF626" s="10">
        <v>6500000.0</v>
      </c>
      <c r="AG626" s="1">
        <v>8.54691096E9</v>
      </c>
      <c r="AJ626" s="1">
        <v>160.0</v>
      </c>
      <c r="AK626" s="1">
        <v>95.0</v>
      </c>
      <c r="AL626" s="1" t="s">
        <v>10144</v>
      </c>
      <c r="AM626" s="1" t="s">
        <v>10145</v>
      </c>
      <c r="AN626" s="7" t="s">
        <v>10146</v>
      </c>
      <c r="AO626" s="8" t="str">
        <f>HYPERLINK("https://docs.google.com/document/d/1wBvwWbC_eJ4X4X3CRiYQtMEImiOfORfIuW8J9hzRlq8/edit?usp=drivesdk","Al-Wildan 4 Lebak Bulus_MEGA PUTRI DAMAYANTI, S.IP._MATH, SCIENCE, ENGLISH")</f>
        <v>Al-Wildan 4 Lebak Bulus_MEGA PUTRI DAMAYANTI, S.IP._MATH, SCIENCE, ENGLISH</v>
      </c>
      <c r="AP626" s="1" t="s">
        <v>10147</v>
      </c>
    </row>
    <row r="627">
      <c r="A627" s="6">
        <v>44771.69395458333</v>
      </c>
      <c r="B627" s="7" t="s">
        <v>10148</v>
      </c>
      <c r="C627" s="8" t="s">
        <v>10149</v>
      </c>
      <c r="D627" s="1" t="s">
        <v>10150</v>
      </c>
      <c r="E627" s="9" t="s">
        <v>10151</v>
      </c>
      <c r="F627" s="1" t="s">
        <v>10152</v>
      </c>
      <c r="G627" s="1" t="s">
        <v>10153</v>
      </c>
      <c r="H627" s="1" t="s">
        <v>10154</v>
      </c>
      <c r="I627" s="9" t="s">
        <v>10155</v>
      </c>
      <c r="J627" s="1" t="s">
        <v>10156</v>
      </c>
      <c r="K627" s="1" t="s">
        <v>102</v>
      </c>
      <c r="L627" s="1" t="s">
        <v>103</v>
      </c>
      <c r="M627" s="1" t="s">
        <v>5710</v>
      </c>
      <c r="O627" s="1" t="s">
        <v>5711</v>
      </c>
      <c r="P627" s="1" t="s">
        <v>237</v>
      </c>
      <c r="Q627" s="1" t="s">
        <v>10157</v>
      </c>
      <c r="R627" s="1" t="s">
        <v>10158</v>
      </c>
      <c r="S627" s="1" t="s">
        <v>9391</v>
      </c>
      <c r="Z627" s="1" t="s">
        <v>10159</v>
      </c>
      <c r="AA627" s="10">
        <v>3200000.0</v>
      </c>
      <c r="AB627" s="1" t="s">
        <v>10160</v>
      </c>
      <c r="AC627" s="10">
        <v>4700000.0</v>
      </c>
      <c r="AH627" s="1">
        <v>2.040232802E9</v>
      </c>
      <c r="AI627" s="1" t="s">
        <v>222</v>
      </c>
      <c r="AJ627" s="1">
        <v>165.0</v>
      </c>
      <c r="AK627" s="1">
        <v>75.0</v>
      </c>
      <c r="AL627" s="1" t="s">
        <v>10161</v>
      </c>
      <c r="AM627" s="1" t="s">
        <v>10162</v>
      </c>
      <c r="AN627" s="7" t="s">
        <v>10163</v>
      </c>
      <c r="AO627" s="8" t="str">
        <f>HYPERLINK("https://docs.google.com/document/d/1NwDqNvii860-TAQF83yLsn4plKU_BRwx28hIHyLIB1w/edit?usp=drivesdk","Al-Wildan 4 Lebak Bulus_Ns. Ramadhani Yalesia Putri S,Kep_")</f>
        <v>Al-Wildan 4 Lebak Bulus_Ns. Ramadhani Yalesia Putri S,Kep_</v>
      </c>
      <c r="AP627" s="1" t="s">
        <v>10164</v>
      </c>
    </row>
    <row r="628">
      <c r="A628" s="6">
        <v>44771.85514231482</v>
      </c>
      <c r="B628" s="7" t="s">
        <v>10165</v>
      </c>
      <c r="C628" s="8" t="s">
        <v>10166</v>
      </c>
      <c r="D628" s="1" t="s">
        <v>10167</v>
      </c>
      <c r="E628" s="9" t="s">
        <v>10168</v>
      </c>
      <c r="F628" s="1" t="s">
        <v>10169</v>
      </c>
      <c r="G628" s="1" t="s">
        <v>10170</v>
      </c>
      <c r="H628" s="1" t="s">
        <v>3033</v>
      </c>
      <c r="I628" s="9" t="s">
        <v>10171</v>
      </c>
      <c r="J628" s="1" t="s">
        <v>10172</v>
      </c>
      <c r="K628" s="1" t="s">
        <v>151</v>
      </c>
      <c r="L628" s="1" t="s">
        <v>496</v>
      </c>
      <c r="M628" s="1" t="s">
        <v>104</v>
      </c>
      <c r="N628" s="1" t="s">
        <v>7922</v>
      </c>
      <c r="O628" s="1" t="s">
        <v>236</v>
      </c>
      <c r="P628" s="1" t="s">
        <v>237</v>
      </c>
      <c r="Q628" s="1" t="s">
        <v>10173</v>
      </c>
      <c r="R628" s="1" t="s">
        <v>10174</v>
      </c>
      <c r="S628" s="1" t="s">
        <v>10175</v>
      </c>
      <c r="Z628" s="1" t="s">
        <v>10176</v>
      </c>
      <c r="AF628" s="10">
        <v>8000000.0</v>
      </c>
      <c r="AH628" s="1">
        <v>1.015027394E9</v>
      </c>
      <c r="AI628" s="1" t="s">
        <v>4856</v>
      </c>
      <c r="AJ628" s="1">
        <v>157.0</v>
      </c>
      <c r="AK628" s="1">
        <v>85.0</v>
      </c>
      <c r="AL628" s="1" t="s">
        <v>10177</v>
      </c>
      <c r="AM628" s="1" t="s">
        <v>10178</v>
      </c>
      <c r="AN628" s="7" t="s">
        <v>10179</v>
      </c>
      <c r="AO628" s="8" t="str">
        <f>HYPERLINK("https://docs.google.com/document/d/1ExEjuGjxoGzpiSU2JVOxlxzWENclP6_hb0cJhRMNbaA/edit?usp=drivesdk","Al-Wildan 4 Lebak Bulus_Nasya Qatrunnada Ramadhani, BA_PAI ENGLISH")</f>
        <v>Al-Wildan 4 Lebak Bulus_Nasya Qatrunnada Ramadhani, BA_PAI ENGLISH</v>
      </c>
      <c r="AP628" s="1" t="s">
        <v>10180</v>
      </c>
    </row>
    <row r="629">
      <c r="A629" s="6">
        <v>44771.91042076389</v>
      </c>
      <c r="B629" s="7" t="s">
        <v>10181</v>
      </c>
      <c r="C629" s="8" t="s">
        <v>10182</v>
      </c>
      <c r="D629" s="1" t="s">
        <v>10183</v>
      </c>
      <c r="E629" s="9" t="s">
        <v>10184</v>
      </c>
      <c r="F629" s="1" t="s">
        <v>10185</v>
      </c>
      <c r="G629" s="1" t="s">
        <v>10186</v>
      </c>
      <c r="H629" s="1" t="s">
        <v>10187</v>
      </c>
      <c r="I629" s="9" t="s">
        <v>10188</v>
      </c>
      <c r="J629" s="1" t="s">
        <v>2481</v>
      </c>
      <c r="K629" s="1" t="s">
        <v>151</v>
      </c>
      <c r="L629" s="1" t="s">
        <v>329</v>
      </c>
      <c r="M629" s="1" t="s">
        <v>2677</v>
      </c>
      <c r="O629" s="1" t="s">
        <v>10069</v>
      </c>
      <c r="P629" s="1" t="s">
        <v>237</v>
      </c>
      <c r="Q629" s="1" t="s">
        <v>10189</v>
      </c>
      <c r="R629" s="1" t="s">
        <v>238</v>
      </c>
      <c r="S629" s="1" t="s">
        <v>2369</v>
      </c>
      <c r="Z629" s="1" t="s">
        <v>10190</v>
      </c>
      <c r="AA629" s="10">
        <v>2000000.0</v>
      </c>
      <c r="AB629" s="1" t="s">
        <v>10191</v>
      </c>
      <c r="AC629" s="10">
        <v>2500000.0</v>
      </c>
      <c r="AD629" s="1" t="s">
        <v>10192</v>
      </c>
      <c r="AE629" s="10">
        <v>2823000.0</v>
      </c>
      <c r="AF629" s="10">
        <v>4500000.0</v>
      </c>
      <c r="AH629" s="1">
        <v>4.93101026308532E14</v>
      </c>
      <c r="AI629" s="1" t="s">
        <v>2407</v>
      </c>
      <c r="AJ629" s="1">
        <v>167.0</v>
      </c>
      <c r="AK629" s="1">
        <v>47.0</v>
      </c>
      <c r="AL629" s="1" t="s">
        <v>10193</v>
      </c>
      <c r="AM629" s="1" t="s">
        <v>10194</v>
      </c>
      <c r="AN629" s="7" t="s">
        <v>10195</v>
      </c>
      <c r="AO629" s="8" t="str">
        <f>HYPERLINK("https://docs.google.com/document/d/1tcSOv8AojxJxaIAh1cEFf6D17154ygxAGdn-C4ozySU/edit?usp=drivesdk","Al-Wildan 4 Lebak Bulus_Yulina, S.T_")</f>
        <v>Al-Wildan 4 Lebak Bulus_Yulina, S.T_</v>
      </c>
      <c r="AP629" s="1" t="s">
        <v>10196</v>
      </c>
    </row>
    <row r="630">
      <c r="A630" s="6">
        <v>44772.229724861114</v>
      </c>
      <c r="B630" s="7" t="s">
        <v>10197</v>
      </c>
      <c r="C630" s="8" t="s">
        <v>10198</v>
      </c>
      <c r="D630" s="1" t="s">
        <v>10199</v>
      </c>
      <c r="E630" s="9" t="s">
        <v>10200</v>
      </c>
      <c r="F630" s="1" t="s">
        <v>10201</v>
      </c>
      <c r="G630" s="1" t="s">
        <v>10202</v>
      </c>
      <c r="H630" s="1" t="s">
        <v>188</v>
      </c>
      <c r="I630" s="9" t="s">
        <v>10203</v>
      </c>
      <c r="J630" s="1" t="s">
        <v>10204</v>
      </c>
      <c r="K630" s="1" t="s">
        <v>102</v>
      </c>
      <c r="L630" s="1" t="s">
        <v>827</v>
      </c>
      <c r="M630" s="1" t="s">
        <v>424</v>
      </c>
      <c r="O630" s="1" t="s">
        <v>127</v>
      </c>
      <c r="P630" s="1" t="s">
        <v>237</v>
      </c>
      <c r="Q630" s="1" t="s">
        <v>9493</v>
      </c>
      <c r="R630" s="1" t="s">
        <v>1057</v>
      </c>
      <c r="S630" s="1" t="s">
        <v>1668</v>
      </c>
      <c r="Z630" s="1" t="s">
        <v>10205</v>
      </c>
      <c r="AA630" s="10">
        <v>3500000.0</v>
      </c>
      <c r="AF630" s="10">
        <v>4500000.0</v>
      </c>
      <c r="AG630" s="1">
        <v>7.131502545E9</v>
      </c>
      <c r="AI630" s="1" t="s">
        <v>5113</v>
      </c>
      <c r="AJ630" s="1">
        <v>148.0</v>
      </c>
      <c r="AK630" s="1">
        <v>57.0</v>
      </c>
      <c r="AL630" s="1" t="s">
        <v>10206</v>
      </c>
      <c r="AM630" s="1" t="s">
        <v>10207</v>
      </c>
      <c r="AN630" s="7" t="s">
        <v>10208</v>
      </c>
      <c r="AO630" s="8" t="str">
        <f>HYPERLINK("https://docs.google.com/document/d/1Ji_nVQpM9x1XYhqxGG9aEUCP5vFIc9ez4dKGcUVrRwc/edit?usp=drivesdk","Al-Wildan 4 Lebak Bulus_Sahida Sakur Saraswati, S.Psi._")</f>
        <v>Al-Wildan 4 Lebak Bulus_Sahida Sakur Saraswati, S.Psi._</v>
      </c>
      <c r="AP630" s="1" t="s">
        <v>10209</v>
      </c>
    </row>
    <row r="631">
      <c r="A631" s="6">
        <v>44772.6264459838</v>
      </c>
      <c r="B631" s="7" t="s">
        <v>10210</v>
      </c>
      <c r="C631" s="8" t="s">
        <v>10211</v>
      </c>
      <c r="D631" s="1" t="s">
        <v>10212</v>
      </c>
      <c r="E631" s="9" t="s">
        <v>10213</v>
      </c>
      <c r="F631" s="1" t="s">
        <v>10214</v>
      </c>
      <c r="G631" s="1" t="s">
        <v>10215</v>
      </c>
      <c r="H631" s="1" t="s">
        <v>148</v>
      </c>
      <c r="I631" s="9" t="s">
        <v>10216</v>
      </c>
      <c r="J631" s="1" t="s">
        <v>9654</v>
      </c>
      <c r="K631" s="1" t="s">
        <v>151</v>
      </c>
      <c r="L631" s="1" t="s">
        <v>256</v>
      </c>
      <c r="M631" s="1" t="s">
        <v>104</v>
      </c>
      <c r="N631" s="1" t="s">
        <v>152</v>
      </c>
      <c r="O631" s="1" t="s">
        <v>106</v>
      </c>
      <c r="P631" s="1" t="s">
        <v>107</v>
      </c>
      <c r="Q631" s="1" t="s">
        <v>10217</v>
      </c>
      <c r="R631" s="1" t="s">
        <v>5612</v>
      </c>
      <c r="S631" s="1">
        <v>3.62</v>
      </c>
      <c r="Z631" s="1" t="s">
        <v>10218</v>
      </c>
      <c r="AA631" s="1" t="s">
        <v>10219</v>
      </c>
      <c r="AB631" s="1" t="s">
        <v>10220</v>
      </c>
      <c r="AC631" s="10">
        <v>600000.0</v>
      </c>
      <c r="AD631" s="1" t="s">
        <v>10221</v>
      </c>
      <c r="AE631" s="10">
        <v>2200000.0</v>
      </c>
      <c r="AF631" s="10">
        <v>4500000.0</v>
      </c>
      <c r="AH631" s="1">
        <v>5.78901011788533E14</v>
      </c>
      <c r="AI631" s="1" t="s">
        <v>5995</v>
      </c>
      <c r="AJ631" s="1">
        <v>157.0</v>
      </c>
      <c r="AK631" s="1">
        <v>50.0</v>
      </c>
      <c r="AL631" s="1" t="s">
        <v>10222</v>
      </c>
      <c r="AM631" s="1" t="s">
        <v>10223</v>
      </c>
      <c r="AN631" s="7" t="s">
        <v>10224</v>
      </c>
      <c r="AO631" s="8" t="str">
        <f>HYPERLINK("https://docs.google.com/document/d/1DeS9lEMGWiZM8DMo1KSCK1s0WwEOYooMTDEL6AptxvY/edit?usp=drivesdk","Al-Wildan 1 Gading Serpong_NADHILAH NUR SHABRINA, SS._Bahasa Inggris")</f>
        <v>Al-Wildan 1 Gading Serpong_NADHILAH NUR SHABRINA, SS._Bahasa Inggris</v>
      </c>
      <c r="AP631" s="1" t="s">
        <v>10225</v>
      </c>
    </row>
    <row r="632">
      <c r="A632" s="6">
        <v>44773.29305299769</v>
      </c>
      <c r="B632" s="7" t="s">
        <v>10226</v>
      </c>
      <c r="C632" s="8" t="s">
        <v>10227</v>
      </c>
      <c r="D632" s="1" t="s">
        <v>10228</v>
      </c>
      <c r="E632" s="9" t="s">
        <v>10229</v>
      </c>
      <c r="F632" s="1" t="s">
        <v>10230</v>
      </c>
      <c r="G632" s="1" t="s">
        <v>10231</v>
      </c>
      <c r="H632" s="1" t="s">
        <v>2523</v>
      </c>
      <c r="I632" s="9" t="s">
        <v>10232</v>
      </c>
      <c r="J632" s="1" t="s">
        <v>724</v>
      </c>
      <c r="K632" s="1" t="s">
        <v>151</v>
      </c>
      <c r="L632" s="1" t="s">
        <v>103</v>
      </c>
      <c r="M632" s="1" t="s">
        <v>104</v>
      </c>
      <c r="N632" s="1" t="s">
        <v>9306</v>
      </c>
      <c r="O632" s="1" t="s">
        <v>106</v>
      </c>
      <c r="P632" s="1" t="s">
        <v>6091</v>
      </c>
      <c r="Q632" s="1" t="s">
        <v>3409</v>
      </c>
      <c r="R632" s="1" t="s">
        <v>10233</v>
      </c>
      <c r="S632" s="1">
        <v>3.77</v>
      </c>
      <c r="Z632" s="1" t="s">
        <v>7599</v>
      </c>
      <c r="AA632" s="10">
        <v>2500000.0</v>
      </c>
      <c r="AB632" s="1" t="s">
        <v>10234</v>
      </c>
      <c r="AC632" s="10">
        <v>1000000.0</v>
      </c>
      <c r="AF632" s="10">
        <v>3000000.0</v>
      </c>
      <c r="AH632" s="9" t="s">
        <v>10235</v>
      </c>
      <c r="AI632" s="1" t="s">
        <v>4705</v>
      </c>
      <c r="AJ632" s="1">
        <v>150.0</v>
      </c>
      <c r="AK632" s="1">
        <v>45.0</v>
      </c>
      <c r="AL632" s="1" t="s">
        <v>10236</v>
      </c>
      <c r="AM632" s="1" t="s">
        <v>10237</v>
      </c>
      <c r="AN632" s="7" t="s">
        <v>10238</v>
      </c>
      <c r="AO632" s="8" t="str">
        <f>HYPERLINK("https://docs.google.com/document/d/1HEpBURMikvdLiHy3NubB7_fOTemTkJFl95HvOpVMMA0/edit?usp=drivesdk","Al-Wildan 10 Cipinang, Jakarta Timur_Nur Sa'adah S.Hum_PAI English ")</f>
        <v>Al-Wildan 10 Cipinang, Jakarta Timur_Nur Sa'adah S.Hum_PAI English </v>
      </c>
      <c r="AP632" s="1" t="s">
        <v>10239</v>
      </c>
    </row>
    <row r="633">
      <c r="A633" s="6">
        <v>44776.725673043984</v>
      </c>
      <c r="B633" s="7" t="s">
        <v>10240</v>
      </c>
      <c r="C633" s="8" t="s">
        <v>10241</v>
      </c>
      <c r="D633" s="1" t="s">
        <v>10242</v>
      </c>
      <c r="E633" s="9" t="s">
        <v>10243</v>
      </c>
      <c r="F633" s="1" t="s">
        <v>10244</v>
      </c>
      <c r="G633" s="1" t="s">
        <v>148</v>
      </c>
      <c r="H633" s="1" t="s">
        <v>9779</v>
      </c>
      <c r="I633" s="9" t="s">
        <v>10245</v>
      </c>
      <c r="J633" s="1" t="s">
        <v>10246</v>
      </c>
      <c r="K633" s="1" t="s">
        <v>151</v>
      </c>
      <c r="L633" s="1" t="s">
        <v>496</v>
      </c>
      <c r="M633" s="1" t="s">
        <v>8769</v>
      </c>
      <c r="O633" s="1" t="s">
        <v>236</v>
      </c>
      <c r="P633" s="1" t="s">
        <v>107</v>
      </c>
      <c r="Z633" s="1" t="s">
        <v>10247</v>
      </c>
      <c r="AA633" s="10">
        <v>1000000.0</v>
      </c>
      <c r="AG633" s="1">
        <v>7.178790573E9</v>
      </c>
      <c r="AJ633" s="1">
        <v>161.0</v>
      </c>
      <c r="AK633" s="1">
        <v>51.0</v>
      </c>
      <c r="AL633" s="1" t="s">
        <v>10248</v>
      </c>
      <c r="AM633" s="1" t="s">
        <v>10249</v>
      </c>
      <c r="AN633" s="7" t="s">
        <v>10250</v>
      </c>
      <c r="AO633" s="8" t="str">
        <f>HYPERLINK("https://docs.google.com/document/d/1_BEBjYkfMZxfKrgepLU9Kcgo3J9QY9YhPPhXPZg7L9k/edit?usp=drivesdk","Al-Wildan 1 Gading Serpong_Nabila Fatimah Az Zahra _")</f>
        <v>Al-Wildan 1 Gading Serpong_Nabila Fatimah Az Zahra _</v>
      </c>
      <c r="AP633" s="1" t="s">
        <v>10251</v>
      </c>
    </row>
    <row r="634">
      <c r="A634" s="6">
        <v>44777.98444172453</v>
      </c>
      <c r="B634" s="7" t="s">
        <v>10252</v>
      </c>
      <c r="C634" s="8" t="s">
        <v>10253</v>
      </c>
      <c r="D634" s="1" t="s">
        <v>10254</v>
      </c>
      <c r="E634" s="9" t="s">
        <v>10255</v>
      </c>
      <c r="F634" s="1" t="s">
        <v>10256</v>
      </c>
      <c r="G634" s="1" t="s">
        <v>10257</v>
      </c>
      <c r="H634" s="1" t="s">
        <v>10258</v>
      </c>
      <c r="I634" s="9" t="s">
        <v>10259</v>
      </c>
      <c r="J634" s="1" t="s">
        <v>7424</v>
      </c>
      <c r="K634" s="1" t="s">
        <v>102</v>
      </c>
      <c r="L634" s="1" t="s">
        <v>103</v>
      </c>
      <c r="M634" s="1" t="s">
        <v>6186</v>
      </c>
      <c r="O634" s="1" t="s">
        <v>10069</v>
      </c>
      <c r="P634" s="1" t="s">
        <v>107</v>
      </c>
      <c r="Q634" s="1" t="s">
        <v>10260</v>
      </c>
      <c r="R634" s="1" t="s">
        <v>5612</v>
      </c>
      <c r="S634" s="1" t="s">
        <v>4513</v>
      </c>
      <c r="Z634" s="1" t="s">
        <v>10261</v>
      </c>
      <c r="AA634" s="10">
        <v>4500000.0</v>
      </c>
      <c r="AB634" s="1" t="s">
        <v>10262</v>
      </c>
      <c r="AC634" s="10">
        <v>6000000.0</v>
      </c>
      <c r="AD634" s="1" t="s">
        <v>10263</v>
      </c>
      <c r="AE634" s="10">
        <v>6000000.0</v>
      </c>
      <c r="AF634" s="10">
        <v>6000000.0</v>
      </c>
      <c r="AG634" s="1">
        <v>8.56046848E9</v>
      </c>
      <c r="AI634" s="1" t="s">
        <v>5561</v>
      </c>
      <c r="AJ634" s="1">
        <v>185.0</v>
      </c>
      <c r="AK634" s="1">
        <v>75.0</v>
      </c>
      <c r="AL634" s="1" t="s">
        <v>10264</v>
      </c>
      <c r="AM634" s="1" t="s">
        <v>10265</v>
      </c>
      <c r="AN634" s="7" t="s">
        <v>10266</v>
      </c>
      <c r="AO634" s="8" t="str">
        <f>HYPERLINK("https://docs.google.com/document/d/1ZxSFi6m3xr4pvOeH3ZQUjDPCNuNl_X_WEwiOUVxtAPA/edit?usp=drivesdk","Al-Wildan 1 Gading Serpong_Saepudin, S.S_")</f>
        <v>Al-Wildan 1 Gading Serpong_Saepudin, S.S_</v>
      </c>
      <c r="AP634" s="1" t="s">
        <v>10267</v>
      </c>
    </row>
    <row r="635">
      <c r="A635" s="6">
        <v>44778.24778363426</v>
      </c>
      <c r="B635" s="7" t="s">
        <v>10268</v>
      </c>
      <c r="C635" s="8" t="s">
        <v>10269</v>
      </c>
      <c r="D635" s="1" t="s">
        <v>10270</v>
      </c>
      <c r="E635" s="9" t="s">
        <v>10271</v>
      </c>
      <c r="F635" s="1" t="s">
        <v>10272</v>
      </c>
      <c r="G635" s="1" t="s">
        <v>10273</v>
      </c>
      <c r="H635" s="1" t="s">
        <v>169</v>
      </c>
      <c r="I635" s="9" t="s">
        <v>10274</v>
      </c>
      <c r="J635" s="1" t="s">
        <v>150</v>
      </c>
      <c r="K635" s="1" t="s">
        <v>102</v>
      </c>
      <c r="L635" s="1" t="s">
        <v>103</v>
      </c>
      <c r="M635" s="1" t="s">
        <v>104</v>
      </c>
      <c r="N635" s="1" t="s">
        <v>570</v>
      </c>
      <c r="O635" s="1" t="s">
        <v>127</v>
      </c>
      <c r="P635" s="1" t="s">
        <v>5712</v>
      </c>
      <c r="Q635" s="1" t="s">
        <v>10275</v>
      </c>
      <c r="R635" s="1" t="s">
        <v>6931</v>
      </c>
      <c r="S635" s="1" t="s">
        <v>537</v>
      </c>
      <c r="Z635" s="1" t="s">
        <v>10276</v>
      </c>
      <c r="AA635" s="10">
        <v>3000000.0</v>
      </c>
      <c r="AB635" s="1" t="s">
        <v>10277</v>
      </c>
      <c r="AC635" s="10">
        <v>3500000.0</v>
      </c>
      <c r="AF635" s="10">
        <v>4500000.0</v>
      </c>
      <c r="AG635" s="1">
        <v>7.129989666E9</v>
      </c>
      <c r="AJ635" s="1">
        <v>170.0</v>
      </c>
      <c r="AK635" s="1">
        <v>90.0</v>
      </c>
      <c r="AL635" s="1" t="s">
        <v>10278</v>
      </c>
      <c r="AM635" s="1" t="s">
        <v>10279</v>
      </c>
      <c r="AN635" s="7" t="s">
        <v>10280</v>
      </c>
      <c r="AO635" s="8" t="str">
        <f>HYPERLINK("https://docs.google.com/document/d/13aRIY-dgnSQQ8pB9MJhBu3vvCcHiBFLeFDvF2oEPWRE/edit?usp=drivesdk","Al-Wildan 3 BSD City_Nur Khosim, S.E_Guru Al Qur'an")</f>
        <v>Al-Wildan 3 BSD City_Nur Khosim, S.E_Guru Al Qur'an</v>
      </c>
      <c r="AP635" s="1" t="s">
        <v>10281</v>
      </c>
    </row>
    <row r="636">
      <c r="A636" s="6">
        <v>44779.4293912963</v>
      </c>
      <c r="B636" s="7" t="s">
        <v>10282</v>
      </c>
      <c r="C636" s="8" t="s">
        <v>10283</v>
      </c>
      <c r="D636" s="1" t="s">
        <v>10284</v>
      </c>
      <c r="E636" s="9" t="s">
        <v>10285</v>
      </c>
      <c r="F636" s="1" t="s">
        <v>10286</v>
      </c>
      <c r="G636" s="1" t="s">
        <v>10287</v>
      </c>
      <c r="H636" s="1" t="s">
        <v>4377</v>
      </c>
      <c r="I636" s="1">
        <v>14.0</v>
      </c>
      <c r="J636" s="1">
        <v>26.0</v>
      </c>
      <c r="K636" s="1" t="s">
        <v>151</v>
      </c>
      <c r="L636" s="1" t="s">
        <v>256</v>
      </c>
      <c r="M636" s="1" t="s">
        <v>104</v>
      </c>
      <c r="N636" s="1" t="s">
        <v>2401</v>
      </c>
      <c r="O636" s="1" t="s">
        <v>106</v>
      </c>
      <c r="P636" s="1" t="s">
        <v>5712</v>
      </c>
      <c r="Q636" s="1" t="s">
        <v>10288</v>
      </c>
      <c r="R636" s="1" t="s">
        <v>1623</v>
      </c>
      <c r="S636" s="1">
        <v>3.25</v>
      </c>
      <c r="Z636" s="1" t="s">
        <v>10289</v>
      </c>
      <c r="AA636" s="10">
        <v>4000000.0</v>
      </c>
      <c r="AF636" s="10">
        <v>4000000.0</v>
      </c>
      <c r="AH636" s="1">
        <v>7.26401003640537E14</v>
      </c>
      <c r="AI636" s="1" t="s">
        <v>2407</v>
      </c>
      <c r="AJ636" s="1">
        <v>170.0</v>
      </c>
      <c r="AK636" s="1">
        <v>55.0</v>
      </c>
      <c r="AL636" s="1" t="s">
        <v>10290</v>
      </c>
      <c r="AM636" s="1" t="s">
        <v>10291</v>
      </c>
      <c r="AN636" s="7" t="s">
        <v>10292</v>
      </c>
      <c r="AO636" s="8" t="str">
        <f>HYPERLINK("https://docs.google.com/document/d/1laWuQBSBJFcdBnTWI0n88bIh2JAo5I3Oy0OVa4ESWTM/edit?usp=drivesdk","Al-Wildan 3 BSD City_Ahmad sayfudin_Al-qur'an")</f>
        <v>Al-Wildan 3 BSD City_Ahmad sayfudin_Al-qur'an</v>
      </c>
      <c r="AP636" s="1" t="s">
        <v>10293</v>
      </c>
    </row>
    <row r="637">
      <c r="A637" s="6">
        <v>44780.34824954861</v>
      </c>
      <c r="B637" s="7" t="s">
        <v>10294</v>
      </c>
      <c r="C637" s="8" t="s">
        <v>10295</v>
      </c>
      <c r="D637" s="1" t="s">
        <v>10296</v>
      </c>
      <c r="E637" s="9" t="s">
        <v>10297</v>
      </c>
      <c r="F637" s="1" t="s">
        <v>10298</v>
      </c>
      <c r="G637" s="1" t="s">
        <v>10299</v>
      </c>
      <c r="H637" s="1" t="s">
        <v>2689</v>
      </c>
      <c r="I637" s="9" t="s">
        <v>10300</v>
      </c>
      <c r="J637" s="1" t="s">
        <v>10301</v>
      </c>
      <c r="K637" s="1" t="s">
        <v>151</v>
      </c>
      <c r="L637" s="1" t="s">
        <v>103</v>
      </c>
      <c r="M637" s="1" t="s">
        <v>6186</v>
      </c>
      <c r="O637" s="1" t="s">
        <v>10069</v>
      </c>
      <c r="P637" s="1" t="s">
        <v>5712</v>
      </c>
      <c r="Q637" s="1" t="s">
        <v>6336</v>
      </c>
      <c r="R637" s="1" t="s">
        <v>1275</v>
      </c>
      <c r="S637" s="1" t="s">
        <v>3378</v>
      </c>
      <c r="Z637" s="1" t="s">
        <v>10302</v>
      </c>
      <c r="AA637" s="10">
        <v>6110000.0</v>
      </c>
      <c r="AF637" s="1" t="s">
        <v>10303</v>
      </c>
      <c r="AG637" s="1">
        <v>7.055881574E9</v>
      </c>
      <c r="AJ637" s="1">
        <v>170.0</v>
      </c>
      <c r="AK637" s="1">
        <v>79.0</v>
      </c>
      <c r="AL637" s="1" t="s">
        <v>10304</v>
      </c>
      <c r="AM637" s="1" t="s">
        <v>10305</v>
      </c>
      <c r="AN637" s="7" t="s">
        <v>10306</v>
      </c>
      <c r="AO637" s="8" t="str">
        <f>HYPERLINK("https://docs.google.com/document/d/1MXfwcV7s4oLyUqkd6lrwNpGSdEn0_R4KsQFxBTiJq_U/edit?usp=drivesdk","Al-Wildan 3 BSD City_Ahmad Jauhari Hasibuan S.Si_")</f>
        <v>Al-Wildan 3 BSD City_Ahmad Jauhari Hasibuan S.Si_</v>
      </c>
      <c r="AP637" s="1" t="s">
        <v>10307</v>
      </c>
    </row>
    <row r="638">
      <c r="A638" s="6">
        <v>44782.924808298616</v>
      </c>
      <c r="B638" s="7" t="s">
        <v>10308</v>
      </c>
      <c r="C638" s="8" t="s">
        <v>10309</v>
      </c>
      <c r="D638" s="1" t="s">
        <v>10310</v>
      </c>
      <c r="E638" s="9" t="s">
        <v>10311</v>
      </c>
      <c r="F638" s="1" t="s">
        <v>10312</v>
      </c>
      <c r="G638" s="1" t="s">
        <v>10313</v>
      </c>
      <c r="H638" s="1" t="s">
        <v>1411</v>
      </c>
      <c r="I638" s="9" t="s">
        <v>10314</v>
      </c>
      <c r="J638" s="1" t="s">
        <v>10315</v>
      </c>
      <c r="K638" s="1" t="s">
        <v>151</v>
      </c>
      <c r="L638" s="1" t="s">
        <v>329</v>
      </c>
      <c r="M638" s="1" t="s">
        <v>104</v>
      </c>
      <c r="N638" s="1" t="s">
        <v>10316</v>
      </c>
      <c r="O638" s="1" t="s">
        <v>312</v>
      </c>
      <c r="P638" s="1" t="s">
        <v>6659</v>
      </c>
      <c r="Q638" s="1" t="s">
        <v>10317</v>
      </c>
      <c r="R638" s="1" t="s">
        <v>10318</v>
      </c>
      <c r="S638" s="1">
        <v>3.11</v>
      </c>
      <c r="Z638" s="1" t="s">
        <v>10319</v>
      </c>
      <c r="AF638" s="1" t="s">
        <v>10320</v>
      </c>
      <c r="AJ638" s="1">
        <v>153.0</v>
      </c>
      <c r="AK638" s="1">
        <v>40.0</v>
      </c>
      <c r="AL638" s="1" t="s">
        <v>10321</v>
      </c>
      <c r="AM638" s="1" t="s">
        <v>10322</v>
      </c>
      <c r="AN638" s="7" t="s">
        <v>10323</v>
      </c>
      <c r="AO638" s="8" t="str">
        <f>HYPERLINK("https://docs.google.com/document/d/1uR7W412YO_l07YF6I-4xma9YTtKZzFdtcwexVWH69AQ/edit?usp=drivesdk","Al-Wildan 15 Kompas Indah, Tambun Bekasi._Nisrina Novelia S.S_Math, English, Science ")</f>
        <v>Al-Wildan 15 Kompas Indah, Tambun Bekasi._Nisrina Novelia S.S_Math, English, Science </v>
      </c>
      <c r="AP638" s="1" t="s">
        <v>10324</v>
      </c>
    </row>
    <row r="639">
      <c r="A639" s="6">
        <v>44784.78886077546</v>
      </c>
      <c r="B639" s="7" t="s">
        <v>10325</v>
      </c>
      <c r="C639" s="8" t="s">
        <v>10326</v>
      </c>
      <c r="D639" s="1" t="s">
        <v>10327</v>
      </c>
      <c r="E639" s="9" t="s">
        <v>10328</v>
      </c>
      <c r="F639" s="1" t="s">
        <v>10329</v>
      </c>
      <c r="G639" s="1" t="s">
        <v>10330</v>
      </c>
      <c r="H639" s="1" t="s">
        <v>99</v>
      </c>
      <c r="I639" s="9" t="s">
        <v>10331</v>
      </c>
      <c r="J639" s="1" t="s">
        <v>1648</v>
      </c>
      <c r="K639" s="1" t="s">
        <v>151</v>
      </c>
      <c r="L639" s="1" t="s">
        <v>103</v>
      </c>
      <c r="M639" s="1" t="s">
        <v>104</v>
      </c>
      <c r="N639" s="1" t="s">
        <v>10332</v>
      </c>
      <c r="O639" s="1" t="s">
        <v>312</v>
      </c>
      <c r="P639" s="1" t="s">
        <v>107</v>
      </c>
      <c r="Q639" s="1" t="s">
        <v>7637</v>
      </c>
      <c r="R639" s="1" t="s">
        <v>10333</v>
      </c>
      <c r="S639" s="1" t="s">
        <v>1958</v>
      </c>
      <c r="T639" s="1" t="s">
        <v>7637</v>
      </c>
      <c r="U639" s="1" t="s">
        <v>10334</v>
      </c>
      <c r="V639" s="1" t="s">
        <v>2510</v>
      </c>
      <c r="Z639" s="1" t="s">
        <v>10335</v>
      </c>
      <c r="AF639" s="10">
        <v>6000000.0</v>
      </c>
      <c r="AH639" s="9" t="s">
        <v>10336</v>
      </c>
      <c r="AI639" s="1" t="s">
        <v>159</v>
      </c>
      <c r="AJ639" s="1">
        <v>157.0</v>
      </c>
      <c r="AK639" s="1">
        <v>54.0</v>
      </c>
      <c r="AL639" s="1" t="s">
        <v>10337</v>
      </c>
      <c r="AM639" s="1" t="s">
        <v>10338</v>
      </c>
      <c r="AN639" s="7" t="s">
        <v>10339</v>
      </c>
      <c r="AO639" s="8" t="str">
        <f>HYPERLINK("https://docs.google.com/document/d/1iK3JHKxZmUh_xQasXAz9Z9MtkvKTqjgFi0jPUALG8t4/edit?usp=drivesdk","Al-Wildan 1 Gading Serpong_Nikita Arsy Rachmawati_Science/Math/English")</f>
        <v>Al-Wildan 1 Gading Serpong_Nikita Arsy Rachmawati_Science/Math/English</v>
      </c>
      <c r="AP639" s="1" t="s">
        <v>10340</v>
      </c>
    </row>
    <row r="640">
      <c r="A640" s="6">
        <v>44789.40941945602</v>
      </c>
      <c r="B640" s="7" t="s">
        <v>10341</v>
      </c>
      <c r="C640" s="8" t="s">
        <v>10342</v>
      </c>
      <c r="D640" s="1" t="s">
        <v>10343</v>
      </c>
      <c r="E640" s="9" t="s">
        <v>10344</v>
      </c>
      <c r="F640" s="1" t="s">
        <v>10345</v>
      </c>
      <c r="G640" s="1" t="s">
        <v>10346</v>
      </c>
      <c r="H640" s="1" t="s">
        <v>6415</v>
      </c>
      <c r="I640" s="9" t="s">
        <v>10347</v>
      </c>
      <c r="J640" s="1" t="s">
        <v>10348</v>
      </c>
      <c r="K640" s="1" t="s">
        <v>151</v>
      </c>
      <c r="L640" s="1" t="s">
        <v>496</v>
      </c>
      <c r="M640" s="1" t="s">
        <v>104</v>
      </c>
      <c r="N640" s="1" t="s">
        <v>274</v>
      </c>
      <c r="O640" s="1" t="s">
        <v>127</v>
      </c>
      <c r="P640" s="1" t="s">
        <v>107</v>
      </c>
      <c r="Z640" s="1" t="s">
        <v>10349</v>
      </c>
      <c r="AA640" s="10">
        <v>300000.0</v>
      </c>
      <c r="AG640" s="1">
        <v>8.33131072E9</v>
      </c>
      <c r="AJ640" s="1">
        <v>152.0</v>
      </c>
      <c r="AK640" s="1">
        <v>43.0</v>
      </c>
      <c r="AL640" s="1" t="s">
        <v>10350</v>
      </c>
      <c r="AM640" s="1" t="s">
        <v>10351</v>
      </c>
      <c r="AN640" s="7" t="s">
        <v>10352</v>
      </c>
      <c r="AO640" s="8" t="str">
        <f>HYPERLINK("https://docs.google.com/document/d/1Na0zgoL7_6LCj2ykMSpYznP4XlIuSoBrXzSkSXQvUaE/edit?usp=drivesdk","Al-Wildan 1 Gading Serpong_Raniah Besari Sejati_Diniyyah")</f>
        <v>Al-Wildan 1 Gading Serpong_Raniah Besari Sejati_Diniyyah</v>
      </c>
      <c r="AP640" s="1" t="s">
        <v>10353</v>
      </c>
    </row>
    <row r="641">
      <c r="A641" s="6">
        <v>44789.44541763889</v>
      </c>
      <c r="B641" s="7" t="s">
        <v>10354</v>
      </c>
      <c r="C641" s="8" t="s">
        <v>10355</v>
      </c>
      <c r="D641" s="1" t="s">
        <v>10356</v>
      </c>
      <c r="E641" s="9" t="s">
        <v>10344</v>
      </c>
      <c r="F641" s="1" t="s">
        <v>10345</v>
      </c>
      <c r="G641" s="1" t="s">
        <v>10357</v>
      </c>
      <c r="H641" s="1" t="s">
        <v>6415</v>
      </c>
      <c r="I641" s="1" t="s">
        <v>10358</v>
      </c>
      <c r="J641" s="1" t="s">
        <v>9542</v>
      </c>
      <c r="K641" s="1" t="s">
        <v>151</v>
      </c>
      <c r="L641" s="1" t="s">
        <v>496</v>
      </c>
      <c r="M641" s="1" t="s">
        <v>104</v>
      </c>
      <c r="N641" s="1" t="s">
        <v>274</v>
      </c>
      <c r="O641" s="1" t="s">
        <v>127</v>
      </c>
      <c r="P641" s="1" t="s">
        <v>107</v>
      </c>
      <c r="Z641" s="1" t="s">
        <v>10359</v>
      </c>
      <c r="AA641" s="10">
        <v>300000.0</v>
      </c>
      <c r="AG641" s="1">
        <v>8.33131072E9</v>
      </c>
      <c r="AJ641" s="1">
        <v>152.0</v>
      </c>
      <c r="AK641" s="1">
        <v>43.0</v>
      </c>
      <c r="AL641" s="1" t="s">
        <v>10360</v>
      </c>
      <c r="AM641" s="1" t="s">
        <v>10361</v>
      </c>
      <c r="AN641" s="7" t="s">
        <v>10362</v>
      </c>
      <c r="AO641" s="8" t="str">
        <f>HYPERLINK("https://docs.google.com/document/d/1QVhPbkdAIk3sYHnYVjkbP3qZPA1EZ98Z3sHWT6FIZWg/edit?usp=drivesdk","Al-Wildan 1 Gading Serpong_Raniah Besari Sejati _Diniyyah")</f>
        <v>Al-Wildan 1 Gading Serpong_Raniah Besari Sejati _Diniyyah</v>
      </c>
      <c r="AP641" s="1" t="s">
        <v>10363</v>
      </c>
    </row>
    <row r="642">
      <c r="A642" s="6">
        <v>44792.588011203705</v>
      </c>
      <c r="B642" s="7" t="s">
        <v>10364</v>
      </c>
      <c r="C642" s="8" t="s">
        <v>10365</v>
      </c>
      <c r="D642" s="1" t="s">
        <v>10366</v>
      </c>
      <c r="E642" s="9" t="s">
        <v>10367</v>
      </c>
      <c r="F642" s="1" t="s">
        <v>10368</v>
      </c>
      <c r="G642" s="1" t="s">
        <v>10369</v>
      </c>
      <c r="H642" s="1" t="s">
        <v>1411</v>
      </c>
      <c r="I642" s="9" t="s">
        <v>10370</v>
      </c>
      <c r="J642" s="1" t="s">
        <v>10371</v>
      </c>
      <c r="K642" s="1" t="s">
        <v>1235</v>
      </c>
      <c r="L642" s="1" t="s">
        <v>256</v>
      </c>
      <c r="M642" s="1" t="s">
        <v>6186</v>
      </c>
      <c r="N642" s="1" t="s">
        <v>10372</v>
      </c>
      <c r="O642" s="1" t="s">
        <v>1202</v>
      </c>
      <c r="P642" s="1" t="s">
        <v>107</v>
      </c>
      <c r="Q642" s="1" t="s">
        <v>10373</v>
      </c>
      <c r="R642" s="1" t="s">
        <v>10374</v>
      </c>
      <c r="S642" s="9" t="s">
        <v>10375</v>
      </c>
      <c r="Z642" s="1" t="s">
        <v>10372</v>
      </c>
      <c r="AA642" s="10">
        <v>4500000.0</v>
      </c>
      <c r="AG642" s="1">
        <v>7.202856181E9</v>
      </c>
      <c r="AI642" s="1" t="s">
        <v>10376</v>
      </c>
      <c r="AJ642" s="1">
        <v>165.0</v>
      </c>
      <c r="AK642" s="1">
        <v>60.0</v>
      </c>
      <c r="AL642" s="1" t="s">
        <v>10377</v>
      </c>
      <c r="AM642" s="1" t="s">
        <v>10378</v>
      </c>
      <c r="AN642" s="7" t="s">
        <v>10379</v>
      </c>
      <c r="AO642" s="8" t="str">
        <f>HYPERLINK("https://docs.google.com/document/d/1mzmkL73v8MpZjTSEu22GwJ8gmVVqpO5njxl4xu0xrDo/edit?usp=drivesdk","Al-Wildan 1 Gading Serpong_Eva Astuti _Kindergarten ")</f>
        <v>Al-Wildan 1 Gading Serpong_Eva Astuti _Kindergarten </v>
      </c>
      <c r="AP642" s="1" t="s">
        <v>10380</v>
      </c>
    </row>
    <row r="643">
      <c r="A643" s="6">
        <v>44793.735221400464</v>
      </c>
      <c r="B643" s="7" t="s">
        <v>10381</v>
      </c>
      <c r="C643" s="8" t="s">
        <v>10382</v>
      </c>
      <c r="D643" s="1" t="s">
        <v>10383</v>
      </c>
      <c r="E643" s="9" t="s">
        <v>10384</v>
      </c>
      <c r="F643" s="1" t="s">
        <v>10385</v>
      </c>
      <c r="G643" s="1" t="s">
        <v>10386</v>
      </c>
      <c r="H643" s="1" t="s">
        <v>10387</v>
      </c>
      <c r="I643" s="9" t="s">
        <v>10388</v>
      </c>
      <c r="J643" s="1" t="s">
        <v>10389</v>
      </c>
      <c r="K643" s="1" t="s">
        <v>151</v>
      </c>
      <c r="L643" s="1" t="s">
        <v>256</v>
      </c>
      <c r="M643" s="1" t="s">
        <v>104</v>
      </c>
      <c r="N643" s="1" t="s">
        <v>1523</v>
      </c>
      <c r="O643" s="1" t="s">
        <v>127</v>
      </c>
      <c r="P643" s="1" t="s">
        <v>6187</v>
      </c>
      <c r="Q643" s="1" t="s">
        <v>10390</v>
      </c>
      <c r="R643" s="1" t="s">
        <v>1523</v>
      </c>
      <c r="S643" s="1" t="s">
        <v>1612</v>
      </c>
      <c r="T643" s="1" t="s">
        <v>10391</v>
      </c>
      <c r="U643" s="1" t="s">
        <v>1523</v>
      </c>
      <c r="V643" s="1" t="s">
        <v>1364</v>
      </c>
      <c r="Z643" s="1" t="s">
        <v>10392</v>
      </c>
      <c r="AA643" s="1" t="s">
        <v>10393</v>
      </c>
      <c r="AB643" s="1" t="s">
        <v>10394</v>
      </c>
      <c r="AC643" s="1" t="s">
        <v>10395</v>
      </c>
      <c r="AH643" s="9" t="s">
        <v>10396</v>
      </c>
      <c r="AI643" s="1" t="s">
        <v>2407</v>
      </c>
      <c r="AJ643" s="1">
        <v>158.0</v>
      </c>
      <c r="AK643" s="1">
        <v>48.0</v>
      </c>
      <c r="AL643" s="1" t="s">
        <v>10397</v>
      </c>
      <c r="AM643" s="1" t="s">
        <v>10398</v>
      </c>
      <c r="AN643" s="7" t="s">
        <v>10399</v>
      </c>
      <c r="AO643" s="8" t="str">
        <f>HYPERLINK("https://docs.google.com/document/d/1lqPNxNsDkaK75VSZ3F7laSdPgZ1UcVhhqCzZVIaEA68/edit?usp=drivesdk","Al-Wildan 14 Bumi Mutiara, Bogor_Silvia Wahyuni, S.Si., M.Sc_Kimia")</f>
        <v>Al-Wildan 14 Bumi Mutiara, Bogor_Silvia Wahyuni, S.Si., M.Sc_Kimia</v>
      </c>
      <c r="AP643" s="1" t="s">
        <v>10400</v>
      </c>
    </row>
    <row r="644">
      <c r="A644" s="6">
        <v>44793.83732089121</v>
      </c>
      <c r="B644" s="7" t="s">
        <v>10401</v>
      </c>
      <c r="C644" s="8" t="s">
        <v>10402</v>
      </c>
      <c r="D644" s="1" t="s">
        <v>10383</v>
      </c>
      <c r="E644" s="9" t="s">
        <v>10384</v>
      </c>
      <c r="F644" s="1" t="s">
        <v>10385</v>
      </c>
      <c r="G644" s="1" t="s">
        <v>10386</v>
      </c>
      <c r="H644" s="1" t="s">
        <v>10387</v>
      </c>
      <c r="I644" s="9" t="s">
        <v>10388</v>
      </c>
      <c r="J644" s="1" t="s">
        <v>10389</v>
      </c>
      <c r="K644" s="1" t="s">
        <v>151</v>
      </c>
      <c r="L644" s="1" t="s">
        <v>256</v>
      </c>
      <c r="M644" s="1" t="s">
        <v>104</v>
      </c>
      <c r="O644" s="1" t="s">
        <v>127</v>
      </c>
      <c r="P644" s="1" t="s">
        <v>6187</v>
      </c>
      <c r="Q644" s="1" t="s">
        <v>10390</v>
      </c>
      <c r="R644" s="1" t="s">
        <v>1523</v>
      </c>
      <c r="S644" s="1" t="s">
        <v>1612</v>
      </c>
      <c r="T644" s="1" t="s">
        <v>10391</v>
      </c>
      <c r="U644" s="1" t="s">
        <v>10403</v>
      </c>
      <c r="V644" s="1" t="s">
        <v>1364</v>
      </c>
      <c r="Z644" s="1" t="s">
        <v>10404</v>
      </c>
      <c r="AA644" s="1" t="s">
        <v>10405</v>
      </c>
      <c r="AB644" s="1" t="s">
        <v>10406</v>
      </c>
      <c r="AC644" s="1" t="s">
        <v>10407</v>
      </c>
      <c r="AH644" s="9" t="s">
        <v>10396</v>
      </c>
      <c r="AI644" s="1" t="s">
        <v>2407</v>
      </c>
      <c r="AJ644" s="1">
        <v>158.0</v>
      </c>
      <c r="AK644" s="1">
        <v>48.0</v>
      </c>
      <c r="AL644" s="1" t="s">
        <v>10408</v>
      </c>
      <c r="AM644" s="1" t="s">
        <v>10409</v>
      </c>
      <c r="AN644" s="7" t="s">
        <v>10410</v>
      </c>
      <c r="AO644" s="8" t="str">
        <f>HYPERLINK("https://docs.google.com/document/d/1oRySeikvrFniwE6WqaoHByou5FF8nQfAwCjwwnRjXEw/edit?usp=drivesdk","Al-Wildan 14 Bumi Mutiara, Bogor_Silvia Wahyuni, S.Si., M.Sc_")</f>
        <v>Al-Wildan 14 Bumi Mutiara, Bogor_Silvia Wahyuni, S.Si., M.Sc_</v>
      </c>
      <c r="AP644" s="1" t="s">
        <v>10411</v>
      </c>
    </row>
    <row r="645">
      <c r="A645" s="6">
        <v>44793.88003133102</v>
      </c>
      <c r="B645" s="7" t="s">
        <v>10412</v>
      </c>
      <c r="C645" s="8" t="s">
        <v>10413</v>
      </c>
      <c r="D645" s="1" t="s">
        <v>10414</v>
      </c>
      <c r="E645" s="9" t="s">
        <v>10415</v>
      </c>
      <c r="F645" s="1" t="s">
        <v>10416</v>
      </c>
      <c r="G645" s="1" t="s">
        <v>10417</v>
      </c>
      <c r="H645" s="1" t="s">
        <v>188</v>
      </c>
      <c r="I645" s="9" t="s">
        <v>10418</v>
      </c>
      <c r="J645" s="1" t="s">
        <v>7711</v>
      </c>
      <c r="K645" s="1" t="s">
        <v>151</v>
      </c>
      <c r="L645" s="1" t="s">
        <v>256</v>
      </c>
      <c r="M645" s="1" t="s">
        <v>104</v>
      </c>
      <c r="N645" s="1" t="s">
        <v>771</v>
      </c>
      <c r="O645" s="1" t="s">
        <v>312</v>
      </c>
      <c r="P645" s="1" t="s">
        <v>6533</v>
      </c>
      <c r="Q645" s="1" t="s">
        <v>108</v>
      </c>
      <c r="R645" s="1" t="s">
        <v>172</v>
      </c>
      <c r="S645" s="1" t="s">
        <v>110</v>
      </c>
      <c r="T645" s="1" t="s">
        <v>108</v>
      </c>
      <c r="U645" s="1" t="s">
        <v>3092</v>
      </c>
      <c r="V645" s="1" t="s">
        <v>6418</v>
      </c>
      <c r="Z645" s="1" t="s">
        <v>10419</v>
      </c>
      <c r="AA645" s="10">
        <v>1.2E7</v>
      </c>
      <c r="AF645" s="10">
        <v>1.5E7</v>
      </c>
      <c r="AH645" s="1">
        <v>6.042661887E9</v>
      </c>
      <c r="AI645" s="1" t="s">
        <v>222</v>
      </c>
      <c r="AJ645" s="1">
        <v>158.0</v>
      </c>
      <c r="AK645" s="1">
        <v>60.0</v>
      </c>
      <c r="AL645" s="1" t="s">
        <v>10420</v>
      </c>
      <c r="AM645" s="1" t="s">
        <v>10421</v>
      </c>
      <c r="AN645" s="7" t="s">
        <v>10422</v>
      </c>
      <c r="AO645" s="8" t="str">
        <f>HYPERLINK("https://docs.google.com/document/d/1sTLv-oumlQh9lqpVDzvfmrLk-meqYs5twI0SCjLU5zs/edit?usp=drivesdk","Al-Wildan 5 Benhil_Katitah Kersaning Gusti, M.Pd._English")</f>
        <v>Al-Wildan 5 Benhil_Katitah Kersaning Gusti, M.Pd._English</v>
      </c>
      <c r="AP645" s="1" t="s">
        <v>10423</v>
      </c>
    </row>
    <row r="646">
      <c r="A646" s="6">
        <v>44795.22732479167</v>
      </c>
      <c r="B646" s="7" t="s">
        <v>10424</v>
      </c>
      <c r="C646" s="8" t="s">
        <v>10425</v>
      </c>
      <c r="D646" s="1" t="s">
        <v>10426</v>
      </c>
      <c r="E646" s="9" t="s">
        <v>10427</v>
      </c>
      <c r="F646" s="1" t="s">
        <v>10428</v>
      </c>
      <c r="G646" s="1" t="s">
        <v>10429</v>
      </c>
      <c r="H646" s="1" t="s">
        <v>944</v>
      </c>
      <c r="I646" s="9" t="s">
        <v>10430</v>
      </c>
      <c r="J646" s="1" t="s">
        <v>5413</v>
      </c>
      <c r="K646" s="1" t="s">
        <v>102</v>
      </c>
      <c r="L646" s="1" t="s">
        <v>329</v>
      </c>
      <c r="M646" s="1" t="s">
        <v>104</v>
      </c>
      <c r="N646" s="1" t="s">
        <v>570</v>
      </c>
      <c r="O646" s="1" t="s">
        <v>127</v>
      </c>
      <c r="P646" s="1" t="s">
        <v>5712</v>
      </c>
      <c r="Q646" s="1" t="s">
        <v>10431</v>
      </c>
      <c r="R646" s="1" t="s">
        <v>8654</v>
      </c>
      <c r="Z646" s="1" t="s">
        <v>570</v>
      </c>
      <c r="AA646" s="10">
        <v>5350000.0</v>
      </c>
      <c r="AB646" s="1" t="s">
        <v>10432</v>
      </c>
      <c r="AF646" s="10">
        <v>5500000.0</v>
      </c>
      <c r="AH646" s="1">
        <v>7.167999004E9</v>
      </c>
      <c r="AI646" s="1" t="s">
        <v>10433</v>
      </c>
      <c r="AJ646" s="1">
        <v>165.0</v>
      </c>
      <c r="AK646" s="1">
        <v>50.0</v>
      </c>
      <c r="AL646" s="1" t="s">
        <v>10434</v>
      </c>
      <c r="AM646" s="1" t="s">
        <v>10435</v>
      </c>
      <c r="AN646" s="7" t="s">
        <v>10436</v>
      </c>
      <c r="AO646" s="8" t="str">
        <f>HYPERLINK("https://docs.google.com/document/d/114PMmRYQ6ZWnfbPpmjN8m7GJn9dk30CObO_shYzLBTQ/edit?usp=drivesdk","Al-Wildan 3 BSD City_Khairuddin_Guru Al Qur'an")</f>
        <v>Al-Wildan 3 BSD City_Khairuddin_Guru Al Qur'an</v>
      </c>
      <c r="AP646" s="1" t="s">
        <v>10437</v>
      </c>
    </row>
    <row r="647">
      <c r="A647" s="6">
        <v>44796.51355481481</v>
      </c>
      <c r="B647" s="7" t="s">
        <v>10438</v>
      </c>
      <c r="C647" s="8" t="s">
        <v>10439</v>
      </c>
      <c r="D647" s="1" t="s">
        <v>10440</v>
      </c>
      <c r="E647" s="9" t="s">
        <v>7819</v>
      </c>
      <c r="F647" s="1" t="s">
        <v>7820</v>
      </c>
      <c r="G647" s="1" t="s">
        <v>10441</v>
      </c>
      <c r="H647" s="1" t="s">
        <v>99</v>
      </c>
      <c r="I647" s="9" t="s">
        <v>7822</v>
      </c>
      <c r="J647" s="1" t="s">
        <v>10442</v>
      </c>
      <c r="K647" s="1" t="s">
        <v>151</v>
      </c>
      <c r="L647" s="1" t="s">
        <v>103</v>
      </c>
      <c r="M647" s="1" t="s">
        <v>104</v>
      </c>
      <c r="N647" s="1" t="s">
        <v>105</v>
      </c>
      <c r="O647" s="1" t="s">
        <v>127</v>
      </c>
      <c r="P647" s="1" t="s">
        <v>237</v>
      </c>
      <c r="Q647" s="1" t="s">
        <v>291</v>
      </c>
      <c r="R647" s="1" t="s">
        <v>7824</v>
      </c>
      <c r="S647" s="1" t="s">
        <v>6418</v>
      </c>
      <c r="Z647" s="1" t="s">
        <v>10443</v>
      </c>
      <c r="AA647" s="10">
        <v>3500000.0</v>
      </c>
      <c r="AF647" s="10">
        <v>4800000.0</v>
      </c>
      <c r="AG647" s="1">
        <v>7.197955141E9</v>
      </c>
      <c r="AJ647" s="1">
        <v>155.0</v>
      </c>
      <c r="AK647" s="1">
        <v>50.0</v>
      </c>
      <c r="AL647" s="1" t="s">
        <v>10444</v>
      </c>
      <c r="AM647" s="1" t="s">
        <v>10445</v>
      </c>
      <c r="AN647" s="7" t="s">
        <v>10446</v>
      </c>
      <c r="AO647" s="8" t="str">
        <f>HYPERLINK("https://docs.google.com/document/d/1pbylcKTX14tN2Pq1zh_gIXdxNQPc_Zxe4LfEpASFsjY/edit?usp=drivesdk","Al-Wildan 4 Lebak Bulus_Nurmilah Fadilah_Bahasa Indonesia")</f>
        <v>Al-Wildan 4 Lebak Bulus_Nurmilah Fadilah_Bahasa Indonesia</v>
      </c>
      <c r="AP647" s="1" t="s">
        <v>10447</v>
      </c>
    </row>
    <row r="648">
      <c r="A648" s="6">
        <v>44796.64589662037</v>
      </c>
      <c r="B648" s="7" t="s">
        <v>10448</v>
      </c>
      <c r="C648" s="8" t="s">
        <v>10449</v>
      </c>
      <c r="D648" s="1" t="s">
        <v>10450</v>
      </c>
      <c r="E648" s="9" t="s">
        <v>10451</v>
      </c>
      <c r="F648" s="1" t="s">
        <v>10452</v>
      </c>
      <c r="G648" s="1" t="s">
        <v>10453</v>
      </c>
      <c r="H648" s="1" t="s">
        <v>768</v>
      </c>
      <c r="I648" s="9" t="s">
        <v>10454</v>
      </c>
      <c r="J648" s="1" t="s">
        <v>10455</v>
      </c>
      <c r="K648" s="1" t="s">
        <v>102</v>
      </c>
      <c r="L648" s="1" t="s">
        <v>827</v>
      </c>
      <c r="M648" s="1" t="s">
        <v>9914</v>
      </c>
      <c r="O648" s="1" t="s">
        <v>106</v>
      </c>
      <c r="P648" s="1" t="s">
        <v>107</v>
      </c>
      <c r="Q648" s="1" t="s">
        <v>10456</v>
      </c>
      <c r="R648" s="1" t="s">
        <v>10457</v>
      </c>
      <c r="S648" s="1">
        <v>3.08</v>
      </c>
      <c r="Z648" s="1" t="s">
        <v>1998</v>
      </c>
      <c r="AA648" s="10">
        <v>5000000.0</v>
      </c>
      <c r="AF648" s="10">
        <v>5000000.0</v>
      </c>
      <c r="AG648" s="1">
        <v>7.147205311E9</v>
      </c>
      <c r="AJ648" s="1">
        <v>156.0</v>
      </c>
      <c r="AK648" s="1">
        <v>50.0</v>
      </c>
      <c r="AL648" s="1" t="s">
        <v>10458</v>
      </c>
      <c r="AM648" s="1" t="s">
        <v>10459</v>
      </c>
      <c r="AN648" s="7" t="s">
        <v>10460</v>
      </c>
      <c r="AO648" s="8" t="str">
        <f>HYPERLINK("https://docs.google.com/document/d/1xeP7s6B4EcA7RfX4D5DrNTm8uMPevQWk1ZO8l0ypJzI/edit?usp=drivesdk","Al-Wildan 1 Gading Serpong_Diah Lukitasari, S.Pt_")</f>
        <v>Al-Wildan 1 Gading Serpong_Diah Lukitasari, S.Pt_</v>
      </c>
      <c r="AP648" s="1" t="s">
        <v>10461</v>
      </c>
    </row>
    <row r="649">
      <c r="A649" s="6">
        <v>44796.933088715276</v>
      </c>
      <c r="B649" s="7" t="s">
        <v>10462</v>
      </c>
      <c r="C649" s="8" t="s">
        <v>10463</v>
      </c>
      <c r="D649" s="1" t="s">
        <v>10464</v>
      </c>
      <c r="E649" s="9" t="s">
        <v>10427</v>
      </c>
      <c r="F649" s="1" t="s">
        <v>10428</v>
      </c>
      <c r="G649" s="1" t="s">
        <v>10465</v>
      </c>
      <c r="H649" s="1" t="s">
        <v>944</v>
      </c>
      <c r="I649" s="9" t="s">
        <v>10430</v>
      </c>
      <c r="J649" s="1" t="s">
        <v>5413</v>
      </c>
      <c r="K649" s="1" t="s">
        <v>102</v>
      </c>
      <c r="L649" s="1" t="s">
        <v>329</v>
      </c>
      <c r="M649" s="1" t="s">
        <v>104</v>
      </c>
      <c r="N649" s="1" t="s">
        <v>570</v>
      </c>
      <c r="O649" s="1" t="s">
        <v>127</v>
      </c>
      <c r="P649" s="1" t="s">
        <v>5712</v>
      </c>
      <c r="Q649" s="1" t="s">
        <v>10466</v>
      </c>
      <c r="R649" s="1" t="s">
        <v>259</v>
      </c>
      <c r="Z649" s="1" t="s">
        <v>10467</v>
      </c>
      <c r="AA649" s="10">
        <v>6500000.0</v>
      </c>
      <c r="AF649" s="10">
        <v>6500000.0</v>
      </c>
      <c r="AG649" s="1">
        <v>7.167999004E9</v>
      </c>
      <c r="AI649" s="1" t="s">
        <v>10433</v>
      </c>
      <c r="AJ649" s="1">
        <v>165.0</v>
      </c>
      <c r="AK649" s="1">
        <v>50.0</v>
      </c>
      <c r="AL649" s="1" t="s">
        <v>10434</v>
      </c>
      <c r="AM649" s="1" t="s">
        <v>10468</v>
      </c>
      <c r="AN649" s="7" t="s">
        <v>10469</v>
      </c>
      <c r="AO649" s="8" t="str">
        <f>HYPERLINK("https://docs.google.com/document/d/1_mIf6oVQS4Ubb37r2kvD-RZa8hWcxTHO-7mhD6pvJ9M/edit?usp=drivesdk","Al-Wildan 3 BSD City_Khairuddin LC_Guru Al Qur'an")</f>
        <v>Al-Wildan 3 BSD City_Khairuddin LC_Guru Al Qur'an</v>
      </c>
      <c r="AP649" s="1" t="s">
        <v>10470</v>
      </c>
    </row>
    <row r="650">
      <c r="A650" s="6">
        <v>44803.60169778935</v>
      </c>
      <c r="B650" s="7" t="s">
        <v>10471</v>
      </c>
      <c r="C650" s="8" t="s">
        <v>10472</v>
      </c>
      <c r="D650" s="1" t="s">
        <v>10473</v>
      </c>
      <c r="E650" s="9" t="s">
        <v>10474</v>
      </c>
      <c r="F650" s="1" t="s">
        <v>10475</v>
      </c>
      <c r="G650" s="1" t="s">
        <v>10476</v>
      </c>
      <c r="H650" s="1" t="s">
        <v>10477</v>
      </c>
      <c r="I650" s="9" t="s">
        <v>10478</v>
      </c>
      <c r="J650" s="1" t="s">
        <v>10479</v>
      </c>
      <c r="K650" s="1" t="s">
        <v>102</v>
      </c>
      <c r="L650" s="1" t="s">
        <v>103</v>
      </c>
      <c r="M650" s="1" t="s">
        <v>104</v>
      </c>
      <c r="N650" s="1" t="s">
        <v>10480</v>
      </c>
      <c r="O650" s="1" t="s">
        <v>127</v>
      </c>
      <c r="P650" s="1" t="s">
        <v>107</v>
      </c>
      <c r="Q650" s="1" t="s">
        <v>10481</v>
      </c>
      <c r="R650" s="1" t="s">
        <v>10482</v>
      </c>
      <c r="S650" s="1">
        <v>4.43</v>
      </c>
      <c r="Z650" s="1" t="s">
        <v>10483</v>
      </c>
      <c r="AA650" s="10">
        <v>1000000.0</v>
      </c>
      <c r="AB650" s="1" t="s">
        <v>10484</v>
      </c>
      <c r="AC650" s="10">
        <v>2500000.0</v>
      </c>
      <c r="AD650" s="1" t="s">
        <v>10485</v>
      </c>
      <c r="AE650" s="10">
        <v>1.5E7</v>
      </c>
      <c r="AF650" s="10">
        <v>6500000.0</v>
      </c>
      <c r="AG650" s="1">
        <v>4.65079696E9</v>
      </c>
      <c r="AJ650" s="1">
        <v>173.0</v>
      </c>
      <c r="AK650" s="1">
        <v>76.0</v>
      </c>
      <c r="AL650" s="1" t="s">
        <v>10486</v>
      </c>
      <c r="AM650" s="1" t="s">
        <v>10487</v>
      </c>
      <c r="AN650" s="7" t="s">
        <v>10488</v>
      </c>
      <c r="AO650" s="8" t="str">
        <f>HYPERLINK("https://docs.google.com/document/d/1L1cCDzbfOBUAsNaZ_JVBZIWpxkzFmTp2sOekqA6C13I/edit?usp=drivesdk","Al-Wildan 1 Gading Serpong_ABDUL HADI WAKID LC_Aqidah(Tauhid) , fikih ,Hadist")</f>
        <v>Al-Wildan 1 Gading Serpong_ABDUL HADI WAKID LC_Aqidah(Tauhid) , fikih ,Hadist</v>
      </c>
      <c r="AP650" s="1" t="s">
        <v>10489</v>
      </c>
    </row>
    <row r="651">
      <c r="A651" s="6">
        <v>44803.60863722222</v>
      </c>
      <c r="B651" s="7" t="s">
        <v>10490</v>
      </c>
      <c r="C651" s="8" t="s">
        <v>10491</v>
      </c>
      <c r="D651" s="1" t="s">
        <v>10473</v>
      </c>
      <c r="E651" s="9" t="s">
        <v>10474</v>
      </c>
      <c r="F651" s="1" t="s">
        <v>10475</v>
      </c>
      <c r="G651" s="1" t="s">
        <v>10476</v>
      </c>
      <c r="H651" s="1" t="s">
        <v>10477</v>
      </c>
      <c r="I651" s="9" t="s">
        <v>10478</v>
      </c>
      <c r="J651" s="1" t="s">
        <v>10492</v>
      </c>
      <c r="K651" s="1" t="s">
        <v>102</v>
      </c>
      <c r="L651" s="1" t="s">
        <v>103</v>
      </c>
      <c r="M651" s="1" t="s">
        <v>104</v>
      </c>
      <c r="N651" s="1" t="s">
        <v>10493</v>
      </c>
      <c r="O651" s="1" t="s">
        <v>127</v>
      </c>
      <c r="P651" s="1" t="s">
        <v>107</v>
      </c>
      <c r="Q651" s="1" t="s">
        <v>668</v>
      </c>
      <c r="R651" s="1" t="s">
        <v>10494</v>
      </c>
      <c r="S651" s="1">
        <v>4.43</v>
      </c>
      <c r="Z651" s="1" t="s">
        <v>10495</v>
      </c>
      <c r="AA651" s="10">
        <v>1000000.0</v>
      </c>
      <c r="AB651" s="1" t="s">
        <v>10496</v>
      </c>
      <c r="AC651" s="10">
        <v>2500000.0</v>
      </c>
      <c r="AD651" s="1" t="s">
        <v>10497</v>
      </c>
      <c r="AE651" s="10">
        <v>1.5E7</v>
      </c>
      <c r="AF651" s="10">
        <v>6500000.0</v>
      </c>
      <c r="AG651" s="1">
        <v>4.65079696E9</v>
      </c>
      <c r="AJ651" s="1">
        <v>173.0</v>
      </c>
      <c r="AK651" s="1">
        <v>76.0</v>
      </c>
      <c r="AL651" s="1" t="s">
        <v>10486</v>
      </c>
      <c r="AM651" s="1" t="s">
        <v>10498</v>
      </c>
      <c r="AN651" s="7" t="s">
        <v>10499</v>
      </c>
      <c r="AO651" s="8" t="str">
        <f>HYPERLINK("https://docs.google.com/document/d/1JgYAQq1PZxLfwKpTIyI9ap1UJ5JKUweLNLDh3quVOMs/edit?usp=drivesdk","Al-Wildan 1 Gading Serpong_ABDUL HADI WAKID LC_Tauhid (aqidah) , fikih, hadist.")</f>
        <v>Al-Wildan 1 Gading Serpong_ABDUL HADI WAKID LC_Tauhid (aqidah) , fikih, hadist.</v>
      </c>
      <c r="AP651" s="1" t="s">
        <v>10500</v>
      </c>
    </row>
    <row r="652">
      <c r="A652" s="6">
        <v>44803.70826354167</v>
      </c>
      <c r="B652" s="7" t="s">
        <v>10501</v>
      </c>
      <c r="C652" s="8" t="s">
        <v>10502</v>
      </c>
      <c r="D652" s="1" t="s">
        <v>10503</v>
      </c>
      <c r="E652" s="9" t="s">
        <v>10504</v>
      </c>
      <c r="F652" s="1" t="s">
        <v>10505</v>
      </c>
      <c r="G652" s="1" t="s">
        <v>10506</v>
      </c>
      <c r="H652" s="1" t="s">
        <v>188</v>
      </c>
      <c r="I652" s="9" t="s">
        <v>10507</v>
      </c>
      <c r="J652" s="1" t="s">
        <v>7062</v>
      </c>
      <c r="K652" s="1" t="s">
        <v>102</v>
      </c>
      <c r="L652" s="1" t="s">
        <v>103</v>
      </c>
      <c r="M652" s="1" t="s">
        <v>104</v>
      </c>
      <c r="N652" s="1" t="s">
        <v>152</v>
      </c>
      <c r="O652" s="1" t="s">
        <v>312</v>
      </c>
      <c r="P652" s="1" t="s">
        <v>107</v>
      </c>
      <c r="Q652" s="1" t="s">
        <v>10508</v>
      </c>
      <c r="R652" s="1" t="s">
        <v>172</v>
      </c>
      <c r="S652" s="1" t="s">
        <v>740</v>
      </c>
      <c r="Z652" s="1" t="s">
        <v>10509</v>
      </c>
      <c r="AA652" s="10">
        <v>1000000.0</v>
      </c>
      <c r="AB652" s="1" t="s">
        <v>10510</v>
      </c>
      <c r="AC652" s="10">
        <v>2500000.0</v>
      </c>
      <c r="AD652" s="1" t="s">
        <v>10511</v>
      </c>
      <c r="AE652" s="10">
        <v>5539000.0</v>
      </c>
      <c r="AF652" s="10">
        <v>8000000.0</v>
      </c>
      <c r="AH652" s="1">
        <v>7.621177543E11</v>
      </c>
      <c r="AI652" s="1" t="s">
        <v>10512</v>
      </c>
      <c r="AJ652" s="1">
        <v>155.0</v>
      </c>
      <c r="AK652" s="1">
        <v>55.0</v>
      </c>
      <c r="AL652" s="1" t="s">
        <v>10513</v>
      </c>
      <c r="AM652" s="1" t="s">
        <v>10514</v>
      </c>
      <c r="AN652" s="7" t="s">
        <v>10515</v>
      </c>
      <c r="AO652" s="8" t="str">
        <f>HYPERLINK("https://docs.google.com/document/d/1o50OvMFk_1ZWH3_HAZGriyhTus2lSwjADIJKK9I1tTI/edit?usp=drivesdk","Al-Wildan 1 Gading Serpong_Meti Anggraeni, S.Pd_Bahasa Inggris")</f>
        <v>Al-Wildan 1 Gading Serpong_Meti Anggraeni, S.Pd_Bahasa Inggris</v>
      </c>
      <c r="AP652" s="1" t="s">
        <v>10516</v>
      </c>
    </row>
    <row r="653">
      <c r="A653" s="6">
        <v>44804.388095567134</v>
      </c>
      <c r="B653" s="7" t="s">
        <v>10517</v>
      </c>
      <c r="C653" s="8" t="s">
        <v>10518</v>
      </c>
      <c r="D653" s="1" t="s">
        <v>10519</v>
      </c>
      <c r="E653" s="9" t="s">
        <v>10520</v>
      </c>
      <c r="F653" s="1" t="s">
        <v>10521</v>
      </c>
      <c r="G653" s="1" t="s">
        <v>10522</v>
      </c>
      <c r="H653" s="1" t="s">
        <v>1217</v>
      </c>
      <c r="I653" s="9" t="s">
        <v>10523</v>
      </c>
      <c r="J653" s="1" t="s">
        <v>10524</v>
      </c>
      <c r="K653" s="1" t="s">
        <v>151</v>
      </c>
      <c r="L653" s="1" t="s">
        <v>496</v>
      </c>
      <c r="M653" s="1" t="s">
        <v>104</v>
      </c>
      <c r="N653" s="1" t="s">
        <v>10525</v>
      </c>
      <c r="O653" s="1" t="s">
        <v>312</v>
      </c>
      <c r="P653" s="1" t="s">
        <v>107</v>
      </c>
      <c r="Q653" s="1" t="s">
        <v>10526</v>
      </c>
      <c r="R653" s="1" t="s">
        <v>10527</v>
      </c>
      <c r="S653" s="1" t="s">
        <v>4479</v>
      </c>
      <c r="Z653" s="1" t="s">
        <v>10528</v>
      </c>
      <c r="AA653" s="1" t="s">
        <v>6755</v>
      </c>
      <c r="AG653" s="1">
        <v>4.73757143E9</v>
      </c>
      <c r="AJ653" s="1">
        <v>153.0</v>
      </c>
      <c r="AK653" s="1">
        <v>55.0</v>
      </c>
      <c r="AL653" s="1" t="s">
        <v>10529</v>
      </c>
      <c r="AM653" s="1" t="s">
        <v>10530</v>
      </c>
      <c r="AN653" s="7" t="s">
        <v>10531</v>
      </c>
      <c r="AO653" s="8" t="str">
        <f>HYPERLINK("https://docs.google.com/document/d/1_7KtodBV6wUC2rfCMurK1SgOU10lcSziH3vSPY6KDeQ/edit?usp=drivesdk","Al-Wildan 1 Gading Serpong_Neng Iin Widiyanisa, S. Ag_Guru Tahfidz")</f>
        <v>Al-Wildan 1 Gading Serpong_Neng Iin Widiyanisa, S. Ag_Guru Tahfidz</v>
      </c>
      <c r="AP653" s="1" t="s">
        <v>10532</v>
      </c>
    </row>
    <row r="654">
      <c r="A654" s="6">
        <v>44804.43597215277</v>
      </c>
      <c r="B654" s="7" t="s">
        <v>10533</v>
      </c>
      <c r="C654" s="8" t="s">
        <v>10534</v>
      </c>
      <c r="D654" s="1" t="s">
        <v>10535</v>
      </c>
      <c r="E654" s="9" t="s">
        <v>10536</v>
      </c>
      <c r="F654" s="1" t="s">
        <v>10537</v>
      </c>
      <c r="G654" s="1" t="s">
        <v>10538</v>
      </c>
      <c r="H654" s="1" t="s">
        <v>944</v>
      </c>
      <c r="I654" s="9" t="s">
        <v>10539</v>
      </c>
      <c r="J654" s="1" t="s">
        <v>10540</v>
      </c>
      <c r="K654" s="1" t="s">
        <v>151</v>
      </c>
      <c r="L654" s="1" t="s">
        <v>329</v>
      </c>
      <c r="M654" s="1" t="s">
        <v>10541</v>
      </c>
      <c r="N654" s="1" t="s">
        <v>2691</v>
      </c>
      <c r="O654" s="1" t="s">
        <v>312</v>
      </c>
      <c r="P654" s="1" t="s">
        <v>107</v>
      </c>
      <c r="AG654" s="1">
        <v>7.180551616E9</v>
      </c>
      <c r="AJ654" s="1">
        <v>168.0</v>
      </c>
      <c r="AK654" s="1">
        <v>49.0</v>
      </c>
      <c r="AL654" s="1" t="s">
        <v>10542</v>
      </c>
      <c r="AM654" s="1" t="s">
        <v>10543</v>
      </c>
      <c r="AN654" s="7" t="s">
        <v>10544</v>
      </c>
      <c r="AO654" s="8" t="str">
        <f>HYPERLINK("https://docs.google.com/document/d/1aq4ZYoSnonURqBHluwybk2RTUbiAo-tZPpty9uTRAoY/edit?usp=drivesdk","Al-Wildan 1 Gading Serpong_Anindia putri_Al Quran")</f>
        <v>Al-Wildan 1 Gading Serpong_Anindia putri_Al Quran</v>
      </c>
      <c r="AP654" s="1" t="s">
        <v>10545</v>
      </c>
    </row>
    <row r="655">
      <c r="A655" s="6">
        <v>44806.42981847222</v>
      </c>
      <c r="B655" s="7" t="s">
        <v>10546</v>
      </c>
      <c r="C655" s="8" t="s">
        <v>10547</v>
      </c>
      <c r="D655" s="1" t="s">
        <v>10535</v>
      </c>
      <c r="E655" s="9" t="s">
        <v>10536</v>
      </c>
      <c r="F655" s="1" t="s">
        <v>10537</v>
      </c>
      <c r="G655" s="1" t="s">
        <v>10548</v>
      </c>
      <c r="H655" s="1" t="s">
        <v>944</v>
      </c>
      <c r="I655" s="9" t="s">
        <v>10539</v>
      </c>
      <c r="J655" s="1" t="s">
        <v>10540</v>
      </c>
      <c r="K655" s="1" t="s">
        <v>151</v>
      </c>
      <c r="L655" s="1" t="s">
        <v>329</v>
      </c>
      <c r="M655" s="1" t="s">
        <v>10541</v>
      </c>
      <c r="N655" s="1" t="s">
        <v>3036</v>
      </c>
      <c r="O655" s="1" t="s">
        <v>312</v>
      </c>
      <c r="P655" s="1" t="s">
        <v>107</v>
      </c>
      <c r="AG655" s="1">
        <v>7.180551616E9</v>
      </c>
      <c r="AJ655" s="1">
        <v>168.0</v>
      </c>
      <c r="AK655" s="1">
        <v>49.0</v>
      </c>
      <c r="AL655" s="1" t="s">
        <v>10549</v>
      </c>
      <c r="AM655" s="1" t="s">
        <v>10550</v>
      </c>
      <c r="AN655" s="7" t="s">
        <v>10551</v>
      </c>
      <c r="AO655" s="8" t="str">
        <f>HYPERLINK("https://docs.google.com/document/d/1xwz_kLODllHMEAYRFRBsrmnmBHENlAPMsSF3bpCxIIk/edit?usp=drivesdk","Al-Wildan 1 Gading Serpong_Anindia putri_Al quran")</f>
        <v>Al-Wildan 1 Gading Serpong_Anindia putri_Al quran</v>
      </c>
      <c r="AP655" s="1" t="s">
        <v>10552</v>
      </c>
    </row>
    <row r="656">
      <c r="A656" s="6">
        <v>44807.41922871528</v>
      </c>
      <c r="B656" s="7" t="s">
        <v>10553</v>
      </c>
      <c r="C656" s="8" t="s">
        <v>10554</v>
      </c>
      <c r="D656" s="1" t="s">
        <v>10555</v>
      </c>
      <c r="E656" s="9" t="s">
        <v>10556</v>
      </c>
      <c r="F656" s="1" t="s">
        <v>10557</v>
      </c>
      <c r="G656" s="1" t="s">
        <v>10558</v>
      </c>
      <c r="H656" s="1" t="s">
        <v>10559</v>
      </c>
      <c r="I656" s="9" t="s">
        <v>10560</v>
      </c>
      <c r="J656" s="1" t="s">
        <v>10561</v>
      </c>
      <c r="K656" s="1" t="s">
        <v>102</v>
      </c>
      <c r="L656" s="1" t="s">
        <v>256</v>
      </c>
      <c r="M656" s="1" t="s">
        <v>104</v>
      </c>
      <c r="N656" s="1" t="s">
        <v>311</v>
      </c>
      <c r="O656" s="1" t="s">
        <v>312</v>
      </c>
      <c r="P656" s="1" t="s">
        <v>107</v>
      </c>
      <c r="Q656" s="1" t="s">
        <v>10562</v>
      </c>
      <c r="R656" s="1" t="s">
        <v>7617</v>
      </c>
      <c r="S656" s="1" t="s">
        <v>9749</v>
      </c>
      <c r="Z656" s="1" t="s">
        <v>10563</v>
      </c>
      <c r="AA656" s="1" t="s">
        <v>10564</v>
      </c>
      <c r="AB656" s="1" t="s">
        <v>10563</v>
      </c>
      <c r="AD656" s="1" t="s">
        <v>10563</v>
      </c>
      <c r="AF656" s="10">
        <v>5000000.0</v>
      </c>
      <c r="AG656" s="1">
        <v>7.112213311E9</v>
      </c>
      <c r="AI656" s="1" t="s">
        <v>10565</v>
      </c>
      <c r="AJ656" s="1">
        <v>158.0</v>
      </c>
      <c r="AK656" s="1">
        <v>66.0</v>
      </c>
      <c r="AL656" s="1" t="s">
        <v>10566</v>
      </c>
      <c r="AM656" s="1" t="s">
        <v>10567</v>
      </c>
      <c r="AN656" s="7" t="s">
        <v>10568</v>
      </c>
      <c r="AO656" s="8" t="str">
        <f>HYPERLINK("https://docs.google.com/document/d/1M_cp_o0aszrFEoSODPtngpuEhDhqNXjiw8FJIBGNoms/edit?usp=drivesdk","Al-Wildan 1 Gading Serpong_Khairat Lismaniah_Al Qur'an")</f>
        <v>Al-Wildan 1 Gading Serpong_Khairat Lismaniah_Al Qur'an</v>
      </c>
      <c r="AP656" s="1" t="s">
        <v>10569</v>
      </c>
    </row>
    <row r="657">
      <c r="A657" s="6">
        <v>44807.45574346065</v>
      </c>
      <c r="B657" s="7" t="s">
        <v>10570</v>
      </c>
      <c r="C657" s="8" t="s">
        <v>10571</v>
      </c>
      <c r="D657" s="1" t="s">
        <v>10572</v>
      </c>
      <c r="E657" s="9" t="s">
        <v>10573</v>
      </c>
      <c r="F657" s="1" t="s">
        <v>10574</v>
      </c>
      <c r="G657" s="1" t="s">
        <v>10575</v>
      </c>
      <c r="H657" s="1" t="s">
        <v>10576</v>
      </c>
      <c r="I657" s="9" t="s">
        <v>10577</v>
      </c>
      <c r="J657" s="1" t="s">
        <v>10578</v>
      </c>
      <c r="K657" s="1" t="s">
        <v>151</v>
      </c>
      <c r="L657" s="1" t="s">
        <v>103</v>
      </c>
      <c r="M657" s="1" t="s">
        <v>104</v>
      </c>
      <c r="N657" s="1" t="s">
        <v>235</v>
      </c>
      <c r="O657" s="1" t="s">
        <v>106</v>
      </c>
      <c r="P657" s="1" t="s">
        <v>5712</v>
      </c>
      <c r="Q657" s="1" t="s">
        <v>1022</v>
      </c>
      <c r="R657" s="1" t="s">
        <v>10579</v>
      </c>
      <c r="S657" s="1">
        <v>4.31</v>
      </c>
      <c r="Z657" s="1" t="s">
        <v>7599</v>
      </c>
      <c r="AA657" s="10">
        <v>1600000.0</v>
      </c>
      <c r="AF657" s="10">
        <v>5000000.0</v>
      </c>
      <c r="AG657" s="1">
        <v>4.2926406E9</v>
      </c>
      <c r="AJ657" s="1">
        <v>167.0</v>
      </c>
      <c r="AK657" s="1">
        <v>69.0</v>
      </c>
      <c r="AL657" s="1" t="s">
        <v>10580</v>
      </c>
      <c r="AM657" s="1" t="s">
        <v>10581</v>
      </c>
      <c r="AN657" s="7" t="s">
        <v>10582</v>
      </c>
      <c r="AO657" s="8" t="str">
        <f>HYPERLINK("https://docs.google.com/document/d/1swGkMss59A1QHJlz086ZCgFE6QmvRJxgs4p9YUOXG7w/edit?usp=drivesdk","Al-Wildan 3 BSD City_Muhamad Islahul Azmi, Lc_Bahasa Arab")</f>
        <v>Al-Wildan 3 BSD City_Muhamad Islahul Azmi, Lc_Bahasa Arab</v>
      </c>
      <c r="AP657" s="1" t="s">
        <v>10583</v>
      </c>
    </row>
    <row r="658">
      <c r="A658" s="6">
        <v>44807.46224953704</v>
      </c>
      <c r="B658" s="7" t="s">
        <v>10584</v>
      </c>
      <c r="C658" s="8" t="s">
        <v>10585</v>
      </c>
      <c r="D658" s="1" t="s">
        <v>10586</v>
      </c>
      <c r="E658" s="9" t="s">
        <v>10587</v>
      </c>
      <c r="F658" s="1" t="s">
        <v>10588</v>
      </c>
      <c r="G658" s="1" t="s">
        <v>10589</v>
      </c>
      <c r="H658" s="1" t="s">
        <v>169</v>
      </c>
      <c r="I658" s="1" t="s">
        <v>10590</v>
      </c>
      <c r="J658" s="1" t="s">
        <v>10591</v>
      </c>
      <c r="K658" s="1" t="s">
        <v>102</v>
      </c>
      <c r="L658" s="1" t="s">
        <v>103</v>
      </c>
      <c r="M658" s="1" t="s">
        <v>424</v>
      </c>
      <c r="O658" s="1" t="s">
        <v>127</v>
      </c>
      <c r="P658" s="1" t="s">
        <v>5712</v>
      </c>
      <c r="Q658" s="1" t="s">
        <v>10592</v>
      </c>
      <c r="R658" s="1" t="s">
        <v>10593</v>
      </c>
      <c r="S658" s="1">
        <v>3.68</v>
      </c>
      <c r="Z658" s="1" t="s">
        <v>10594</v>
      </c>
      <c r="AA658" s="10">
        <v>3800000.0</v>
      </c>
      <c r="AB658" s="1" t="s">
        <v>10595</v>
      </c>
      <c r="AC658" s="10">
        <v>5500000.0</v>
      </c>
      <c r="AD658" s="1" t="s">
        <v>10596</v>
      </c>
      <c r="AE658" s="10">
        <v>6750000.0</v>
      </c>
      <c r="AF658" s="10">
        <v>8500000.0</v>
      </c>
      <c r="AH658" s="1">
        <v>6.801272255E9</v>
      </c>
      <c r="AI658" s="1" t="s">
        <v>222</v>
      </c>
      <c r="AJ658" s="1">
        <v>168.0</v>
      </c>
      <c r="AK658" s="1">
        <v>89.0</v>
      </c>
      <c r="AL658" s="1" t="s">
        <v>10597</v>
      </c>
      <c r="AM658" s="1" t="s">
        <v>10598</v>
      </c>
      <c r="AN658" s="7" t="s">
        <v>10599</v>
      </c>
      <c r="AO658" s="8" t="str">
        <f>HYPERLINK("https://docs.google.com/document/d/1x4VGmnyVtOigrWHcO_wcM4MAnw-TlTz1Rx0dQr6aUFY/edit?usp=drivesdk","Al-Wildan 3 BSD City_Aditya Bernardi,S.Psi_")</f>
        <v>Al-Wildan 3 BSD City_Aditya Bernardi,S.Psi_</v>
      </c>
      <c r="AP658" s="1" t="s">
        <v>10600</v>
      </c>
    </row>
    <row r="659">
      <c r="A659" s="6">
        <v>44807.687422233794</v>
      </c>
      <c r="B659" s="7" t="s">
        <v>10601</v>
      </c>
      <c r="C659" s="8" t="s">
        <v>10602</v>
      </c>
      <c r="D659" s="1" t="s">
        <v>10603</v>
      </c>
      <c r="E659" s="9" t="s">
        <v>10604</v>
      </c>
      <c r="F659" s="1" t="s">
        <v>10605</v>
      </c>
      <c r="G659" s="1" t="s">
        <v>10606</v>
      </c>
      <c r="H659" s="1" t="s">
        <v>10607</v>
      </c>
      <c r="I659" s="9" t="s">
        <v>10608</v>
      </c>
      <c r="J659" s="1">
        <v>24.0</v>
      </c>
      <c r="K659" s="1" t="s">
        <v>151</v>
      </c>
      <c r="L659" s="1" t="s">
        <v>496</v>
      </c>
      <c r="M659" s="1" t="s">
        <v>104</v>
      </c>
      <c r="N659" s="1" t="s">
        <v>10609</v>
      </c>
      <c r="O659" s="1" t="s">
        <v>9794</v>
      </c>
      <c r="P659" s="1" t="s">
        <v>5712</v>
      </c>
      <c r="Q659" s="1" t="s">
        <v>10610</v>
      </c>
      <c r="R659" s="1" t="s">
        <v>130</v>
      </c>
      <c r="S659" s="1" t="s">
        <v>908</v>
      </c>
      <c r="Z659" s="1" t="s">
        <v>10611</v>
      </c>
      <c r="AA659" s="10">
        <v>5000000.0</v>
      </c>
      <c r="AB659" s="1" t="s">
        <v>10611</v>
      </c>
      <c r="AC659" s="10">
        <v>5000000.0</v>
      </c>
      <c r="AD659" s="1" t="s">
        <v>10611</v>
      </c>
      <c r="AE659" s="10">
        <v>5000000.0</v>
      </c>
      <c r="AF659" s="10">
        <v>7000000.0</v>
      </c>
      <c r="AG659" s="1">
        <v>7.158365248E9</v>
      </c>
      <c r="AJ659" s="1">
        <v>165.0</v>
      </c>
      <c r="AK659" s="1">
        <v>65.0</v>
      </c>
      <c r="AL659" s="1" t="s">
        <v>10612</v>
      </c>
      <c r="AM659" s="1" t="s">
        <v>10613</v>
      </c>
      <c r="AN659" s="7" t="s">
        <v>10614</v>
      </c>
      <c r="AO659" s="8" t="str">
        <f>HYPERLINK("https://docs.google.com/document/d/1ZN-tAwVx8pNWSAmdx52M9NQIurCiMyfYkPA873QM9Q8/edit?usp=drivesdk","Al-Wildan 3 BSD City_Reksa Saputra, s.Pd_matematika")</f>
        <v>Al-Wildan 3 BSD City_Reksa Saputra, s.Pd_matematika</v>
      </c>
      <c r="AP659" s="1" t="s">
        <v>10615</v>
      </c>
    </row>
    <row r="660">
      <c r="A660" s="6">
        <v>44807.69260033565</v>
      </c>
      <c r="B660" s="7" t="s">
        <v>10616</v>
      </c>
      <c r="C660" s="8" t="s">
        <v>10617</v>
      </c>
      <c r="D660" s="1" t="s">
        <v>10618</v>
      </c>
      <c r="E660" s="9" t="s">
        <v>10619</v>
      </c>
      <c r="F660" s="1" t="s">
        <v>10620</v>
      </c>
      <c r="G660" s="1" t="s">
        <v>10621</v>
      </c>
      <c r="H660" s="1" t="s">
        <v>722</v>
      </c>
      <c r="I660" s="9" t="s">
        <v>10622</v>
      </c>
      <c r="J660" s="1" t="s">
        <v>10561</v>
      </c>
      <c r="K660" s="1" t="s">
        <v>102</v>
      </c>
      <c r="L660" s="1" t="s">
        <v>103</v>
      </c>
      <c r="M660" s="1" t="s">
        <v>104</v>
      </c>
      <c r="N660" s="1" t="s">
        <v>10623</v>
      </c>
      <c r="O660" s="1" t="s">
        <v>236</v>
      </c>
      <c r="P660" s="1" t="s">
        <v>6091</v>
      </c>
      <c r="Q660" s="1" t="s">
        <v>153</v>
      </c>
      <c r="R660" s="1" t="s">
        <v>989</v>
      </c>
      <c r="S660" s="1" t="s">
        <v>292</v>
      </c>
      <c r="T660" s="1" t="s">
        <v>153</v>
      </c>
      <c r="U660" s="1" t="s">
        <v>10624</v>
      </c>
      <c r="V660" s="1">
        <v>3.56</v>
      </c>
      <c r="Z660" s="1" t="s">
        <v>10625</v>
      </c>
      <c r="AA660" s="10">
        <v>7738570.0</v>
      </c>
      <c r="AB660" s="1" t="s">
        <v>10626</v>
      </c>
      <c r="AC660" s="10">
        <v>3609877.0</v>
      </c>
      <c r="AD660" s="1" t="s">
        <v>10627</v>
      </c>
      <c r="AE660" s="10">
        <v>1500000.0</v>
      </c>
      <c r="AJ660" s="1">
        <v>164.0</v>
      </c>
      <c r="AK660" s="1">
        <v>61.0</v>
      </c>
      <c r="AL660" s="1" t="s">
        <v>10628</v>
      </c>
      <c r="AM660" s="1" t="s">
        <v>10629</v>
      </c>
      <c r="AN660" s="7" t="s">
        <v>10630</v>
      </c>
      <c r="AO660" s="8" t="str">
        <f>HYPERLINK("https://docs.google.com/document/d/1TyaVw3YOgs3j6BivNLCmClqgVQKJroc9eX2W9T_1PCA/edit?usp=drivesdk","Al-Wildan 10 Cipinang, Jakarta Timur_Syam Hadinugraha, M.Pd_Science/Biology")</f>
        <v>Al-Wildan 10 Cipinang, Jakarta Timur_Syam Hadinugraha, M.Pd_Science/Biology</v>
      </c>
      <c r="AP660" s="1" t="s">
        <v>10631</v>
      </c>
    </row>
    <row r="661">
      <c r="A661" s="6">
        <v>44807.891028495374</v>
      </c>
      <c r="B661" s="7" t="s">
        <v>10632</v>
      </c>
      <c r="C661" s="8" t="s">
        <v>10633</v>
      </c>
      <c r="D661" s="1" t="s">
        <v>10634</v>
      </c>
      <c r="E661" s="9" t="s">
        <v>10635</v>
      </c>
      <c r="F661" s="1" t="s">
        <v>10636</v>
      </c>
      <c r="G661" s="1" t="s">
        <v>10637</v>
      </c>
      <c r="H661" s="1" t="s">
        <v>10638</v>
      </c>
      <c r="I661" s="9" t="s">
        <v>10639</v>
      </c>
      <c r="J661" s="1" t="s">
        <v>10640</v>
      </c>
      <c r="K661" s="1" t="s">
        <v>102</v>
      </c>
      <c r="L661" s="1" t="s">
        <v>103</v>
      </c>
      <c r="M661" s="1" t="s">
        <v>104</v>
      </c>
      <c r="N661" s="1" t="s">
        <v>10641</v>
      </c>
      <c r="O661" s="1" t="s">
        <v>127</v>
      </c>
      <c r="P661" s="1" t="s">
        <v>6187</v>
      </c>
      <c r="Q661" s="1" t="s">
        <v>10642</v>
      </c>
      <c r="R661" s="1" t="s">
        <v>1611</v>
      </c>
      <c r="S661" s="1" t="s">
        <v>10643</v>
      </c>
      <c r="T661" s="1" t="s">
        <v>217</v>
      </c>
      <c r="U661" s="1" t="s">
        <v>217</v>
      </c>
      <c r="V661" s="1" t="s">
        <v>217</v>
      </c>
      <c r="W661" s="1" t="s">
        <v>217</v>
      </c>
      <c r="X661" s="1" t="s">
        <v>217</v>
      </c>
      <c r="Y661" s="1">
        <v>0.0</v>
      </c>
      <c r="Z661" s="1" t="s">
        <v>10644</v>
      </c>
      <c r="AA661" s="10">
        <v>8500000.0</v>
      </c>
      <c r="AB661" s="1" t="s">
        <v>10645</v>
      </c>
      <c r="AC661" s="10">
        <v>1500000.0</v>
      </c>
      <c r="AD661" s="1" t="s">
        <v>10646</v>
      </c>
      <c r="AE661" s="10">
        <v>2500000.0</v>
      </c>
      <c r="AF661" s="10">
        <v>1.8E7</v>
      </c>
      <c r="AG661" s="1">
        <v>7.110472158E9</v>
      </c>
      <c r="AJ661" s="1">
        <v>170.0</v>
      </c>
      <c r="AK661" s="1">
        <v>57.0</v>
      </c>
      <c r="AL661" s="1" t="s">
        <v>10647</v>
      </c>
      <c r="AM661" s="1" t="s">
        <v>10648</v>
      </c>
      <c r="AN661" s="7" t="s">
        <v>10649</v>
      </c>
      <c r="AO661" s="8" t="str">
        <f>HYPERLINK("https://docs.google.com/document/d/1iDW0NxGiknTYURLX_AZ5KToLp7sZFOVwpZ20g2GxUJU/edit?usp=drivesdk","Al-Wildan 14 Bumi Mutiara, Bogor_Rojih Fikri_Al Quran, B. Arab dan 'Ulum Syar'iyyah")</f>
        <v>Al-Wildan 14 Bumi Mutiara, Bogor_Rojih Fikri_Al Quran, B. Arab dan 'Ulum Syar'iyyah</v>
      </c>
      <c r="AP661" s="1" t="s">
        <v>10650</v>
      </c>
    </row>
    <row r="662">
      <c r="A662" s="6">
        <v>44808.31271136574</v>
      </c>
      <c r="B662" s="7" t="s">
        <v>10651</v>
      </c>
      <c r="C662" s="8" t="s">
        <v>10652</v>
      </c>
      <c r="D662" s="1" t="s">
        <v>10653</v>
      </c>
      <c r="E662" s="9" t="s">
        <v>10654</v>
      </c>
      <c r="F662" s="1" t="s">
        <v>10655</v>
      </c>
      <c r="G662" s="1" t="s">
        <v>10656</v>
      </c>
      <c r="H662" s="1" t="s">
        <v>10657</v>
      </c>
      <c r="I662" s="9" t="s">
        <v>10171</v>
      </c>
      <c r="J662" s="1" t="s">
        <v>5447</v>
      </c>
      <c r="K662" s="1" t="s">
        <v>151</v>
      </c>
      <c r="L662" s="1" t="s">
        <v>103</v>
      </c>
      <c r="M662" s="1" t="s">
        <v>5671</v>
      </c>
      <c r="N662" s="1" t="s">
        <v>10658</v>
      </c>
      <c r="O662" s="1" t="s">
        <v>9794</v>
      </c>
      <c r="P662" s="1" t="s">
        <v>6659</v>
      </c>
      <c r="Z662" s="1" t="s">
        <v>10659</v>
      </c>
      <c r="AA662" s="10">
        <v>500000.0</v>
      </c>
      <c r="AB662" s="1" t="s">
        <v>10660</v>
      </c>
      <c r="AC662" s="10">
        <v>2500000.0</v>
      </c>
      <c r="AD662" s="1" t="s">
        <v>10661</v>
      </c>
      <c r="AE662" s="10">
        <v>2500000.0</v>
      </c>
      <c r="AF662" s="10">
        <v>5000000.0</v>
      </c>
      <c r="AH662" s="1">
        <v>3.860084324E9</v>
      </c>
      <c r="AI662" s="1" t="s">
        <v>222</v>
      </c>
      <c r="AJ662" s="1">
        <v>165.0</v>
      </c>
      <c r="AK662" s="1">
        <v>69.0</v>
      </c>
      <c r="AL662" s="1" t="s">
        <v>10662</v>
      </c>
      <c r="AM662" s="1" t="s">
        <v>10663</v>
      </c>
      <c r="AN662" s="7" t="s">
        <v>10664</v>
      </c>
      <c r="AO662" s="8" t="str">
        <f>HYPERLINK("https://docs.google.com/document/d/1k0npuKlSDG3vqrr0OkiJDBEUiJIDFAOZMQACXFOcuJE/edit?usp=drivesdk","Al-Wildan 15 Kompas Indah, Tambun Bekasi._Muhammad Alpasa_Musyrif Al-Qur'an ")</f>
        <v>Al-Wildan 15 Kompas Indah, Tambun Bekasi._Muhammad Alpasa_Musyrif Al-Qur'an </v>
      </c>
      <c r="AP662" s="1" t="s">
        <v>10665</v>
      </c>
    </row>
    <row r="663">
      <c r="A663" s="6">
        <v>44808.32467554398</v>
      </c>
      <c r="B663" s="7" t="s">
        <v>10666</v>
      </c>
      <c r="C663" s="8" t="s">
        <v>10667</v>
      </c>
      <c r="D663" s="1" t="s">
        <v>10668</v>
      </c>
      <c r="E663" s="9" t="s">
        <v>10669</v>
      </c>
      <c r="F663" s="1" t="s">
        <v>10670</v>
      </c>
      <c r="G663" s="1" t="s">
        <v>10671</v>
      </c>
      <c r="H663" s="1" t="s">
        <v>99</v>
      </c>
      <c r="I663" s="9" t="s">
        <v>10672</v>
      </c>
      <c r="J663" s="1" t="s">
        <v>2737</v>
      </c>
      <c r="K663" s="1" t="s">
        <v>151</v>
      </c>
      <c r="L663" s="1" t="s">
        <v>103</v>
      </c>
      <c r="M663" s="1" t="s">
        <v>5671</v>
      </c>
      <c r="N663" s="1" t="s">
        <v>10658</v>
      </c>
      <c r="O663" s="1" t="s">
        <v>9794</v>
      </c>
      <c r="P663" s="1" t="s">
        <v>6659</v>
      </c>
      <c r="Q663" s="1" t="s">
        <v>10673</v>
      </c>
      <c r="R663" s="1" t="s">
        <v>10674</v>
      </c>
      <c r="S663" s="9" t="s">
        <v>10675</v>
      </c>
      <c r="Z663" s="1" t="s">
        <v>10676</v>
      </c>
      <c r="AA663" s="10">
        <v>800000.0</v>
      </c>
      <c r="AB663" s="1" t="s">
        <v>10677</v>
      </c>
      <c r="AC663" s="10">
        <v>1800000.0</v>
      </c>
      <c r="AD663" s="1" t="s">
        <v>10678</v>
      </c>
      <c r="AE663" s="10">
        <v>2500000.0</v>
      </c>
      <c r="AF663" s="10">
        <v>5.0E7</v>
      </c>
      <c r="AH663" s="1">
        <v>7.295257431E9</v>
      </c>
      <c r="AI663" s="1" t="s">
        <v>222</v>
      </c>
      <c r="AJ663" s="1">
        <v>165.0</v>
      </c>
      <c r="AK663" s="1">
        <v>65.0</v>
      </c>
      <c r="AL663" s="1" t="s">
        <v>10679</v>
      </c>
      <c r="AM663" s="1" t="s">
        <v>10680</v>
      </c>
      <c r="AN663" s="7" t="s">
        <v>10681</v>
      </c>
      <c r="AO663" s="8" t="str">
        <f>HYPERLINK("https://docs.google.com/document/d/1aU7N2VS1ycjT2ZrgEfsXkrSjTbAuehStMH8R2vLrvjc/edit?usp=drivesdk","Al-Wildan 15 Kompas Indah, Tambun Bekasi._Fika Hilman_Musyrif Al-Qur'an ")</f>
        <v>Al-Wildan 15 Kompas Indah, Tambun Bekasi._Fika Hilman_Musyrif Al-Qur'an </v>
      </c>
      <c r="AP663" s="1" t="s">
        <v>10682</v>
      </c>
    </row>
    <row r="664">
      <c r="A664" s="6">
        <v>44810.25213277778</v>
      </c>
      <c r="B664" s="7" t="s">
        <v>10683</v>
      </c>
      <c r="C664" s="8" t="s">
        <v>10684</v>
      </c>
      <c r="D664" s="1" t="s">
        <v>10685</v>
      </c>
      <c r="E664" s="9" t="s">
        <v>10686</v>
      </c>
      <c r="F664" s="1" t="s">
        <v>10687</v>
      </c>
      <c r="G664" s="1" t="s">
        <v>10688</v>
      </c>
      <c r="H664" s="1" t="s">
        <v>10689</v>
      </c>
      <c r="I664" s="9" t="s">
        <v>10690</v>
      </c>
      <c r="J664" s="1" t="s">
        <v>10691</v>
      </c>
      <c r="K664" s="1" t="s">
        <v>102</v>
      </c>
      <c r="L664" s="1" t="s">
        <v>103</v>
      </c>
      <c r="M664" s="1" t="s">
        <v>213</v>
      </c>
      <c r="O664" s="1" t="s">
        <v>10069</v>
      </c>
      <c r="P664" s="1" t="s">
        <v>5712</v>
      </c>
      <c r="Q664" s="1" t="s">
        <v>10692</v>
      </c>
      <c r="R664" s="1" t="s">
        <v>10693</v>
      </c>
      <c r="S664" s="1" t="s">
        <v>10694</v>
      </c>
      <c r="T664" s="1" t="s">
        <v>10695</v>
      </c>
      <c r="U664" s="1" t="s">
        <v>10696</v>
      </c>
      <c r="V664" s="1" t="s">
        <v>1364</v>
      </c>
      <c r="Z664" s="1" t="s">
        <v>589</v>
      </c>
      <c r="AA664" s="1" t="s">
        <v>10697</v>
      </c>
      <c r="AB664" s="1" t="s">
        <v>589</v>
      </c>
      <c r="AC664" s="1" t="s">
        <v>10697</v>
      </c>
      <c r="AD664" s="1" t="s">
        <v>589</v>
      </c>
      <c r="AE664" s="1" t="s">
        <v>10697</v>
      </c>
      <c r="AF664" s="1" t="s">
        <v>10698</v>
      </c>
      <c r="AH664" s="1">
        <v>1.210093698E9</v>
      </c>
      <c r="AI664" s="1" t="s">
        <v>8771</v>
      </c>
      <c r="AJ664" s="1">
        <v>163.0</v>
      </c>
      <c r="AK664" s="1">
        <v>73.0</v>
      </c>
      <c r="AL664" s="1" t="s">
        <v>10699</v>
      </c>
      <c r="AM664" s="1" t="s">
        <v>10700</v>
      </c>
      <c r="AN664" s="7" t="s">
        <v>10701</v>
      </c>
      <c r="AO664" s="8" t="str">
        <f>HYPERLINK("https://docs.google.com/document/d/1r9vvpU6IwgSEVJ4JiqmHJ5x5MALGRAeX3B6NFa6zviU/edit?usp=drivesdk","Al-Wildan 3 BSD City_Tito Sumandono, S.P., M.P._")</f>
        <v>Al-Wildan 3 BSD City_Tito Sumandono, S.P., M.P._</v>
      </c>
      <c r="AP664" s="1" t="s">
        <v>10702</v>
      </c>
    </row>
    <row r="665">
      <c r="A665" s="6">
        <v>44810.62088170139</v>
      </c>
      <c r="B665" s="7" t="s">
        <v>10703</v>
      </c>
      <c r="C665" s="8" t="s">
        <v>10704</v>
      </c>
      <c r="D665" s="1" t="s">
        <v>10705</v>
      </c>
      <c r="E665" s="9" t="s">
        <v>10706</v>
      </c>
      <c r="F665" s="1" t="s">
        <v>10707</v>
      </c>
      <c r="G665" s="1" t="s">
        <v>10708</v>
      </c>
      <c r="H665" s="1" t="s">
        <v>10709</v>
      </c>
      <c r="I665" s="9" t="s">
        <v>10710</v>
      </c>
      <c r="J665" s="1" t="s">
        <v>10711</v>
      </c>
      <c r="K665" s="1" t="s">
        <v>102</v>
      </c>
      <c r="L665" s="1" t="s">
        <v>103</v>
      </c>
      <c r="M665" s="1" t="s">
        <v>6060</v>
      </c>
      <c r="O665" s="1" t="s">
        <v>9794</v>
      </c>
      <c r="P665" s="1" t="s">
        <v>237</v>
      </c>
      <c r="Q665" s="1" t="s">
        <v>10712</v>
      </c>
      <c r="R665" s="1" t="s">
        <v>10713</v>
      </c>
      <c r="S665" s="1" t="s">
        <v>155</v>
      </c>
      <c r="Z665" s="1" t="s">
        <v>10714</v>
      </c>
      <c r="AA665" s="10">
        <v>1200000.0</v>
      </c>
      <c r="AB665" s="1" t="s">
        <v>10715</v>
      </c>
      <c r="AC665" s="10">
        <v>2700000.0</v>
      </c>
      <c r="AD665" s="1" t="s">
        <v>10716</v>
      </c>
      <c r="AE665" s="10">
        <v>4400000.0</v>
      </c>
      <c r="AF665" s="10">
        <v>4650000.0</v>
      </c>
      <c r="AH665" s="1">
        <v>1.660191247E9</v>
      </c>
      <c r="AI665" s="1" t="s">
        <v>4929</v>
      </c>
      <c r="AJ665" s="1">
        <v>168.0</v>
      </c>
      <c r="AK665" s="1">
        <v>52.0</v>
      </c>
      <c r="AL665" s="1" t="s">
        <v>10717</v>
      </c>
      <c r="AM665" s="1" t="s">
        <v>10718</v>
      </c>
      <c r="AN665" s="7" t="s">
        <v>10719</v>
      </c>
      <c r="AO665" s="8" t="str">
        <f>HYPERLINK("https://docs.google.com/document/d/1ZgT0e0yCaZ21XV5W7AV_qTjUE9Ua1grQ0KyPuRLfKEA/edit?usp=drivesdk","Al-Wildan 4 Lebak Bulus_RISMAN SALEH_")</f>
        <v>Al-Wildan 4 Lebak Bulus_RISMAN SALEH_</v>
      </c>
      <c r="AP665" s="1" t="s">
        <v>10720</v>
      </c>
    </row>
    <row r="666">
      <c r="A666" s="6">
        <v>44810.65849619213</v>
      </c>
      <c r="B666" s="7" t="s">
        <v>10721</v>
      </c>
      <c r="C666" s="8" t="s">
        <v>10722</v>
      </c>
      <c r="D666" s="1" t="s">
        <v>10723</v>
      </c>
      <c r="E666" s="9" t="s">
        <v>10724</v>
      </c>
      <c r="F666" s="1" t="s">
        <v>10725</v>
      </c>
      <c r="G666" s="1" t="s">
        <v>10726</v>
      </c>
      <c r="H666" s="1" t="s">
        <v>10727</v>
      </c>
      <c r="I666" s="1" t="s">
        <v>10728</v>
      </c>
      <c r="J666" s="1" t="s">
        <v>10729</v>
      </c>
      <c r="K666" s="1" t="s">
        <v>6075</v>
      </c>
      <c r="L666" s="1" t="s">
        <v>103</v>
      </c>
      <c r="M666" s="1" t="s">
        <v>6026</v>
      </c>
      <c r="O666" s="1" t="s">
        <v>9794</v>
      </c>
      <c r="P666" s="1" t="s">
        <v>6044</v>
      </c>
      <c r="AH666" s="1">
        <v>4.64601022704531E14</v>
      </c>
      <c r="AI666" s="1" t="s">
        <v>10730</v>
      </c>
      <c r="AJ666" s="1">
        <v>165.0</v>
      </c>
      <c r="AK666" s="1">
        <v>52.0</v>
      </c>
      <c r="AL666" s="1" t="s">
        <v>10731</v>
      </c>
      <c r="AM666" s="1" t="s">
        <v>10732</v>
      </c>
      <c r="AN666" s="7" t="s">
        <v>10733</v>
      </c>
      <c r="AO666" s="8" t="str">
        <f>HYPERLINK("https://docs.google.com/document/d/1LOG4wiBmI_c6dm3zm3NUBcQHX9SAWJt0YDbzJaoWchM/edit?usp=drivesdk","Al-Wildan Holding_Erwin (Asisten Kepala kariyawan)_")</f>
        <v>Al-Wildan Holding_Erwin (Asisten Kepala kariyawan)_</v>
      </c>
      <c r="AP666" s="1" t="s">
        <v>10734</v>
      </c>
    </row>
    <row r="667">
      <c r="A667" s="6">
        <v>44814.902626759256</v>
      </c>
      <c r="B667" s="7" t="s">
        <v>10735</v>
      </c>
      <c r="C667" s="8" t="s">
        <v>10736</v>
      </c>
      <c r="D667" s="1" t="s">
        <v>10737</v>
      </c>
      <c r="E667" s="9" t="s">
        <v>10738</v>
      </c>
      <c r="F667" s="1" t="s">
        <v>10739</v>
      </c>
      <c r="G667" s="1" t="s">
        <v>10740</v>
      </c>
      <c r="H667" s="1" t="s">
        <v>10741</v>
      </c>
      <c r="I667" s="9" t="s">
        <v>10742</v>
      </c>
      <c r="J667" s="1" t="s">
        <v>10743</v>
      </c>
      <c r="K667" s="1" t="s">
        <v>151</v>
      </c>
      <c r="L667" s="1" t="s">
        <v>329</v>
      </c>
      <c r="M667" s="1" t="s">
        <v>10541</v>
      </c>
      <c r="N667" s="1" t="s">
        <v>3171</v>
      </c>
      <c r="O667" s="1" t="s">
        <v>312</v>
      </c>
      <c r="P667" s="1" t="s">
        <v>107</v>
      </c>
      <c r="AH667" s="1">
        <v>1.344719426E9</v>
      </c>
      <c r="AI667" s="1" t="s">
        <v>445</v>
      </c>
      <c r="AJ667" s="1">
        <v>170.0</v>
      </c>
      <c r="AK667" s="1">
        <v>62.0</v>
      </c>
      <c r="AL667" s="1" t="s">
        <v>10744</v>
      </c>
      <c r="AM667" s="1" t="s">
        <v>10745</v>
      </c>
      <c r="AN667" s="7" t="s">
        <v>10746</v>
      </c>
      <c r="AO667" s="8" t="str">
        <f>HYPERLINK("https://docs.google.com/document/d/1NKDX7ChjsG5lA0YQncsSgI74_rDXvOCPZA5YMlDWwMU/edit?usp=drivesdk","Al-Wildan 1 Gading Serpong_DELLA FAKHMATUL IZZAH _Al Qur'an ")</f>
        <v>Al-Wildan 1 Gading Serpong_DELLA FAKHMATUL IZZAH _Al Qur'an </v>
      </c>
      <c r="AP667" s="1" t="s">
        <v>10747</v>
      </c>
    </row>
    <row r="668">
      <c r="A668" s="6">
        <v>44817.83699899305</v>
      </c>
      <c r="B668" s="7" t="s">
        <v>10748</v>
      </c>
      <c r="C668" s="8" t="s">
        <v>10749</v>
      </c>
      <c r="D668" s="1" t="s">
        <v>10750</v>
      </c>
      <c r="E668" s="9" t="s">
        <v>10751</v>
      </c>
      <c r="F668" s="1">
        <v>3.21607450299001E15</v>
      </c>
      <c r="G668" s="1" t="s">
        <v>10752</v>
      </c>
      <c r="H668" s="1" t="s">
        <v>148</v>
      </c>
      <c r="I668" s="9" t="s">
        <v>10753</v>
      </c>
      <c r="J668" s="1" t="s">
        <v>3942</v>
      </c>
      <c r="K668" s="1" t="s">
        <v>151</v>
      </c>
      <c r="L668" s="1" t="s">
        <v>103</v>
      </c>
      <c r="M668" s="1" t="s">
        <v>104</v>
      </c>
      <c r="N668" s="1" t="s">
        <v>10754</v>
      </c>
      <c r="O668" s="1" t="s">
        <v>312</v>
      </c>
      <c r="P668" s="1" t="s">
        <v>6659</v>
      </c>
      <c r="Q668" s="1" t="s">
        <v>10755</v>
      </c>
      <c r="R668" s="1" t="s">
        <v>152</v>
      </c>
      <c r="S668" s="1" t="s">
        <v>1680</v>
      </c>
      <c r="Z668" s="1" t="s">
        <v>10756</v>
      </c>
      <c r="AF668" s="10">
        <v>2500000.0</v>
      </c>
      <c r="AG668" s="1">
        <v>7.181447855E9</v>
      </c>
      <c r="AJ668" s="1">
        <v>153.0</v>
      </c>
      <c r="AK668" s="1">
        <v>40.0</v>
      </c>
      <c r="AL668" s="1" t="s">
        <v>10757</v>
      </c>
      <c r="AM668" s="1" t="s">
        <v>10758</v>
      </c>
      <c r="AN668" s="7" t="s">
        <v>10759</v>
      </c>
      <c r="AO668" s="8" t="str">
        <f>HYPERLINK("https://docs.google.com/document/d/1QiSl47TJbnJfQgnFO9Fod4e5lVpw-ezYTymw5_aLtQs/edit?usp=drivesdk","Al-Wildan 15 Kompas Indah, Tambun Bekasi._Farah Zulfah Rosyidah _MATH ENGLISH SCIENCE")</f>
        <v>Al-Wildan 15 Kompas Indah, Tambun Bekasi._Farah Zulfah Rosyidah _MATH ENGLISH SCIENCE</v>
      </c>
      <c r="AP668" s="1" t="s">
        <v>10760</v>
      </c>
    </row>
    <row r="669">
      <c r="A669" s="6">
        <v>44824.89802918982</v>
      </c>
      <c r="B669" s="7" t="s">
        <v>10761</v>
      </c>
      <c r="C669" s="8" t="s">
        <v>10762</v>
      </c>
      <c r="D669" s="1" t="s">
        <v>10763</v>
      </c>
      <c r="E669" s="1" t="s">
        <v>10764</v>
      </c>
      <c r="F669" s="1" t="s">
        <v>10765</v>
      </c>
      <c r="G669" s="1" t="s">
        <v>10766</v>
      </c>
      <c r="H669" s="1" t="s">
        <v>359</v>
      </c>
      <c r="I669" s="9" t="s">
        <v>10767</v>
      </c>
      <c r="J669" s="1" t="s">
        <v>10768</v>
      </c>
      <c r="K669" s="1" t="s">
        <v>151</v>
      </c>
      <c r="L669" s="1" t="s">
        <v>496</v>
      </c>
      <c r="M669" s="1" t="s">
        <v>5671</v>
      </c>
      <c r="O669" s="1" t="s">
        <v>106</v>
      </c>
      <c r="P669" s="1" t="s">
        <v>5712</v>
      </c>
      <c r="Z669" s="1" t="s">
        <v>10769</v>
      </c>
      <c r="AA669" s="10">
        <v>1500000.0</v>
      </c>
      <c r="AB669" s="1" t="s">
        <v>10770</v>
      </c>
      <c r="AC669" s="1" t="s">
        <v>10771</v>
      </c>
      <c r="AD669" s="1" t="s">
        <v>10772</v>
      </c>
      <c r="AE669" s="10">
        <v>500000.0</v>
      </c>
      <c r="AF669" s="10">
        <v>2000000.0</v>
      </c>
      <c r="AG669" s="1">
        <v>7.200597537E9</v>
      </c>
      <c r="AJ669" s="1">
        <v>173.0</v>
      </c>
      <c r="AK669" s="1">
        <v>53.0</v>
      </c>
      <c r="AL669" s="1" t="s">
        <v>10773</v>
      </c>
      <c r="AM669" s="1" t="s">
        <v>10774</v>
      </c>
      <c r="AN669" s="7" t="s">
        <v>10775</v>
      </c>
      <c r="AO669" s="8" t="str">
        <f>HYPERLINK("https://docs.google.com/document/d/1Umyso_mCNMndvoRaAZTUo0c7Ltz3nr9pcaQWvhOoNAc/edit?usp=drivesdk","Al-Wildan 3 BSD City_Ahmad Parvez Rabbaanee_")</f>
        <v>Al-Wildan 3 BSD City_Ahmad Parvez Rabbaanee_</v>
      </c>
      <c r="AP669" s="1" t="s">
        <v>10776</v>
      </c>
    </row>
    <row r="670">
      <c r="A670" s="6">
        <v>44824.93014894676</v>
      </c>
      <c r="B670" s="7" t="s">
        <v>10777</v>
      </c>
      <c r="C670" s="8" t="s">
        <v>10778</v>
      </c>
      <c r="D670" s="1" t="s">
        <v>10763</v>
      </c>
      <c r="E670" s="1" t="s">
        <v>10764</v>
      </c>
      <c r="F670" s="1" t="s">
        <v>10779</v>
      </c>
      <c r="G670" s="1" t="s">
        <v>10766</v>
      </c>
      <c r="H670" s="1" t="s">
        <v>359</v>
      </c>
      <c r="I670" s="9" t="s">
        <v>10767</v>
      </c>
      <c r="J670" s="1" t="s">
        <v>10768</v>
      </c>
      <c r="K670" s="1" t="s">
        <v>151</v>
      </c>
      <c r="L670" s="1" t="s">
        <v>496</v>
      </c>
      <c r="M670" s="1" t="s">
        <v>5671</v>
      </c>
      <c r="O670" s="1" t="s">
        <v>106</v>
      </c>
      <c r="P670" s="1" t="s">
        <v>5712</v>
      </c>
      <c r="Z670" s="1" t="s">
        <v>10780</v>
      </c>
      <c r="AA670" s="10">
        <v>1500000.0</v>
      </c>
      <c r="AB670" s="1" t="s">
        <v>10781</v>
      </c>
      <c r="AC670" s="1" t="s">
        <v>10782</v>
      </c>
      <c r="AD670" s="1" t="s">
        <v>10783</v>
      </c>
      <c r="AE670" s="10">
        <v>500000.0</v>
      </c>
      <c r="AF670" s="10">
        <v>2000000.0</v>
      </c>
      <c r="AG670" s="1">
        <v>7.200597537E9</v>
      </c>
      <c r="AJ670" s="1">
        <v>173.0</v>
      </c>
      <c r="AK670" s="1">
        <v>53.0</v>
      </c>
      <c r="AL670" s="1" t="s">
        <v>10773</v>
      </c>
      <c r="AM670" s="1" t="s">
        <v>10784</v>
      </c>
      <c r="AN670" s="7" t="s">
        <v>10785</v>
      </c>
      <c r="AO670" s="8" t="str">
        <f>HYPERLINK("https://docs.google.com/document/d/1oFWXSZ4B6HvUUxteOB04jgH7CsrdJHG0kfkRP3nTOzk/edit?usp=drivesdk","Al-Wildan 3 BSD City_Ahmad Parvez Rabbaanee_")</f>
        <v>Al-Wildan 3 BSD City_Ahmad Parvez Rabbaanee_</v>
      </c>
      <c r="AP670" s="1" t="s">
        <v>10786</v>
      </c>
    </row>
    <row r="671">
      <c r="A671" s="6">
        <v>44827.64835643518</v>
      </c>
      <c r="B671" s="7" t="s">
        <v>10787</v>
      </c>
      <c r="C671" s="8" t="s">
        <v>10788</v>
      </c>
      <c r="D671" s="1" t="s">
        <v>10789</v>
      </c>
      <c r="E671" s="9" t="s">
        <v>10790</v>
      </c>
      <c r="F671" s="1" t="s">
        <v>10791</v>
      </c>
      <c r="G671" s="1" t="s">
        <v>10792</v>
      </c>
      <c r="H671" s="1" t="s">
        <v>2523</v>
      </c>
      <c r="I671" s="9" t="s">
        <v>10793</v>
      </c>
      <c r="J671" s="1" t="s">
        <v>10794</v>
      </c>
      <c r="K671" s="1" t="s">
        <v>102</v>
      </c>
      <c r="L671" s="1" t="s">
        <v>256</v>
      </c>
      <c r="M671" s="1" t="s">
        <v>104</v>
      </c>
      <c r="N671" s="1" t="s">
        <v>10795</v>
      </c>
      <c r="O671" s="1" t="s">
        <v>312</v>
      </c>
      <c r="P671" s="1" t="s">
        <v>6091</v>
      </c>
      <c r="Q671" s="1" t="s">
        <v>10796</v>
      </c>
      <c r="R671" s="1" t="s">
        <v>10797</v>
      </c>
      <c r="S671" s="1" t="s">
        <v>7392</v>
      </c>
      <c r="Z671" s="1" t="s">
        <v>10798</v>
      </c>
      <c r="AA671" s="10">
        <v>3600000.0</v>
      </c>
      <c r="AB671" s="1" t="s">
        <v>10799</v>
      </c>
      <c r="AC671" s="10">
        <v>1400000.0</v>
      </c>
      <c r="AD671" s="1" t="s">
        <v>10800</v>
      </c>
      <c r="AE671" s="10">
        <v>2900000.0</v>
      </c>
      <c r="AF671" s="1" t="s">
        <v>10801</v>
      </c>
      <c r="AG671" s="1">
        <v>1.058806281E9</v>
      </c>
      <c r="AJ671" s="1">
        <v>160.0</v>
      </c>
      <c r="AK671" s="1">
        <v>71.0</v>
      </c>
      <c r="AL671" s="1" t="s">
        <v>10802</v>
      </c>
      <c r="AM671" s="1" t="s">
        <v>10803</v>
      </c>
      <c r="AN671" s="7" t="s">
        <v>10804</v>
      </c>
      <c r="AO671" s="8" t="str">
        <f>HYPERLINK("https://docs.google.com/document/d/1qHEfxZCOCQGkJOaXisXqi1-LXuAa8JVDQC0aAQYi7Bg/edit?usp=drivesdk","Al-Wildan 10 Cipinang, Jakarta Timur_MARDIANA, S.Si_Math, Science, English ")</f>
        <v>Al-Wildan 10 Cipinang, Jakarta Timur_MARDIANA, S.Si_Math, Science, English </v>
      </c>
      <c r="AP671" s="1" t="s">
        <v>10805</v>
      </c>
    </row>
    <row r="672">
      <c r="A672" s="6">
        <v>44828.46732372685</v>
      </c>
      <c r="B672" s="7" t="s">
        <v>10806</v>
      </c>
      <c r="C672" s="8" t="s">
        <v>10807</v>
      </c>
      <c r="D672" s="1" t="s">
        <v>10808</v>
      </c>
      <c r="E672" s="9" t="s">
        <v>10809</v>
      </c>
      <c r="F672" s="1" t="s">
        <v>10810</v>
      </c>
      <c r="G672" s="1" t="s">
        <v>10811</v>
      </c>
      <c r="H672" s="1" t="s">
        <v>169</v>
      </c>
      <c r="I672" s="9" t="s">
        <v>10812</v>
      </c>
      <c r="J672" s="1" t="s">
        <v>10813</v>
      </c>
      <c r="K672" s="1" t="s">
        <v>102</v>
      </c>
      <c r="L672" s="1" t="s">
        <v>310</v>
      </c>
      <c r="M672" s="1" t="s">
        <v>104</v>
      </c>
      <c r="N672" s="1" t="s">
        <v>1275</v>
      </c>
      <c r="O672" s="1" t="s">
        <v>236</v>
      </c>
      <c r="P672" s="1" t="s">
        <v>107</v>
      </c>
      <c r="Q672" s="1" t="s">
        <v>10814</v>
      </c>
      <c r="R672" s="1" t="s">
        <v>989</v>
      </c>
      <c r="S672" s="1" t="s">
        <v>4479</v>
      </c>
      <c r="Z672" s="1" t="s">
        <v>10815</v>
      </c>
      <c r="AA672" s="10">
        <v>2000000.0</v>
      </c>
      <c r="AB672" s="1" t="s">
        <v>10816</v>
      </c>
      <c r="AC672" s="10">
        <v>6000000.0</v>
      </c>
      <c r="AF672" s="10">
        <v>9000000.0</v>
      </c>
      <c r="AG672" s="1">
        <v>0.0</v>
      </c>
      <c r="AH672" s="1">
        <v>8.831619201E9</v>
      </c>
      <c r="AI672" s="1" t="s">
        <v>222</v>
      </c>
      <c r="AJ672" s="1">
        <v>180.0</v>
      </c>
      <c r="AK672" s="1">
        <v>90.0</v>
      </c>
      <c r="AL672" s="1" t="s">
        <v>10817</v>
      </c>
      <c r="AM672" s="1" t="s">
        <v>10818</v>
      </c>
      <c r="AN672" s="7" t="s">
        <v>10819</v>
      </c>
      <c r="AO672" s="8" t="str">
        <f>HYPERLINK("https://docs.google.com/document/d/1Fz1zneAK1Ku8DjxkliEkxosrPL37cQpCbe-9nrlZ69I/edit?usp=drivesdk","Al-Wildan 1 Gading Serpong_Muhammad Nicova Kresnada Kamil Putra S.Pd_Biologi")</f>
        <v>Al-Wildan 1 Gading Serpong_Muhammad Nicova Kresnada Kamil Putra S.Pd_Biologi</v>
      </c>
      <c r="AP672" s="1" t="s">
        <v>10820</v>
      </c>
    </row>
    <row r="673">
      <c r="A673" s="6">
        <v>44828.84890349537</v>
      </c>
      <c r="B673" s="7" t="s">
        <v>10821</v>
      </c>
      <c r="C673" s="8" t="s">
        <v>10822</v>
      </c>
      <c r="D673" s="1" t="s">
        <v>10823</v>
      </c>
      <c r="E673" s="9" t="s">
        <v>10824</v>
      </c>
      <c r="F673" s="1" t="s">
        <v>10825</v>
      </c>
      <c r="G673" s="1" t="s">
        <v>10826</v>
      </c>
      <c r="H673" s="1" t="s">
        <v>10827</v>
      </c>
      <c r="I673" s="9" t="s">
        <v>10828</v>
      </c>
      <c r="J673" s="1" t="s">
        <v>6150</v>
      </c>
      <c r="K673" s="1" t="s">
        <v>1235</v>
      </c>
      <c r="L673" s="1" t="s">
        <v>329</v>
      </c>
      <c r="M673" s="1" t="s">
        <v>104</v>
      </c>
      <c r="N673" s="1" t="s">
        <v>10829</v>
      </c>
      <c r="O673" s="1" t="s">
        <v>312</v>
      </c>
      <c r="P673" s="1" t="s">
        <v>6659</v>
      </c>
      <c r="Z673" s="1" t="s">
        <v>10830</v>
      </c>
      <c r="AA673" s="10">
        <v>1500000.0</v>
      </c>
      <c r="AF673" s="1" t="s">
        <v>10831</v>
      </c>
      <c r="AG673" s="1">
        <v>4.65076049E9</v>
      </c>
      <c r="AJ673" s="1">
        <v>155.0</v>
      </c>
      <c r="AK673" s="1">
        <v>70.0</v>
      </c>
      <c r="AL673" s="1" t="s">
        <v>10832</v>
      </c>
      <c r="AM673" s="1" t="s">
        <v>10833</v>
      </c>
      <c r="AN673" s="7" t="s">
        <v>10834</v>
      </c>
      <c r="AO673" s="8" t="str">
        <f>HYPERLINK("https://docs.google.com/document/d/1JXiVOJLDF2NNkuYNhERUVxlgTPpZTt1YJ-ZCKJgG-D4/edit?usp=drivesdk","Al-Wildan 15 Kompas Indah, Tambun Bekasi._DIAN MEGASARI_QURAN DAN PAI")</f>
        <v>Al-Wildan 15 Kompas Indah, Tambun Bekasi._DIAN MEGASARI_QURAN DAN PAI</v>
      </c>
      <c r="AP673" s="1" t="s">
        <v>10835</v>
      </c>
    </row>
    <row r="674">
      <c r="A674" s="6">
        <v>44830.4332224074</v>
      </c>
      <c r="B674" s="7" t="s">
        <v>10836</v>
      </c>
      <c r="C674" s="8" t="s">
        <v>10837</v>
      </c>
      <c r="D674" s="1" t="s">
        <v>10838</v>
      </c>
      <c r="E674" s="9" t="s">
        <v>10839</v>
      </c>
      <c r="F674" s="1" t="s">
        <v>10840</v>
      </c>
      <c r="G674" s="1" t="s">
        <v>10841</v>
      </c>
      <c r="H674" s="1" t="s">
        <v>10842</v>
      </c>
      <c r="I674" s="9" t="s">
        <v>10843</v>
      </c>
      <c r="J674" s="1" t="s">
        <v>10844</v>
      </c>
      <c r="K674" s="1" t="s">
        <v>151</v>
      </c>
      <c r="L674" s="1" t="s">
        <v>329</v>
      </c>
      <c r="M674" s="1" t="s">
        <v>6060</v>
      </c>
      <c r="O674" s="1" t="s">
        <v>9794</v>
      </c>
      <c r="P674" s="1" t="s">
        <v>237</v>
      </c>
      <c r="Q674" s="1" t="s">
        <v>10845</v>
      </c>
      <c r="R674" s="1" t="s">
        <v>10318</v>
      </c>
      <c r="S674" s="1">
        <v>3.47</v>
      </c>
      <c r="Z674" s="1" t="s">
        <v>10846</v>
      </c>
      <c r="AA674" s="10">
        <v>1800000.0</v>
      </c>
      <c r="AF674" s="10">
        <v>5000000.0</v>
      </c>
      <c r="AH674" s="9" t="s">
        <v>10847</v>
      </c>
      <c r="AI674" s="1" t="s">
        <v>159</v>
      </c>
      <c r="AJ674" s="1">
        <v>168.0</v>
      </c>
      <c r="AK674" s="1">
        <v>62.0</v>
      </c>
      <c r="AL674" s="1" t="s">
        <v>10848</v>
      </c>
      <c r="AM674" s="1" t="s">
        <v>10849</v>
      </c>
      <c r="AN674" s="7" t="s">
        <v>10850</v>
      </c>
      <c r="AO674" s="8" t="str">
        <f>HYPERLINK("https://docs.google.com/document/d/1u0oY6jBedRzA1Fp_Zj3UWCSaSotkg9slBjKf5Xivo7s/edit?usp=drivesdk","Al-Wildan 4 Lebak Bulus_FARHAN HISYAM, S.S (sarjana sastra)_")</f>
        <v>Al-Wildan 4 Lebak Bulus_FARHAN HISYAM, S.S (sarjana sastra)_</v>
      </c>
      <c r="AP674" s="1" t="s">
        <v>10851</v>
      </c>
    </row>
    <row r="675">
      <c r="A675" s="6">
        <v>44831.45976810185</v>
      </c>
      <c r="B675" s="7" t="s">
        <v>10852</v>
      </c>
      <c r="C675" s="8" t="s">
        <v>10853</v>
      </c>
      <c r="D675" s="1" t="s">
        <v>10854</v>
      </c>
      <c r="E675" s="9" t="s">
        <v>10855</v>
      </c>
      <c r="F675" s="1" t="s">
        <v>10856</v>
      </c>
      <c r="G675" s="1" t="s">
        <v>10857</v>
      </c>
      <c r="H675" s="1" t="s">
        <v>10858</v>
      </c>
      <c r="I675" s="9" t="s">
        <v>10859</v>
      </c>
      <c r="J675" s="1" t="s">
        <v>724</v>
      </c>
      <c r="K675" s="1" t="s">
        <v>102</v>
      </c>
      <c r="L675" s="1" t="s">
        <v>329</v>
      </c>
      <c r="M675" s="1" t="s">
        <v>104</v>
      </c>
      <c r="N675" s="1" t="s">
        <v>10860</v>
      </c>
      <c r="O675" s="1" t="s">
        <v>236</v>
      </c>
      <c r="P675" s="1" t="s">
        <v>6659</v>
      </c>
      <c r="Q675" s="1" t="s">
        <v>10861</v>
      </c>
      <c r="R675" s="1" t="s">
        <v>1275</v>
      </c>
      <c r="S675" s="1" t="s">
        <v>442</v>
      </c>
      <c r="T675" s="1" t="s">
        <v>10862</v>
      </c>
      <c r="U675" s="1" t="s">
        <v>4778</v>
      </c>
      <c r="V675" s="1">
        <v>3.71</v>
      </c>
      <c r="Z675" s="1" t="s">
        <v>10863</v>
      </c>
      <c r="AA675" s="10">
        <v>5000000.0</v>
      </c>
      <c r="AB675" s="1" t="s">
        <v>10864</v>
      </c>
      <c r="AC675" s="1" t="s">
        <v>10865</v>
      </c>
      <c r="AF675" s="10">
        <v>6000000.0</v>
      </c>
      <c r="AG675" s="1">
        <v>7.116389228E9</v>
      </c>
      <c r="AH675" s="1">
        <v>1.129326963E9</v>
      </c>
      <c r="AI675" s="1" t="s">
        <v>10866</v>
      </c>
      <c r="AJ675" s="1">
        <v>163.0</v>
      </c>
      <c r="AK675" s="1">
        <v>53.0</v>
      </c>
      <c r="AL675" s="1" t="s">
        <v>10867</v>
      </c>
      <c r="AM675" s="1" t="s">
        <v>10868</v>
      </c>
      <c r="AN675" s="7" t="s">
        <v>10869</v>
      </c>
      <c r="AO675" s="8" t="str">
        <f>HYPERLINK("https://docs.google.com/document/d/1RxbH-89GbA-aK8GaAR7j-6VAmEuy8w04QiisTOczB7E/edit?usp=drivesdk","Al-Wildan 15 Kompas Indah, Tambun Bekasi._Dahniar Saraswati, S.Si_Biology and Science Teacher")</f>
        <v>Al-Wildan 15 Kompas Indah, Tambun Bekasi._Dahniar Saraswati, S.Si_Biology and Science Teacher</v>
      </c>
      <c r="AP675" s="1" t="s">
        <v>10870</v>
      </c>
    </row>
    <row r="676">
      <c r="A676" s="6">
        <v>44831.53419762732</v>
      </c>
      <c r="B676" s="7" t="s">
        <v>10871</v>
      </c>
      <c r="C676" s="8" t="s">
        <v>10872</v>
      </c>
      <c r="D676" s="1" t="s">
        <v>10873</v>
      </c>
      <c r="E676" s="9" t="s">
        <v>10874</v>
      </c>
      <c r="F676" s="1" t="s">
        <v>10875</v>
      </c>
      <c r="G676" s="1" t="s">
        <v>10876</v>
      </c>
      <c r="H676" s="1" t="s">
        <v>148</v>
      </c>
      <c r="I676" s="9" t="s">
        <v>10877</v>
      </c>
      <c r="J676" s="1" t="s">
        <v>10878</v>
      </c>
      <c r="K676" s="1" t="s">
        <v>151</v>
      </c>
      <c r="L676" s="1" t="s">
        <v>256</v>
      </c>
      <c r="M676" s="1" t="s">
        <v>104</v>
      </c>
      <c r="N676" s="1" t="s">
        <v>10879</v>
      </c>
      <c r="O676" s="1" t="s">
        <v>9794</v>
      </c>
      <c r="P676" s="1" t="s">
        <v>6091</v>
      </c>
      <c r="Z676" s="1" t="s">
        <v>10880</v>
      </c>
      <c r="AF676" s="1" t="s">
        <v>10881</v>
      </c>
      <c r="AH676" s="9" t="s">
        <v>10882</v>
      </c>
      <c r="AI676" s="1" t="s">
        <v>222</v>
      </c>
      <c r="AJ676" s="1">
        <v>178.0</v>
      </c>
      <c r="AK676" s="1">
        <v>61.0</v>
      </c>
      <c r="AL676" s="1" t="s">
        <v>10883</v>
      </c>
      <c r="AM676" s="1" t="s">
        <v>10884</v>
      </c>
      <c r="AN676" s="7" t="s">
        <v>10885</v>
      </c>
      <c r="AO676" s="8" t="str">
        <f>HYPERLINK("https://docs.google.com/document/d/1zyOHs3Y7jyEcvC-VoenIgmP1VWn9Z2ELNt5ak_L5xl8/edit?usp=drivesdk","Al-Wildan 10 Cipinang, Jakarta Timur_Muhammad Faikar Mufid_agama islam")</f>
        <v>Al-Wildan 10 Cipinang, Jakarta Timur_Muhammad Faikar Mufid_agama islam</v>
      </c>
      <c r="AP676" s="1" t="s">
        <v>10886</v>
      </c>
    </row>
    <row r="677">
      <c r="A677" s="6">
        <v>44831.55999780093</v>
      </c>
      <c r="B677" s="7" t="s">
        <v>10887</v>
      </c>
      <c r="C677" s="8" t="s">
        <v>10888</v>
      </c>
      <c r="D677" s="1" t="s">
        <v>10889</v>
      </c>
      <c r="E677" s="9" t="s">
        <v>10890</v>
      </c>
      <c r="F677" s="1" t="s">
        <v>10891</v>
      </c>
      <c r="G677" s="1" t="s">
        <v>10892</v>
      </c>
      <c r="H677" s="1" t="s">
        <v>1341</v>
      </c>
      <c r="I677" s="9" t="s">
        <v>10893</v>
      </c>
      <c r="J677" s="1" t="s">
        <v>10894</v>
      </c>
      <c r="K677" s="1" t="s">
        <v>102</v>
      </c>
      <c r="L677" s="1" t="s">
        <v>103</v>
      </c>
      <c r="M677" s="1" t="s">
        <v>104</v>
      </c>
      <c r="N677" s="1" t="s">
        <v>10895</v>
      </c>
      <c r="O677" s="1" t="s">
        <v>9794</v>
      </c>
      <c r="P677" s="1" t="s">
        <v>107</v>
      </c>
      <c r="Q677" s="1" t="s">
        <v>10896</v>
      </c>
      <c r="R677" s="1" t="s">
        <v>10897</v>
      </c>
      <c r="S677" s="1" t="s">
        <v>908</v>
      </c>
      <c r="T677" s="1" t="s">
        <v>5414</v>
      </c>
      <c r="U677" s="1" t="s">
        <v>10898</v>
      </c>
      <c r="Z677" s="1" t="s">
        <v>10899</v>
      </c>
      <c r="AA677" s="10">
        <v>8000000.0</v>
      </c>
      <c r="AF677" s="1" t="s">
        <v>5254</v>
      </c>
      <c r="AH677" s="1">
        <v>9.000007456818E12</v>
      </c>
      <c r="AI677" s="1" t="s">
        <v>4483</v>
      </c>
      <c r="AJ677" s="1">
        <v>158.0</v>
      </c>
      <c r="AK677" s="1">
        <v>55.0</v>
      </c>
      <c r="AL677" s="1" t="s">
        <v>10900</v>
      </c>
      <c r="AM677" s="1" t="s">
        <v>10901</v>
      </c>
      <c r="AN677" s="7" t="s">
        <v>10902</v>
      </c>
      <c r="AO677" s="8" t="str">
        <f>HYPERLINK("https://docs.google.com/document/d/1seoIfRYmm4SRwAZgp-ibOoPTievjQLpw9zHew8wdlHo/edit?usp=drivesdk","Al-Wildan 1 Gading Serpong_Turmaningsih Surya Pratama, M.Si_Biology/ English / Math")</f>
        <v>Al-Wildan 1 Gading Serpong_Turmaningsih Surya Pratama, M.Si_Biology/ English / Math</v>
      </c>
      <c r="AP677" s="1" t="s">
        <v>10903</v>
      </c>
    </row>
    <row r="678">
      <c r="A678" s="6">
        <v>44832.84935695602</v>
      </c>
      <c r="B678" s="7" t="s">
        <v>10904</v>
      </c>
      <c r="C678" s="8" t="s">
        <v>10905</v>
      </c>
      <c r="D678" s="1" t="s">
        <v>10906</v>
      </c>
      <c r="E678" s="9" t="s">
        <v>10907</v>
      </c>
      <c r="F678" s="1" t="s">
        <v>10908</v>
      </c>
      <c r="G678" s="1" t="s">
        <v>10909</v>
      </c>
      <c r="H678" s="1" t="s">
        <v>10910</v>
      </c>
      <c r="I678" s="9" t="s">
        <v>10911</v>
      </c>
      <c r="J678" s="1" t="s">
        <v>7366</v>
      </c>
      <c r="K678" s="1" t="s">
        <v>102</v>
      </c>
      <c r="L678" s="1" t="s">
        <v>103</v>
      </c>
      <c r="M678" s="1" t="s">
        <v>104</v>
      </c>
      <c r="N678" s="1" t="s">
        <v>126</v>
      </c>
      <c r="O678" s="1" t="s">
        <v>127</v>
      </c>
      <c r="P678" s="1" t="s">
        <v>5712</v>
      </c>
      <c r="Q678" s="1" t="s">
        <v>10912</v>
      </c>
      <c r="R678" s="1" t="s">
        <v>126</v>
      </c>
      <c r="S678" s="1" t="s">
        <v>9882</v>
      </c>
      <c r="T678" s="1" t="s">
        <v>10913</v>
      </c>
      <c r="U678" s="1" t="s">
        <v>126</v>
      </c>
      <c r="V678" s="1" t="s">
        <v>908</v>
      </c>
      <c r="Z678" s="1" t="s">
        <v>10914</v>
      </c>
      <c r="AA678" s="10">
        <v>8400000.0</v>
      </c>
      <c r="AF678" s="10">
        <v>8500000.0</v>
      </c>
      <c r="AG678" s="1">
        <v>4.48882153E9</v>
      </c>
      <c r="AJ678" s="1">
        <v>172.0</v>
      </c>
      <c r="AK678" s="1">
        <v>66.0</v>
      </c>
      <c r="AL678" s="1" t="s">
        <v>10915</v>
      </c>
      <c r="AM678" s="1" t="s">
        <v>10916</v>
      </c>
      <c r="AN678" s="7" t="s">
        <v>10917</v>
      </c>
      <c r="AO678" s="8" t="str">
        <f>HYPERLINK("https://docs.google.com/document/d/1BhO1EOCCAMoPAd1PiQRKYmixnSnmzT4Ji4odXnDFTx8/edit?usp=drivesdk","Al-Wildan 3 BSD City_Indra Bayu Muktyas, M.Si._Matematika")</f>
        <v>Al-Wildan 3 BSD City_Indra Bayu Muktyas, M.Si._Matematika</v>
      </c>
      <c r="AP678" s="1" t="s">
        <v>10918</v>
      </c>
    </row>
    <row r="679">
      <c r="A679" s="6">
        <v>44832.89767167824</v>
      </c>
      <c r="B679" s="7" t="s">
        <v>10919</v>
      </c>
      <c r="C679" s="8" t="s">
        <v>10920</v>
      </c>
      <c r="D679" s="1" t="s">
        <v>10921</v>
      </c>
      <c r="E679" s="9" t="s">
        <v>10922</v>
      </c>
      <c r="F679" s="1" t="s">
        <v>10923</v>
      </c>
      <c r="G679" s="1" t="s">
        <v>10924</v>
      </c>
      <c r="H679" s="1" t="s">
        <v>169</v>
      </c>
      <c r="I679" s="9" t="s">
        <v>10925</v>
      </c>
      <c r="J679" s="1" t="s">
        <v>10926</v>
      </c>
      <c r="K679" s="1" t="s">
        <v>102</v>
      </c>
      <c r="L679" s="1" t="s">
        <v>103</v>
      </c>
      <c r="M679" s="1" t="s">
        <v>6186</v>
      </c>
      <c r="O679" s="1" t="s">
        <v>312</v>
      </c>
      <c r="P679" s="1" t="s">
        <v>6533</v>
      </c>
      <c r="Q679" s="1" t="s">
        <v>10927</v>
      </c>
      <c r="R679" s="1" t="s">
        <v>378</v>
      </c>
      <c r="S679" s="1" t="s">
        <v>131</v>
      </c>
      <c r="Z679" s="1" t="s">
        <v>10928</v>
      </c>
      <c r="AA679" s="1" t="s">
        <v>10929</v>
      </c>
      <c r="AB679" s="1" t="s">
        <v>10930</v>
      </c>
      <c r="AC679" s="10">
        <v>6000000.0</v>
      </c>
      <c r="AF679" s="1" t="s">
        <v>10931</v>
      </c>
      <c r="AG679" s="1">
        <v>7.00988505E9</v>
      </c>
      <c r="AJ679" s="1">
        <v>165.0</v>
      </c>
      <c r="AK679" s="1">
        <v>52.0</v>
      </c>
      <c r="AL679" s="1" t="s">
        <v>10932</v>
      </c>
      <c r="AM679" s="1" t="s">
        <v>10933</v>
      </c>
      <c r="AN679" s="7" t="s">
        <v>10934</v>
      </c>
      <c r="AO679" s="8" t="str">
        <f>HYPERLINK("https://docs.google.com/document/d/1RH9lGLTgNXQsU-ChkHkHnjxPVlHsHdSincfBnCTONk4/edit?usp=drivesdk","Al-Wildan 5 Benhil_M Taufik Rahman_")</f>
        <v>Al-Wildan 5 Benhil_M Taufik Rahman_</v>
      </c>
      <c r="AP679" s="1" t="s">
        <v>10935</v>
      </c>
    </row>
    <row r="680">
      <c r="A680" s="6">
        <v>44833.26458512731</v>
      </c>
      <c r="B680" s="7" t="s">
        <v>10936</v>
      </c>
      <c r="C680" s="8" t="s">
        <v>10937</v>
      </c>
      <c r="D680" s="1" t="s">
        <v>10938</v>
      </c>
      <c r="E680" s="9" t="s">
        <v>10939</v>
      </c>
      <c r="F680" s="1" t="s">
        <v>10940</v>
      </c>
      <c r="G680" s="1" t="s">
        <v>10941</v>
      </c>
      <c r="H680" s="1" t="s">
        <v>5247</v>
      </c>
      <c r="I680" s="9" t="s">
        <v>10942</v>
      </c>
      <c r="J680" s="1" t="s">
        <v>9105</v>
      </c>
      <c r="K680" s="1" t="s">
        <v>151</v>
      </c>
      <c r="L680" s="1" t="s">
        <v>103</v>
      </c>
      <c r="M680" s="1" t="s">
        <v>10943</v>
      </c>
      <c r="N680" s="1" t="s">
        <v>10944</v>
      </c>
      <c r="O680" s="1" t="s">
        <v>106</v>
      </c>
      <c r="P680" s="1" t="s">
        <v>6533</v>
      </c>
      <c r="Q680" s="1" t="s">
        <v>10945</v>
      </c>
      <c r="R680" s="1" t="s">
        <v>2885</v>
      </c>
      <c r="S680" s="1" t="s">
        <v>8290</v>
      </c>
      <c r="AF680" s="10">
        <v>7000000.0</v>
      </c>
      <c r="AJ680" s="1">
        <v>165.0</v>
      </c>
      <c r="AK680" s="1">
        <v>52.0</v>
      </c>
      <c r="AL680" s="1" t="s">
        <v>10946</v>
      </c>
      <c r="AM680" s="1" t="s">
        <v>10947</v>
      </c>
      <c r="AN680" s="7" t="s">
        <v>10948</v>
      </c>
      <c r="AO680" s="8" t="str">
        <f>HYPERLINK("https://docs.google.com/document/d/1Mgx_ics3Gl520AURL9WwarUya9uO2I49Mkkiek_r72A/edit?usp=drivesdk","Al-Wildan 5 Benhil_Muhammad Fadhli Dzil Ikram Harsanto, ST._Matematika, Kimia")</f>
        <v>Al-Wildan 5 Benhil_Muhammad Fadhli Dzil Ikram Harsanto, ST._Matematika, Kimia</v>
      </c>
      <c r="AP680" s="1" t="s">
        <v>10949</v>
      </c>
    </row>
    <row r="681">
      <c r="A681" s="6">
        <v>44834.660283634264</v>
      </c>
      <c r="B681" s="7" t="s">
        <v>10950</v>
      </c>
      <c r="C681" s="8" t="s">
        <v>10951</v>
      </c>
      <c r="D681" s="1" t="s">
        <v>10952</v>
      </c>
      <c r="E681" s="9" t="s">
        <v>528</v>
      </c>
      <c r="F681" s="1" t="s">
        <v>10953</v>
      </c>
      <c r="G681" s="1" t="s">
        <v>10954</v>
      </c>
      <c r="H681" s="1" t="s">
        <v>1003</v>
      </c>
      <c r="I681" s="9" t="s">
        <v>532</v>
      </c>
      <c r="J681" s="1" t="s">
        <v>10156</v>
      </c>
      <c r="K681" s="1" t="s">
        <v>102</v>
      </c>
      <c r="L681" s="1" t="s">
        <v>256</v>
      </c>
      <c r="M681" s="1" t="s">
        <v>104</v>
      </c>
      <c r="N681" s="1" t="s">
        <v>3018</v>
      </c>
      <c r="O681" s="1" t="s">
        <v>236</v>
      </c>
      <c r="P681" s="1" t="s">
        <v>237</v>
      </c>
      <c r="Q681" s="1" t="s">
        <v>10955</v>
      </c>
      <c r="R681" s="1" t="s">
        <v>536</v>
      </c>
      <c r="S681" s="1">
        <v>3.49</v>
      </c>
      <c r="Z681" s="1" t="s">
        <v>10956</v>
      </c>
      <c r="AA681" s="10">
        <v>4500000.0</v>
      </c>
      <c r="AB681" s="1" t="s">
        <v>727</v>
      </c>
      <c r="AC681" s="10">
        <v>6400000.0</v>
      </c>
      <c r="AD681" s="1" t="s">
        <v>10957</v>
      </c>
      <c r="AE681" s="10">
        <v>6000000.0</v>
      </c>
      <c r="AF681" s="1" t="s">
        <v>10958</v>
      </c>
      <c r="AG681" s="1">
        <v>1.040113262E9</v>
      </c>
      <c r="AJ681" s="1">
        <v>162.0</v>
      </c>
      <c r="AK681" s="1">
        <v>70.0</v>
      </c>
      <c r="AL681" s="1" t="s">
        <v>10959</v>
      </c>
      <c r="AM681" s="1" t="s">
        <v>10960</v>
      </c>
      <c r="AN681" s="7" t="s">
        <v>10961</v>
      </c>
      <c r="AO681" s="8" t="str">
        <f>HYPERLINK("https://docs.google.com/document/d/14ZYnP6ZK3pcrfg_gcbvCxndAAqD-AE36W9MiZ8AYg0k/edit?usp=drivesdk","Al-Wildan 4 Lebak Bulus_Fitria Nur Annisa, S.Pd_Geografi")</f>
        <v>Al-Wildan 4 Lebak Bulus_Fitria Nur Annisa, S.Pd_Geografi</v>
      </c>
      <c r="AP681" s="1" t="s">
        <v>10962</v>
      </c>
    </row>
    <row r="682">
      <c r="A682" s="6">
        <v>44835.90297512732</v>
      </c>
      <c r="B682" s="7" t="s">
        <v>10963</v>
      </c>
      <c r="C682" s="8" t="s">
        <v>10964</v>
      </c>
      <c r="D682" s="1" t="s">
        <v>10965</v>
      </c>
      <c r="E682" s="9" t="s">
        <v>10966</v>
      </c>
      <c r="F682" s="1" t="s">
        <v>10967</v>
      </c>
      <c r="G682" s="1" t="s">
        <v>10968</v>
      </c>
      <c r="H682" s="1" t="s">
        <v>288</v>
      </c>
      <c r="I682" s="1">
        <v>1.501199E7</v>
      </c>
      <c r="J682" s="1" t="s">
        <v>10969</v>
      </c>
      <c r="K682" s="1" t="s">
        <v>151</v>
      </c>
      <c r="L682" s="1" t="s">
        <v>256</v>
      </c>
      <c r="M682" s="1" t="s">
        <v>104</v>
      </c>
      <c r="N682" s="1" t="s">
        <v>10970</v>
      </c>
      <c r="O682" s="1" t="s">
        <v>312</v>
      </c>
      <c r="P682" s="1" t="s">
        <v>6533</v>
      </c>
      <c r="Q682" s="1" t="s">
        <v>10971</v>
      </c>
      <c r="R682" s="1" t="s">
        <v>172</v>
      </c>
      <c r="S682" s="1" t="s">
        <v>885</v>
      </c>
      <c r="Z682" s="1" t="s">
        <v>1998</v>
      </c>
      <c r="AA682" s="10">
        <v>4960000.0</v>
      </c>
      <c r="AB682" s="1" t="s">
        <v>10972</v>
      </c>
      <c r="AC682" s="10">
        <v>4850000.0</v>
      </c>
      <c r="AD682" s="1" t="s">
        <v>2326</v>
      </c>
      <c r="AE682" s="1" t="s">
        <v>10973</v>
      </c>
      <c r="AF682" s="1" t="s">
        <v>10974</v>
      </c>
      <c r="AG682" s="1">
        <v>7.194775347E9</v>
      </c>
      <c r="AJ682" s="1">
        <v>150.0</v>
      </c>
      <c r="AK682" s="1">
        <v>43.0</v>
      </c>
      <c r="AL682" s="1" t="s">
        <v>10975</v>
      </c>
      <c r="AM682" s="1" t="s">
        <v>10976</v>
      </c>
      <c r="AN682" s="7" t="s">
        <v>10977</v>
      </c>
      <c r="AO682" s="8" t="str">
        <f>HYPERLINK("https://docs.google.com/document/d/1YvsXqA_ApMyI38vXTucM6Y6lyCZPeH7Rf2TFPHjckc0/edit?usp=drivesdk","Al-Wildan 5 Benhil_Neneng Yuliawati,S.pd._English, Math and Science")</f>
        <v>Al-Wildan 5 Benhil_Neneng Yuliawati,S.pd._English, Math and Science</v>
      </c>
      <c r="AP682" s="1" t="s">
        <v>10978</v>
      </c>
    </row>
    <row r="683">
      <c r="A683" s="6">
        <v>44836.83460012732</v>
      </c>
      <c r="B683" s="7" t="s">
        <v>10979</v>
      </c>
      <c r="C683" s="8" t="s">
        <v>10980</v>
      </c>
      <c r="D683" s="1" t="s">
        <v>10981</v>
      </c>
      <c r="E683" s="9" t="s">
        <v>10982</v>
      </c>
      <c r="F683" s="1" t="s">
        <v>10983</v>
      </c>
      <c r="G683" s="1" t="s">
        <v>10984</v>
      </c>
      <c r="H683" s="1" t="s">
        <v>288</v>
      </c>
      <c r="I683" s="9" t="s">
        <v>4791</v>
      </c>
      <c r="J683" s="1" t="s">
        <v>5573</v>
      </c>
      <c r="K683" s="1" t="s">
        <v>151</v>
      </c>
      <c r="L683" s="1" t="s">
        <v>256</v>
      </c>
      <c r="M683" s="1" t="s">
        <v>104</v>
      </c>
      <c r="N683" s="1" t="s">
        <v>987</v>
      </c>
      <c r="O683" s="1" t="s">
        <v>106</v>
      </c>
      <c r="P683" s="1" t="s">
        <v>6091</v>
      </c>
      <c r="Q683" s="1" t="s">
        <v>10985</v>
      </c>
      <c r="R683" s="1" t="s">
        <v>1277</v>
      </c>
      <c r="S683" s="1" t="s">
        <v>4892</v>
      </c>
      <c r="T683" s="1" t="s">
        <v>7223</v>
      </c>
      <c r="U683" s="1" t="s">
        <v>1277</v>
      </c>
      <c r="V683" s="1" t="s">
        <v>1730</v>
      </c>
      <c r="W683" s="1" t="s">
        <v>217</v>
      </c>
      <c r="X683" s="1" t="s">
        <v>217</v>
      </c>
      <c r="Z683" s="1" t="s">
        <v>10986</v>
      </c>
      <c r="AA683" s="10">
        <v>6850000.0</v>
      </c>
      <c r="AB683" s="1" t="s">
        <v>10987</v>
      </c>
      <c r="AC683" s="10">
        <v>3000000.0</v>
      </c>
      <c r="AD683" s="1" t="s">
        <v>10988</v>
      </c>
      <c r="AE683" s="10">
        <v>2500000.0</v>
      </c>
      <c r="AF683" s="1" t="s">
        <v>10989</v>
      </c>
      <c r="AG683" s="1">
        <v>4.36292124E9</v>
      </c>
      <c r="AJ683" s="1">
        <v>153.0</v>
      </c>
      <c r="AK683" s="1">
        <v>40.0</v>
      </c>
      <c r="AL683" s="1" t="s">
        <v>10990</v>
      </c>
      <c r="AM683" s="1" t="s">
        <v>10991</v>
      </c>
      <c r="AN683" s="7" t="s">
        <v>10992</v>
      </c>
      <c r="AO683" s="8" t="str">
        <f>HYPERLINK("https://docs.google.com/document/d/1wD-_qNpXkr1_nCFdVEzr4BXqqIJd6D6GIPU4lJJBdUo/edit?usp=drivesdk","Al-Wildan 10 Cipinang, Jakarta Timur_Ade Faridah, M.Pd_Biology")</f>
        <v>Al-Wildan 10 Cipinang, Jakarta Timur_Ade Faridah, M.Pd_Biology</v>
      </c>
      <c r="AP683" s="1" t="s">
        <v>10993</v>
      </c>
    </row>
    <row r="684">
      <c r="A684" s="6">
        <v>44836.847413877316</v>
      </c>
      <c r="B684" s="7" t="s">
        <v>10994</v>
      </c>
      <c r="C684" s="8" t="s">
        <v>10995</v>
      </c>
      <c r="D684" s="1" t="s">
        <v>10996</v>
      </c>
      <c r="E684" s="9" t="s">
        <v>10997</v>
      </c>
      <c r="F684" s="1" t="s">
        <v>10998</v>
      </c>
      <c r="G684" s="1" t="s">
        <v>10999</v>
      </c>
      <c r="H684" s="1" t="s">
        <v>188</v>
      </c>
      <c r="I684" s="9" t="s">
        <v>11000</v>
      </c>
      <c r="J684" s="1" t="s">
        <v>10969</v>
      </c>
      <c r="K684" s="1" t="s">
        <v>102</v>
      </c>
      <c r="L684" s="1" t="s">
        <v>103</v>
      </c>
      <c r="M684" s="1" t="s">
        <v>104</v>
      </c>
      <c r="N684" s="1" t="s">
        <v>11001</v>
      </c>
      <c r="O684" s="1" t="s">
        <v>9794</v>
      </c>
      <c r="P684" s="1" t="s">
        <v>6091</v>
      </c>
      <c r="Q684" s="1" t="s">
        <v>11002</v>
      </c>
      <c r="R684" s="1" t="s">
        <v>11003</v>
      </c>
      <c r="S684" s="1">
        <v>3.3</v>
      </c>
      <c r="T684" s="1" t="s">
        <v>108</v>
      </c>
      <c r="U684" s="1" t="s">
        <v>130</v>
      </c>
      <c r="V684" s="1">
        <v>3.66</v>
      </c>
      <c r="Z684" s="1" t="s">
        <v>11004</v>
      </c>
      <c r="AA684" s="10">
        <v>1000000.0</v>
      </c>
      <c r="AB684" s="1" t="s">
        <v>11005</v>
      </c>
      <c r="AC684" s="10">
        <v>2500000.0</v>
      </c>
      <c r="AD684" s="1" t="s">
        <v>11006</v>
      </c>
      <c r="AE684" s="10">
        <v>5500000.0</v>
      </c>
      <c r="AF684" s="10">
        <v>7500000.0</v>
      </c>
      <c r="AH684" s="1">
        <v>6.0007905411E10</v>
      </c>
      <c r="AI684" s="1" t="s">
        <v>2119</v>
      </c>
      <c r="AJ684" s="1">
        <v>157.0</v>
      </c>
      <c r="AK684" s="1">
        <v>62.0</v>
      </c>
      <c r="AL684" s="1" t="s">
        <v>11007</v>
      </c>
      <c r="AM684" s="1" t="s">
        <v>11008</v>
      </c>
      <c r="AN684" s="7" t="s">
        <v>11009</v>
      </c>
      <c r="AO684" s="8" t="str">
        <f>HYPERLINK("https://docs.google.com/document/d/1SwIcVtcpBBd1fTz3NEGqLHxqFpwFCJPfkd0BaYWpLZY/edit?usp=drivesdk","Al-Wildan 10 Cipinang, Jakarta Timur_Istikomah, S.Pd.I, M.Pd._Math Teacher")</f>
        <v>Al-Wildan 10 Cipinang, Jakarta Timur_Istikomah, S.Pd.I, M.Pd._Math Teacher</v>
      </c>
      <c r="AP684" s="1" t="s">
        <v>11010</v>
      </c>
    </row>
    <row r="685">
      <c r="A685" s="6">
        <v>44836.8809125</v>
      </c>
      <c r="B685" s="7" t="s">
        <v>11011</v>
      </c>
      <c r="C685" s="8" t="s">
        <v>11012</v>
      </c>
      <c r="D685" s="1" t="s">
        <v>11013</v>
      </c>
      <c r="E685" s="9" t="s">
        <v>11014</v>
      </c>
      <c r="F685" s="1" t="s">
        <v>11015</v>
      </c>
      <c r="G685" s="1" t="s">
        <v>11016</v>
      </c>
      <c r="H685" s="1" t="s">
        <v>11017</v>
      </c>
      <c r="I685" s="9" t="s">
        <v>11018</v>
      </c>
      <c r="J685" s="1" t="s">
        <v>6548</v>
      </c>
      <c r="K685" s="1" t="s">
        <v>151</v>
      </c>
      <c r="L685" s="1" t="s">
        <v>103</v>
      </c>
      <c r="M685" s="1" t="s">
        <v>104</v>
      </c>
      <c r="N685" s="1" t="s">
        <v>11019</v>
      </c>
      <c r="O685" s="1" t="s">
        <v>106</v>
      </c>
      <c r="P685" s="1" t="s">
        <v>6091</v>
      </c>
      <c r="Q685" s="1" t="s">
        <v>11020</v>
      </c>
      <c r="R685" s="1" t="s">
        <v>8140</v>
      </c>
      <c r="S685" s="1" t="s">
        <v>363</v>
      </c>
      <c r="Z685" s="1" t="s">
        <v>11021</v>
      </c>
      <c r="AA685" s="10">
        <v>500000.0</v>
      </c>
      <c r="AB685" s="1" t="s">
        <v>11022</v>
      </c>
      <c r="AC685" s="10">
        <v>8500000.0</v>
      </c>
      <c r="AD685" s="1" t="s">
        <v>11023</v>
      </c>
      <c r="AE685" s="1">
        <v>0.0</v>
      </c>
      <c r="AF685" s="10">
        <v>4000000.0</v>
      </c>
      <c r="AH685" s="9" t="s">
        <v>11024</v>
      </c>
      <c r="AI685" s="1" t="s">
        <v>159</v>
      </c>
      <c r="AJ685" s="1">
        <v>170.0</v>
      </c>
      <c r="AK685" s="1">
        <v>64.0</v>
      </c>
      <c r="AL685" s="1" t="s">
        <v>11025</v>
      </c>
      <c r="AM685" s="1" t="s">
        <v>11026</v>
      </c>
      <c r="AN685" s="7" t="s">
        <v>11027</v>
      </c>
      <c r="AO685" s="8" t="str">
        <f>HYPERLINK("https://docs.google.com/document/d/1QlRFSpD6ChAcDulsWSHLCvooChSwUmjRuLdEVIZw04Y/edit?usp=drivesdk","Al-Wildan 10 Cipinang, Jakarta Timur_Ahmad Aidul Adha S.Pd_PAI Bahasa Inggris ")</f>
        <v>Al-Wildan 10 Cipinang, Jakarta Timur_Ahmad Aidul Adha S.Pd_PAI Bahasa Inggris </v>
      </c>
      <c r="AP685" s="1" t="s">
        <v>11028</v>
      </c>
    </row>
    <row r="686">
      <c r="A686" s="6">
        <v>44836.929152372686</v>
      </c>
      <c r="B686" s="7" t="s">
        <v>11029</v>
      </c>
      <c r="C686" s="8" t="s">
        <v>11030</v>
      </c>
      <c r="D686" s="1" t="s">
        <v>11031</v>
      </c>
      <c r="E686" s="9" t="s">
        <v>11032</v>
      </c>
      <c r="F686" s="1" t="s">
        <v>11033</v>
      </c>
      <c r="G686" s="1" t="s">
        <v>11034</v>
      </c>
      <c r="H686" s="1" t="s">
        <v>169</v>
      </c>
      <c r="I686" s="9" t="s">
        <v>11035</v>
      </c>
      <c r="J686" s="1" t="s">
        <v>9105</v>
      </c>
      <c r="K686" s="1" t="s">
        <v>151</v>
      </c>
      <c r="L686" s="1" t="s">
        <v>103</v>
      </c>
      <c r="M686" s="1" t="s">
        <v>104</v>
      </c>
      <c r="N686" s="1" t="s">
        <v>6624</v>
      </c>
      <c r="O686" s="1" t="s">
        <v>9794</v>
      </c>
      <c r="P686" s="1" t="s">
        <v>6091</v>
      </c>
      <c r="Q686" s="1" t="s">
        <v>11036</v>
      </c>
      <c r="R686" s="1" t="s">
        <v>11037</v>
      </c>
      <c r="S686" s="1" t="s">
        <v>11038</v>
      </c>
      <c r="T686" s="1" t="s">
        <v>10945</v>
      </c>
      <c r="U686" s="1" t="s">
        <v>11039</v>
      </c>
      <c r="V686" s="1" t="s">
        <v>990</v>
      </c>
      <c r="Z686" s="1" t="s">
        <v>11040</v>
      </c>
      <c r="AB686" s="1" t="s">
        <v>11041</v>
      </c>
      <c r="AC686" s="1" t="s">
        <v>11042</v>
      </c>
      <c r="AE686" s="10">
        <v>5000000.0</v>
      </c>
      <c r="AG686" s="1">
        <v>6.92707146E9</v>
      </c>
      <c r="AJ686" s="1">
        <v>145.0</v>
      </c>
      <c r="AK686" s="1">
        <v>55.0</v>
      </c>
      <c r="AL686" s="1" t="s">
        <v>11043</v>
      </c>
      <c r="AM686" s="1" t="s">
        <v>11044</v>
      </c>
      <c r="AN686" s="7" t="s">
        <v>11045</v>
      </c>
      <c r="AO686" s="8" t="str">
        <f>HYPERLINK("https://docs.google.com/document/d/1lVjqXuwgjDxIEiXg2de3toQoWVKUP_8UFcsM2JubyOM/edit?usp=drivesdk","Al-Wildan 10 Cipinang, Jakarta Timur_Siti Rochimah Hasibuan, M. Eng_Math Cambridge")</f>
        <v>Al-Wildan 10 Cipinang, Jakarta Timur_Siti Rochimah Hasibuan, M. Eng_Math Cambridge</v>
      </c>
      <c r="AP686" s="1" t="s">
        <v>11046</v>
      </c>
    </row>
    <row r="687">
      <c r="A687" s="6">
        <v>44837.89419917824</v>
      </c>
      <c r="B687" s="7" t="s">
        <v>11047</v>
      </c>
      <c r="C687" s="8" t="s">
        <v>11048</v>
      </c>
      <c r="D687" s="1" t="s">
        <v>11049</v>
      </c>
      <c r="E687" s="9" t="s">
        <v>11050</v>
      </c>
      <c r="F687" s="1" t="s">
        <v>11051</v>
      </c>
      <c r="G687" s="1" t="s">
        <v>11052</v>
      </c>
      <c r="H687" s="1" t="s">
        <v>148</v>
      </c>
      <c r="I687" s="9" t="s">
        <v>11053</v>
      </c>
      <c r="J687" s="1" t="s">
        <v>5447</v>
      </c>
      <c r="K687" s="1" t="s">
        <v>151</v>
      </c>
      <c r="L687" s="1" t="s">
        <v>103</v>
      </c>
      <c r="M687" s="1" t="s">
        <v>104</v>
      </c>
      <c r="N687" s="1" t="s">
        <v>5303</v>
      </c>
      <c r="O687" s="1" t="s">
        <v>106</v>
      </c>
      <c r="P687" s="1" t="s">
        <v>7991</v>
      </c>
      <c r="Q687" s="1" t="s">
        <v>11054</v>
      </c>
      <c r="R687" s="1" t="s">
        <v>5304</v>
      </c>
      <c r="S687" s="1" t="s">
        <v>155</v>
      </c>
      <c r="Z687" s="1" t="s">
        <v>11055</v>
      </c>
      <c r="AA687" s="10">
        <v>200000.0</v>
      </c>
      <c r="AB687" s="1" t="s">
        <v>11056</v>
      </c>
      <c r="AC687" s="10">
        <v>1500000.0</v>
      </c>
      <c r="AF687" s="10">
        <v>5000000.0</v>
      </c>
      <c r="AG687" s="1">
        <v>7.121288464E9</v>
      </c>
      <c r="AI687" s="1" t="s">
        <v>3241</v>
      </c>
      <c r="AJ687" s="1">
        <v>160.0</v>
      </c>
      <c r="AK687" s="1">
        <v>56.0</v>
      </c>
      <c r="AL687" s="1" t="s">
        <v>11057</v>
      </c>
      <c r="AM687" s="1" t="s">
        <v>11058</v>
      </c>
      <c r="AN687" s="7" t="s">
        <v>11059</v>
      </c>
      <c r="AO687" s="8" t="str">
        <f>HYPERLINK("https://docs.google.com/document/d/1SJmblHVdWZJbE2zisx8MkjIlfmVBecOT-0sl-wzxj5Q/edit?usp=drivesdk","Al-Wildan 12 Bulak Kapal, Bekasi_Shafiya Fadhila, S.Pd._Matematika ")</f>
        <v>Al-Wildan 12 Bulak Kapal, Bekasi_Shafiya Fadhila, S.Pd._Matematika </v>
      </c>
      <c r="AP687" s="1" t="s">
        <v>11060</v>
      </c>
    </row>
    <row r="688">
      <c r="A688" s="6">
        <v>44838.62778472222</v>
      </c>
      <c r="B688" s="7" t="s">
        <v>11061</v>
      </c>
      <c r="C688" s="8" t="s">
        <v>11062</v>
      </c>
      <c r="D688" s="1" t="s">
        <v>11063</v>
      </c>
      <c r="E688" s="9" t="s">
        <v>11064</v>
      </c>
      <c r="F688" s="1" t="s">
        <v>11065</v>
      </c>
      <c r="G688" s="1" t="s">
        <v>11066</v>
      </c>
      <c r="H688" s="1" t="s">
        <v>6057</v>
      </c>
      <c r="I688" s="9" t="s">
        <v>11067</v>
      </c>
      <c r="J688" s="1" t="s">
        <v>11068</v>
      </c>
      <c r="K688" s="1" t="s">
        <v>1235</v>
      </c>
      <c r="L688" s="1" t="s">
        <v>103</v>
      </c>
      <c r="M688" s="1" t="s">
        <v>8033</v>
      </c>
      <c r="O688" s="1" t="s">
        <v>10069</v>
      </c>
      <c r="P688" s="1" t="s">
        <v>7991</v>
      </c>
      <c r="Q688" s="1" t="s">
        <v>11069</v>
      </c>
      <c r="R688" s="1" t="s">
        <v>11070</v>
      </c>
      <c r="S688" s="1">
        <v>2.85</v>
      </c>
      <c r="Z688" s="1" t="s">
        <v>11071</v>
      </c>
      <c r="AB688" s="1" t="s">
        <v>11072</v>
      </c>
      <c r="AC688" s="10">
        <v>8000000.0</v>
      </c>
      <c r="AG688" s="1">
        <v>7.137882536E9</v>
      </c>
      <c r="AJ688" s="1">
        <v>155.0</v>
      </c>
      <c r="AK688" s="1">
        <v>60.0</v>
      </c>
      <c r="AL688" s="1" t="s">
        <v>11073</v>
      </c>
      <c r="AM688" s="1" t="s">
        <v>11074</v>
      </c>
      <c r="AN688" s="7" t="s">
        <v>11075</v>
      </c>
      <c r="AO688" s="8" t="str">
        <f>HYPERLINK("https://docs.google.com/document/d/1KETjVlzi9h4QYSf4LvJCFz8Iw7kyYALjbP7BmK8ZMqo/edit?usp=drivesdk","Al-Wildan 12 Bulak Kapal, Bekasi_NIKMAL HAYATI TRUCIA, SE._")</f>
        <v>Al-Wildan 12 Bulak Kapal, Bekasi_NIKMAL HAYATI TRUCIA, SE._</v>
      </c>
      <c r="AP688" s="1" t="s">
        <v>11076</v>
      </c>
    </row>
    <row r="689">
      <c r="A689" s="6">
        <v>44839.41133578704</v>
      </c>
      <c r="B689" s="7" t="s">
        <v>11077</v>
      </c>
      <c r="C689" s="8" t="s">
        <v>11078</v>
      </c>
      <c r="D689" s="1" t="s">
        <v>11079</v>
      </c>
      <c r="E689" s="9" t="s">
        <v>9196</v>
      </c>
      <c r="F689" s="1" t="s">
        <v>9197</v>
      </c>
      <c r="G689" s="1" t="s">
        <v>11080</v>
      </c>
      <c r="H689" s="1" t="s">
        <v>685</v>
      </c>
      <c r="I689" s="9" t="s">
        <v>9199</v>
      </c>
      <c r="J689" s="1" t="s">
        <v>11081</v>
      </c>
      <c r="K689" s="1" t="s">
        <v>151</v>
      </c>
      <c r="L689" s="1" t="s">
        <v>256</v>
      </c>
      <c r="M689" s="1" t="s">
        <v>104</v>
      </c>
      <c r="N689" s="1" t="s">
        <v>11082</v>
      </c>
      <c r="O689" s="1" t="s">
        <v>9794</v>
      </c>
      <c r="P689" s="1" t="s">
        <v>237</v>
      </c>
      <c r="Q689" s="1" t="s">
        <v>440</v>
      </c>
      <c r="R689" s="1" t="s">
        <v>2584</v>
      </c>
      <c r="S689" s="1" t="s">
        <v>1522</v>
      </c>
      <c r="T689" s="1" t="s">
        <v>7223</v>
      </c>
      <c r="U689" s="1" t="s">
        <v>11083</v>
      </c>
      <c r="V689" s="1" t="s">
        <v>1023</v>
      </c>
      <c r="Z689" s="1" t="s">
        <v>11084</v>
      </c>
      <c r="AA689" s="10">
        <v>1300000.0</v>
      </c>
      <c r="AB689" s="1" t="s">
        <v>9202</v>
      </c>
      <c r="AC689" s="10">
        <v>2000000.0</v>
      </c>
      <c r="AD689" s="1" t="s">
        <v>11085</v>
      </c>
      <c r="AE689" s="10">
        <v>1900000.0</v>
      </c>
      <c r="AF689" s="10">
        <v>4800000.0</v>
      </c>
      <c r="AG689" s="1">
        <v>7.99004812E9</v>
      </c>
      <c r="AJ689" s="1">
        <v>159.0</v>
      </c>
      <c r="AK689" s="1">
        <v>53.0</v>
      </c>
      <c r="AL689" s="1" t="s">
        <v>9203</v>
      </c>
      <c r="AM689" s="1" t="s">
        <v>11086</v>
      </c>
      <c r="AN689" s="7" t="s">
        <v>11087</v>
      </c>
      <c r="AO689" s="8" t="str">
        <f>HYPERLINK("https://docs.google.com/document/d/1Qu3BE-5sQ3ra1bB5swtqDLMbjmxDitmWZ87sKJMYVOQ/edit?usp=drivesdk","Al-Wildan 4 Lebak Bulus_Martika Fitria Damayanti, M.Pd._B.Inggris")</f>
        <v>Al-Wildan 4 Lebak Bulus_Martika Fitria Damayanti, M.Pd._B.Inggris</v>
      </c>
      <c r="AP689" s="1" t="s">
        <v>11088</v>
      </c>
    </row>
    <row r="690">
      <c r="A690" s="6">
        <v>44843.4377204051</v>
      </c>
      <c r="B690" s="7" t="s">
        <v>11089</v>
      </c>
      <c r="C690" s="8" t="s">
        <v>11090</v>
      </c>
      <c r="D690" s="1" t="s">
        <v>11091</v>
      </c>
      <c r="E690" s="9" t="s">
        <v>11092</v>
      </c>
      <c r="F690" s="1" t="s">
        <v>11093</v>
      </c>
      <c r="G690" s="1" t="s">
        <v>11094</v>
      </c>
      <c r="H690" s="1" t="s">
        <v>11095</v>
      </c>
      <c r="I690" s="9" t="s">
        <v>11096</v>
      </c>
      <c r="J690" s="1" t="s">
        <v>4460</v>
      </c>
      <c r="K690" s="1" t="s">
        <v>102</v>
      </c>
      <c r="L690" s="1" t="s">
        <v>103</v>
      </c>
      <c r="M690" s="1" t="s">
        <v>104</v>
      </c>
      <c r="N690" s="1" t="s">
        <v>11097</v>
      </c>
      <c r="O690" s="1" t="s">
        <v>9794</v>
      </c>
      <c r="P690" s="1" t="s">
        <v>6091</v>
      </c>
      <c r="Q690" s="1" t="s">
        <v>11098</v>
      </c>
      <c r="R690" s="1" t="s">
        <v>552</v>
      </c>
      <c r="S690" s="1" t="s">
        <v>11099</v>
      </c>
      <c r="T690" s="1" t="s">
        <v>6468</v>
      </c>
      <c r="U690" s="1" t="s">
        <v>11100</v>
      </c>
      <c r="V690" s="1" t="s">
        <v>1084</v>
      </c>
      <c r="Z690" s="1" t="s">
        <v>11101</v>
      </c>
      <c r="AA690" s="10">
        <v>5500000.0</v>
      </c>
      <c r="AB690" s="1" t="s">
        <v>11102</v>
      </c>
      <c r="AC690" s="10">
        <v>4500000.0</v>
      </c>
      <c r="AD690" s="1" t="s">
        <v>11103</v>
      </c>
      <c r="AE690" s="10">
        <v>2500000.0</v>
      </c>
      <c r="AF690" s="10">
        <v>5500000.0</v>
      </c>
      <c r="AH690" s="1">
        <v>1.150712292E9</v>
      </c>
      <c r="AI690" s="1" t="s">
        <v>445</v>
      </c>
      <c r="AJ690" s="1">
        <v>163.0</v>
      </c>
      <c r="AK690" s="1">
        <v>71.0</v>
      </c>
      <c r="AL690" s="1" t="s">
        <v>11104</v>
      </c>
      <c r="AM690" s="1" t="s">
        <v>11105</v>
      </c>
      <c r="AN690" s="7" t="s">
        <v>11106</v>
      </c>
      <c r="AO690" s="8" t="str">
        <f>HYPERLINK("https://docs.google.com/document/d/1BqyNZ6Rm9luoXBwpxwuaK-3e9wHCoUTADZvs9KyyH10/edit?usp=drivesdk","Al-Wildan 10 Cipinang, Jakarta Timur_Aisyah Amin, S.Si, MPFis_Fisika ")</f>
        <v>Al-Wildan 10 Cipinang, Jakarta Timur_Aisyah Amin, S.Si, MPFis_Fisika </v>
      </c>
      <c r="AP690" s="1" t="s">
        <v>11107</v>
      </c>
    </row>
    <row r="691">
      <c r="A691" s="6">
        <v>44843.45639436343</v>
      </c>
      <c r="B691" s="7" t="s">
        <v>11108</v>
      </c>
      <c r="C691" s="8" t="s">
        <v>11109</v>
      </c>
      <c r="D691" s="1" t="s">
        <v>11110</v>
      </c>
      <c r="E691" s="1" t="s">
        <v>11111</v>
      </c>
      <c r="F691" s="1" t="s">
        <v>11112</v>
      </c>
      <c r="G691" s="1" t="s">
        <v>11113</v>
      </c>
      <c r="H691" s="1" t="s">
        <v>188</v>
      </c>
      <c r="I691" s="9" t="s">
        <v>11114</v>
      </c>
      <c r="J691" s="1" t="s">
        <v>11115</v>
      </c>
      <c r="K691" s="1" t="s">
        <v>151</v>
      </c>
      <c r="L691" s="1" t="s">
        <v>256</v>
      </c>
      <c r="M691" s="1" t="s">
        <v>104</v>
      </c>
      <c r="N691" s="1" t="s">
        <v>11116</v>
      </c>
      <c r="O691" s="1" t="s">
        <v>127</v>
      </c>
      <c r="P691" s="1" t="s">
        <v>237</v>
      </c>
      <c r="Q691" s="1" t="s">
        <v>1259</v>
      </c>
      <c r="R691" s="1" t="s">
        <v>193</v>
      </c>
      <c r="S691" s="1" t="s">
        <v>11117</v>
      </c>
      <c r="AF691" s="1">
        <v>5000000.0</v>
      </c>
      <c r="AG691" s="1">
        <v>7.88884924E9</v>
      </c>
      <c r="AI691" s="1" t="s">
        <v>5113</v>
      </c>
      <c r="AJ691" s="1">
        <v>153.0</v>
      </c>
      <c r="AK691" s="1">
        <v>53.0</v>
      </c>
      <c r="AL691" s="1" t="s">
        <v>11118</v>
      </c>
      <c r="AM691" s="1" t="s">
        <v>11119</v>
      </c>
      <c r="AN691" s="7" t="s">
        <v>11120</v>
      </c>
      <c r="AO691" s="8" t="str">
        <f>HYPERLINK("https://docs.google.com/document/d/10pebc3WIm-N9QuE7Kzy5E8JzE8wuoIOm3VE5SaMEiP4/edit?usp=drivesdk","Al-Wildan 4 Lebak Bulus_Amaturrahim Bsh_Arabic- nahwu")</f>
        <v>Al-Wildan 4 Lebak Bulus_Amaturrahim Bsh_Arabic- nahwu</v>
      </c>
      <c r="AP691" s="1" t="s">
        <v>11121</v>
      </c>
    </row>
    <row r="692">
      <c r="A692" s="6">
        <v>44843.46130547454</v>
      </c>
      <c r="B692" s="7" t="s">
        <v>11122</v>
      </c>
      <c r="C692" s="8" t="s">
        <v>11123</v>
      </c>
      <c r="D692" s="1" t="s">
        <v>11110</v>
      </c>
      <c r="E692" s="1" t="s">
        <v>11111</v>
      </c>
      <c r="F692" s="1" t="s">
        <v>11112</v>
      </c>
      <c r="G692" s="1" t="s">
        <v>11124</v>
      </c>
      <c r="H692" s="9" t="s">
        <v>11125</v>
      </c>
      <c r="I692" s="1" t="s">
        <v>188</v>
      </c>
      <c r="J692" s="1" t="s">
        <v>5447</v>
      </c>
      <c r="K692" s="1" t="s">
        <v>151</v>
      </c>
      <c r="L692" s="1" t="s">
        <v>256</v>
      </c>
      <c r="M692" s="1" t="s">
        <v>104</v>
      </c>
      <c r="N692" s="1" t="s">
        <v>11126</v>
      </c>
      <c r="O692" s="1" t="s">
        <v>127</v>
      </c>
      <c r="P692" s="1" t="s">
        <v>237</v>
      </c>
      <c r="Q692" s="1" t="s">
        <v>11127</v>
      </c>
      <c r="R692" s="1" t="s">
        <v>11128</v>
      </c>
      <c r="S692" s="1" t="s">
        <v>11117</v>
      </c>
      <c r="AF692" s="1">
        <v>5000000.0</v>
      </c>
      <c r="AG692" s="1">
        <v>7.88884924E9</v>
      </c>
      <c r="AI692" s="1" t="s">
        <v>5113</v>
      </c>
      <c r="AJ692" s="1">
        <v>153.0</v>
      </c>
      <c r="AK692" s="1">
        <v>53.0</v>
      </c>
      <c r="AL692" s="1" t="s">
        <v>11118</v>
      </c>
      <c r="AM692" s="1" t="s">
        <v>11129</v>
      </c>
      <c r="AN692" s="7" t="s">
        <v>11130</v>
      </c>
      <c r="AO692" s="8" t="str">
        <f>HYPERLINK("https://docs.google.com/document/d/1SGV6dHvCQYzYKaqQNusKy7wO5B_iMonIltOvxIMl1y8/edit?usp=drivesdk","Al-Wildan 4 Lebak Bulus_Amaturrahim Bsh_Arabic- nahwu- sharf")</f>
        <v>Al-Wildan 4 Lebak Bulus_Amaturrahim Bsh_Arabic- nahwu- sharf</v>
      </c>
      <c r="AP692" s="1" t="s">
        <v>11131</v>
      </c>
    </row>
    <row r="693">
      <c r="A693" s="6">
        <v>44844.37057168981</v>
      </c>
      <c r="B693" s="7" t="s">
        <v>11132</v>
      </c>
      <c r="C693" s="8" t="s">
        <v>11133</v>
      </c>
      <c r="D693" s="1" t="s">
        <v>11134</v>
      </c>
      <c r="E693" s="9" t="s">
        <v>11135</v>
      </c>
      <c r="F693" s="1" t="s">
        <v>11136</v>
      </c>
      <c r="G693" s="1" t="s">
        <v>11137</v>
      </c>
      <c r="H693" s="1" t="s">
        <v>1217</v>
      </c>
      <c r="I693" s="9" t="s">
        <v>11138</v>
      </c>
      <c r="J693" s="1" t="s">
        <v>11139</v>
      </c>
      <c r="K693" s="1" t="s">
        <v>151</v>
      </c>
      <c r="L693" s="1" t="s">
        <v>256</v>
      </c>
      <c r="M693" s="1" t="s">
        <v>424</v>
      </c>
      <c r="N693" s="1" t="s">
        <v>425</v>
      </c>
      <c r="O693" s="1" t="s">
        <v>9794</v>
      </c>
      <c r="P693" s="1" t="s">
        <v>237</v>
      </c>
      <c r="Q693" s="1" t="s">
        <v>7564</v>
      </c>
      <c r="R693" s="1" t="s">
        <v>11140</v>
      </c>
      <c r="S693" s="1">
        <v>3.74</v>
      </c>
      <c r="Z693" s="1" t="s">
        <v>11141</v>
      </c>
      <c r="AA693" s="10">
        <v>6000000.0</v>
      </c>
      <c r="AF693" s="10">
        <v>7000000.0</v>
      </c>
      <c r="AH693" s="1">
        <v>1.207815989E9</v>
      </c>
      <c r="AI693" s="1" t="s">
        <v>445</v>
      </c>
      <c r="AJ693" s="1">
        <v>150.0</v>
      </c>
      <c r="AK693" s="1">
        <v>53.0</v>
      </c>
      <c r="AL693" s="1" t="s">
        <v>11142</v>
      </c>
      <c r="AM693" s="1" t="s">
        <v>11143</v>
      </c>
      <c r="AN693" s="7" t="s">
        <v>11144</v>
      </c>
      <c r="AO693" s="8" t="str">
        <f>HYPERLINK("https://docs.google.com/document/d/1RSYTfCcSYQq1Rb_Pz6clwVGnYCGeSiWC00hBpVSw5sU/edit?usp=drivesdk","Al-Wildan 4 Lebak Bulus_Dona Mahisa, S.Sos_Bimbingan dan Konseling")</f>
        <v>Al-Wildan 4 Lebak Bulus_Dona Mahisa, S.Sos_Bimbingan dan Konseling</v>
      </c>
      <c r="AP693" s="1" t="s">
        <v>11145</v>
      </c>
    </row>
    <row r="694">
      <c r="A694" s="6">
        <v>44850.28970230324</v>
      </c>
      <c r="B694" s="7" t="s">
        <v>11146</v>
      </c>
      <c r="C694" s="8" t="s">
        <v>11147</v>
      </c>
      <c r="D694" s="1" t="s">
        <v>11148</v>
      </c>
      <c r="E694" s="9" t="s">
        <v>11149</v>
      </c>
      <c r="F694" s="1" t="s">
        <v>11150</v>
      </c>
      <c r="G694" s="1" t="s">
        <v>11151</v>
      </c>
      <c r="H694" s="1" t="s">
        <v>2914</v>
      </c>
      <c r="I694" s="9" t="s">
        <v>11152</v>
      </c>
      <c r="J694" s="1" t="s">
        <v>9896</v>
      </c>
      <c r="K694" s="1" t="s">
        <v>151</v>
      </c>
      <c r="L694" s="1" t="s">
        <v>103</v>
      </c>
      <c r="M694" s="1" t="s">
        <v>8995</v>
      </c>
      <c r="O694" s="1" t="s">
        <v>10069</v>
      </c>
      <c r="P694" s="1" t="s">
        <v>5712</v>
      </c>
      <c r="Q694" s="1" t="s">
        <v>11153</v>
      </c>
      <c r="R694" s="1" t="s">
        <v>11154</v>
      </c>
      <c r="Z694" s="1" t="s">
        <v>11155</v>
      </c>
      <c r="AA694" s="10">
        <v>4200000.0</v>
      </c>
      <c r="AF694" s="10">
        <v>4500000.0</v>
      </c>
      <c r="AJ694" s="1">
        <v>169.0</v>
      </c>
      <c r="AK694" s="1">
        <v>53.0</v>
      </c>
      <c r="AL694" s="1" t="s">
        <v>11156</v>
      </c>
      <c r="AM694" s="1" t="s">
        <v>11157</v>
      </c>
      <c r="AN694" s="7" t="s">
        <v>11158</v>
      </c>
      <c r="AO694" s="8" t="str">
        <f>HYPERLINK("https://docs.google.com/document/d/1lZQVg4bby0eGYoh8pNnGWH_csOGF0aPy5mKtpFTSWA4/edit?usp=drivesdk","Al-Wildan 3 BSD City_Durahim_")</f>
        <v>Al-Wildan 3 BSD City_Durahim_</v>
      </c>
      <c r="AP694" s="1" t="s">
        <v>11159</v>
      </c>
    </row>
    <row r="695">
      <c r="A695" s="6">
        <v>44850.59996925926</v>
      </c>
      <c r="B695" s="7" t="s">
        <v>11160</v>
      </c>
      <c r="C695" s="8" t="s">
        <v>11161</v>
      </c>
      <c r="D695" s="1" t="s">
        <v>11162</v>
      </c>
      <c r="E695" s="9" t="s">
        <v>11163</v>
      </c>
      <c r="F695" s="1" t="s">
        <v>11164</v>
      </c>
      <c r="G695" s="1" t="s">
        <v>11165</v>
      </c>
      <c r="H695" s="1" t="s">
        <v>11166</v>
      </c>
      <c r="I695" s="9" t="s">
        <v>11167</v>
      </c>
      <c r="J695" s="1" t="s">
        <v>1005</v>
      </c>
      <c r="K695" s="1" t="s">
        <v>151</v>
      </c>
      <c r="L695" s="1" t="s">
        <v>103</v>
      </c>
      <c r="M695" s="1" t="s">
        <v>6186</v>
      </c>
      <c r="O695" s="1" t="s">
        <v>10069</v>
      </c>
      <c r="P695" s="1" t="s">
        <v>11168</v>
      </c>
      <c r="Q695" s="1" t="s">
        <v>1362</v>
      </c>
      <c r="R695" s="1" t="s">
        <v>11169</v>
      </c>
      <c r="S695" s="1" t="s">
        <v>7975</v>
      </c>
      <c r="Z695" s="1" t="s">
        <v>11170</v>
      </c>
      <c r="AA695" s="1" t="s">
        <v>217</v>
      </c>
      <c r="AF695" s="10">
        <v>4000000.0</v>
      </c>
      <c r="AH695" s="9" t="s">
        <v>11171</v>
      </c>
      <c r="AI695" s="1" t="s">
        <v>2407</v>
      </c>
      <c r="AJ695" s="1">
        <v>154.0</v>
      </c>
      <c r="AK695" s="1">
        <v>58.0</v>
      </c>
      <c r="AL695" s="1" t="s">
        <v>11172</v>
      </c>
      <c r="AM695" s="1" t="s">
        <v>11173</v>
      </c>
      <c r="AN695" s="7" t="s">
        <v>11174</v>
      </c>
      <c r="AO695" s="8" t="str">
        <f>HYPERLINK("https://docs.google.com/document/d/1buX8VBWeeKPbSnwRdML02oYG6owZF-XEsG6xBoXm69M/edit?usp=drivesdk","Al-Wildan 8 Parung_Putri Mega Pratiwi, A.Md_")</f>
        <v>Al-Wildan 8 Parung_Putri Mega Pratiwi, A.Md_</v>
      </c>
      <c r="AP695" s="1" t="s">
        <v>11175</v>
      </c>
    </row>
    <row r="696">
      <c r="A696" s="6">
        <v>44850.74878303241</v>
      </c>
      <c r="B696" s="7" t="s">
        <v>11176</v>
      </c>
      <c r="C696" s="8" t="s">
        <v>11177</v>
      </c>
      <c r="D696" s="1" t="s">
        <v>11178</v>
      </c>
      <c r="E696" s="9" t="s">
        <v>11179</v>
      </c>
      <c r="F696" s="1" t="s">
        <v>11180</v>
      </c>
      <c r="G696" s="1" t="s">
        <v>11181</v>
      </c>
      <c r="H696" s="1" t="s">
        <v>99</v>
      </c>
      <c r="I696" s="9" t="s">
        <v>8428</v>
      </c>
      <c r="J696" s="1" t="s">
        <v>10172</v>
      </c>
      <c r="K696" s="1" t="s">
        <v>151</v>
      </c>
      <c r="L696" s="1" t="s">
        <v>103</v>
      </c>
      <c r="M696" s="1" t="s">
        <v>8995</v>
      </c>
      <c r="O696" s="1" t="s">
        <v>10069</v>
      </c>
      <c r="P696" s="1" t="s">
        <v>5712</v>
      </c>
      <c r="Q696" s="1" t="s">
        <v>11182</v>
      </c>
      <c r="R696" s="1" t="s">
        <v>378</v>
      </c>
      <c r="S696" s="1" t="s">
        <v>4892</v>
      </c>
      <c r="AJ696" s="1">
        <v>170.0</v>
      </c>
      <c r="AK696" s="1">
        <v>80.0</v>
      </c>
      <c r="AL696" s="1" t="s">
        <v>11183</v>
      </c>
      <c r="AM696" s="1" t="s">
        <v>11184</v>
      </c>
      <c r="AN696" s="7" t="s">
        <v>11185</v>
      </c>
      <c r="AO696" s="8" t="str">
        <f>HYPERLINK("https://docs.google.com/document/d/1k6HJgaffkQdZi2_ziTAaq_qo_3yY9rylYx4B-O0Ql18/edit?usp=drivesdk","Al-Wildan 3 BSD City_RIZKY RAIHAN DZULKARNAEN, S.M._")</f>
        <v>Al-Wildan 3 BSD City_RIZKY RAIHAN DZULKARNAEN, S.M._</v>
      </c>
      <c r="AP696" s="1" t="s">
        <v>11186</v>
      </c>
    </row>
    <row r="697">
      <c r="A697" s="6">
        <v>44850.8308871412</v>
      </c>
      <c r="B697" s="7" t="s">
        <v>11187</v>
      </c>
      <c r="C697" s="8" t="s">
        <v>11188</v>
      </c>
      <c r="D697" s="1" t="s">
        <v>11189</v>
      </c>
      <c r="E697" s="9" t="s">
        <v>11190</v>
      </c>
      <c r="F697" s="1" t="s">
        <v>11191</v>
      </c>
      <c r="G697" s="1" t="s">
        <v>1851</v>
      </c>
      <c r="H697" s="1" t="s">
        <v>703</v>
      </c>
      <c r="I697" s="9" t="s">
        <v>11192</v>
      </c>
      <c r="J697" s="1">
        <v>27.0</v>
      </c>
      <c r="K697" s="1" t="s">
        <v>151</v>
      </c>
      <c r="L697" s="1" t="s">
        <v>256</v>
      </c>
      <c r="M697" s="1" t="s">
        <v>5710</v>
      </c>
      <c r="O697" s="1" t="s">
        <v>5711</v>
      </c>
      <c r="P697" s="1" t="s">
        <v>5712</v>
      </c>
      <c r="Q697" s="1" t="s">
        <v>11193</v>
      </c>
      <c r="R697" s="1" t="s">
        <v>11194</v>
      </c>
      <c r="S697" s="1">
        <v>3.28</v>
      </c>
      <c r="Z697" s="1" t="s">
        <v>11195</v>
      </c>
      <c r="AA697" s="10">
        <v>1000000.0</v>
      </c>
      <c r="AB697" s="1" t="s">
        <v>11196</v>
      </c>
      <c r="AC697" s="10">
        <v>2000000.0</v>
      </c>
      <c r="AF697" s="10">
        <v>5000000.0</v>
      </c>
      <c r="AG697" s="1">
        <v>7.180667525E9</v>
      </c>
      <c r="AJ697" s="1">
        <v>173.0</v>
      </c>
      <c r="AK697" s="1">
        <v>58.0</v>
      </c>
      <c r="AL697" s="1" t="s">
        <v>11197</v>
      </c>
      <c r="AM697" s="1" t="s">
        <v>11198</v>
      </c>
      <c r="AN697" s="7" t="s">
        <v>11199</v>
      </c>
      <c r="AO697" s="8" t="str">
        <f>HYPERLINK("https://docs.google.com/document/d/1AYxDgRm3nkl9S4x7qjOZuZ5KravOlgrQE4-GJuhvU-U/edit?usp=drivesdk","Al-Wildan 3 BSD City_Ns. Muhammad Siswandi, S.Kep_")</f>
        <v>Al-Wildan 3 BSD City_Ns. Muhammad Siswandi, S.Kep_</v>
      </c>
      <c r="AP697" s="1" t="s">
        <v>11200</v>
      </c>
    </row>
    <row r="698">
      <c r="A698" s="6">
        <v>44850.84673799769</v>
      </c>
      <c r="B698" s="7" t="s">
        <v>11201</v>
      </c>
      <c r="C698" s="8" t="s">
        <v>11202</v>
      </c>
      <c r="D698" s="1" t="s">
        <v>11203</v>
      </c>
      <c r="E698" s="9" t="s">
        <v>11204</v>
      </c>
      <c r="F698" s="1" t="s">
        <v>11205</v>
      </c>
      <c r="G698" s="1" t="s">
        <v>11206</v>
      </c>
      <c r="H698" s="1" t="s">
        <v>9167</v>
      </c>
      <c r="I698" s="1">
        <v>2.4081978E7</v>
      </c>
      <c r="J698" s="1" t="s">
        <v>4264</v>
      </c>
      <c r="K698" s="1" t="s">
        <v>102</v>
      </c>
      <c r="L698" s="1" t="s">
        <v>103</v>
      </c>
      <c r="M698" s="1" t="s">
        <v>8995</v>
      </c>
      <c r="O698" s="1" t="s">
        <v>10069</v>
      </c>
      <c r="P698" s="1" t="s">
        <v>11207</v>
      </c>
      <c r="Z698" s="1" t="s">
        <v>11208</v>
      </c>
      <c r="AB698" s="1" t="s">
        <v>11209</v>
      </c>
      <c r="AC698" s="10">
        <v>4000000.0</v>
      </c>
      <c r="AD698" s="1" t="s">
        <v>11210</v>
      </c>
      <c r="AE698" s="10">
        <v>4500000.0</v>
      </c>
      <c r="AG698" s="1">
        <v>7.173036358E9</v>
      </c>
      <c r="AI698" s="1" t="s">
        <v>5113</v>
      </c>
      <c r="AJ698" s="1">
        <v>170.0</v>
      </c>
      <c r="AK698" s="1">
        <v>65000.0</v>
      </c>
      <c r="AL698" s="1" t="s">
        <v>11211</v>
      </c>
      <c r="AM698" s="1" t="s">
        <v>11212</v>
      </c>
      <c r="AN698" s="7" t="s">
        <v>11213</v>
      </c>
      <c r="AO698" s="8" t="str">
        <f>HYPERLINK("https://docs.google.com/document/d/1OqFO04N0wT0zFn1MMJJjmfNc3meQfMYmciFPAaI6FiM/edit?usp=drivesdk","Al-Wildan 16 Ciledug_ERRO_")</f>
        <v>Al-Wildan 16 Ciledug_ERRO_</v>
      </c>
      <c r="AP698" s="1" t="s">
        <v>11214</v>
      </c>
    </row>
    <row r="699">
      <c r="A699" s="6">
        <v>44851.72668923611</v>
      </c>
      <c r="B699" s="7" t="s">
        <v>11215</v>
      </c>
      <c r="C699" s="8" t="s">
        <v>11216</v>
      </c>
      <c r="D699" s="1" t="s">
        <v>11217</v>
      </c>
      <c r="E699" s="9" t="s">
        <v>11218</v>
      </c>
      <c r="F699" s="1" t="s">
        <v>11219</v>
      </c>
      <c r="G699" s="1" t="s">
        <v>11220</v>
      </c>
      <c r="H699" s="1" t="s">
        <v>1217</v>
      </c>
      <c r="I699" s="9" t="s">
        <v>11221</v>
      </c>
      <c r="J699" s="1" t="s">
        <v>2385</v>
      </c>
      <c r="K699" s="1" t="s">
        <v>151</v>
      </c>
      <c r="L699" s="1" t="s">
        <v>256</v>
      </c>
      <c r="M699" s="1" t="s">
        <v>11222</v>
      </c>
      <c r="N699" s="1" t="s">
        <v>6106</v>
      </c>
      <c r="O699" s="1" t="s">
        <v>127</v>
      </c>
      <c r="P699" s="1" t="s">
        <v>237</v>
      </c>
      <c r="Q699" s="1" t="s">
        <v>11223</v>
      </c>
      <c r="R699" s="1" t="s">
        <v>11224</v>
      </c>
      <c r="S699" s="1" t="s">
        <v>1084</v>
      </c>
      <c r="Z699" s="1" t="s">
        <v>11225</v>
      </c>
      <c r="AA699" s="10">
        <v>2000000.0</v>
      </c>
      <c r="AB699" s="1" t="s">
        <v>11226</v>
      </c>
      <c r="AC699" s="10">
        <v>852000.0</v>
      </c>
      <c r="AH699" s="1">
        <v>2.550074233E9</v>
      </c>
      <c r="AI699" s="1" t="s">
        <v>222</v>
      </c>
      <c r="AJ699" s="1">
        <v>160.0</v>
      </c>
      <c r="AK699" s="1">
        <v>53.0</v>
      </c>
      <c r="AL699" s="1" t="s">
        <v>11227</v>
      </c>
      <c r="AM699" s="1" t="s">
        <v>11228</v>
      </c>
      <c r="AN699" s="7" t="s">
        <v>11229</v>
      </c>
      <c r="AO699" s="8" t="str">
        <f>HYPERLINK("https://docs.google.com/document/d/17DtBa6peI9zvJNTYy9dApUZNBrXk9gdsTmXtuXumkS8/edit?usp=drivesdk","Al-Wildan 4 Lebak Bulus_Jihan Putri Utami, S.Psi_Bimbingan Konseling")</f>
        <v>Al-Wildan 4 Lebak Bulus_Jihan Putri Utami, S.Psi_Bimbingan Konseling</v>
      </c>
      <c r="AP699" s="1" t="s">
        <v>11230</v>
      </c>
    </row>
    <row r="700">
      <c r="A700" s="6">
        <v>44852.29889997686</v>
      </c>
      <c r="B700" s="7" t="s">
        <v>11231</v>
      </c>
      <c r="C700" s="8" t="s">
        <v>11232</v>
      </c>
      <c r="D700" s="1" t="s">
        <v>11233</v>
      </c>
      <c r="E700" s="9" t="s">
        <v>11234</v>
      </c>
      <c r="F700" s="1" t="s">
        <v>11235</v>
      </c>
      <c r="G700" s="1" t="s">
        <v>11236</v>
      </c>
      <c r="H700" s="1" t="s">
        <v>11237</v>
      </c>
      <c r="I700" s="9" t="s">
        <v>11238</v>
      </c>
      <c r="J700" s="1" t="s">
        <v>5330</v>
      </c>
      <c r="K700" s="1" t="s">
        <v>151</v>
      </c>
      <c r="L700" s="1" t="s">
        <v>256</v>
      </c>
      <c r="M700" s="1" t="s">
        <v>104</v>
      </c>
      <c r="N700" s="1" t="s">
        <v>11239</v>
      </c>
      <c r="O700" s="1" t="s">
        <v>9794</v>
      </c>
      <c r="P700" s="1" t="s">
        <v>7991</v>
      </c>
      <c r="Q700" s="1" t="s">
        <v>11240</v>
      </c>
      <c r="R700" s="1" t="s">
        <v>552</v>
      </c>
      <c r="S700" s="1" t="s">
        <v>8998</v>
      </c>
      <c r="Z700" s="1" t="s">
        <v>1998</v>
      </c>
      <c r="AA700" s="1" t="s">
        <v>217</v>
      </c>
      <c r="AF700" s="10">
        <v>4000000.0</v>
      </c>
      <c r="AH700" s="1">
        <v>1.299947496E9</v>
      </c>
      <c r="AI700" s="1" t="s">
        <v>159</v>
      </c>
      <c r="AJ700" s="1">
        <v>163.0</v>
      </c>
      <c r="AK700" s="1">
        <v>62.0</v>
      </c>
      <c r="AL700" s="1" t="s">
        <v>11241</v>
      </c>
      <c r="AM700" s="1" t="s">
        <v>11242</v>
      </c>
      <c r="AN700" s="7" t="s">
        <v>11243</v>
      </c>
      <c r="AO700" s="8" t="str">
        <f>HYPERLINK("https://docs.google.com/document/d/13ASl5VpbiRrMaS8ow8GJZhYLEP3dLFKAyykN82X9hu0/edit?usp=drivesdk","Al-Wildan 12 Bulak Kapal, Bekasi_Yudhistira Novita Handayani, S.Si._Fisika, Kimia, Matematika, Bahasa Inggris")</f>
        <v>Al-Wildan 12 Bulak Kapal, Bekasi_Yudhistira Novita Handayani, S.Si._Fisika, Kimia, Matematika, Bahasa Inggris</v>
      </c>
      <c r="AP700" s="1" t="s">
        <v>11244</v>
      </c>
    </row>
    <row r="701">
      <c r="A701" s="6">
        <v>44852.369852372685</v>
      </c>
      <c r="B701" s="7" t="s">
        <v>11245</v>
      </c>
      <c r="C701" s="8" t="s">
        <v>11246</v>
      </c>
      <c r="D701" s="1" t="s">
        <v>11247</v>
      </c>
      <c r="E701" s="9" t="s">
        <v>11248</v>
      </c>
      <c r="F701" s="1" t="s">
        <v>11249</v>
      </c>
      <c r="G701" s="1" t="s">
        <v>11236</v>
      </c>
      <c r="H701" s="1" t="s">
        <v>11250</v>
      </c>
      <c r="I701" s="9" t="s">
        <v>11251</v>
      </c>
      <c r="J701" s="1" t="s">
        <v>1822</v>
      </c>
      <c r="K701" s="1" t="s">
        <v>151</v>
      </c>
      <c r="L701" s="1" t="s">
        <v>256</v>
      </c>
      <c r="M701" s="1" t="s">
        <v>104</v>
      </c>
      <c r="N701" s="1" t="s">
        <v>11252</v>
      </c>
      <c r="O701" s="1" t="s">
        <v>9794</v>
      </c>
      <c r="P701" s="1" t="s">
        <v>7991</v>
      </c>
      <c r="Q701" s="1" t="s">
        <v>11253</v>
      </c>
      <c r="R701" s="1" t="s">
        <v>410</v>
      </c>
      <c r="S701" s="1" t="s">
        <v>1668</v>
      </c>
      <c r="Z701" s="1" t="s">
        <v>11254</v>
      </c>
      <c r="AA701" s="1">
        <v>3000000.0</v>
      </c>
      <c r="AF701" s="1">
        <v>4500000.0</v>
      </c>
      <c r="AH701" s="1">
        <v>5.70601013450538E14</v>
      </c>
      <c r="AI701" s="1" t="s">
        <v>2407</v>
      </c>
      <c r="AJ701" s="1">
        <v>160.0</v>
      </c>
      <c r="AK701" s="1">
        <v>62.0</v>
      </c>
      <c r="AL701" s="1" t="s">
        <v>11255</v>
      </c>
      <c r="AM701" s="1" t="s">
        <v>11256</v>
      </c>
      <c r="AN701" s="7" t="s">
        <v>11257</v>
      </c>
      <c r="AO701" s="8" t="str">
        <f>HYPERLINK("https://docs.google.com/document/d/1DtFm0RPxdY5kELXJARfCyQJ2dPUnHI3dcVOtma7ruNc/edit?usp=drivesdk","Al-Wildan 12 Bulak Kapal, Bekasi_Rizki Eka Shintya, S.Pd._Science dan Biologi ")</f>
        <v>Al-Wildan 12 Bulak Kapal, Bekasi_Rizki Eka Shintya, S.Pd._Science dan Biologi </v>
      </c>
      <c r="AP701" s="1" t="s">
        <v>11258</v>
      </c>
    </row>
    <row r="702">
      <c r="A702" s="6">
        <v>44852.60704278935</v>
      </c>
      <c r="B702" s="7" t="s">
        <v>11259</v>
      </c>
      <c r="C702" s="8" t="s">
        <v>11260</v>
      </c>
      <c r="D702" s="1" t="s">
        <v>11261</v>
      </c>
      <c r="E702" s="9" t="s">
        <v>11262</v>
      </c>
      <c r="F702" s="1" t="s">
        <v>11263</v>
      </c>
      <c r="G702" s="1" t="s">
        <v>11264</v>
      </c>
      <c r="H702" s="1" t="s">
        <v>6779</v>
      </c>
      <c r="I702" s="9" t="s">
        <v>11265</v>
      </c>
      <c r="J702" s="1" t="s">
        <v>11266</v>
      </c>
      <c r="K702" s="1" t="s">
        <v>151</v>
      </c>
      <c r="L702" s="1" t="s">
        <v>256</v>
      </c>
      <c r="M702" s="1" t="s">
        <v>6186</v>
      </c>
      <c r="N702" s="1" t="s">
        <v>217</v>
      </c>
      <c r="O702" s="1" t="s">
        <v>10069</v>
      </c>
      <c r="P702" s="1" t="s">
        <v>11168</v>
      </c>
      <c r="Q702" s="1" t="s">
        <v>11267</v>
      </c>
      <c r="R702" s="1" t="s">
        <v>7974</v>
      </c>
      <c r="Z702" s="1" t="s">
        <v>11268</v>
      </c>
      <c r="AA702" s="1" t="s">
        <v>11269</v>
      </c>
      <c r="AF702" s="10">
        <v>5000000.0</v>
      </c>
      <c r="AH702" s="9" t="s">
        <v>11270</v>
      </c>
      <c r="AI702" s="1" t="s">
        <v>222</v>
      </c>
      <c r="AJ702" s="1">
        <v>155.0</v>
      </c>
      <c r="AK702" s="1">
        <v>50.0</v>
      </c>
      <c r="AL702" s="1" t="s">
        <v>11271</v>
      </c>
      <c r="AM702" s="1" t="s">
        <v>11272</v>
      </c>
      <c r="AN702" s="7" t="s">
        <v>11273</v>
      </c>
      <c r="AO702" s="8" t="str">
        <f>HYPERLINK("https://docs.google.com/document/d/1Irv4Pgwj5UI5iZEJmW16UPHqA7gjsgb37WhmmIIboCU/edit?usp=drivesdk","Al-Wildan 8 Parung_Nadyra Kalsumi, A.Md._-")</f>
        <v>Al-Wildan 8 Parung_Nadyra Kalsumi, A.Md._-</v>
      </c>
      <c r="AP702" s="1" t="s">
        <v>11274</v>
      </c>
    </row>
    <row r="703">
      <c r="A703" s="6">
        <v>44854.6777016088</v>
      </c>
      <c r="B703" s="7" t="s">
        <v>11275</v>
      </c>
      <c r="C703" s="8" t="s">
        <v>11276</v>
      </c>
      <c r="D703" s="1" t="s">
        <v>11277</v>
      </c>
      <c r="E703" s="9" t="s">
        <v>11278</v>
      </c>
      <c r="F703" s="1" t="s">
        <v>11279</v>
      </c>
      <c r="G703" s="1" t="s">
        <v>11280</v>
      </c>
      <c r="H703" s="1" t="s">
        <v>188</v>
      </c>
      <c r="I703" s="9" t="s">
        <v>11281</v>
      </c>
      <c r="J703" s="1" t="s">
        <v>4141</v>
      </c>
      <c r="K703" s="1" t="s">
        <v>151</v>
      </c>
      <c r="L703" s="1" t="s">
        <v>256</v>
      </c>
      <c r="M703" s="1" t="s">
        <v>6186</v>
      </c>
      <c r="N703" s="1" t="s">
        <v>217</v>
      </c>
      <c r="O703" s="1" t="s">
        <v>6027</v>
      </c>
      <c r="P703" s="1" t="s">
        <v>6187</v>
      </c>
      <c r="Q703" s="1" t="s">
        <v>11282</v>
      </c>
      <c r="R703" s="1" t="s">
        <v>6356</v>
      </c>
      <c r="S703" s="1" t="s">
        <v>2582</v>
      </c>
      <c r="Z703" s="1" t="s">
        <v>217</v>
      </c>
      <c r="AA703" s="1" t="s">
        <v>217</v>
      </c>
      <c r="AB703" s="1" t="s">
        <v>217</v>
      </c>
      <c r="AC703" s="1" t="s">
        <v>217</v>
      </c>
      <c r="AD703" s="1" t="s">
        <v>217</v>
      </c>
      <c r="AE703" s="1" t="s">
        <v>217</v>
      </c>
      <c r="AF703" s="1" t="s">
        <v>4721</v>
      </c>
      <c r="AH703" s="1">
        <v>6.820798293E9</v>
      </c>
      <c r="AI703" s="1" t="s">
        <v>11283</v>
      </c>
      <c r="AJ703" s="1">
        <v>168.0</v>
      </c>
      <c r="AK703" s="1">
        <v>58.0</v>
      </c>
      <c r="AL703" s="1" t="s">
        <v>11284</v>
      </c>
      <c r="AM703" s="1" t="s">
        <v>11285</v>
      </c>
      <c r="AN703" s="7" t="s">
        <v>11286</v>
      </c>
      <c r="AO703" s="8" t="str">
        <f>HYPERLINK("https://docs.google.com/document/d/164AYyJsDZ6cvNsntSURDQyZty4ULjYKf75BfJkgcEsg/edit?usp=drivesdk","Al-Wildan 14 Bumi Mutiara, Bogor_Felisha Ramadhila A.md_-")</f>
        <v>Al-Wildan 14 Bumi Mutiara, Bogor_Felisha Ramadhila A.md_-</v>
      </c>
      <c r="AP703" s="1" t="s">
        <v>11287</v>
      </c>
    </row>
    <row r="704">
      <c r="A704" s="6">
        <v>44866.38821480324</v>
      </c>
      <c r="B704" s="7" t="s">
        <v>11288</v>
      </c>
      <c r="C704" s="8" t="s">
        <v>11289</v>
      </c>
      <c r="D704" s="1" t="s">
        <v>11290</v>
      </c>
      <c r="E704" s="9" t="s">
        <v>11291</v>
      </c>
      <c r="F704" s="1" t="s">
        <v>11292</v>
      </c>
      <c r="G704" s="1" t="s">
        <v>11293</v>
      </c>
      <c r="H704" s="1" t="s">
        <v>11294</v>
      </c>
      <c r="I704" s="9" t="s">
        <v>11295</v>
      </c>
      <c r="J704" s="1" t="s">
        <v>11296</v>
      </c>
      <c r="K704" s="1" t="s">
        <v>151</v>
      </c>
      <c r="L704" s="1" t="s">
        <v>329</v>
      </c>
      <c r="M704" s="1" t="s">
        <v>6026</v>
      </c>
      <c r="O704" s="1" t="s">
        <v>6027</v>
      </c>
      <c r="P704" s="1" t="s">
        <v>107</v>
      </c>
      <c r="Z704" s="1" t="s">
        <v>11297</v>
      </c>
      <c r="AA704" s="10">
        <v>4500000.0</v>
      </c>
      <c r="AB704" s="1" t="s">
        <v>11298</v>
      </c>
      <c r="AC704" s="10">
        <v>4500000.0</v>
      </c>
      <c r="AF704" s="1" t="s">
        <v>11299</v>
      </c>
      <c r="AH704" s="1">
        <v>4.560000809E9</v>
      </c>
      <c r="AI704" s="1" t="s">
        <v>11300</v>
      </c>
      <c r="AJ704" s="1">
        <v>160.0</v>
      </c>
      <c r="AK704" s="1">
        <v>80.0</v>
      </c>
      <c r="AL704" s="1" t="s">
        <v>11301</v>
      </c>
      <c r="AM704" s="1" t="s">
        <v>11302</v>
      </c>
      <c r="AN704" s="7" t="s">
        <v>11303</v>
      </c>
      <c r="AO704" s="8" t="str">
        <f>HYPERLINK("https://docs.google.com/document/d/1U7A22Vd_WFifxQTy0N226WR824hPZenjHj_5-SZWI40/edit?usp=drivesdk","Al-Wildan 1 Gading Serpong_Rina Novita _")</f>
        <v>Al-Wildan 1 Gading Serpong_Rina Novita _</v>
      </c>
      <c r="AP704" s="1" t="s">
        <v>11304</v>
      </c>
    </row>
    <row r="705">
      <c r="A705" s="6">
        <v>44876.63272489583</v>
      </c>
      <c r="B705" s="7" t="s">
        <v>11305</v>
      </c>
      <c r="C705" s="8" t="s">
        <v>11306</v>
      </c>
      <c r="D705" s="1" t="s">
        <v>11307</v>
      </c>
      <c r="E705" s="9" t="s">
        <v>11308</v>
      </c>
      <c r="F705" s="1" t="s">
        <v>11309</v>
      </c>
      <c r="G705" s="1" t="s">
        <v>11310</v>
      </c>
      <c r="H705" s="1" t="s">
        <v>11310</v>
      </c>
      <c r="I705" s="9" t="s">
        <v>11311</v>
      </c>
      <c r="J705" s="1" t="s">
        <v>2352</v>
      </c>
      <c r="K705" s="1" t="s">
        <v>151</v>
      </c>
      <c r="L705" s="1" t="s">
        <v>256</v>
      </c>
      <c r="M705" s="1" t="s">
        <v>104</v>
      </c>
      <c r="N705" s="1" t="s">
        <v>126</v>
      </c>
      <c r="O705" s="1" t="s">
        <v>106</v>
      </c>
      <c r="P705" s="1" t="s">
        <v>7162</v>
      </c>
      <c r="Q705" s="1" t="s">
        <v>11312</v>
      </c>
      <c r="R705" s="1" t="s">
        <v>5285</v>
      </c>
      <c r="S705" s="1" t="s">
        <v>4889</v>
      </c>
      <c r="Z705" s="1" t="s">
        <v>11313</v>
      </c>
      <c r="AA705" s="10">
        <v>2250000.0</v>
      </c>
      <c r="AF705" s="10">
        <v>4500000.0</v>
      </c>
      <c r="AH705" s="9" t="s">
        <v>11314</v>
      </c>
      <c r="AI705" s="1" t="s">
        <v>159</v>
      </c>
      <c r="AJ705" s="1">
        <v>155.0</v>
      </c>
      <c r="AK705" s="1">
        <v>48.0</v>
      </c>
      <c r="AL705" s="1" t="s">
        <v>11315</v>
      </c>
      <c r="AM705" s="1" t="s">
        <v>11316</v>
      </c>
      <c r="AN705" s="7" t="s">
        <v>11317</v>
      </c>
      <c r="AO705" s="8" t="str">
        <f>HYPERLINK("https://docs.google.com/document/d/1sMII6v3ix5Ch2fgj1u0NtnfezevFT_QV-Xq_M5FzHds/edit?usp=drivesdk","Al-Wildan 7 Serang_Belinda Putri Aulia, S.Mat_Matematika")</f>
        <v>Al-Wildan 7 Serang_Belinda Putri Aulia, S.Mat_Matematika</v>
      </c>
      <c r="AP705" s="1" t="s">
        <v>11318</v>
      </c>
    </row>
    <row r="706">
      <c r="A706" s="6">
        <v>44879.419539490744</v>
      </c>
      <c r="B706" s="7" t="s">
        <v>11319</v>
      </c>
      <c r="C706" s="8" t="s">
        <v>11320</v>
      </c>
      <c r="D706" s="1" t="s">
        <v>11321</v>
      </c>
      <c r="E706" s="9" t="s">
        <v>11322</v>
      </c>
      <c r="F706" s="1" t="s">
        <v>11323</v>
      </c>
      <c r="G706" s="1" t="s">
        <v>11324</v>
      </c>
      <c r="H706" s="1" t="s">
        <v>11325</v>
      </c>
      <c r="I706" s="9" t="s">
        <v>11326</v>
      </c>
      <c r="J706" s="1" t="s">
        <v>5809</v>
      </c>
      <c r="K706" s="1" t="s">
        <v>102</v>
      </c>
      <c r="L706" s="1" t="s">
        <v>103</v>
      </c>
      <c r="M706" s="1" t="s">
        <v>8995</v>
      </c>
      <c r="O706" s="1" t="s">
        <v>10069</v>
      </c>
      <c r="P706" s="1" t="s">
        <v>237</v>
      </c>
      <c r="Q706" s="1" t="s">
        <v>11327</v>
      </c>
      <c r="AF706" s="10">
        <v>4200000.0</v>
      </c>
      <c r="AG706" s="1">
        <v>7.178868661E9</v>
      </c>
      <c r="AJ706" s="1">
        <v>173.0</v>
      </c>
      <c r="AK706" s="1">
        <v>79.0</v>
      </c>
      <c r="AL706" s="1" t="s">
        <v>11328</v>
      </c>
      <c r="AM706" s="1" t="s">
        <v>11329</v>
      </c>
      <c r="AN706" s="7" t="s">
        <v>11330</v>
      </c>
      <c r="AO706" s="8" t="str">
        <f>HYPERLINK("https://docs.google.com/document/d/1BDdAYzHlqaTzsb6O2ZQkdvcNMx-VZ0JQUvrh46pfd0g/edit?usp=drivesdk","Al-Wildan 4 Lebak Bulus_Erwan_")</f>
        <v>Al-Wildan 4 Lebak Bulus_Erwan_</v>
      </c>
      <c r="AP706" s="1" t="s">
        <v>11331</v>
      </c>
    </row>
    <row r="707">
      <c r="A707" s="6">
        <v>44879.42516238426</v>
      </c>
      <c r="B707" s="7" t="s">
        <v>11332</v>
      </c>
      <c r="C707" s="8" t="s">
        <v>11333</v>
      </c>
      <c r="D707" s="1" t="s">
        <v>11334</v>
      </c>
      <c r="E707" s="9" t="s">
        <v>11335</v>
      </c>
      <c r="F707" s="1" t="s">
        <v>11336</v>
      </c>
      <c r="G707" s="1" t="s">
        <v>11337</v>
      </c>
      <c r="H707" s="1" t="s">
        <v>1411</v>
      </c>
      <c r="I707" s="9" t="s">
        <v>11338</v>
      </c>
      <c r="J707" s="1" t="s">
        <v>5428</v>
      </c>
      <c r="K707" s="1" t="s">
        <v>151</v>
      </c>
      <c r="L707" s="1" t="s">
        <v>103</v>
      </c>
      <c r="M707" s="1" t="s">
        <v>8995</v>
      </c>
      <c r="O707" s="1" t="s">
        <v>10069</v>
      </c>
      <c r="P707" s="1" t="s">
        <v>5712</v>
      </c>
      <c r="Q707" s="1" t="s">
        <v>9712</v>
      </c>
      <c r="R707" s="1" t="s">
        <v>11339</v>
      </c>
      <c r="S707" s="1" t="s">
        <v>8452</v>
      </c>
      <c r="Z707" s="1" t="s">
        <v>11340</v>
      </c>
      <c r="AA707" s="10">
        <v>1200000.0</v>
      </c>
      <c r="AB707" s="1" t="s">
        <v>11341</v>
      </c>
      <c r="AC707" s="10">
        <v>2200000.0</v>
      </c>
      <c r="AD707" s="1" t="s">
        <v>11342</v>
      </c>
      <c r="AE707" s="10">
        <v>4500000.0</v>
      </c>
      <c r="AF707" s="10">
        <v>4500000.0</v>
      </c>
      <c r="AH707" s="1">
        <v>4.501480279E9</v>
      </c>
      <c r="AI707" s="1" t="s">
        <v>222</v>
      </c>
      <c r="AJ707" s="1">
        <v>165.0</v>
      </c>
      <c r="AK707" s="1">
        <v>48.0</v>
      </c>
      <c r="AL707" s="1" t="s">
        <v>11343</v>
      </c>
      <c r="AM707" s="1" t="s">
        <v>11344</v>
      </c>
      <c r="AN707" s="7" t="s">
        <v>11345</v>
      </c>
      <c r="AO707" s="8" t="str">
        <f>HYPERLINK("https://docs.google.com/document/d/1a8qPe195DKRWn-e5DnJwSOhDfuPUkTR6rvKrNHa5nPU/edit?usp=drivesdk","Al-Wildan 3 BSD City_Samanan_")</f>
        <v>Al-Wildan 3 BSD City_Samanan_</v>
      </c>
      <c r="AP707" s="1" t="s">
        <v>11346</v>
      </c>
    </row>
    <row r="708">
      <c r="A708" s="6">
        <v>44880.47802377315</v>
      </c>
      <c r="B708" s="7" t="s">
        <v>11347</v>
      </c>
      <c r="C708" s="8" t="s">
        <v>11348</v>
      </c>
      <c r="D708" s="1" t="s">
        <v>11349</v>
      </c>
      <c r="E708" s="9" t="s">
        <v>11350</v>
      </c>
      <c r="F708" s="1" t="s">
        <v>11351</v>
      </c>
      <c r="G708" s="1" t="s">
        <v>11352</v>
      </c>
      <c r="H708" s="1" t="s">
        <v>7578</v>
      </c>
      <c r="I708" s="9" t="s">
        <v>11353</v>
      </c>
      <c r="J708" s="1" t="s">
        <v>407</v>
      </c>
      <c r="K708" s="1" t="s">
        <v>151</v>
      </c>
      <c r="L708" s="1" t="s">
        <v>103</v>
      </c>
      <c r="M708" s="1" t="s">
        <v>104</v>
      </c>
      <c r="N708" s="1" t="s">
        <v>5937</v>
      </c>
      <c r="O708" s="1" t="s">
        <v>9794</v>
      </c>
      <c r="P708" s="1" t="s">
        <v>6091</v>
      </c>
      <c r="Q708" s="1" t="s">
        <v>11354</v>
      </c>
      <c r="R708" s="1" t="s">
        <v>2324</v>
      </c>
      <c r="S708" s="1">
        <v>3.55</v>
      </c>
      <c r="Z708" s="1" t="s">
        <v>11355</v>
      </c>
      <c r="AA708" s="1" t="s">
        <v>217</v>
      </c>
      <c r="AF708" s="1" t="s">
        <v>4627</v>
      </c>
      <c r="AH708" s="1">
        <v>9.0012181277E10</v>
      </c>
      <c r="AI708" s="1" t="s">
        <v>11356</v>
      </c>
      <c r="AJ708" s="1">
        <v>168.0</v>
      </c>
      <c r="AK708" s="1">
        <v>90.0</v>
      </c>
      <c r="AL708" s="1" t="s">
        <v>11357</v>
      </c>
      <c r="AM708" s="1" t="s">
        <v>11358</v>
      </c>
      <c r="AN708" s="7" t="s">
        <v>11359</v>
      </c>
      <c r="AO708" s="8" t="str">
        <f>HYPERLINK("https://docs.google.com/document/d/1nFO7Ypp5hPMoZ0c-VTuz1QcZ-QJAu22ARQLz_Kr-85o/edit?usp=drivesdk","Al-Wildan 10 Cipinang, Jakarta Timur_Hafash Ubaidillah_PAI English")</f>
        <v>Al-Wildan 10 Cipinang, Jakarta Timur_Hafash Ubaidillah_PAI English</v>
      </c>
      <c r="AP708" s="1" t="s">
        <v>11360</v>
      </c>
    </row>
    <row r="709">
      <c r="A709" s="6">
        <v>44901.69919792824</v>
      </c>
      <c r="B709" s="7" t="s">
        <v>11361</v>
      </c>
      <c r="C709" s="8" t="s">
        <v>11362</v>
      </c>
      <c r="D709" s="1" t="s">
        <v>11363</v>
      </c>
      <c r="E709" s="9" t="s">
        <v>11364</v>
      </c>
      <c r="F709" s="1" t="s">
        <v>11365</v>
      </c>
      <c r="G709" s="1" t="s">
        <v>11366</v>
      </c>
      <c r="H709" s="1" t="s">
        <v>6264</v>
      </c>
      <c r="I709" s="9" t="s">
        <v>11367</v>
      </c>
      <c r="J709" s="1" t="s">
        <v>11368</v>
      </c>
      <c r="K709" s="1" t="s">
        <v>151</v>
      </c>
      <c r="L709" s="1" t="s">
        <v>256</v>
      </c>
      <c r="M709" s="1" t="s">
        <v>104</v>
      </c>
      <c r="N709" s="1" t="s">
        <v>11369</v>
      </c>
      <c r="O709" s="1" t="s">
        <v>312</v>
      </c>
      <c r="P709" s="1" t="s">
        <v>237</v>
      </c>
      <c r="Q709" s="1" t="s">
        <v>11370</v>
      </c>
      <c r="R709" s="1" t="s">
        <v>1057</v>
      </c>
      <c r="S709" s="1" t="s">
        <v>131</v>
      </c>
      <c r="Z709" s="1" t="s">
        <v>9951</v>
      </c>
      <c r="AB709" s="1" t="s">
        <v>11371</v>
      </c>
      <c r="AF709" s="10">
        <v>6000000.0</v>
      </c>
      <c r="AJ709" s="1">
        <v>167.0</v>
      </c>
      <c r="AK709" s="1">
        <v>72.0</v>
      </c>
      <c r="AL709" s="1" t="s">
        <v>11372</v>
      </c>
      <c r="AM709" s="1" t="s">
        <v>11373</v>
      </c>
      <c r="AN709" s="7" t="s">
        <v>11374</v>
      </c>
      <c r="AO709" s="8" t="str">
        <f>HYPERLINK("https://docs.google.com/document/d/1Zo3VB4genmsIacAhQ-6zIhxsOZVp08xZ8hEOQHExEQE/edit?usp=drivesdk","Al-Wildan 4 Lebak Bulus_Hermawan, S. Psi_Guru Wali Kelas")</f>
        <v>Al-Wildan 4 Lebak Bulus_Hermawan, S. Psi_Guru Wali Kelas</v>
      </c>
      <c r="AP709" s="1" t="s">
        <v>11375</v>
      </c>
    </row>
    <row r="710">
      <c r="A710" s="6">
        <v>44905.57716565972</v>
      </c>
      <c r="B710" s="7" t="s">
        <v>11376</v>
      </c>
      <c r="C710" s="8" t="s">
        <v>11377</v>
      </c>
      <c r="D710" s="1" t="s">
        <v>11378</v>
      </c>
      <c r="E710" s="9" t="s">
        <v>11379</v>
      </c>
      <c r="F710" s="1" t="s">
        <v>11380</v>
      </c>
      <c r="G710" s="1" t="s">
        <v>11381</v>
      </c>
      <c r="H710" s="1" t="s">
        <v>11382</v>
      </c>
      <c r="I710" s="9" t="s">
        <v>11383</v>
      </c>
      <c r="J710" s="1" t="s">
        <v>11384</v>
      </c>
      <c r="K710" s="1" t="s">
        <v>102</v>
      </c>
      <c r="L710" s="1" t="s">
        <v>256</v>
      </c>
      <c r="M710" s="1" t="s">
        <v>104</v>
      </c>
      <c r="N710" s="1" t="s">
        <v>11385</v>
      </c>
      <c r="O710" s="1" t="s">
        <v>127</v>
      </c>
      <c r="P710" s="1" t="s">
        <v>11386</v>
      </c>
      <c r="Q710" s="1" t="s">
        <v>11387</v>
      </c>
      <c r="R710" s="1" t="s">
        <v>11388</v>
      </c>
      <c r="S710" s="1">
        <v>3.47</v>
      </c>
      <c r="Z710" s="1" t="s">
        <v>11389</v>
      </c>
      <c r="AA710" s="10">
        <v>5000000.0</v>
      </c>
      <c r="AF710" s="10">
        <v>5500000.0</v>
      </c>
      <c r="AG710" s="1">
        <v>7.123116307E9</v>
      </c>
      <c r="AI710" s="1" t="s">
        <v>5113</v>
      </c>
      <c r="AJ710" s="1">
        <v>157.0</v>
      </c>
      <c r="AK710" s="1">
        <v>60.0</v>
      </c>
      <c r="AL710" s="1" t="s">
        <v>11390</v>
      </c>
      <c r="AM710" s="1" t="s">
        <v>11391</v>
      </c>
      <c r="AN710" s="7" t="s">
        <v>11392</v>
      </c>
      <c r="AO710" s="8" t="str">
        <f>HYPERLINK("https://docs.google.com/document/d/1lHJR6pQLlEbg1TRg8TdcR1oZxYLBsD0LsKYMH0PUCsw/edit?usp=drivesdk","Al-Wildan 6 Depok_Titis witri pramesti, SE_math SMP/ekonomi SMA")</f>
        <v>Al-Wildan 6 Depok_Titis witri pramesti, SE_math SMP/ekonomi SMA</v>
      </c>
      <c r="AP710" s="1" t="s">
        <v>11393</v>
      </c>
    </row>
    <row r="711">
      <c r="A711" s="6">
        <v>44918.57532791667</v>
      </c>
      <c r="B711" s="7" t="s">
        <v>11394</v>
      </c>
      <c r="C711" s="8" t="s">
        <v>11395</v>
      </c>
      <c r="D711" s="1" t="s">
        <v>11396</v>
      </c>
      <c r="E711" s="9" t="s">
        <v>11397</v>
      </c>
      <c r="F711" s="1" t="s">
        <v>11398</v>
      </c>
      <c r="G711" s="1" t="s">
        <v>11399</v>
      </c>
      <c r="H711" s="1" t="s">
        <v>169</v>
      </c>
      <c r="I711" s="9" t="s">
        <v>11400</v>
      </c>
      <c r="J711" s="1" t="s">
        <v>849</v>
      </c>
      <c r="K711" s="1" t="s">
        <v>151</v>
      </c>
      <c r="L711" s="1" t="s">
        <v>310</v>
      </c>
      <c r="M711" s="1" t="s">
        <v>104</v>
      </c>
      <c r="N711" s="1" t="s">
        <v>771</v>
      </c>
      <c r="O711" s="1" t="s">
        <v>312</v>
      </c>
      <c r="P711" s="1" t="s">
        <v>6091</v>
      </c>
      <c r="Q711" s="1" t="s">
        <v>11401</v>
      </c>
      <c r="R711" s="1" t="s">
        <v>7974</v>
      </c>
      <c r="S711" s="1" t="s">
        <v>1364</v>
      </c>
      <c r="Z711" s="1" t="s">
        <v>11402</v>
      </c>
      <c r="AA711" s="10">
        <v>2160000.0</v>
      </c>
      <c r="AB711" s="1" t="s">
        <v>11403</v>
      </c>
      <c r="AC711" s="10">
        <v>4170000.0</v>
      </c>
      <c r="AD711" s="1" t="s">
        <v>11404</v>
      </c>
      <c r="AE711" s="10">
        <v>6750000.0</v>
      </c>
      <c r="AF711" s="10">
        <v>6000000.0</v>
      </c>
      <c r="AG711" s="1">
        <v>7.138776567E9</v>
      </c>
      <c r="AJ711" s="1">
        <v>162.0</v>
      </c>
      <c r="AK711" s="1">
        <v>59.0</v>
      </c>
      <c r="AL711" s="1" t="s">
        <v>11405</v>
      </c>
      <c r="AM711" s="1" t="s">
        <v>11406</v>
      </c>
      <c r="AN711" s="7" t="s">
        <v>11407</v>
      </c>
      <c r="AO711" s="8" t="str">
        <f>HYPERLINK("https://docs.google.com/document/d/1Ozmky4FCI5R4OeaAzvDrJJkSEYgr0RSy6oUDH3mYmNc/edit?usp=drivesdk","Al-Wildan 10 Cipinang, Jakarta Timur_Dena Ramadhani, S.IK._English")</f>
        <v>Al-Wildan 10 Cipinang, Jakarta Timur_Dena Ramadhani, S.IK._English</v>
      </c>
      <c r="AP711" s="1" t="s">
        <v>11408</v>
      </c>
    </row>
    <row r="712">
      <c r="A712" s="6">
        <v>44924.91728684028</v>
      </c>
      <c r="B712" s="7" t="s">
        <v>11409</v>
      </c>
      <c r="C712" s="8" t="s">
        <v>11410</v>
      </c>
      <c r="D712" s="1" t="s">
        <v>11411</v>
      </c>
      <c r="E712" s="9" t="s">
        <v>11412</v>
      </c>
      <c r="F712" s="1" t="s">
        <v>11413</v>
      </c>
      <c r="G712" s="1" t="s">
        <v>11414</v>
      </c>
      <c r="H712" s="1" t="s">
        <v>11415</v>
      </c>
      <c r="I712" s="9" t="s">
        <v>7940</v>
      </c>
      <c r="J712" s="1" t="s">
        <v>11416</v>
      </c>
      <c r="K712" s="1" t="s">
        <v>102</v>
      </c>
      <c r="L712" s="1" t="s">
        <v>329</v>
      </c>
      <c r="M712" s="1" t="s">
        <v>11417</v>
      </c>
      <c r="N712" s="1" t="s">
        <v>11418</v>
      </c>
      <c r="O712" s="1" t="s">
        <v>106</v>
      </c>
      <c r="P712" s="1" t="s">
        <v>5712</v>
      </c>
      <c r="Q712" s="1" t="s">
        <v>11419</v>
      </c>
      <c r="R712" s="1" t="s">
        <v>11420</v>
      </c>
      <c r="S712" s="1">
        <v>4.53</v>
      </c>
      <c r="Z712" s="1" t="s">
        <v>11421</v>
      </c>
      <c r="AF712" s="1">
        <v>6500000.0</v>
      </c>
      <c r="AG712" s="1">
        <v>7.181374548E9</v>
      </c>
      <c r="AI712" s="1" t="s">
        <v>11422</v>
      </c>
      <c r="AJ712" s="1">
        <v>165.0</v>
      </c>
      <c r="AK712" s="1">
        <v>60.0</v>
      </c>
      <c r="AL712" s="1" t="s">
        <v>11423</v>
      </c>
      <c r="AM712" s="1" t="s">
        <v>11424</v>
      </c>
      <c r="AN712" s="7" t="s">
        <v>11425</v>
      </c>
      <c r="AO712" s="8" t="str">
        <f>HYPERLINK("https://docs.google.com/document/d/1BEn_NHq79JnSBs9DJaCRo8dlYYFycaE9qADFCrnVFqI/edit?usp=drivesdk","Al-Wildan 3 BSD City_syamil atsigah BA_Bahasa arab")</f>
        <v>Al-Wildan 3 BSD City_syamil atsigah BA_Bahasa arab</v>
      </c>
      <c r="AP712" s="1" t="s">
        <v>11426</v>
      </c>
    </row>
    <row r="713">
      <c r="A713" s="6">
        <v>44926.550200682876</v>
      </c>
      <c r="B713" s="7" t="s">
        <v>11427</v>
      </c>
      <c r="C713" s="8" t="s">
        <v>11428</v>
      </c>
      <c r="D713" s="1" t="s">
        <v>11429</v>
      </c>
      <c r="E713" s="9" t="s">
        <v>11430</v>
      </c>
      <c r="F713" s="1" t="s">
        <v>11431</v>
      </c>
      <c r="G713" s="1" t="s">
        <v>11432</v>
      </c>
      <c r="H713" s="1" t="s">
        <v>11382</v>
      </c>
      <c r="I713" s="9" t="s">
        <v>11433</v>
      </c>
      <c r="J713" s="1" t="s">
        <v>11434</v>
      </c>
      <c r="K713" s="1" t="s">
        <v>1235</v>
      </c>
      <c r="L713" s="1" t="s">
        <v>256</v>
      </c>
      <c r="M713" s="1" t="s">
        <v>104</v>
      </c>
      <c r="N713" s="1" t="s">
        <v>11435</v>
      </c>
      <c r="O713" s="1" t="s">
        <v>312</v>
      </c>
      <c r="P713" s="1" t="s">
        <v>237</v>
      </c>
      <c r="Q713" s="1" t="s">
        <v>11436</v>
      </c>
      <c r="R713" s="1" t="s">
        <v>7974</v>
      </c>
      <c r="S713" s="1" t="s">
        <v>1958</v>
      </c>
      <c r="T713" s="1" t="s">
        <v>7463</v>
      </c>
      <c r="U713" s="1" t="s">
        <v>1541</v>
      </c>
      <c r="V713" s="1" t="s">
        <v>479</v>
      </c>
      <c r="Z713" s="1" t="s">
        <v>11437</v>
      </c>
      <c r="AA713" s="1" t="s">
        <v>3759</v>
      </c>
      <c r="AB713" s="1" t="s">
        <v>7534</v>
      </c>
      <c r="AC713" s="1" t="s">
        <v>11438</v>
      </c>
      <c r="AD713" s="1" t="s">
        <v>11439</v>
      </c>
      <c r="AE713" s="1" t="s">
        <v>11440</v>
      </c>
      <c r="AF713" s="1" t="s">
        <v>11441</v>
      </c>
      <c r="AH713" s="1">
        <v>4.970835623E9</v>
      </c>
      <c r="AI713" s="1" t="s">
        <v>4929</v>
      </c>
      <c r="AJ713" s="1">
        <v>165.0</v>
      </c>
      <c r="AK713" s="1">
        <v>63.0</v>
      </c>
      <c r="AL713" s="1" t="s">
        <v>11442</v>
      </c>
      <c r="AM713" s="1" t="s">
        <v>11443</v>
      </c>
      <c r="AN713" s="7" t="s">
        <v>11444</v>
      </c>
      <c r="AO713" s="8" t="str">
        <f>HYPERLINK("https://docs.google.com/document/d/17dvIQxRlUNTEqN1X-Auidma9xPElPn9wEZ9ZSMJE0fs/edit?usp=drivesdk","Al-Wildan 4 Lebak Bulus_Arum Andita,S.I.Kom_mathematics")</f>
        <v>Al-Wildan 4 Lebak Bulus_Arum Andita,S.I.Kom_mathematics</v>
      </c>
      <c r="AP713" s="1" t="s">
        <v>11445</v>
      </c>
    </row>
    <row r="714">
      <c r="A714" s="6">
        <v>44926.784943819446</v>
      </c>
      <c r="B714" s="7" t="s">
        <v>11446</v>
      </c>
      <c r="C714" s="8" t="s">
        <v>11447</v>
      </c>
      <c r="D714" s="1" t="s">
        <v>11448</v>
      </c>
      <c r="E714" s="9" t="s">
        <v>11449</v>
      </c>
      <c r="F714" s="1" t="s">
        <v>11450</v>
      </c>
      <c r="G714" s="1" t="s">
        <v>11451</v>
      </c>
      <c r="H714" s="1" t="s">
        <v>169</v>
      </c>
      <c r="I714" s="9" t="s">
        <v>11452</v>
      </c>
      <c r="J714" s="1" t="s">
        <v>11453</v>
      </c>
      <c r="K714" s="1" t="s">
        <v>102</v>
      </c>
      <c r="L714" s="1" t="s">
        <v>103</v>
      </c>
      <c r="M714" s="1" t="s">
        <v>104</v>
      </c>
      <c r="N714" s="1" t="s">
        <v>11454</v>
      </c>
      <c r="O714" s="1" t="s">
        <v>312</v>
      </c>
      <c r="P714" s="1" t="s">
        <v>6533</v>
      </c>
      <c r="Q714" s="1" t="s">
        <v>649</v>
      </c>
      <c r="R714" s="1" t="s">
        <v>172</v>
      </c>
      <c r="S714" s="1" t="s">
        <v>11455</v>
      </c>
      <c r="Z714" s="1" t="s">
        <v>11456</v>
      </c>
      <c r="AA714" s="10">
        <v>2200000.0</v>
      </c>
      <c r="AB714" s="1" t="s">
        <v>11457</v>
      </c>
      <c r="AC714" s="10">
        <v>2800000.0</v>
      </c>
      <c r="AD714" s="1" t="s">
        <v>11458</v>
      </c>
      <c r="AE714" s="10">
        <v>5500000.0</v>
      </c>
      <c r="AF714" s="10">
        <v>6000000.0</v>
      </c>
      <c r="AH714" s="1">
        <v>8.015395938E9</v>
      </c>
      <c r="AI714" s="1" t="s">
        <v>222</v>
      </c>
      <c r="AJ714" s="1">
        <v>169.0</v>
      </c>
      <c r="AK714" s="1">
        <v>64.0</v>
      </c>
      <c r="AL714" s="1" t="s">
        <v>11459</v>
      </c>
      <c r="AM714" s="1" t="s">
        <v>11460</v>
      </c>
      <c r="AN714" s="7" t="s">
        <v>11461</v>
      </c>
      <c r="AO714" s="8" t="str">
        <f>HYPERLINK("https://docs.google.com/document/d/13Hal9T14HTbZWE4Seat45KCDia_St-s-k1SJHhEuOso/edit?usp=drivesdk","Al-Wildan 5 Benhil_Mifthahul Damara Putra_Diniyah, Arabic, Alquran")</f>
        <v>Al-Wildan 5 Benhil_Mifthahul Damara Putra_Diniyah, Arabic, Alquran</v>
      </c>
      <c r="AP714" s="1" t="s">
        <v>11462</v>
      </c>
    </row>
    <row r="715">
      <c r="A715" s="6">
        <v>44930.233899756946</v>
      </c>
      <c r="B715" s="7" t="s">
        <v>11463</v>
      </c>
      <c r="C715" s="8" t="s">
        <v>11464</v>
      </c>
      <c r="D715" s="1" t="s">
        <v>11465</v>
      </c>
      <c r="E715" s="9" t="s">
        <v>11466</v>
      </c>
      <c r="F715" s="1" t="s">
        <v>11467</v>
      </c>
      <c r="G715" s="1" t="s">
        <v>11468</v>
      </c>
      <c r="H715" s="1" t="s">
        <v>2458</v>
      </c>
      <c r="I715" s="9" t="s">
        <v>11469</v>
      </c>
      <c r="J715" s="1" t="s">
        <v>7117</v>
      </c>
      <c r="K715" s="1" t="s">
        <v>102</v>
      </c>
      <c r="L715" s="1" t="s">
        <v>103</v>
      </c>
      <c r="M715" s="1" t="s">
        <v>104</v>
      </c>
      <c r="N715" s="1" t="s">
        <v>1623</v>
      </c>
      <c r="O715" s="1" t="s">
        <v>236</v>
      </c>
      <c r="P715" s="1" t="s">
        <v>5712</v>
      </c>
      <c r="Q715" s="1" t="s">
        <v>192</v>
      </c>
      <c r="R715" s="1" t="s">
        <v>193</v>
      </c>
      <c r="S715" s="1" t="s">
        <v>11470</v>
      </c>
      <c r="Z715" s="1" t="s">
        <v>11471</v>
      </c>
      <c r="AA715" s="10">
        <v>3000000.0</v>
      </c>
      <c r="AB715" s="1" t="s">
        <v>11472</v>
      </c>
      <c r="AC715" s="10">
        <v>4200000.0</v>
      </c>
      <c r="AF715" s="10">
        <v>6000000.0</v>
      </c>
      <c r="AG715" s="1">
        <v>7.136356814E9</v>
      </c>
      <c r="AJ715" s="1">
        <v>177.0</v>
      </c>
      <c r="AK715" s="1">
        <v>85.0</v>
      </c>
      <c r="AL715" s="1" t="s">
        <v>11473</v>
      </c>
      <c r="AM715" s="1" t="s">
        <v>11474</v>
      </c>
      <c r="AN715" s="7" t="s">
        <v>11475</v>
      </c>
      <c r="AO715" s="8" t="str">
        <f>HYPERLINK("https://docs.google.com/document/d/10WBj0Fv-H-zMVTMU8INGYBQOmJDcqFlBB-Ubh-XLtSA/edit?usp=drivesdk","Al-Wildan 3 BSD City_Syiwaprabu Sasrabhirawa, Lc._PAI")</f>
        <v>Al-Wildan 3 BSD City_Syiwaprabu Sasrabhirawa, Lc._PAI</v>
      </c>
      <c r="AP715" s="1" t="s">
        <v>11476</v>
      </c>
    </row>
    <row r="716">
      <c r="A716" s="6">
        <v>44930.505293194445</v>
      </c>
      <c r="B716" s="7" t="s">
        <v>11477</v>
      </c>
      <c r="C716" s="8" t="s">
        <v>11478</v>
      </c>
      <c r="D716" s="1" t="s">
        <v>11479</v>
      </c>
      <c r="E716" s="9" t="s">
        <v>11480</v>
      </c>
      <c r="F716" s="1" t="s">
        <v>11481</v>
      </c>
      <c r="G716" s="1" t="s">
        <v>11482</v>
      </c>
      <c r="H716" s="1" t="s">
        <v>99</v>
      </c>
      <c r="I716" s="9" t="s">
        <v>11483</v>
      </c>
      <c r="J716" s="1" t="s">
        <v>11484</v>
      </c>
      <c r="K716" s="1" t="s">
        <v>102</v>
      </c>
      <c r="L716" s="1" t="s">
        <v>103</v>
      </c>
      <c r="M716" s="1" t="s">
        <v>104</v>
      </c>
      <c r="N716" s="1" t="s">
        <v>7922</v>
      </c>
      <c r="O716" s="1" t="s">
        <v>106</v>
      </c>
      <c r="P716" s="1" t="s">
        <v>107</v>
      </c>
      <c r="Q716" s="1" t="s">
        <v>11485</v>
      </c>
      <c r="R716" s="1" t="s">
        <v>11486</v>
      </c>
      <c r="S716" s="1" t="s">
        <v>931</v>
      </c>
      <c r="Z716" s="1" t="s">
        <v>4094</v>
      </c>
      <c r="AA716" s="1" t="s">
        <v>11487</v>
      </c>
      <c r="AF716" s="1" t="s">
        <v>11488</v>
      </c>
      <c r="AG716" s="1">
        <v>6.99131437E9</v>
      </c>
      <c r="AJ716" s="1">
        <v>162.0</v>
      </c>
      <c r="AK716" s="1">
        <v>55.0</v>
      </c>
      <c r="AL716" s="1" t="s">
        <v>11489</v>
      </c>
      <c r="AM716" s="1" t="s">
        <v>11490</v>
      </c>
      <c r="AN716" s="7" t="s">
        <v>11491</v>
      </c>
      <c r="AO716" s="8" t="str">
        <f>HYPERLINK("https://docs.google.com/document/d/1ezuNEgrV2eEmlsqgwluBIxZyEInj9GaEqvJYuGtif5c/edit?usp=drivesdk","Al-Wildan 1 Gading Serpong_Nazmi syavira musti mawaddah S.H_PAI ENGLISH")</f>
        <v>Al-Wildan 1 Gading Serpong_Nazmi syavira musti mawaddah S.H_PAI ENGLISH</v>
      </c>
      <c r="AP716" s="1" t="s">
        <v>11492</v>
      </c>
    </row>
    <row r="717">
      <c r="A717" s="6">
        <v>44942.39939892361</v>
      </c>
      <c r="B717" s="7" t="s">
        <v>11493</v>
      </c>
      <c r="C717" s="8" t="s">
        <v>11494</v>
      </c>
      <c r="D717" s="1" t="s">
        <v>11465</v>
      </c>
      <c r="E717" s="9" t="s">
        <v>11466</v>
      </c>
      <c r="F717" s="1" t="s">
        <v>11467</v>
      </c>
      <c r="G717" s="1" t="s">
        <v>11495</v>
      </c>
      <c r="H717" s="1" t="s">
        <v>2458</v>
      </c>
      <c r="I717" s="9" t="s">
        <v>11469</v>
      </c>
      <c r="J717" s="1" t="s">
        <v>7117</v>
      </c>
      <c r="K717" s="1" t="s">
        <v>102</v>
      </c>
      <c r="L717" s="1" t="s">
        <v>103</v>
      </c>
      <c r="M717" s="1" t="s">
        <v>104</v>
      </c>
      <c r="N717" s="1" t="s">
        <v>5937</v>
      </c>
      <c r="O717" s="1" t="s">
        <v>236</v>
      </c>
      <c r="P717" s="1" t="s">
        <v>5712</v>
      </c>
      <c r="Q717" s="1" t="s">
        <v>192</v>
      </c>
      <c r="R717" s="1" t="s">
        <v>193</v>
      </c>
      <c r="S717" s="1" t="s">
        <v>11470</v>
      </c>
      <c r="Z717" s="1" t="s">
        <v>11496</v>
      </c>
      <c r="AA717" s="10">
        <v>3000000.0</v>
      </c>
      <c r="AB717" s="1" t="s">
        <v>11497</v>
      </c>
      <c r="AC717" s="10">
        <v>4200000.0</v>
      </c>
      <c r="AF717" s="10">
        <v>6000000.0</v>
      </c>
      <c r="AG717" s="1">
        <v>7.136356814E9</v>
      </c>
      <c r="AJ717" s="1">
        <v>177.0</v>
      </c>
      <c r="AK717" s="1">
        <v>85.0</v>
      </c>
      <c r="AL717" s="1" t="s">
        <v>11473</v>
      </c>
      <c r="AM717" s="1" t="s">
        <v>11498</v>
      </c>
      <c r="AN717" s="7" t="s">
        <v>11499</v>
      </c>
      <c r="AO717" s="8" t="str">
        <f>HYPERLINK("https://docs.google.com/document/d/1KMonfiPOsD4pn0gKitDhO3_6nCkvuFGwk1LQLblwaBI/edit?usp=drivesdk","Al-Wildan 3 BSD City_Syiwaprabu Sasrabhirawa, Lc._PAI English")</f>
        <v>Al-Wildan 3 BSD City_Syiwaprabu Sasrabhirawa, Lc._PAI English</v>
      </c>
      <c r="AP717" s="1" t="s">
        <v>11500</v>
      </c>
    </row>
    <row r="718">
      <c r="A718" s="6">
        <v>44942.442802777776</v>
      </c>
      <c r="B718" s="7" t="s">
        <v>11501</v>
      </c>
      <c r="C718" s="8" t="s">
        <v>11502</v>
      </c>
      <c r="D718" s="1" t="s">
        <v>11503</v>
      </c>
      <c r="E718" s="9" t="s">
        <v>11504</v>
      </c>
      <c r="F718" s="1" t="s">
        <v>11505</v>
      </c>
      <c r="G718" s="1" t="s">
        <v>11506</v>
      </c>
      <c r="H718" s="1" t="s">
        <v>1078</v>
      </c>
      <c r="I718" s="9" t="s">
        <v>11507</v>
      </c>
      <c r="J718" s="1" t="s">
        <v>11508</v>
      </c>
      <c r="K718" s="1" t="s">
        <v>151</v>
      </c>
      <c r="L718" s="1" t="s">
        <v>256</v>
      </c>
      <c r="M718" s="1" t="s">
        <v>104</v>
      </c>
      <c r="N718" s="1" t="s">
        <v>771</v>
      </c>
      <c r="O718" s="1" t="s">
        <v>312</v>
      </c>
      <c r="P718" s="1" t="s">
        <v>6044</v>
      </c>
      <c r="Q718" s="1" t="s">
        <v>11509</v>
      </c>
      <c r="R718" s="1" t="s">
        <v>238</v>
      </c>
      <c r="S718" s="1" t="s">
        <v>216</v>
      </c>
      <c r="Z718" s="1" t="s">
        <v>11510</v>
      </c>
      <c r="AA718" s="10">
        <v>4500000.0</v>
      </c>
      <c r="AB718" s="10">
        <v>6800000.0</v>
      </c>
      <c r="AF718" s="10">
        <v>8000000.0</v>
      </c>
      <c r="AH718" s="1">
        <v>1.220005885044E12</v>
      </c>
      <c r="AI718" s="1" t="s">
        <v>2119</v>
      </c>
      <c r="AJ718" s="1">
        <v>151.0</v>
      </c>
      <c r="AK718" s="1">
        <v>65.0</v>
      </c>
      <c r="AL718" s="1" t="s">
        <v>11511</v>
      </c>
      <c r="AM718" s="1" t="s">
        <v>11512</v>
      </c>
      <c r="AN718" s="7" t="s">
        <v>11513</v>
      </c>
      <c r="AO718" s="8" t="str">
        <f>HYPERLINK("https://docs.google.com/document/d/1hTtpTvU1u47jI3EswE6LuG5es1ikUgqdlgqr3e3C_T8/edit?usp=drivesdk","Al-Wildan Holding_DWI DIAN PRATIWI SS_English")</f>
        <v>Al-Wildan Holding_DWI DIAN PRATIWI SS_English</v>
      </c>
      <c r="AP718" s="1" t="s">
        <v>11514</v>
      </c>
    </row>
    <row r="719">
      <c r="A719" s="6">
        <v>44942.445592476855</v>
      </c>
      <c r="B719" s="7" t="s">
        <v>11515</v>
      </c>
      <c r="C719" s="8" t="s">
        <v>11516</v>
      </c>
      <c r="D719" s="1" t="s">
        <v>11517</v>
      </c>
      <c r="E719" s="9" t="s">
        <v>11518</v>
      </c>
      <c r="F719" s="1" t="s">
        <v>11519</v>
      </c>
      <c r="G719" s="1" t="s">
        <v>11520</v>
      </c>
      <c r="H719" s="1" t="s">
        <v>169</v>
      </c>
      <c r="I719" s="9" t="s">
        <v>11521</v>
      </c>
      <c r="J719" s="1" t="s">
        <v>610</v>
      </c>
      <c r="K719" s="1" t="s">
        <v>102</v>
      </c>
      <c r="L719" s="1" t="s">
        <v>103</v>
      </c>
      <c r="M719" s="1" t="s">
        <v>104</v>
      </c>
      <c r="N719" s="1" t="s">
        <v>152</v>
      </c>
      <c r="O719" s="1" t="s">
        <v>127</v>
      </c>
      <c r="P719" s="1" t="s">
        <v>6187</v>
      </c>
      <c r="Q719" s="1" t="s">
        <v>11522</v>
      </c>
      <c r="R719" s="1" t="s">
        <v>5612</v>
      </c>
      <c r="S719" s="1" t="s">
        <v>4892</v>
      </c>
      <c r="Z719" s="1" t="s">
        <v>11523</v>
      </c>
      <c r="AA719" s="10">
        <v>3500000.0</v>
      </c>
      <c r="AB719" s="1" t="s">
        <v>11524</v>
      </c>
      <c r="AC719" s="10">
        <v>3908000.0</v>
      </c>
      <c r="AD719" s="1" t="s">
        <v>217</v>
      </c>
      <c r="AE719" s="1" t="s">
        <v>217</v>
      </c>
      <c r="AF719" s="10">
        <v>5000000.0</v>
      </c>
      <c r="AG719" s="1">
        <v>8.39996959E9</v>
      </c>
      <c r="AJ719" s="1">
        <v>172.0</v>
      </c>
      <c r="AK719" s="1">
        <v>116.0</v>
      </c>
      <c r="AL719" s="1" t="s">
        <v>11525</v>
      </c>
      <c r="AM719" s="1" t="s">
        <v>11526</v>
      </c>
      <c r="AN719" s="7" t="s">
        <v>11527</v>
      </c>
      <c r="AO719" s="8" t="str">
        <f>HYPERLINK("https://docs.google.com/document/d/1lFWds_RZVhiYT9Db0t785u0EzmwrMhPJ_JWNVf-uZx8/edit?usp=drivesdk","Al-Wildan 14 Bumi Mutiara, Bogor_Aldy Kusnadi, S.S_Bahasa Inggris")</f>
        <v>Al-Wildan 14 Bumi Mutiara, Bogor_Aldy Kusnadi, S.S_Bahasa Inggris</v>
      </c>
      <c r="AP719" s="1" t="s">
        <v>11528</v>
      </c>
    </row>
    <row r="720">
      <c r="A720" s="6">
        <v>44942.50555400463</v>
      </c>
      <c r="B720" s="7" t="s">
        <v>11529</v>
      </c>
      <c r="C720" s="8" t="s">
        <v>11530</v>
      </c>
      <c r="D720" s="1" t="s">
        <v>11531</v>
      </c>
      <c r="E720" s="9" t="s">
        <v>11532</v>
      </c>
      <c r="F720" s="1" t="s">
        <v>11533</v>
      </c>
      <c r="G720" s="1" t="s">
        <v>11534</v>
      </c>
      <c r="H720" s="1" t="s">
        <v>2244</v>
      </c>
      <c r="I720" s="9" t="s">
        <v>11535</v>
      </c>
      <c r="J720" s="1" t="s">
        <v>11536</v>
      </c>
      <c r="K720" s="1" t="s">
        <v>102</v>
      </c>
      <c r="L720" s="1" t="s">
        <v>256</v>
      </c>
      <c r="M720" s="1" t="s">
        <v>6186</v>
      </c>
      <c r="O720" s="1" t="s">
        <v>10069</v>
      </c>
      <c r="P720" s="1" t="s">
        <v>11386</v>
      </c>
      <c r="Q720" s="1" t="s">
        <v>11537</v>
      </c>
      <c r="R720" s="1" t="s">
        <v>11538</v>
      </c>
      <c r="S720" s="1" t="s">
        <v>5590</v>
      </c>
      <c r="Z720" s="1" t="s">
        <v>11539</v>
      </c>
      <c r="AA720" s="10">
        <v>6500000.0</v>
      </c>
      <c r="AB720" s="1" t="s">
        <v>11540</v>
      </c>
      <c r="AC720" s="10">
        <v>4900000.0</v>
      </c>
      <c r="AF720" s="1" t="s">
        <v>6272</v>
      </c>
      <c r="AG720" s="1">
        <v>7.131877848E9</v>
      </c>
      <c r="AJ720" s="1">
        <v>181.0</v>
      </c>
      <c r="AK720" s="1">
        <v>80.0</v>
      </c>
      <c r="AL720" s="1" t="s">
        <v>11541</v>
      </c>
      <c r="AM720" s="1" t="s">
        <v>11542</v>
      </c>
      <c r="AN720" s="7" t="s">
        <v>11543</v>
      </c>
      <c r="AO720" s="8" t="str">
        <f>HYPERLINK("https://docs.google.com/document/d/1oRz1KX_zW7CuxntjmEpxCI0VWu0Sbe4x-ciFf0KBV9k/edit?usp=drivesdk","Al-Wildan 6 Depok_Hamzah Abdurrohman Alfajri, S.I.P, Al-Hafidz_")</f>
        <v>Al-Wildan 6 Depok_Hamzah Abdurrohman Alfajri, S.I.P, Al-Hafidz_</v>
      </c>
      <c r="AP720" s="1" t="s">
        <v>11544</v>
      </c>
    </row>
    <row r="721">
      <c r="A721" s="6">
        <v>44942.53297489583</v>
      </c>
      <c r="B721" s="7" t="s">
        <v>11545</v>
      </c>
      <c r="C721" s="8" t="s">
        <v>11546</v>
      </c>
      <c r="D721" s="1" t="s">
        <v>11547</v>
      </c>
      <c r="E721" s="9" t="s">
        <v>11548</v>
      </c>
      <c r="F721" s="1" t="s">
        <v>11549</v>
      </c>
      <c r="G721" s="1" t="s">
        <v>11550</v>
      </c>
      <c r="H721" s="1" t="s">
        <v>11551</v>
      </c>
      <c r="I721" s="9" t="s">
        <v>7222</v>
      </c>
      <c r="J721" s="1" t="s">
        <v>6813</v>
      </c>
      <c r="K721" s="1" t="s">
        <v>151</v>
      </c>
      <c r="L721" s="1" t="s">
        <v>103</v>
      </c>
      <c r="M721" s="1" t="s">
        <v>6186</v>
      </c>
      <c r="O721" s="1" t="s">
        <v>10069</v>
      </c>
      <c r="P721" s="1" t="s">
        <v>11168</v>
      </c>
      <c r="Q721" s="1" t="s">
        <v>11552</v>
      </c>
      <c r="R721" s="1" t="s">
        <v>11553</v>
      </c>
      <c r="S721" s="1" t="s">
        <v>155</v>
      </c>
      <c r="Z721" s="1" t="s">
        <v>11554</v>
      </c>
      <c r="AA721" s="10">
        <v>3000000.0</v>
      </c>
      <c r="AF721" s="1" t="s">
        <v>217</v>
      </c>
      <c r="AG721" s="1">
        <v>7.129951839E9</v>
      </c>
      <c r="AI721" s="1" t="s">
        <v>11555</v>
      </c>
      <c r="AJ721" s="1">
        <v>163.0</v>
      </c>
      <c r="AK721" s="1">
        <v>64.0</v>
      </c>
      <c r="AL721" s="1" t="s">
        <v>11556</v>
      </c>
      <c r="AM721" s="1" t="s">
        <v>11557</v>
      </c>
      <c r="AN721" s="7" t="s">
        <v>11558</v>
      </c>
      <c r="AO721" s="8" t="str">
        <f>HYPERLINK("https://docs.google.com/document/d/17kSw5WbZ246LUy1t6Tuvidw156Mu4komvyx1cbF-7hc/edit?usp=drivesdk","Al-Wildan 8 Parung_Muhammad Suhada S.E_")</f>
        <v>Al-Wildan 8 Parung_Muhammad Suhada S.E_</v>
      </c>
      <c r="AP721" s="1" t="s">
        <v>11559</v>
      </c>
    </row>
    <row r="722">
      <c r="A722" s="6">
        <v>44942.87370185185</v>
      </c>
      <c r="B722" s="7" t="s">
        <v>11560</v>
      </c>
      <c r="C722" s="8" t="s">
        <v>11561</v>
      </c>
      <c r="D722" s="1" t="s">
        <v>11562</v>
      </c>
      <c r="E722" s="9" t="s">
        <v>11563</v>
      </c>
      <c r="F722" s="1" t="s">
        <v>11564</v>
      </c>
      <c r="G722" s="1" t="s">
        <v>7320</v>
      </c>
      <c r="H722" s="1" t="s">
        <v>1255</v>
      </c>
      <c r="I722" s="9" t="s">
        <v>11565</v>
      </c>
      <c r="J722" s="1" t="s">
        <v>2737</v>
      </c>
      <c r="K722" s="1" t="s">
        <v>151</v>
      </c>
      <c r="L722" s="1" t="s">
        <v>496</v>
      </c>
      <c r="M722" s="1" t="s">
        <v>104</v>
      </c>
      <c r="N722" s="1" t="s">
        <v>11566</v>
      </c>
      <c r="O722" s="1" t="s">
        <v>127</v>
      </c>
      <c r="P722" s="1" t="s">
        <v>7162</v>
      </c>
      <c r="Q722" s="1" t="s">
        <v>11567</v>
      </c>
      <c r="R722" s="1" t="s">
        <v>11568</v>
      </c>
      <c r="S722" s="1" t="s">
        <v>277</v>
      </c>
      <c r="Z722" s="1" t="s">
        <v>11569</v>
      </c>
      <c r="AA722" s="10">
        <v>1500000.0</v>
      </c>
      <c r="AB722" s="1" t="s">
        <v>11570</v>
      </c>
      <c r="AC722" s="10">
        <v>3500000.0</v>
      </c>
      <c r="AF722" s="10">
        <v>4500000.0</v>
      </c>
      <c r="AG722" s="1">
        <v>7.210900602E9</v>
      </c>
      <c r="AJ722" s="1">
        <v>152.0</v>
      </c>
      <c r="AK722" s="1">
        <v>54.0</v>
      </c>
      <c r="AL722" s="1" t="s">
        <v>11571</v>
      </c>
      <c r="AM722" s="1" t="s">
        <v>11572</v>
      </c>
      <c r="AN722" s="7" t="s">
        <v>11573</v>
      </c>
      <c r="AO722" s="8" t="str">
        <f>HYPERLINK("https://docs.google.com/document/d/1k_Hdmalj5eh50nZdOsfVWPqYhmIHCqqz5FWcCNftANc/edit?usp=drivesdk","Al-Wildan 7 Serang_Siti Barokah, S.Pd_Guru IPA Biologi")</f>
        <v>Al-Wildan 7 Serang_Siti Barokah, S.Pd_Guru IPA Biologi</v>
      </c>
      <c r="AP722" s="1" t="s">
        <v>11574</v>
      </c>
    </row>
    <row r="723">
      <c r="A723" s="6">
        <v>44943.54949365741</v>
      </c>
      <c r="B723" s="7" t="s">
        <v>11575</v>
      </c>
      <c r="C723" s="8" t="s">
        <v>11576</v>
      </c>
      <c r="D723" s="1" t="s">
        <v>11577</v>
      </c>
      <c r="E723" s="9" t="s">
        <v>11578</v>
      </c>
      <c r="F723" s="1" t="s">
        <v>5157</v>
      </c>
      <c r="G723" s="1" t="s">
        <v>11579</v>
      </c>
      <c r="H723" s="1" t="s">
        <v>5159</v>
      </c>
      <c r="I723" s="9" t="s">
        <v>5160</v>
      </c>
      <c r="J723" s="1" t="s">
        <v>11580</v>
      </c>
      <c r="K723" s="1" t="s">
        <v>151</v>
      </c>
      <c r="L723" s="1" t="s">
        <v>329</v>
      </c>
      <c r="M723" s="1" t="s">
        <v>104</v>
      </c>
      <c r="N723" s="1" t="s">
        <v>2691</v>
      </c>
      <c r="O723" s="1" t="s">
        <v>127</v>
      </c>
      <c r="P723" s="1" t="s">
        <v>107</v>
      </c>
      <c r="Q723" s="1" t="s">
        <v>11581</v>
      </c>
      <c r="R723" s="1">
        <v>1.0</v>
      </c>
      <c r="S723" s="1" t="s">
        <v>479</v>
      </c>
      <c r="Z723" s="1" t="s">
        <v>11582</v>
      </c>
      <c r="AB723" s="1" t="s">
        <v>11583</v>
      </c>
      <c r="AD723" s="1" t="s">
        <v>11584</v>
      </c>
      <c r="AF723" s="10">
        <v>5000000.0</v>
      </c>
      <c r="AG723" s="1">
        <v>8.96895921E9</v>
      </c>
      <c r="AJ723" s="1">
        <v>155.0</v>
      </c>
      <c r="AK723" s="1">
        <v>45.0</v>
      </c>
      <c r="AL723" s="1" t="s">
        <v>5163</v>
      </c>
      <c r="AM723" s="1" t="s">
        <v>11585</v>
      </c>
      <c r="AN723" s="7" t="s">
        <v>11586</v>
      </c>
      <c r="AO723" s="8" t="str">
        <f>HYPERLINK("https://docs.google.com/document/d/1MMz5Vymxf6MzoD2zs7wcXyHg3wNDxV3LbYxxnndmVP8/edit?usp=drivesdk","Al-Wildan 1 Gading Serpong_Putri Anggra Sari,  S. Ag_Al Quran")</f>
        <v>Al-Wildan 1 Gading Serpong_Putri Anggra Sari,  S. Ag_Al Quran</v>
      </c>
      <c r="AP723" s="1" t="s">
        <v>11587</v>
      </c>
    </row>
    <row r="724">
      <c r="A724" s="6">
        <v>44943.59442903935</v>
      </c>
      <c r="B724" s="7" t="s">
        <v>11588</v>
      </c>
      <c r="C724" s="8" t="s">
        <v>11589</v>
      </c>
      <c r="D724" s="1" t="s">
        <v>11577</v>
      </c>
      <c r="E724" s="9" t="s">
        <v>11578</v>
      </c>
      <c r="F724" s="1" t="s">
        <v>5157</v>
      </c>
      <c r="G724" s="1" t="s">
        <v>11579</v>
      </c>
      <c r="H724" s="1" t="s">
        <v>5159</v>
      </c>
      <c r="I724" s="9" t="s">
        <v>11590</v>
      </c>
      <c r="J724" s="1" t="s">
        <v>5447</v>
      </c>
      <c r="K724" s="1" t="s">
        <v>151</v>
      </c>
      <c r="L724" s="1" t="s">
        <v>329</v>
      </c>
      <c r="M724" s="1" t="s">
        <v>104</v>
      </c>
      <c r="N724" s="1" t="s">
        <v>2691</v>
      </c>
      <c r="O724" s="1" t="s">
        <v>127</v>
      </c>
      <c r="P724" s="1" t="s">
        <v>107</v>
      </c>
      <c r="Q724" s="1" t="s">
        <v>11591</v>
      </c>
      <c r="R724" s="1" t="s">
        <v>11592</v>
      </c>
      <c r="S724" s="1" t="s">
        <v>479</v>
      </c>
      <c r="Z724" s="1" t="s">
        <v>11593</v>
      </c>
      <c r="AB724" s="1" t="s">
        <v>11594</v>
      </c>
      <c r="AD724" s="1" t="s">
        <v>11595</v>
      </c>
      <c r="AE724" s="10">
        <v>3850.0</v>
      </c>
      <c r="AF724" s="10">
        <v>5000000.0</v>
      </c>
      <c r="AG724" s="1">
        <v>8.96895921E9</v>
      </c>
      <c r="AJ724" s="1">
        <v>155.0</v>
      </c>
      <c r="AK724" s="1">
        <v>45.0</v>
      </c>
      <c r="AL724" s="1" t="s">
        <v>5163</v>
      </c>
      <c r="AM724" s="1" t="s">
        <v>11596</v>
      </c>
      <c r="AN724" s="7" t="s">
        <v>11597</v>
      </c>
      <c r="AO724" s="8" t="str">
        <f>HYPERLINK("https://docs.google.com/document/d/188j58W5CLFopF9aatJQZu_6OyJSlOK_KMenkdPvLMM4/edit?usp=drivesdk","Al-Wildan 1 Gading Serpong_Putri Anggra Sari,  S. Ag_Al Quran")</f>
        <v>Al-Wildan 1 Gading Serpong_Putri Anggra Sari,  S. Ag_Al Quran</v>
      </c>
      <c r="AP724" s="1" t="s">
        <v>11598</v>
      </c>
    </row>
    <row r="725">
      <c r="A725" s="6">
        <v>44951.50058680556</v>
      </c>
      <c r="B725" s="7" t="s">
        <v>11599</v>
      </c>
      <c r="C725" s="8" t="s">
        <v>11600</v>
      </c>
      <c r="D725" s="1" t="s">
        <v>11601</v>
      </c>
      <c r="E725" s="9" t="s">
        <v>11602</v>
      </c>
      <c r="F725" s="1" t="s">
        <v>11603</v>
      </c>
      <c r="G725" s="1" t="s">
        <v>11604</v>
      </c>
      <c r="H725" s="1" t="s">
        <v>3033</v>
      </c>
      <c r="I725" s="9" t="s">
        <v>11605</v>
      </c>
      <c r="J725" s="1" t="s">
        <v>11606</v>
      </c>
      <c r="K725" s="1" t="s">
        <v>151</v>
      </c>
      <c r="L725" s="1" t="s">
        <v>103</v>
      </c>
      <c r="M725" s="1" t="s">
        <v>104</v>
      </c>
      <c r="N725" s="1" t="s">
        <v>1275</v>
      </c>
      <c r="O725" s="1" t="s">
        <v>127</v>
      </c>
      <c r="P725" s="1" t="s">
        <v>237</v>
      </c>
      <c r="Q725" s="1" t="s">
        <v>11607</v>
      </c>
      <c r="R725" s="1" t="s">
        <v>1275</v>
      </c>
      <c r="S725" s="1" t="s">
        <v>6661</v>
      </c>
      <c r="T725" s="1" t="s">
        <v>1362</v>
      </c>
      <c r="U725" s="1" t="s">
        <v>1275</v>
      </c>
      <c r="V725" s="1" t="s">
        <v>134</v>
      </c>
      <c r="Z725" s="1" t="s">
        <v>11608</v>
      </c>
      <c r="AA725" s="1" t="s">
        <v>11609</v>
      </c>
      <c r="AB725" s="1" t="s">
        <v>11610</v>
      </c>
      <c r="AC725" s="10">
        <v>1500000.0</v>
      </c>
      <c r="AF725" s="10">
        <v>5000000.0</v>
      </c>
      <c r="AH725" s="1">
        <v>5.62001016128532E14</v>
      </c>
      <c r="AI725" s="1" t="s">
        <v>2407</v>
      </c>
      <c r="AJ725" s="1">
        <v>160.0</v>
      </c>
      <c r="AK725" s="1">
        <v>54.0</v>
      </c>
      <c r="AL725" s="1" t="s">
        <v>11611</v>
      </c>
      <c r="AM725" s="1" t="s">
        <v>11612</v>
      </c>
      <c r="AN725" s="7" t="s">
        <v>11613</v>
      </c>
      <c r="AO725" s="8" t="str">
        <f>HYPERLINK("https://docs.google.com/document/d/1OT8PdHfCAc5igp-rA97bDWaN-MbX-wC9NVyPSnQpuf0/edit?usp=drivesdk","Al-Wildan 4 Lebak Bulus_Riziq Ilham Nurfahmi, M.Si_Biologi")</f>
        <v>Al-Wildan 4 Lebak Bulus_Riziq Ilham Nurfahmi, M.Si_Biologi</v>
      </c>
      <c r="AP725" s="1" t="s">
        <v>11614</v>
      </c>
    </row>
    <row r="726">
      <c r="A726" s="6">
        <v>44951.515342604165</v>
      </c>
      <c r="B726" s="7" t="s">
        <v>11615</v>
      </c>
      <c r="C726" s="8" t="s">
        <v>11616</v>
      </c>
      <c r="D726" s="1" t="s">
        <v>11617</v>
      </c>
      <c r="E726" s="9" t="s">
        <v>11618</v>
      </c>
      <c r="F726" s="1" t="s">
        <v>11619</v>
      </c>
      <c r="G726" s="1" t="s">
        <v>11620</v>
      </c>
      <c r="H726" s="1" t="s">
        <v>2523</v>
      </c>
      <c r="I726" s="1" t="s">
        <v>11621</v>
      </c>
      <c r="J726" s="1" t="s">
        <v>11622</v>
      </c>
      <c r="K726" s="1" t="s">
        <v>1235</v>
      </c>
      <c r="L726" s="1" t="s">
        <v>310</v>
      </c>
      <c r="M726" s="1" t="s">
        <v>9169</v>
      </c>
      <c r="O726" s="1" t="s">
        <v>10069</v>
      </c>
      <c r="P726" s="1" t="s">
        <v>107</v>
      </c>
      <c r="Z726" s="1" t="s">
        <v>11623</v>
      </c>
      <c r="AA726" s="10">
        <v>8000000.0</v>
      </c>
      <c r="AB726" s="1" t="s">
        <v>11624</v>
      </c>
      <c r="AC726" s="10">
        <v>1.5E7</v>
      </c>
      <c r="AD726" s="1" t="s">
        <v>11625</v>
      </c>
      <c r="AE726" s="10">
        <v>6000000.0</v>
      </c>
      <c r="AF726" s="1" t="s">
        <v>11626</v>
      </c>
      <c r="AG726" s="1">
        <v>7.132071367E9</v>
      </c>
      <c r="AJ726" s="1">
        <v>160.0</v>
      </c>
      <c r="AK726" s="1">
        <v>68.0</v>
      </c>
      <c r="AL726" s="1" t="s">
        <v>11627</v>
      </c>
      <c r="AM726" s="1" t="s">
        <v>11628</v>
      </c>
      <c r="AN726" s="7" t="s">
        <v>11629</v>
      </c>
      <c r="AO726" s="8" t="str">
        <f>HYPERLINK("https://docs.google.com/document/d/1Q9mPxnwvYMJ2J6vs604fim3xCbm5tL77FDz2-p_7ecA/edit?usp=drivesdk","Al-Wildan 1 Gading Serpong_Eliza Rahmi_")</f>
        <v>Al-Wildan 1 Gading Serpong_Eliza Rahmi_</v>
      </c>
      <c r="AP726" s="1" t="s">
        <v>11630</v>
      </c>
    </row>
    <row r="727">
      <c r="A727" s="6">
        <v>44953.78273601852</v>
      </c>
      <c r="B727" s="7" t="s">
        <v>11631</v>
      </c>
      <c r="C727" s="8" t="s">
        <v>11632</v>
      </c>
      <c r="D727" s="1" t="s">
        <v>11633</v>
      </c>
      <c r="E727" s="9" t="s">
        <v>11634</v>
      </c>
      <c r="F727" s="1" t="s">
        <v>11635</v>
      </c>
      <c r="G727" s="1" t="s">
        <v>11636</v>
      </c>
      <c r="H727" s="1" t="s">
        <v>288</v>
      </c>
      <c r="I727" s="9" t="s">
        <v>11637</v>
      </c>
      <c r="J727" s="1" t="s">
        <v>986</v>
      </c>
      <c r="K727" s="1" t="s">
        <v>151</v>
      </c>
      <c r="L727" s="1" t="s">
        <v>103</v>
      </c>
      <c r="M727" s="1" t="s">
        <v>104</v>
      </c>
      <c r="N727" s="1" t="s">
        <v>152</v>
      </c>
      <c r="O727" s="1" t="s">
        <v>127</v>
      </c>
      <c r="P727" s="1" t="s">
        <v>7162</v>
      </c>
      <c r="Q727" s="1" t="s">
        <v>291</v>
      </c>
      <c r="R727" s="1" t="s">
        <v>172</v>
      </c>
      <c r="S727" s="1" t="s">
        <v>4513</v>
      </c>
      <c r="T727" s="1" t="s">
        <v>291</v>
      </c>
      <c r="U727" s="1" t="s">
        <v>172</v>
      </c>
      <c r="V727" s="1" t="s">
        <v>7147</v>
      </c>
      <c r="Z727" s="1" t="s">
        <v>11638</v>
      </c>
      <c r="AA727" s="1" t="s">
        <v>11639</v>
      </c>
      <c r="AF727" s="1" t="s">
        <v>6629</v>
      </c>
      <c r="AJ727" s="1">
        <v>160.0</v>
      </c>
      <c r="AK727" s="1">
        <v>52.0</v>
      </c>
      <c r="AL727" s="1" t="s">
        <v>11640</v>
      </c>
      <c r="AM727" s="1" t="s">
        <v>11641</v>
      </c>
      <c r="AN727" s="7" t="s">
        <v>11642</v>
      </c>
      <c r="AO727" s="8" t="str">
        <f>HYPERLINK("https://docs.google.com/document/d/1A1GDIFsgV9tL7gRAKUAenaVsXQxfUkh779bblCfYMrQ/edit?usp=drivesdk","Al-Wildan 7 Serang_Lita Tri Lestari, M.Pd._Bahasa Inggris")</f>
        <v>Al-Wildan 7 Serang_Lita Tri Lestari, M.Pd._Bahasa Inggris</v>
      </c>
      <c r="AP727" s="1" t="s">
        <v>11643</v>
      </c>
    </row>
    <row r="728">
      <c r="A728" s="6">
        <v>44956.40440798611</v>
      </c>
      <c r="B728" s="7" t="s">
        <v>11644</v>
      </c>
      <c r="C728" s="8" t="s">
        <v>11645</v>
      </c>
      <c r="D728" s="1" t="s">
        <v>11646</v>
      </c>
      <c r="E728" s="9" t="s">
        <v>11647</v>
      </c>
      <c r="F728" s="1" t="s">
        <v>11648</v>
      </c>
      <c r="G728" s="1" t="s">
        <v>11649</v>
      </c>
      <c r="H728" s="1" t="s">
        <v>685</v>
      </c>
      <c r="I728" s="9" t="s">
        <v>11650</v>
      </c>
      <c r="J728" s="1" t="s">
        <v>11651</v>
      </c>
      <c r="K728" s="1" t="s">
        <v>102</v>
      </c>
      <c r="L728" s="1" t="s">
        <v>103</v>
      </c>
      <c r="M728" s="1" t="s">
        <v>104</v>
      </c>
      <c r="N728" s="1" t="s">
        <v>9137</v>
      </c>
      <c r="O728" s="1" t="s">
        <v>127</v>
      </c>
      <c r="P728" s="1" t="s">
        <v>11168</v>
      </c>
      <c r="Q728" s="1" t="s">
        <v>11652</v>
      </c>
      <c r="R728" s="1" t="s">
        <v>11653</v>
      </c>
      <c r="S728" s="1" t="s">
        <v>831</v>
      </c>
      <c r="Z728" s="1" t="s">
        <v>11654</v>
      </c>
      <c r="AA728" s="10">
        <v>2500000.0</v>
      </c>
      <c r="AB728" s="1" t="s">
        <v>11655</v>
      </c>
      <c r="AC728" s="10">
        <v>3500000.0</v>
      </c>
      <c r="AF728" s="10">
        <v>4500000.0</v>
      </c>
      <c r="AJ728" s="1">
        <v>159.0</v>
      </c>
      <c r="AK728" s="1">
        <v>55.0</v>
      </c>
      <c r="AL728" s="1" t="s">
        <v>11656</v>
      </c>
      <c r="AM728" s="1" t="s">
        <v>11657</v>
      </c>
      <c r="AN728" s="7" t="s">
        <v>11658</v>
      </c>
      <c r="AO728" s="8" t="str">
        <f>HYPERLINK("https://docs.google.com/document/d/12tRdpTrPADXqMfAqKJe8yOqbxazEnvsLSIMiPsRbXNM/edit?usp=drivesdk","Al-Wildan 8 Parung_Mohammad Anshori, S.S_English Teacher")</f>
        <v>Al-Wildan 8 Parung_Mohammad Anshori, S.S_English Teacher</v>
      </c>
      <c r="AP728" s="1" t="s">
        <v>11659</v>
      </c>
    </row>
    <row r="729">
      <c r="A729" s="6">
        <v>44966.774734942126</v>
      </c>
      <c r="B729" s="7" t="s">
        <v>11660</v>
      </c>
      <c r="C729" s="8" t="s">
        <v>11661</v>
      </c>
      <c r="D729" s="1" t="s">
        <v>11662</v>
      </c>
      <c r="E729" s="9" t="s">
        <v>11663</v>
      </c>
      <c r="F729" s="1" t="s">
        <v>11664</v>
      </c>
      <c r="G729" s="1" t="s">
        <v>11665</v>
      </c>
      <c r="H729" s="1" t="s">
        <v>1255</v>
      </c>
      <c r="I729" s="9" t="s">
        <v>11666</v>
      </c>
      <c r="J729" s="1" t="s">
        <v>6642</v>
      </c>
      <c r="K729" s="1" t="s">
        <v>102</v>
      </c>
      <c r="L729" s="1" t="s">
        <v>103</v>
      </c>
      <c r="M729" s="1" t="s">
        <v>104</v>
      </c>
      <c r="N729" s="1" t="s">
        <v>152</v>
      </c>
      <c r="O729" s="1" t="s">
        <v>127</v>
      </c>
      <c r="P729" s="1" t="s">
        <v>11168</v>
      </c>
      <c r="Q729" s="1" t="s">
        <v>153</v>
      </c>
      <c r="R729" s="1" t="s">
        <v>11667</v>
      </c>
      <c r="S729" s="1" t="s">
        <v>2582</v>
      </c>
      <c r="U729" s="1" t="s">
        <v>11668</v>
      </c>
      <c r="V729" s="1" t="s">
        <v>1060</v>
      </c>
      <c r="Z729" s="1" t="s">
        <v>11669</v>
      </c>
      <c r="AA729" s="1">
        <v>6000000.0</v>
      </c>
      <c r="AB729" s="1" t="s">
        <v>11670</v>
      </c>
      <c r="AC729" s="1">
        <v>2500000.0</v>
      </c>
      <c r="AD729" s="1" t="s">
        <v>11671</v>
      </c>
      <c r="AE729" s="1">
        <v>5000000.0</v>
      </c>
      <c r="AF729" s="1">
        <v>8500000.0</v>
      </c>
      <c r="AG729" s="1">
        <v>7.178455057E9</v>
      </c>
      <c r="AJ729" s="1">
        <v>147.0</v>
      </c>
      <c r="AK729" s="1">
        <v>41.0</v>
      </c>
      <c r="AL729" s="1" t="s">
        <v>11672</v>
      </c>
      <c r="AM729" s="1" t="s">
        <v>11673</v>
      </c>
      <c r="AN729" s="7" t="s">
        <v>11674</v>
      </c>
      <c r="AO729" s="8" t="str">
        <f>HYPERLINK("https://docs.google.com/document/d/15YmNT-8Y_OEGuu26x_8yMQBBweAJ9_HmPgsEuRJ9OlU/edit?usp=drivesdk","Al-Wildan 8 Parung_Ria Anggraeni, S.Pd., MT._Bahasa Inggris")</f>
        <v>Al-Wildan 8 Parung_Ria Anggraeni, S.Pd., MT._Bahasa Inggris</v>
      </c>
      <c r="AP729" s="1" t="s">
        <v>11675</v>
      </c>
    </row>
    <row r="730">
      <c r="A730" s="6">
        <v>44966.99824877315</v>
      </c>
      <c r="B730" s="7" t="s">
        <v>11676</v>
      </c>
      <c r="C730" s="8" t="s">
        <v>11677</v>
      </c>
      <c r="D730" s="1" t="s">
        <v>11678</v>
      </c>
      <c r="E730" s="9" t="s">
        <v>11679</v>
      </c>
      <c r="F730" s="1" t="s">
        <v>11680</v>
      </c>
      <c r="G730" s="1" t="s">
        <v>11681</v>
      </c>
      <c r="H730" s="1" t="s">
        <v>11682</v>
      </c>
      <c r="I730" s="9" t="s">
        <v>11683</v>
      </c>
      <c r="J730" s="1" t="s">
        <v>6185</v>
      </c>
      <c r="K730" s="1" t="s">
        <v>1235</v>
      </c>
      <c r="L730" s="1" t="s">
        <v>103</v>
      </c>
      <c r="M730" s="1" t="s">
        <v>104</v>
      </c>
      <c r="N730" s="1" t="s">
        <v>11684</v>
      </c>
      <c r="O730" s="1" t="s">
        <v>312</v>
      </c>
      <c r="P730" s="1" t="s">
        <v>237</v>
      </c>
      <c r="Q730" s="1" t="s">
        <v>11685</v>
      </c>
      <c r="R730" s="1" t="s">
        <v>172</v>
      </c>
      <c r="S730" s="1" t="s">
        <v>411</v>
      </c>
      <c r="T730" s="1" t="s">
        <v>3409</v>
      </c>
      <c r="U730" s="1" t="s">
        <v>172</v>
      </c>
      <c r="V730" s="1" t="s">
        <v>5523</v>
      </c>
      <c r="Z730" s="1" t="s">
        <v>11686</v>
      </c>
      <c r="AA730" s="10">
        <v>4000000.0</v>
      </c>
      <c r="AB730" s="1" t="s">
        <v>11687</v>
      </c>
      <c r="AC730" s="10">
        <v>5500000.0</v>
      </c>
      <c r="AF730" s="1" t="s">
        <v>757</v>
      </c>
      <c r="AG730" s="1">
        <v>7.100228798E9</v>
      </c>
      <c r="AJ730" s="1">
        <v>160.0</v>
      </c>
      <c r="AK730" s="1">
        <v>65.0</v>
      </c>
      <c r="AL730" s="1" t="s">
        <v>11688</v>
      </c>
      <c r="AM730" s="1" t="s">
        <v>11689</v>
      </c>
      <c r="AN730" s="7" t="s">
        <v>11690</v>
      </c>
      <c r="AO730" s="8" t="str">
        <f>HYPERLINK("https://docs.google.com/document/d/1Drwa3-FnJW5kIXEUINuKYk-XOCcdY97w0zXCfXGAsZ4/edit?usp=drivesdk","Al-Wildan 4 Lebak Bulus_Nurwahidah,M.Pd_English, Science,, Math")</f>
        <v>Al-Wildan 4 Lebak Bulus_Nurwahidah,M.Pd_English, Science,, Math</v>
      </c>
      <c r="AP730" s="1" t="s">
        <v>11691</v>
      </c>
    </row>
    <row r="731">
      <c r="A731" s="6">
        <v>44967.42077332176</v>
      </c>
      <c r="B731" s="7" t="s">
        <v>11692</v>
      </c>
      <c r="C731" s="8" t="s">
        <v>11693</v>
      </c>
      <c r="D731" s="1" t="s">
        <v>11694</v>
      </c>
      <c r="E731" s="9" t="s">
        <v>11695</v>
      </c>
      <c r="F731" s="1">
        <v>3.27701710891001E15</v>
      </c>
      <c r="G731" s="1" t="s">
        <v>11696</v>
      </c>
      <c r="H731" s="1" t="s">
        <v>7578</v>
      </c>
      <c r="I731" s="9" t="s">
        <v>11697</v>
      </c>
      <c r="J731" s="1" t="s">
        <v>4311</v>
      </c>
      <c r="K731" s="1" t="s">
        <v>151</v>
      </c>
      <c r="L731" s="1" t="s">
        <v>256</v>
      </c>
      <c r="M731" s="1" t="s">
        <v>104</v>
      </c>
      <c r="N731" s="1" t="s">
        <v>152</v>
      </c>
      <c r="O731" s="1" t="s">
        <v>127</v>
      </c>
      <c r="P731" s="1" t="s">
        <v>6187</v>
      </c>
      <c r="Q731" s="1" t="s">
        <v>153</v>
      </c>
      <c r="R731" s="1" t="s">
        <v>172</v>
      </c>
      <c r="S731" s="1" t="s">
        <v>426</v>
      </c>
      <c r="Z731" s="1" t="s">
        <v>11698</v>
      </c>
      <c r="AA731" s="10">
        <v>5000000.0</v>
      </c>
      <c r="AF731" s="10">
        <v>6000000.0</v>
      </c>
      <c r="AG731" s="1">
        <v>6.03996357E9</v>
      </c>
      <c r="AJ731" s="1">
        <v>160.0</v>
      </c>
      <c r="AK731" s="1">
        <v>55.0</v>
      </c>
      <c r="AL731" s="1" t="s">
        <v>11699</v>
      </c>
      <c r="AM731" s="1" t="s">
        <v>11700</v>
      </c>
      <c r="AN731" s="7" t="s">
        <v>11701</v>
      </c>
      <c r="AO731" s="8" t="str">
        <f>HYPERLINK("https://docs.google.com/document/d/1Cjq9aF5DiRstghRVtgtYmpX4DcphIGiCjUD7vB4Bz4g/edit?usp=drivesdk","Al-Wildan 14 Bumi Mutiara, Bogor_Siti Nur Hardiani, S.Pd._Bahasa Inggris")</f>
        <v>Al-Wildan 14 Bumi Mutiara, Bogor_Siti Nur Hardiani, S.Pd._Bahasa Inggris</v>
      </c>
      <c r="AP731" s="1" t="s">
        <v>11702</v>
      </c>
    </row>
    <row r="732">
      <c r="A732" s="6">
        <v>44972.52271738426</v>
      </c>
      <c r="B732" s="7" t="s">
        <v>11703</v>
      </c>
      <c r="C732" s="8" t="s">
        <v>11704</v>
      </c>
      <c r="D732" s="1" t="s">
        <v>11705</v>
      </c>
      <c r="E732" s="9" t="s">
        <v>11706</v>
      </c>
      <c r="F732" s="1" t="s">
        <v>11707</v>
      </c>
      <c r="G732" s="1" t="s">
        <v>11708</v>
      </c>
      <c r="H732" s="1" t="s">
        <v>11708</v>
      </c>
      <c r="I732" s="9" t="s">
        <v>11709</v>
      </c>
      <c r="J732" s="1" t="s">
        <v>6917</v>
      </c>
      <c r="K732" s="1" t="s">
        <v>151</v>
      </c>
      <c r="L732" s="1" t="s">
        <v>256</v>
      </c>
      <c r="M732" s="1" t="s">
        <v>104</v>
      </c>
      <c r="N732" s="1" t="s">
        <v>152</v>
      </c>
      <c r="O732" s="1" t="s">
        <v>9794</v>
      </c>
      <c r="P732" s="1" t="s">
        <v>7162</v>
      </c>
      <c r="Q732" s="1" t="s">
        <v>11710</v>
      </c>
      <c r="R732" s="1" t="s">
        <v>172</v>
      </c>
      <c r="S732" s="9" t="s">
        <v>6976</v>
      </c>
      <c r="Z732" s="1" t="s">
        <v>11711</v>
      </c>
      <c r="AA732" s="10">
        <v>1500000.0</v>
      </c>
      <c r="AB732" s="1" t="s">
        <v>11712</v>
      </c>
      <c r="AC732" s="10">
        <v>1800000.0</v>
      </c>
      <c r="AE732" s="10">
        <v>3000000.0</v>
      </c>
      <c r="AH732" s="1">
        <v>5.420890135E9</v>
      </c>
      <c r="AI732" s="1" t="s">
        <v>222</v>
      </c>
      <c r="AJ732" s="1">
        <v>157.0</v>
      </c>
      <c r="AK732" s="1">
        <v>83.0</v>
      </c>
      <c r="AL732" s="1" t="s">
        <v>11713</v>
      </c>
      <c r="AM732" s="1" t="s">
        <v>11714</v>
      </c>
      <c r="AN732" s="7" t="s">
        <v>11715</v>
      </c>
      <c r="AO732" s="8" t="str">
        <f>HYPERLINK("https://docs.google.com/document/d/1AY9QDKls2DJ8oey3WGz3UhaH3V76xp6qcvPSSVthqDo/edit?usp=drivesdk","Al-Wildan 7 Serang_Julia Eviana S.Pd_Bahasa Inggris")</f>
        <v>Al-Wildan 7 Serang_Julia Eviana S.Pd_Bahasa Inggris</v>
      </c>
      <c r="AP732" s="1" t="s">
        <v>11716</v>
      </c>
    </row>
    <row r="733">
      <c r="A733" s="6">
        <v>44976.67120736111</v>
      </c>
      <c r="B733" s="7" t="s">
        <v>11717</v>
      </c>
      <c r="C733" s="8" t="s">
        <v>11718</v>
      </c>
      <c r="D733" s="1" t="s">
        <v>11719</v>
      </c>
      <c r="E733" s="9" t="s">
        <v>11720</v>
      </c>
      <c r="F733" s="1" t="s">
        <v>11721</v>
      </c>
      <c r="G733" s="1" t="s">
        <v>11722</v>
      </c>
      <c r="H733" s="1" t="s">
        <v>11723</v>
      </c>
      <c r="I733" s="9" t="s">
        <v>11724</v>
      </c>
      <c r="J733" s="1" t="s">
        <v>11725</v>
      </c>
      <c r="K733" s="1" t="s">
        <v>151</v>
      </c>
      <c r="L733" s="1" t="s">
        <v>256</v>
      </c>
      <c r="M733" s="1" t="s">
        <v>104</v>
      </c>
      <c r="N733" s="1" t="s">
        <v>10004</v>
      </c>
      <c r="O733" s="1" t="s">
        <v>312</v>
      </c>
      <c r="P733" s="1" t="s">
        <v>7162</v>
      </c>
      <c r="Q733" s="1" t="s">
        <v>11726</v>
      </c>
      <c r="R733" s="1" t="s">
        <v>2584</v>
      </c>
      <c r="S733" s="1" t="s">
        <v>6338</v>
      </c>
      <c r="T733" s="1" t="s">
        <v>217</v>
      </c>
      <c r="U733" s="1" t="s">
        <v>217</v>
      </c>
      <c r="V733" s="1" t="s">
        <v>217</v>
      </c>
      <c r="W733" s="1" t="s">
        <v>217</v>
      </c>
      <c r="X733" s="1" t="s">
        <v>217</v>
      </c>
      <c r="Y733" s="1">
        <v>0.0</v>
      </c>
      <c r="Z733" s="1" t="s">
        <v>11727</v>
      </c>
      <c r="AA733" s="10">
        <v>5500000.0</v>
      </c>
      <c r="AB733" s="1" t="s">
        <v>11728</v>
      </c>
      <c r="AC733" s="10">
        <v>1500000.0</v>
      </c>
      <c r="AD733" s="1" t="s">
        <v>11729</v>
      </c>
      <c r="AE733" s="10">
        <v>1500000.0</v>
      </c>
      <c r="AF733" s="1" t="s">
        <v>11730</v>
      </c>
      <c r="AG733" s="1">
        <v>7.131023221E9</v>
      </c>
      <c r="AH733" s="1">
        <v>5.77601022821531E14</v>
      </c>
      <c r="AI733" s="1" t="s">
        <v>5015</v>
      </c>
      <c r="AJ733" s="1">
        <v>160.0</v>
      </c>
      <c r="AK733" s="1">
        <v>53.0</v>
      </c>
      <c r="AL733" s="1" t="s">
        <v>11731</v>
      </c>
      <c r="AM733" s="1" t="s">
        <v>11732</v>
      </c>
      <c r="AN733" s="7" t="s">
        <v>11733</v>
      </c>
      <c r="AO733" s="8" t="str">
        <f>HYPERLINK("https://docs.google.com/document/d/1ZkO7Nri3O4dhwaT0YTfJFpWU8T7Si7nfqZf4h3fEieU/edit?usp=drivesdk","Al-Wildan 7 Serang_Riska Fitriyatul Mar'ati, S.Pd_Bahasa Inggris ")</f>
        <v>Al-Wildan 7 Serang_Riska Fitriyatul Mar'ati, S.Pd_Bahasa Inggris </v>
      </c>
      <c r="AP733" s="1" t="s">
        <v>11734</v>
      </c>
    </row>
    <row r="734">
      <c r="A734" s="6">
        <v>45002.292442708334</v>
      </c>
      <c r="B734" s="7" t="s">
        <v>11735</v>
      </c>
      <c r="C734" s="8" t="s">
        <v>11736</v>
      </c>
      <c r="D734" s="1" t="s">
        <v>11737</v>
      </c>
      <c r="E734" s="9" t="s">
        <v>11738</v>
      </c>
      <c r="F734" s="1" t="s">
        <v>11739</v>
      </c>
      <c r="G734" s="1" t="s">
        <v>11740</v>
      </c>
      <c r="H734" s="1" t="s">
        <v>944</v>
      </c>
      <c r="I734" s="9" t="s">
        <v>11741</v>
      </c>
      <c r="J734" s="1" t="s">
        <v>5874</v>
      </c>
      <c r="K734" s="1" t="s">
        <v>102</v>
      </c>
      <c r="L734" s="1" t="s">
        <v>329</v>
      </c>
      <c r="M734" s="1" t="s">
        <v>104</v>
      </c>
      <c r="N734" s="1" t="s">
        <v>1006</v>
      </c>
      <c r="O734" s="1" t="s">
        <v>127</v>
      </c>
      <c r="P734" s="1" t="s">
        <v>237</v>
      </c>
      <c r="Q734" s="1" t="s">
        <v>11742</v>
      </c>
      <c r="R734" s="1" t="s">
        <v>11743</v>
      </c>
      <c r="S734" s="1" t="s">
        <v>726</v>
      </c>
      <c r="Z734" s="1" t="s">
        <v>11744</v>
      </c>
      <c r="AA734" s="10">
        <v>4500000.0</v>
      </c>
      <c r="AG734" s="1">
        <v>8.29766451E9</v>
      </c>
      <c r="AI734" s="1" t="s">
        <v>4856</v>
      </c>
      <c r="AJ734" s="1">
        <v>176.0</v>
      </c>
      <c r="AK734" s="1">
        <v>57.0</v>
      </c>
      <c r="AL734" s="1" t="s">
        <v>11745</v>
      </c>
      <c r="AM734" s="1" t="s">
        <v>11746</v>
      </c>
      <c r="AN734" s="7" t="s">
        <v>11747</v>
      </c>
      <c r="AO734" s="8" t="str">
        <f>HYPERLINK("https://docs.google.com/document/d/1H8z2UthCnMn0abUU1chbYcnYZ8kGzEpQzTSl0bNkCgE/edit?usp=drivesdk","Al-Wildan 4 Lebak Bulus_M. Arif Rahman S.Tp_Al qur'an")</f>
        <v>Al-Wildan 4 Lebak Bulus_M. Arif Rahman S.Tp_Al qur'an</v>
      </c>
      <c r="AP734" s="1" t="s">
        <v>11748</v>
      </c>
    </row>
    <row r="735">
      <c r="A735" s="6">
        <v>45002.69314811342</v>
      </c>
      <c r="B735" s="7" t="s">
        <v>11749</v>
      </c>
      <c r="C735" s="8" t="s">
        <v>11750</v>
      </c>
      <c r="D735" s="1" t="s">
        <v>11751</v>
      </c>
      <c r="E735" s="9" t="s">
        <v>11738</v>
      </c>
      <c r="F735" s="1" t="s">
        <v>11752</v>
      </c>
      <c r="G735" s="1" t="s">
        <v>11753</v>
      </c>
      <c r="H735" s="1" t="s">
        <v>4998</v>
      </c>
      <c r="I735" s="9" t="s">
        <v>11754</v>
      </c>
      <c r="J735" s="1" t="s">
        <v>11755</v>
      </c>
      <c r="K735" s="1" t="s">
        <v>102</v>
      </c>
      <c r="L735" s="1" t="s">
        <v>329</v>
      </c>
      <c r="M735" s="1" t="s">
        <v>104</v>
      </c>
      <c r="N735" s="1" t="s">
        <v>11756</v>
      </c>
      <c r="O735" s="1" t="s">
        <v>127</v>
      </c>
      <c r="P735" s="1" t="s">
        <v>237</v>
      </c>
      <c r="Q735" s="1" t="s">
        <v>4655</v>
      </c>
      <c r="R735" s="1" t="s">
        <v>10333</v>
      </c>
      <c r="S735" s="1" t="s">
        <v>411</v>
      </c>
      <c r="AA735" s="10">
        <v>4500000.0</v>
      </c>
      <c r="AF735" s="10">
        <v>8500000.0</v>
      </c>
      <c r="AG735" s="1">
        <v>8.29766451E9</v>
      </c>
      <c r="AJ735" s="1">
        <v>176.0</v>
      </c>
      <c r="AK735" s="1">
        <v>57.0</v>
      </c>
      <c r="AL735" s="1" t="s">
        <v>11745</v>
      </c>
      <c r="AM735" s="1" t="s">
        <v>11757</v>
      </c>
      <c r="AN735" s="7" t="s">
        <v>11758</v>
      </c>
      <c r="AO735" s="8" t="str">
        <f>HYPERLINK("https://docs.google.com/document/d/1sThW2bPPIEBB7AbeUnRmKlS0Kfgcqxa2YZZtudDFC_g/edit?usp=drivesdk","Al-Wildan 4 Lebak Bulus_M. ARIF RAHMAN, S.TP_Hafal AL Qur'an")</f>
        <v>Al-Wildan 4 Lebak Bulus_M. ARIF RAHMAN, S.TP_Hafal AL Qur'an</v>
      </c>
      <c r="AP735" s="1" t="s">
        <v>11759</v>
      </c>
    </row>
    <row r="736">
      <c r="A736" s="6">
        <v>45015.37862188657</v>
      </c>
      <c r="B736" s="7" t="s">
        <v>11760</v>
      </c>
      <c r="C736" s="8" t="s">
        <v>11761</v>
      </c>
      <c r="D736" s="1" t="s">
        <v>11762</v>
      </c>
      <c r="E736" s="9" t="s">
        <v>11763</v>
      </c>
      <c r="F736" s="1" t="s">
        <v>11764</v>
      </c>
      <c r="G736" s="1" t="s">
        <v>11765</v>
      </c>
      <c r="H736" s="1" t="s">
        <v>11766</v>
      </c>
      <c r="I736" s="9" t="s">
        <v>11767</v>
      </c>
      <c r="J736" s="1" t="s">
        <v>11768</v>
      </c>
      <c r="K736" s="1" t="s">
        <v>151</v>
      </c>
      <c r="L736" s="1" t="s">
        <v>103</v>
      </c>
      <c r="M736" s="1" t="s">
        <v>104</v>
      </c>
      <c r="N736" s="1" t="s">
        <v>274</v>
      </c>
      <c r="O736" s="1" t="s">
        <v>106</v>
      </c>
      <c r="P736" s="1" t="s">
        <v>237</v>
      </c>
      <c r="Q736" s="1" t="s">
        <v>11769</v>
      </c>
      <c r="R736" s="1" t="s">
        <v>11770</v>
      </c>
      <c r="S736" s="1">
        <v>3.4</v>
      </c>
      <c r="Z736" s="1" t="s">
        <v>11771</v>
      </c>
      <c r="AA736" s="10">
        <v>1000000.0</v>
      </c>
      <c r="AB736" s="1" t="s">
        <v>11772</v>
      </c>
      <c r="AC736" s="10">
        <v>2000000.0</v>
      </c>
      <c r="AF736" s="10">
        <v>6000000.0</v>
      </c>
      <c r="AG736" s="1">
        <v>7.135269284E9</v>
      </c>
      <c r="AJ736" s="1">
        <v>170.0</v>
      </c>
      <c r="AK736" s="1">
        <v>83.0</v>
      </c>
      <c r="AL736" s="1" t="s">
        <v>11773</v>
      </c>
      <c r="AM736" s="1" t="s">
        <v>11774</v>
      </c>
      <c r="AN736" s="7" t="s">
        <v>11775</v>
      </c>
      <c r="AO736" s="8" t="str">
        <f>HYPERLINK("https://docs.google.com/document/d/1FOP_UP9qygBZJy8UrtQG16t41QrRMHCGK-PGfzCQMbw/edit?usp=drivesdk","Al-Wildan 4 Lebak Bulus_Ahmad Faiq, S.Sos,_Diniyyah")</f>
        <v>Al-Wildan 4 Lebak Bulus_Ahmad Faiq, S.Sos,_Diniyyah</v>
      </c>
      <c r="AP736" s="1" t="s">
        <v>11776</v>
      </c>
    </row>
    <row r="737">
      <c r="A737" s="6">
        <v>45015.42939266204</v>
      </c>
      <c r="B737" s="7" t="s">
        <v>11777</v>
      </c>
      <c r="C737" s="8" t="s">
        <v>11778</v>
      </c>
      <c r="D737" s="1" t="s">
        <v>11779</v>
      </c>
      <c r="E737" s="9" t="s">
        <v>11780</v>
      </c>
      <c r="F737" s="1" t="s">
        <v>11781</v>
      </c>
      <c r="G737" s="1" t="s">
        <v>11782</v>
      </c>
      <c r="H737" s="1" t="s">
        <v>169</v>
      </c>
      <c r="I737" s="9" t="s">
        <v>11783</v>
      </c>
      <c r="J737" s="1" t="s">
        <v>11784</v>
      </c>
      <c r="K737" s="1" t="s">
        <v>102</v>
      </c>
      <c r="L737" s="1" t="s">
        <v>256</v>
      </c>
      <c r="M737" s="1" t="s">
        <v>104</v>
      </c>
      <c r="N737" s="1" t="s">
        <v>6436</v>
      </c>
      <c r="O737" s="1" t="s">
        <v>127</v>
      </c>
      <c r="P737" s="1" t="s">
        <v>7991</v>
      </c>
      <c r="Q737" s="1" t="s">
        <v>11240</v>
      </c>
      <c r="R737" s="1" t="s">
        <v>11785</v>
      </c>
      <c r="S737" s="1" t="s">
        <v>6437</v>
      </c>
      <c r="Z737" s="1" t="s">
        <v>11786</v>
      </c>
      <c r="AA737" s="10">
        <v>2700000.0</v>
      </c>
      <c r="AF737" s="1" t="s">
        <v>11787</v>
      </c>
      <c r="AG737" s="1">
        <v>7.00037558E9</v>
      </c>
      <c r="AJ737" s="1">
        <v>159.0</v>
      </c>
      <c r="AK737" s="1">
        <v>63.0</v>
      </c>
      <c r="AL737" s="1" t="s">
        <v>11788</v>
      </c>
      <c r="AM737" s="1" t="s">
        <v>11789</v>
      </c>
      <c r="AN737" s="7" t="s">
        <v>11790</v>
      </c>
      <c r="AO737" s="8" t="str">
        <f>HYPERLINK("https://docs.google.com/document/d/1Gn-kLU8gAB7O9JNpVITHnZ2KD59MUFBPG9x-SIRFjQk/edit?usp=drivesdk","Al-Wildan 12 Bulak Kapal, Bekasi_Balqis Ananda Putri, S.Si._Biologi ")</f>
        <v>Al-Wildan 12 Bulak Kapal, Bekasi_Balqis Ananda Putri, S.Si._Biologi </v>
      </c>
      <c r="AP737" s="1" t="s">
        <v>11791</v>
      </c>
    </row>
    <row r="738">
      <c r="A738" s="6">
        <v>45015.53846862269</v>
      </c>
      <c r="B738" s="7" t="s">
        <v>11792</v>
      </c>
      <c r="C738" s="8" t="s">
        <v>11793</v>
      </c>
      <c r="D738" s="1" t="s">
        <v>11794</v>
      </c>
      <c r="E738" s="9" t="s">
        <v>11795</v>
      </c>
      <c r="F738" s="1">
        <v>3.6031728079E14</v>
      </c>
      <c r="G738" s="1" t="s">
        <v>11796</v>
      </c>
      <c r="H738" s="1" t="s">
        <v>1411</v>
      </c>
      <c r="I738" s="9" t="s">
        <v>11797</v>
      </c>
      <c r="J738" s="1" t="s">
        <v>11798</v>
      </c>
      <c r="K738" s="1" t="s">
        <v>102</v>
      </c>
      <c r="L738" s="1" t="s">
        <v>103</v>
      </c>
      <c r="M738" s="1" t="s">
        <v>11799</v>
      </c>
      <c r="N738" s="1" t="s">
        <v>5303</v>
      </c>
      <c r="O738" s="1" t="s">
        <v>236</v>
      </c>
      <c r="P738" s="1" t="s">
        <v>7162</v>
      </c>
      <c r="Q738" s="1" t="s">
        <v>11800</v>
      </c>
      <c r="R738" s="1" t="s">
        <v>130</v>
      </c>
      <c r="S738" s="1" t="s">
        <v>1522</v>
      </c>
      <c r="T738" s="1" t="s">
        <v>11801</v>
      </c>
      <c r="U738" s="1" t="s">
        <v>11802</v>
      </c>
      <c r="V738" s="1" t="s">
        <v>5523</v>
      </c>
      <c r="Z738" s="1" t="s">
        <v>11803</v>
      </c>
      <c r="AA738" s="1" t="s">
        <v>11804</v>
      </c>
      <c r="AF738" s="12">
        <v>8300000.0</v>
      </c>
      <c r="AG738" s="1">
        <v>7.141978386E9</v>
      </c>
      <c r="AJ738" s="1">
        <v>167.0</v>
      </c>
      <c r="AK738" s="1">
        <v>70.0</v>
      </c>
      <c r="AL738" s="1" t="s">
        <v>11805</v>
      </c>
      <c r="AM738" s="1" t="s">
        <v>11806</v>
      </c>
      <c r="AN738" s="7" t="s">
        <v>11807</v>
      </c>
      <c r="AO738" s="8" t="str">
        <f>HYPERLINK("https://docs.google.com/document/d/1zMJbdhN4dFkCT48YsFT2-NaEnYwml_scwjnGQbPlH94/edit?usp=drivesdk","Al-Wildan 7 Serang_Diki Wardiansyah, M.Pd. _Matematika ")</f>
        <v>Al-Wildan 7 Serang_Diki Wardiansyah, M.Pd. _Matematika </v>
      </c>
      <c r="AP738" s="1" t="s">
        <v>11808</v>
      </c>
    </row>
    <row r="739">
      <c r="A739" s="6">
        <v>45015.549779988425</v>
      </c>
      <c r="B739" s="7" t="s">
        <v>11809</v>
      </c>
      <c r="C739" s="8" t="s">
        <v>11810</v>
      </c>
      <c r="D739" s="1" t="s">
        <v>11811</v>
      </c>
      <c r="E739" s="9" t="s">
        <v>11812</v>
      </c>
      <c r="F739" s="1" t="s">
        <v>11813</v>
      </c>
      <c r="G739" s="1" t="s">
        <v>11814</v>
      </c>
      <c r="H739" s="1" t="s">
        <v>11815</v>
      </c>
      <c r="I739" s="9" t="s">
        <v>11816</v>
      </c>
      <c r="J739" s="1" t="s">
        <v>11817</v>
      </c>
      <c r="K739" s="1" t="s">
        <v>151</v>
      </c>
      <c r="L739" s="1" t="s">
        <v>103</v>
      </c>
      <c r="M739" s="1" t="s">
        <v>104</v>
      </c>
      <c r="N739" s="1" t="s">
        <v>11818</v>
      </c>
      <c r="O739" s="1" t="s">
        <v>127</v>
      </c>
      <c r="P739" s="1" t="s">
        <v>7162</v>
      </c>
      <c r="Q739" s="1" t="s">
        <v>7667</v>
      </c>
      <c r="R739" s="1" t="s">
        <v>11819</v>
      </c>
      <c r="S739" s="1" t="s">
        <v>1730</v>
      </c>
      <c r="Z739" s="1" t="s">
        <v>11820</v>
      </c>
      <c r="AA739" s="10">
        <v>3000000.0</v>
      </c>
      <c r="AB739" s="1" t="s">
        <v>11821</v>
      </c>
      <c r="AC739" s="10">
        <v>1200000.0</v>
      </c>
      <c r="AF739" s="1" t="s">
        <v>11822</v>
      </c>
      <c r="AG739" s="1">
        <v>7.219081434E9</v>
      </c>
      <c r="AJ739" s="1">
        <v>166.0</v>
      </c>
      <c r="AK739" s="1">
        <v>65.0</v>
      </c>
      <c r="AL739" s="1" t="s">
        <v>11823</v>
      </c>
      <c r="AM739" s="1" t="s">
        <v>11824</v>
      </c>
      <c r="AN739" s="7" t="s">
        <v>11825</v>
      </c>
      <c r="AO739" s="8" t="str">
        <f>HYPERLINK("https://docs.google.com/document/d/198WuFshB9HNbk0llqje01WUkMKckAQeQru6Cpl8NkOg/edit?usp=drivesdk","Al-Wildan 7 Serang_Fikrial Nurfaizin, S.H._Fiqih, Tauhid, Nahwu, Shorof ")</f>
        <v>Al-Wildan 7 Serang_Fikrial Nurfaizin, S.H._Fiqih, Tauhid, Nahwu, Shorof </v>
      </c>
      <c r="AP739" s="1" t="s">
        <v>11826</v>
      </c>
    </row>
    <row r="740">
      <c r="A740" s="6">
        <v>45015.94397475694</v>
      </c>
      <c r="B740" s="7" t="s">
        <v>11827</v>
      </c>
      <c r="C740" s="8" t="s">
        <v>11828</v>
      </c>
      <c r="D740" s="1" t="s">
        <v>11829</v>
      </c>
      <c r="E740" s="9" t="s">
        <v>11830</v>
      </c>
      <c r="F740" s="1" t="s">
        <v>11831</v>
      </c>
      <c r="G740" s="1" t="s">
        <v>11832</v>
      </c>
      <c r="H740" s="1" t="s">
        <v>1272</v>
      </c>
      <c r="I740" s="9" t="s">
        <v>11833</v>
      </c>
      <c r="J740" s="1" t="s">
        <v>7823</v>
      </c>
      <c r="K740" s="1" t="s">
        <v>151</v>
      </c>
      <c r="L740" s="1" t="s">
        <v>103</v>
      </c>
      <c r="M740" s="1" t="s">
        <v>104</v>
      </c>
      <c r="N740" s="1" t="s">
        <v>11834</v>
      </c>
      <c r="O740" s="1" t="s">
        <v>127</v>
      </c>
      <c r="P740" s="1" t="s">
        <v>7162</v>
      </c>
      <c r="Q740" s="1" t="s">
        <v>108</v>
      </c>
      <c r="R740" s="1" t="s">
        <v>989</v>
      </c>
      <c r="S740" s="1" t="s">
        <v>1524</v>
      </c>
      <c r="Z740" s="1" t="s">
        <v>11835</v>
      </c>
      <c r="AA740" s="10">
        <v>2500000.0</v>
      </c>
      <c r="AB740" s="1" t="s">
        <v>11836</v>
      </c>
      <c r="AC740" s="10">
        <v>3500000.0</v>
      </c>
      <c r="AD740" s="1" t="s">
        <v>11837</v>
      </c>
      <c r="AE740" s="10">
        <v>4800000.0</v>
      </c>
      <c r="AF740" s="10">
        <v>4800000.0</v>
      </c>
      <c r="AH740" s="9" t="s">
        <v>11838</v>
      </c>
      <c r="AI740" s="1" t="s">
        <v>159</v>
      </c>
      <c r="AJ740" s="1">
        <v>157.0</v>
      </c>
      <c r="AK740" s="1">
        <v>48.0</v>
      </c>
      <c r="AL740" s="1" t="s">
        <v>11839</v>
      </c>
      <c r="AM740" s="1" t="s">
        <v>11840</v>
      </c>
      <c r="AN740" s="7" t="s">
        <v>11841</v>
      </c>
      <c r="AO740" s="8" t="str">
        <f>HYPERLINK("https://docs.google.com/document/d/1E64b0KQgu6aiqI5U992lKL_4jbaEXe2-nY-PoNRTjmM/edit?usp=drivesdk","Al-Wildan 7 Serang_Nisa Hayati, S.Pd._Biologi/IPA")</f>
        <v>Al-Wildan 7 Serang_Nisa Hayati, S.Pd._Biologi/IPA</v>
      </c>
      <c r="AP740" s="1" t="s">
        <v>11842</v>
      </c>
    </row>
    <row r="741">
      <c r="A741" s="6">
        <v>45016.92165525463</v>
      </c>
      <c r="B741" s="7" t="s">
        <v>11843</v>
      </c>
      <c r="C741" s="8" t="s">
        <v>11844</v>
      </c>
      <c r="D741" s="1" t="s">
        <v>11845</v>
      </c>
      <c r="E741" s="9" t="s">
        <v>11846</v>
      </c>
      <c r="F741" s="1" t="s">
        <v>11847</v>
      </c>
      <c r="G741" s="1" t="s">
        <v>11848</v>
      </c>
      <c r="H741" s="1" t="s">
        <v>169</v>
      </c>
      <c r="I741" s="9" t="s">
        <v>11849</v>
      </c>
      <c r="J741" s="1" t="s">
        <v>6606</v>
      </c>
      <c r="K741" s="1" t="s">
        <v>151</v>
      </c>
      <c r="L741" s="1" t="s">
        <v>103</v>
      </c>
      <c r="M741" s="1" t="s">
        <v>104</v>
      </c>
      <c r="N741" s="1" t="s">
        <v>11850</v>
      </c>
      <c r="O741" s="1" t="s">
        <v>236</v>
      </c>
      <c r="P741" s="1" t="s">
        <v>5712</v>
      </c>
      <c r="Q741" s="1" t="s">
        <v>108</v>
      </c>
      <c r="R741" s="1" t="s">
        <v>459</v>
      </c>
      <c r="S741" s="1" t="s">
        <v>2181</v>
      </c>
      <c r="Z741" s="1" t="s">
        <v>11851</v>
      </c>
      <c r="AA741" s="1" t="s">
        <v>11852</v>
      </c>
      <c r="AB741" s="1" t="s">
        <v>11853</v>
      </c>
      <c r="AC741" s="1" t="s">
        <v>11854</v>
      </c>
      <c r="AF741" s="1" t="s">
        <v>11855</v>
      </c>
      <c r="AG741" s="1">
        <v>7.206969002E9</v>
      </c>
      <c r="AH741" s="1">
        <v>0.0</v>
      </c>
      <c r="AI741" s="1">
        <v>0.0</v>
      </c>
      <c r="AJ741" s="1">
        <v>175.0</v>
      </c>
      <c r="AK741" s="1">
        <v>51.0</v>
      </c>
      <c r="AL741" s="1" t="s">
        <v>11856</v>
      </c>
      <c r="AM741" s="1" t="s">
        <v>11857</v>
      </c>
      <c r="AN741" s="7" t="s">
        <v>11858</v>
      </c>
      <c r="AO741" s="8" t="str">
        <f>HYPERLINK("https://docs.google.com/document/d/1pgb94rXq70B42p7JOf6u1cnSgk4LU7g7_FRDfuZo8lE/edit?usp=drivesdk","Al-Wildan 3 BSD City_Dody Setiawan, S.Pd._Ekonomi-Cambridge")</f>
        <v>Al-Wildan 3 BSD City_Dody Setiawan, S.Pd._Ekonomi-Cambridge</v>
      </c>
      <c r="AP741" s="1" t="s">
        <v>11859</v>
      </c>
    </row>
    <row r="742">
      <c r="A742" s="6">
        <v>45022.620099872685</v>
      </c>
      <c r="B742" s="7" t="s">
        <v>11860</v>
      </c>
      <c r="C742" s="8" t="s">
        <v>11861</v>
      </c>
      <c r="D742" s="1" t="s">
        <v>11862</v>
      </c>
      <c r="E742" s="1" t="s">
        <v>11863</v>
      </c>
      <c r="F742" s="1" t="s">
        <v>11864</v>
      </c>
      <c r="G742" s="1" t="s">
        <v>11865</v>
      </c>
      <c r="H742" s="1" t="s">
        <v>11866</v>
      </c>
      <c r="I742" s="9" t="s">
        <v>11867</v>
      </c>
      <c r="J742" s="1" t="s">
        <v>1557</v>
      </c>
      <c r="K742" s="1" t="s">
        <v>102</v>
      </c>
      <c r="L742" s="1" t="s">
        <v>103</v>
      </c>
      <c r="M742" s="1" t="s">
        <v>104</v>
      </c>
      <c r="N742" s="1" t="s">
        <v>11868</v>
      </c>
      <c r="O742" s="1" t="s">
        <v>9794</v>
      </c>
      <c r="P742" s="1" t="s">
        <v>6091</v>
      </c>
      <c r="Q742" s="1" t="s">
        <v>11869</v>
      </c>
      <c r="R742" s="1" t="s">
        <v>193</v>
      </c>
      <c r="S742" s="1" t="s">
        <v>11870</v>
      </c>
      <c r="Z742" s="1" t="s">
        <v>11871</v>
      </c>
      <c r="AA742" s="10">
        <v>3800000.0</v>
      </c>
      <c r="AF742" s="10">
        <v>6000000.0</v>
      </c>
      <c r="AG742" s="1">
        <v>5.02694703E9</v>
      </c>
      <c r="AJ742" s="1">
        <v>152.0</v>
      </c>
      <c r="AK742" s="1">
        <v>70.0</v>
      </c>
      <c r="AL742" s="1" t="s">
        <v>11872</v>
      </c>
      <c r="AM742" s="1" t="s">
        <v>11873</v>
      </c>
      <c r="AN742" s="7" t="s">
        <v>11874</v>
      </c>
      <c r="AO742" s="8" t="str">
        <f>HYPERLINK("https://docs.google.com/document/d/1NAZZgHCMQwoSrml9450VxFJQeEyDh1NyMWBFlJTnjw8/edit?usp=drivesdk","Al-Wildan 10 Cipinang, Jakarta Timur_Faiz Fadhli Muhamad Lubis, Lc._Al Quran/Diniyyah")</f>
        <v>Al-Wildan 10 Cipinang, Jakarta Timur_Faiz Fadhli Muhamad Lubis, Lc._Al Quran/Diniyyah</v>
      </c>
      <c r="AP742" s="1" t="s">
        <v>11875</v>
      </c>
    </row>
    <row r="743">
      <c r="A743" s="6">
        <v>45030.591811087965</v>
      </c>
      <c r="B743" s="7" t="s">
        <v>11876</v>
      </c>
      <c r="C743" s="8" t="s">
        <v>11877</v>
      </c>
      <c r="D743" s="1" t="s">
        <v>11878</v>
      </c>
      <c r="E743" s="1">
        <v>8.121929932E10</v>
      </c>
      <c r="F743" s="1" t="s">
        <v>11879</v>
      </c>
      <c r="G743" s="1" t="s">
        <v>11880</v>
      </c>
      <c r="H743" s="1" t="s">
        <v>11881</v>
      </c>
      <c r="I743" s="9" t="s">
        <v>11882</v>
      </c>
      <c r="J743" s="1" t="s">
        <v>9105</v>
      </c>
      <c r="K743" s="1" t="s">
        <v>151</v>
      </c>
      <c r="L743" s="1" t="s">
        <v>256</v>
      </c>
      <c r="M743" s="1" t="s">
        <v>104</v>
      </c>
      <c r="N743" s="1" t="s">
        <v>235</v>
      </c>
      <c r="O743" s="1" t="s">
        <v>106</v>
      </c>
      <c r="P743" s="1" t="s">
        <v>6659</v>
      </c>
      <c r="Q743" s="1" t="s">
        <v>11883</v>
      </c>
      <c r="R743" s="1" t="s">
        <v>8140</v>
      </c>
      <c r="S743" s="1">
        <v>3.26</v>
      </c>
      <c r="T743" s="1" t="s">
        <v>11884</v>
      </c>
      <c r="U743" s="1" t="s">
        <v>8140</v>
      </c>
      <c r="V743" s="1" t="s">
        <v>11885</v>
      </c>
      <c r="Z743" s="1" t="s">
        <v>11886</v>
      </c>
      <c r="AA743" s="10">
        <v>4800000.0</v>
      </c>
      <c r="AB743" s="1" t="s">
        <v>11887</v>
      </c>
      <c r="AC743" s="10">
        <v>4000000.0</v>
      </c>
      <c r="AD743" s="1" t="s">
        <v>11888</v>
      </c>
      <c r="AE743" s="10">
        <v>500000.0</v>
      </c>
      <c r="AF743" s="10">
        <v>7500000.0</v>
      </c>
      <c r="AG743" s="1">
        <v>7.173152455E9</v>
      </c>
      <c r="AI743" s="1" t="s">
        <v>5113</v>
      </c>
      <c r="AJ743" s="1">
        <v>159.0</v>
      </c>
      <c r="AK743" s="1">
        <v>69.0</v>
      </c>
      <c r="AL743" s="1" t="s">
        <v>11889</v>
      </c>
      <c r="AM743" s="1" t="s">
        <v>11890</v>
      </c>
      <c r="AN743" s="7" t="s">
        <v>11891</v>
      </c>
      <c r="AO743" s="8" t="str">
        <f>HYPERLINK("https://docs.google.com/document/d/11Y5O5p_R-gyUKJMl8GZj_y4aFABIFRIkhzmg9daOQJ0/edit?usp=drivesdk","Al-Wildan 15 Kompas Indah, Tambun Bekasi._Danang Duwi Julian S.Pd_Bahasa Arab")</f>
        <v>Al-Wildan 15 Kompas Indah, Tambun Bekasi._Danang Duwi Julian S.Pd_Bahasa Arab</v>
      </c>
      <c r="AP743" s="1" t="s">
        <v>11892</v>
      </c>
    </row>
    <row r="744">
      <c r="A744" s="6">
        <v>45033.549016770834</v>
      </c>
      <c r="B744" s="7" t="s">
        <v>11893</v>
      </c>
      <c r="C744" s="8" t="s">
        <v>11894</v>
      </c>
      <c r="D744" s="1" t="s">
        <v>11895</v>
      </c>
      <c r="E744" s="9" t="s">
        <v>7233</v>
      </c>
      <c r="F744" s="1" t="s">
        <v>7234</v>
      </c>
      <c r="G744" s="1" t="s">
        <v>11896</v>
      </c>
      <c r="H744" s="1" t="s">
        <v>11897</v>
      </c>
      <c r="I744" s="9" t="s">
        <v>7236</v>
      </c>
      <c r="J744" s="1" t="s">
        <v>1557</v>
      </c>
      <c r="K744" s="1" t="s">
        <v>151</v>
      </c>
      <c r="L744" s="1" t="s">
        <v>103</v>
      </c>
      <c r="M744" s="1" t="s">
        <v>104</v>
      </c>
      <c r="N744" s="1" t="s">
        <v>6751</v>
      </c>
      <c r="O744" s="1" t="s">
        <v>127</v>
      </c>
      <c r="P744" s="1" t="s">
        <v>6659</v>
      </c>
      <c r="Q744" s="1" t="s">
        <v>3584</v>
      </c>
      <c r="R744" s="1" t="s">
        <v>11898</v>
      </c>
      <c r="S744" s="1" t="s">
        <v>7237</v>
      </c>
      <c r="Z744" s="1" t="s">
        <v>11899</v>
      </c>
      <c r="AA744" s="10">
        <v>4300000.0</v>
      </c>
      <c r="AF744" s="10">
        <v>6000000.0</v>
      </c>
      <c r="AG744" s="1">
        <v>3.22492463E8</v>
      </c>
      <c r="AI744" s="1" t="s">
        <v>5113</v>
      </c>
      <c r="AJ744" s="1">
        <v>174.0</v>
      </c>
      <c r="AK744" s="1">
        <v>80.0</v>
      </c>
      <c r="AL744" s="1" t="s">
        <v>11900</v>
      </c>
      <c r="AM744" s="1" t="s">
        <v>11901</v>
      </c>
      <c r="AN744" s="7" t="s">
        <v>11902</v>
      </c>
      <c r="AO744" s="8" t="str">
        <f>HYPERLINK("https://docs.google.com/document/d/13R-6ye8Cp68dPqs_NXIdkOq-3LJiAbImPXhsGUcD-Xo/edit?usp=drivesdk","Al-Wildan 15 Kompas Indah, Tambun Bekasi._Ahmad Hafiz, B.A_Diniyyah ")</f>
        <v>Al-Wildan 15 Kompas Indah, Tambun Bekasi._Ahmad Hafiz, B.A_Diniyyah </v>
      </c>
      <c r="AP744" s="1" t="s">
        <v>11903</v>
      </c>
    </row>
    <row r="745">
      <c r="A745" s="6">
        <v>45033.56139377315</v>
      </c>
      <c r="B745" s="7" t="s">
        <v>11904</v>
      </c>
      <c r="C745" s="8" t="s">
        <v>11905</v>
      </c>
      <c r="D745" s="1" t="s">
        <v>11906</v>
      </c>
      <c r="E745" s="9" t="s">
        <v>11907</v>
      </c>
      <c r="F745" s="1" t="s">
        <v>11908</v>
      </c>
      <c r="G745" s="1" t="s">
        <v>11909</v>
      </c>
      <c r="H745" s="1" t="s">
        <v>169</v>
      </c>
      <c r="I745" s="9" t="s">
        <v>11910</v>
      </c>
      <c r="J745" s="1" t="s">
        <v>6917</v>
      </c>
      <c r="K745" s="1" t="s">
        <v>151</v>
      </c>
      <c r="L745" s="1" t="s">
        <v>103</v>
      </c>
      <c r="M745" s="1" t="s">
        <v>104</v>
      </c>
      <c r="N745" s="1" t="s">
        <v>152</v>
      </c>
      <c r="O745" s="1" t="s">
        <v>127</v>
      </c>
      <c r="P745" s="1" t="s">
        <v>6091</v>
      </c>
      <c r="Q745" s="1" t="s">
        <v>11911</v>
      </c>
      <c r="R745" s="1" t="s">
        <v>11912</v>
      </c>
      <c r="S745" s="1" t="s">
        <v>2465</v>
      </c>
      <c r="Z745" s="1" t="s">
        <v>11913</v>
      </c>
      <c r="AA745" s="10">
        <v>4300000.0</v>
      </c>
      <c r="AF745" s="1" t="s">
        <v>6858</v>
      </c>
      <c r="AH745" s="1">
        <v>1.6700023522E12</v>
      </c>
      <c r="AI745" s="1" t="s">
        <v>4483</v>
      </c>
      <c r="AJ745" s="1">
        <v>172.0</v>
      </c>
      <c r="AK745" s="1">
        <v>65.0</v>
      </c>
      <c r="AL745" s="1" t="s">
        <v>11914</v>
      </c>
      <c r="AM745" s="1" t="s">
        <v>11915</v>
      </c>
      <c r="AN745" s="7" t="s">
        <v>11916</v>
      </c>
      <c r="AO745" s="8" t="str">
        <f>HYPERLINK("https://docs.google.com/document/d/1t49y1S2c12CVN84BygP_NETnz6zpo7NB2NbrcBfGk_I/edit?usp=drivesdk","Al-Wildan 10 Cipinang, Jakarta Timur_Muhammad Fadhil Andzar, S.Hub.Int._Bahasa Inggris")</f>
        <v>Al-Wildan 10 Cipinang, Jakarta Timur_Muhammad Fadhil Andzar, S.Hub.Int._Bahasa Inggris</v>
      </c>
      <c r="AP745" s="1" t="s">
        <v>11917</v>
      </c>
    </row>
    <row r="746">
      <c r="A746" s="6">
        <v>45033.570094166666</v>
      </c>
      <c r="B746" s="7" t="s">
        <v>11918</v>
      </c>
      <c r="C746" s="8" t="s">
        <v>11919</v>
      </c>
      <c r="D746" s="1" t="s">
        <v>11920</v>
      </c>
      <c r="E746" s="9" t="s">
        <v>11921</v>
      </c>
      <c r="F746" s="1" t="s">
        <v>11922</v>
      </c>
      <c r="G746" s="1" t="s">
        <v>11923</v>
      </c>
      <c r="H746" s="1" t="s">
        <v>11924</v>
      </c>
      <c r="I746" s="9" t="s">
        <v>11925</v>
      </c>
      <c r="J746" s="1" t="s">
        <v>4834</v>
      </c>
      <c r="K746" s="1" t="s">
        <v>151</v>
      </c>
      <c r="L746" s="1" t="s">
        <v>329</v>
      </c>
      <c r="M746" s="1" t="s">
        <v>104</v>
      </c>
      <c r="N746" s="1" t="s">
        <v>11926</v>
      </c>
      <c r="O746" s="1" t="s">
        <v>106</v>
      </c>
      <c r="P746" s="1" t="s">
        <v>6533</v>
      </c>
      <c r="Q746" s="1" t="s">
        <v>11927</v>
      </c>
      <c r="R746" s="1" t="s">
        <v>2355</v>
      </c>
      <c r="S746" s="1" t="s">
        <v>155</v>
      </c>
      <c r="T746" s="1" t="s">
        <v>217</v>
      </c>
      <c r="U746" s="1" t="s">
        <v>217</v>
      </c>
      <c r="V746" s="1" t="s">
        <v>217</v>
      </c>
      <c r="W746" s="1" t="s">
        <v>217</v>
      </c>
      <c r="X746" s="1" t="s">
        <v>217</v>
      </c>
      <c r="Y746" s="1">
        <v>0.0</v>
      </c>
      <c r="Z746" s="1" t="s">
        <v>11928</v>
      </c>
      <c r="AA746" s="10">
        <v>1500000.0</v>
      </c>
      <c r="AB746" s="1" t="s">
        <v>11929</v>
      </c>
      <c r="AC746" s="10">
        <v>2000000.0</v>
      </c>
      <c r="AD746" s="1" t="s">
        <v>11930</v>
      </c>
      <c r="AE746" s="10">
        <v>4000000.0</v>
      </c>
      <c r="AF746" s="10">
        <v>5000000.0</v>
      </c>
      <c r="AG746" s="1">
        <v>7.183210321E9</v>
      </c>
      <c r="AH746" s="1">
        <v>0.0</v>
      </c>
      <c r="AI746" s="1" t="s">
        <v>5113</v>
      </c>
      <c r="AJ746" s="1">
        <v>166.0</v>
      </c>
      <c r="AK746" s="1">
        <v>60.0</v>
      </c>
      <c r="AL746" s="1" t="s">
        <v>11931</v>
      </c>
      <c r="AM746" s="1" t="s">
        <v>11932</v>
      </c>
      <c r="AN746" s="7" t="s">
        <v>11933</v>
      </c>
      <c r="AO746" s="8" t="str">
        <f>HYPERLINK("https://docs.google.com/document/d/1f7UTD8yS8mQKdWLz9J3uXgPyWb6ZJorbB3i29H1xyb8/edit?usp=drivesdk","Al-Wildan 5 Benhil_May Aro Putra Zega, S.Pd_B.Arab/diniyah")</f>
        <v>Al-Wildan 5 Benhil_May Aro Putra Zega, S.Pd_B.Arab/diniyah</v>
      </c>
      <c r="AP746" s="1" t="s">
        <v>11934</v>
      </c>
    </row>
    <row r="747">
      <c r="A747" s="6">
        <v>45034.58213923611</v>
      </c>
      <c r="B747" s="7" t="s">
        <v>11935</v>
      </c>
      <c r="C747" s="8" t="s">
        <v>11936</v>
      </c>
      <c r="D747" s="1" t="s">
        <v>11937</v>
      </c>
      <c r="E747" s="9" t="s">
        <v>11938</v>
      </c>
      <c r="F747" s="1" t="s">
        <v>11939</v>
      </c>
      <c r="G747" s="1" t="s">
        <v>11940</v>
      </c>
      <c r="H747" s="1" t="s">
        <v>148</v>
      </c>
      <c r="I747" s="9" t="s">
        <v>11941</v>
      </c>
      <c r="J747" s="1" t="s">
        <v>2095</v>
      </c>
      <c r="K747" s="1" t="s">
        <v>151</v>
      </c>
      <c r="L747" s="1" t="s">
        <v>256</v>
      </c>
      <c r="M747" s="1" t="s">
        <v>104</v>
      </c>
      <c r="N747" s="1" t="s">
        <v>11942</v>
      </c>
      <c r="O747" s="1" t="s">
        <v>236</v>
      </c>
      <c r="P747" s="1" t="s">
        <v>6091</v>
      </c>
      <c r="Q747" s="1" t="s">
        <v>11943</v>
      </c>
      <c r="R747" s="1" t="s">
        <v>1275</v>
      </c>
      <c r="S747" s="1" t="s">
        <v>1366</v>
      </c>
      <c r="T747" s="1" t="s">
        <v>10945</v>
      </c>
      <c r="U747" s="1" t="s">
        <v>11944</v>
      </c>
      <c r="V747" s="1" t="s">
        <v>2510</v>
      </c>
      <c r="Z747" s="1" t="s">
        <v>11945</v>
      </c>
      <c r="AA747" s="10">
        <v>7000000.0</v>
      </c>
      <c r="AF747" s="10">
        <v>9600000.0</v>
      </c>
      <c r="AH747" s="9" t="s">
        <v>11946</v>
      </c>
      <c r="AI747" s="1" t="s">
        <v>2407</v>
      </c>
      <c r="AJ747" s="1">
        <v>169.0</v>
      </c>
      <c r="AK747" s="1">
        <v>49.0</v>
      </c>
      <c r="AL747" s="1" t="s">
        <v>11947</v>
      </c>
      <c r="AM747" s="1" t="s">
        <v>11948</v>
      </c>
      <c r="AN747" s="7" t="s">
        <v>11949</v>
      </c>
      <c r="AO747" s="8" t="str">
        <f>HYPERLINK("https://docs.google.com/document/d/1v3cGbVm0mSrJukiauStL9mrr8wAowyXdXQ0gufvgtHQ/edit?usp=drivesdk","Al-Wildan 10 Cipinang, Jakarta Timur_Angga Puja Asiandu, S.Si., M.Sc_Biology Cambridge")</f>
        <v>Al-Wildan 10 Cipinang, Jakarta Timur_Angga Puja Asiandu, S.Si., M.Sc_Biology Cambridge</v>
      </c>
      <c r="AP747" s="1" t="s">
        <v>11950</v>
      </c>
    </row>
    <row r="748">
      <c r="A748" s="6">
        <v>45036.57315135417</v>
      </c>
      <c r="B748" s="7" t="s">
        <v>11951</v>
      </c>
      <c r="C748" s="8" t="s">
        <v>11952</v>
      </c>
      <c r="D748" s="1" t="s">
        <v>11953</v>
      </c>
      <c r="E748" s="9" t="s">
        <v>11954</v>
      </c>
      <c r="F748" s="1" t="s">
        <v>11955</v>
      </c>
      <c r="G748" s="1" t="s">
        <v>11956</v>
      </c>
      <c r="H748" s="1" t="s">
        <v>11957</v>
      </c>
      <c r="I748" s="9" t="s">
        <v>11958</v>
      </c>
      <c r="J748" s="1" t="s">
        <v>6398</v>
      </c>
      <c r="K748" s="1" t="s">
        <v>151</v>
      </c>
      <c r="L748" s="1" t="s">
        <v>329</v>
      </c>
      <c r="M748" s="1" t="s">
        <v>104</v>
      </c>
      <c r="N748" s="1" t="s">
        <v>11959</v>
      </c>
      <c r="O748" s="1" t="s">
        <v>312</v>
      </c>
      <c r="P748" s="1" t="s">
        <v>7991</v>
      </c>
      <c r="Q748" s="1" t="s">
        <v>7082</v>
      </c>
      <c r="R748" s="1" t="s">
        <v>11960</v>
      </c>
      <c r="S748" s="1" t="s">
        <v>155</v>
      </c>
      <c r="T748" s="1" t="s">
        <v>217</v>
      </c>
      <c r="U748" s="1" t="s">
        <v>217</v>
      </c>
      <c r="V748" s="1" t="s">
        <v>217</v>
      </c>
      <c r="W748" s="1" t="s">
        <v>217</v>
      </c>
      <c r="X748" s="1" t="s">
        <v>217</v>
      </c>
      <c r="Z748" s="1" t="s">
        <v>11961</v>
      </c>
      <c r="AA748" s="10">
        <v>3200000.0</v>
      </c>
      <c r="AF748" s="10">
        <v>4500000.0</v>
      </c>
      <c r="AG748" s="1">
        <v>7.203403318E9</v>
      </c>
      <c r="AJ748" s="1">
        <v>150.0</v>
      </c>
      <c r="AK748" s="1">
        <v>40.0</v>
      </c>
      <c r="AL748" s="1" t="s">
        <v>11962</v>
      </c>
      <c r="AM748" s="1" t="s">
        <v>11963</v>
      </c>
      <c r="AN748" s="7" t="s">
        <v>11964</v>
      </c>
      <c r="AO748" s="8" t="str">
        <f>HYPERLINK("https://docs.google.com/document/d/1YPh4W8SNBols5kZhD6MiO7k6R9ktmKu4q3cc1pSjUv4/edit?usp=drivesdk","Al-Wildan 12 Bulak Kapal, Bekasi_Wirza Mawddah. S.H._PAI (Fiqih, adab dll)")</f>
        <v>Al-Wildan 12 Bulak Kapal, Bekasi_Wirza Mawddah. S.H._PAI (Fiqih, adab dll)</v>
      </c>
      <c r="AP748" s="1" t="s">
        <v>11965</v>
      </c>
    </row>
    <row r="749">
      <c r="A749" s="6">
        <v>45040.439477175925</v>
      </c>
      <c r="B749" s="7" t="s">
        <v>11966</v>
      </c>
      <c r="C749" s="8" t="s">
        <v>11967</v>
      </c>
      <c r="D749" s="1" t="s">
        <v>11968</v>
      </c>
      <c r="E749" s="9" t="s">
        <v>11969</v>
      </c>
      <c r="F749" s="1" t="s">
        <v>11970</v>
      </c>
      <c r="G749" s="1" t="s">
        <v>11971</v>
      </c>
      <c r="H749" s="1" t="s">
        <v>1555</v>
      </c>
      <c r="I749" s="9" t="s">
        <v>11972</v>
      </c>
      <c r="J749" s="1" t="s">
        <v>9274</v>
      </c>
      <c r="K749" s="1" t="s">
        <v>151</v>
      </c>
      <c r="L749" s="1" t="s">
        <v>103</v>
      </c>
      <c r="M749" s="1" t="s">
        <v>104</v>
      </c>
      <c r="N749" s="1" t="s">
        <v>152</v>
      </c>
      <c r="O749" s="1" t="s">
        <v>9794</v>
      </c>
      <c r="P749" s="1" t="s">
        <v>237</v>
      </c>
      <c r="Q749" s="1" t="s">
        <v>7410</v>
      </c>
      <c r="R749" s="1" t="s">
        <v>172</v>
      </c>
      <c r="S749" s="1" t="s">
        <v>131</v>
      </c>
      <c r="T749" s="1" t="s">
        <v>217</v>
      </c>
      <c r="U749" s="1" t="s">
        <v>217</v>
      </c>
      <c r="V749" s="1" t="s">
        <v>217</v>
      </c>
      <c r="W749" s="1" t="s">
        <v>217</v>
      </c>
      <c r="X749" s="1" t="s">
        <v>217</v>
      </c>
      <c r="Z749" s="1" t="s">
        <v>11973</v>
      </c>
      <c r="AA749" s="10">
        <v>360000.0</v>
      </c>
      <c r="AB749" s="1" t="s">
        <v>11974</v>
      </c>
      <c r="AC749" s="10">
        <v>180000.0</v>
      </c>
      <c r="AD749" s="1" t="s">
        <v>11975</v>
      </c>
      <c r="AE749" s="10">
        <v>5000000.0</v>
      </c>
      <c r="AF749" s="10">
        <v>5100000.0</v>
      </c>
      <c r="AH749" s="1">
        <v>3.210864686E9</v>
      </c>
      <c r="AI749" s="1" t="s">
        <v>222</v>
      </c>
      <c r="AJ749" s="1">
        <v>172.0</v>
      </c>
      <c r="AK749" s="1">
        <v>55.0</v>
      </c>
      <c r="AL749" s="1" t="s">
        <v>11976</v>
      </c>
      <c r="AM749" s="1" t="s">
        <v>11977</v>
      </c>
      <c r="AN749" s="7" t="s">
        <v>11978</v>
      </c>
      <c r="AO749" s="8" t="str">
        <f>HYPERLINK("https://docs.google.com/document/d/1NocqywkjKMvxiCJLJTsxFXDm2iukZohv1ZI2slGAXIk/edit?usp=drivesdk","Al-Wildan 4 Lebak Bulus_Moch Iqbal Ridwan, S.Pd_Bahasa Inggris")</f>
        <v>Al-Wildan 4 Lebak Bulus_Moch Iqbal Ridwan, S.Pd_Bahasa Inggris</v>
      </c>
      <c r="AP749" s="1" t="s">
        <v>11979</v>
      </c>
    </row>
    <row r="750">
      <c r="A750" s="6">
        <v>45060.60699915509</v>
      </c>
      <c r="B750" s="7" t="s">
        <v>11980</v>
      </c>
      <c r="C750" s="8" t="s">
        <v>11981</v>
      </c>
      <c r="D750" s="1" t="s">
        <v>11982</v>
      </c>
      <c r="E750" s="9" t="s">
        <v>11983</v>
      </c>
      <c r="F750" s="1" t="s">
        <v>11984</v>
      </c>
      <c r="G750" s="1" t="s">
        <v>11985</v>
      </c>
      <c r="H750" s="1" t="s">
        <v>169</v>
      </c>
      <c r="I750" s="9" t="s">
        <v>11986</v>
      </c>
      <c r="J750" s="1" t="s">
        <v>11987</v>
      </c>
      <c r="K750" s="1" t="s">
        <v>151</v>
      </c>
      <c r="L750" s="1" t="s">
        <v>103</v>
      </c>
      <c r="M750" s="1" t="s">
        <v>11988</v>
      </c>
      <c r="O750" s="1" t="s">
        <v>312</v>
      </c>
      <c r="P750" s="1" t="s">
        <v>11207</v>
      </c>
      <c r="AJ750" s="1">
        <v>160.0</v>
      </c>
      <c r="AK750" s="1">
        <v>55.0</v>
      </c>
      <c r="AL750" s="1" t="s">
        <v>11989</v>
      </c>
      <c r="AM750" s="1" t="s">
        <v>11990</v>
      </c>
      <c r="AN750" s="7" t="s">
        <v>11991</v>
      </c>
      <c r="AO750" s="8" t="str">
        <f>HYPERLINK("https://docs.google.com/document/d/1E_c4iqQL26mtuWNVvuKeCcb2U3HQm3HG__I2UmfT1Vc/edit?usp=drivesdk","Al-Wildan 16 Ciledug_Wafico Lailatul Fadhila_")</f>
        <v>Al-Wildan 16 Ciledug_Wafico Lailatul Fadhila_</v>
      </c>
      <c r="AP750" s="1" t="s">
        <v>11992</v>
      </c>
    </row>
    <row r="751">
      <c r="A751" s="6">
        <v>45068.37919950232</v>
      </c>
      <c r="B751" s="7" t="s">
        <v>11993</v>
      </c>
      <c r="C751" s="8" t="s">
        <v>11994</v>
      </c>
      <c r="D751" s="1" t="s">
        <v>11995</v>
      </c>
      <c r="E751" s="9" t="s">
        <v>11996</v>
      </c>
      <c r="F751" s="1" t="s">
        <v>11997</v>
      </c>
      <c r="G751" s="1" t="s">
        <v>11998</v>
      </c>
      <c r="H751" s="1" t="s">
        <v>8082</v>
      </c>
      <c r="I751" s="9" t="s">
        <v>11999</v>
      </c>
      <c r="J751" s="1" t="s">
        <v>12000</v>
      </c>
      <c r="K751" s="1" t="s">
        <v>102</v>
      </c>
      <c r="L751" s="1" t="s">
        <v>103</v>
      </c>
      <c r="M751" s="1" t="s">
        <v>104</v>
      </c>
      <c r="N751" s="1" t="s">
        <v>12001</v>
      </c>
      <c r="O751" s="1" t="s">
        <v>127</v>
      </c>
      <c r="P751" s="1" t="s">
        <v>6187</v>
      </c>
      <c r="Q751" s="1" t="s">
        <v>12002</v>
      </c>
      <c r="R751" s="1" t="s">
        <v>12003</v>
      </c>
      <c r="S751" s="1" t="s">
        <v>908</v>
      </c>
      <c r="T751" s="1" t="s">
        <v>12004</v>
      </c>
      <c r="U751" s="1" t="s">
        <v>12005</v>
      </c>
      <c r="V751" s="1" t="s">
        <v>7926</v>
      </c>
      <c r="Z751" s="1" t="s">
        <v>12006</v>
      </c>
      <c r="AA751" s="10">
        <v>5000000.0</v>
      </c>
      <c r="AB751" s="1" t="s">
        <v>12007</v>
      </c>
      <c r="AC751" s="10">
        <v>4000000.0</v>
      </c>
      <c r="AF751" s="10">
        <v>8000000.0</v>
      </c>
      <c r="AG751" s="1">
        <v>7.147316962E9</v>
      </c>
      <c r="AI751" s="1" t="s">
        <v>4856</v>
      </c>
      <c r="AJ751" s="1">
        <v>165.0</v>
      </c>
      <c r="AK751" s="1">
        <v>60.0</v>
      </c>
      <c r="AL751" s="1" t="s">
        <v>12008</v>
      </c>
      <c r="AM751" s="1" t="s">
        <v>12009</v>
      </c>
      <c r="AN751" s="7" t="s">
        <v>12010</v>
      </c>
      <c r="AO751" s="8" t="str">
        <f>HYPERLINK("https://docs.google.com/document/d/1ytoWo3PkJ5Av-p_NArN7DYFTsT8yIMRYYFvFL4WiLcE/edit?usp=drivesdk","Al-Wildan 14 Bumi Mutiara, Bogor_Ahmad Dzawil Faza, SEI., M.Si_Ekonomi/ IPS Cambridge")</f>
        <v>Al-Wildan 14 Bumi Mutiara, Bogor_Ahmad Dzawil Faza, SEI., M.Si_Ekonomi/ IPS Cambridge</v>
      </c>
      <c r="AP751" s="1" t="s">
        <v>12011</v>
      </c>
    </row>
    <row r="752">
      <c r="A752" s="6">
        <v>45068.396545324074</v>
      </c>
      <c r="B752" s="7" t="s">
        <v>12012</v>
      </c>
      <c r="C752" s="8" t="s">
        <v>12013</v>
      </c>
      <c r="D752" s="1" t="s">
        <v>12014</v>
      </c>
      <c r="E752" s="9" t="s">
        <v>12015</v>
      </c>
      <c r="F752" s="1" t="s">
        <v>12016</v>
      </c>
      <c r="G752" s="1" t="s">
        <v>12017</v>
      </c>
      <c r="H752" s="1" t="s">
        <v>9779</v>
      </c>
      <c r="I752" s="9" t="s">
        <v>12018</v>
      </c>
      <c r="J752" s="1" t="s">
        <v>12019</v>
      </c>
      <c r="K752" s="1" t="s">
        <v>151</v>
      </c>
      <c r="L752" s="1" t="s">
        <v>103</v>
      </c>
      <c r="M752" s="1" t="s">
        <v>104</v>
      </c>
      <c r="N752" s="1" t="s">
        <v>12020</v>
      </c>
      <c r="O752" s="1" t="s">
        <v>127</v>
      </c>
      <c r="P752" s="1" t="s">
        <v>6091</v>
      </c>
      <c r="Q752" s="1" t="s">
        <v>12021</v>
      </c>
      <c r="R752" s="1" t="s">
        <v>12022</v>
      </c>
      <c r="S752" s="1" t="s">
        <v>442</v>
      </c>
      <c r="Z752" s="1" t="s">
        <v>12023</v>
      </c>
      <c r="AA752" s="1" t="s">
        <v>217</v>
      </c>
      <c r="AB752" s="1" t="s">
        <v>217</v>
      </c>
      <c r="AC752" s="1" t="s">
        <v>217</v>
      </c>
      <c r="AD752" s="1" t="s">
        <v>217</v>
      </c>
      <c r="AE752" s="1" t="s">
        <v>217</v>
      </c>
      <c r="AF752" s="10">
        <v>3300000.0</v>
      </c>
      <c r="AG752" s="1">
        <v>7.149563274E9</v>
      </c>
      <c r="AJ752" s="1">
        <v>165.0</v>
      </c>
      <c r="AK752" s="1">
        <v>62.0</v>
      </c>
      <c r="AL752" s="1" t="s">
        <v>12024</v>
      </c>
      <c r="AM752" s="1" t="s">
        <v>12025</v>
      </c>
      <c r="AN752" s="7" t="s">
        <v>12026</v>
      </c>
      <c r="AO752" s="8" t="str">
        <f>HYPERLINK("https://docs.google.com/document/d/14GDLYNFyOKeA2IfXGQYewBGriZCrE42nnPP3G2WXqnc/edit?usp=drivesdk","Al-Wildan 10 Cipinang, Jakarta Timur_Adhietya Febryan Herlambang, S.Pd._PPKN")</f>
        <v>Al-Wildan 10 Cipinang, Jakarta Timur_Adhietya Febryan Herlambang, S.Pd._PPKN</v>
      </c>
      <c r="AP752" s="1" t="s">
        <v>12027</v>
      </c>
    </row>
    <row r="753">
      <c r="A753" s="6">
        <v>45068.39990895834</v>
      </c>
      <c r="B753" s="7" t="s">
        <v>12028</v>
      </c>
      <c r="C753" s="8" t="s">
        <v>12029</v>
      </c>
      <c r="D753" s="1" t="s">
        <v>12030</v>
      </c>
      <c r="E753" s="9" t="s">
        <v>12031</v>
      </c>
      <c r="F753" s="1" t="s">
        <v>12032</v>
      </c>
      <c r="G753" s="1" t="s">
        <v>12033</v>
      </c>
      <c r="H753" s="1" t="s">
        <v>169</v>
      </c>
      <c r="I753" s="9" t="s">
        <v>12034</v>
      </c>
      <c r="J753" s="1" t="s">
        <v>6658</v>
      </c>
      <c r="K753" s="1" t="s">
        <v>102</v>
      </c>
      <c r="L753" s="1" t="s">
        <v>103</v>
      </c>
      <c r="M753" s="1" t="s">
        <v>104</v>
      </c>
      <c r="N753" s="1" t="s">
        <v>5448</v>
      </c>
      <c r="O753" s="1" t="s">
        <v>312</v>
      </c>
      <c r="P753" s="1" t="s">
        <v>237</v>
      </c>
      <c r="Q753" s="1" t="s">
        <v>108</v>
      </c>
      <c r="R753" s="1" t="s">
        <v>12035</v>
      </c>
      <c r="S753" s="1" t="s">
        <v>8998</v>
      </c>
      <c r="Z753" s="1" t="s">
        <v>12036</v>
      </c>
      <c r="AA753" s="10">
        <v>7300000.0</v>
      </c>
      <c r="AB753" s="1" t="s">
        <v>12037</v>
      </c>
      <c r="AC753" s="10">
        <v>6500000.0</v>
      </c>
      <c r="AF753" s="10">
        <v>7500000.0</v>
      </c>
      <c r="AG753" s="1">
        <v>8.39205018E9</v>
      </c>
      <c r="AJ753" s="1">
        <v>158.0</v>
      </c>
      <c r="AK753" s="1">
        <v>57.0</v>
      </c>
      <c r="AL753" s="1" t="s">
        <v>12038</v>
      </c>
      <c r="AM753" s="1" t="s">
        <v>12039</v>
      </c>
      <c r="AN753" s="7" t="s">
        <v>12040</v>
      </c>
      <c r="AO753" s="8" t="str">
        <f>HYPERLINK("https://docs.google.com/document/d/1xowiWKEGo1JnHiqeLhpZJ-okPmdZNYa5Lgdg4Fcfu4g/edit?usp=drivesdk","Al-Wildan 4 Lebak Bulus_Indah Juniasari T., S.Pd_English, Science, Math")</f>
        <v>Al-Wildan 4 Lebak Bulus_Indah Juniasari T., S.Pd_English, Science, Math</v>
      </c>
      <c r="AP753" s="1" t="s">
        <v>12041</v>
      </c>
    </row>
    <row r="754">
      <c r="A754" s="6">
        <v>45068.41337350695</v>
      </c>
      <c r="B754" s="7" t="s">
        <v>12042</v>
      </c>
      <c r="C754" s="8" t="s">
        <v>12043</v>
      </c>
      <c r="D754" s="1" t="s">
        <v>12044</v>
      </c>
      <c r="E754" s="9" t="s">
        <v>12045</v>
      </c>
      <c r="F754" s="1" t="s">
        <v>12046</v>
      </c>
      <c r="G754" s="1" t="s">
        <v>1217</v>
      </c>
      <c r="H754" s="1" t="s">
        <v>12047</v>
      </c>
      <c r="I754" s="9" t="s">
        <v>12048</v>
      </c>
      <c r="J754" s="1" t="s">
        <v>12049</v>
      </c>
      <c r="K754" s="1" t="s">
        <v>151</v>
      </c>
      <c r="L754" s="1" t="s">
        <v>256</v>
      </c>
      <c r="M754" s="1" t="s">
        <v>104</v>
      </c>
      <c r="N754" s="1" t="s">
        <v>235</v>
      </c>
      <c r="O754" s="1" t="s">
        <v>9794</v>
      </c>
      <c r="P754" s="1" t="s">
        <v>7991</v>
      </c>
      <c r="Q754" s="1" t="s">
        <v>12050</v>
      </c>
      <c r="R754" s="1" t="s">
        <v>2355</v>
      </c>
      <c r="S754" s="1" t="s">
        <v>3093</v>
      </c>
      <c r="Z754" s="1" t="s">
        <v>217</v>
      </c>
      <c r="AA754" s="1" t="s">
        <v>217</v>
      </c>
      <c r="AB754" s="1" t="s">
        <v>217</v>
      </c>
      <c r="AC754" s="1" t="s">
        <v>217</v>
      </c>
      <c r="AD754" s="1" t="s">
        <v>217</v>
      </c>
      <c r="AE754" s="1" t="s">
        <v>217</v>
      </c>
      <c r="AF754" s="10">
        <v>4500000.0</v>
      </c>
      <c r="AG754" s="1">
        <v>7.177667457E9</v>
      </c>
      <c r="AJ754" s="1">
        <v>162.0</v>
      </c>
      <c r="AK754" s="1">
        <v>60.0</v>
      </c>
      <c r="AL754" s="1" t="s">
        <v>12051</v>
      </c>
      <c r="AM754" s="1" t="s">
        <v>12052</v>
      </c>
      <c r="AN754" s="7" t="s">
        <v>12053</v>
      </c>
      <c r="AO754" s="8" t="str">
        <f>HYPERLINK("https://docs.google.com/document/d/1wny-hmUPZVDJN_k31VhtzfONwWix85k7Gx4VxNTTKVM/edit?usp=drivesdk","Al-Wildan 12 Bulak Kapal, Bekasi_Lutfiah Amaliyah S.Pd_Bahasa Arab")</f>
        <v>Al-Wildan 12 Bulak Kapal, Bekasi_Lutfiah Amaliyah S.Pd_Bahasa Arab</v>
      </c>
      <c r="AP754" s="1" t="s">
        <v>12054</v>
      </c>
    </row>
    <row r="755">
      <c r="A755" s="6">
        <v>45068.45341258102</v>
      </c>
      <c r="B755" s="7" t="s">
        <v>12055</v>
      </c>
      <c r="C755" s="8" t="s">
        <v>12056</v>
      </c>
      <c r="D755" s="1" t="s">
        <v>12057</v>
      </c>
      <c r="E755" s="9" t="s">
        <v>12058</v>
      </c>
      <c r="F755" s="1" t="s">
        <v>12059</v>
      </c>
      <c r="G755" s="1" t="s">
        <v>12060</v>
      </c>
      <c r="H755" s="1" t="s">
        <v>12061</v>
      </c>
      <c r="I755" s="9" t="s">
        <v>12062</v>
      </c>
      <c r="J755" s="1" t="s">
        <v>12063</v>
      </c>
      <c r="K755" s="1" t="s">
        <v>102</v>
      </c>
      <c r="L755" s="1" t="s">
        <v>103</v>
      </c>
      <c r="M755" s="1" t="s">
        <v>104</v>
      </c>
      <c r="N755" s="1" t="s">
        <v>12064</v>
      </c>
      <c r="O755" s="1" t="s">
        <v>127</v>
      </c>
      <c r="P755" s="1" t="s">
        <v>11207</v>
      </c>
      <c r="Q755" s="1" t="s">
        <v>12065</v>
      </c>
      <c r="R755" s="1" t="s">
        <v>1275</v>
      </c>
      <c r="S755" s="1" t="s">
        <v>2387</v>
      </c>
      <c r="T755" s="1" t="s">
        <v>1362</v>
      </c>
      <c r="U755" s="1" t="s">
        <v>4778</v>
      </c>
      <c r="V755" s="1" t="s">
        <v>885</v>
      </c>
      <c r="Z755" s="1" t="s">
        <v>12066</v>
      </c>
      <c r="AA755" s="1" t="s">
        <v>12067</v>
      </c>
      <c r="AB755" s="1" t="s">
        <v>12068</v>
      </c>
      <c r="AC755" s="1" t="s">
        <v>12069</v>
      </c>
      <c r="AD755" s="1" t="s">
        <v>12070</v>
      </c>
      <c r="AE755" s="1" t="s">
        <v>12069</v>
      </c>
      <c r="AF755" s="1" t="s">
        <v>12071</v>
      </c>
      <c r="AG755" s="1">
        <v>7.176921627E9</v>
      </c>
      <c r="AJ755" s="1">
        <v>147.0</v>
      </c>
      <c r="AK755" s="1">
        <v>70.0</v>
      </c>
      <c r="AL755" s="1" t="s">
        <v>12072</v>
      </c>
      <c r="AM755" s="1" t="s">
        <v>12073</v>
      </c>
      <c r="AN755" s="7" t="s">
        <v>12074</v>
      </c>
      <c r="AO755" s="8" t="str">
        <f>HYPERLINK("https://docs.google.com/document/d/1WCYlui-PhPX4tWZyjM_SkuHi04Q0qLRFvcZzQNfBMCI/edit?usp=drivesdk","Al-Wildan 16 Ciledug_Astri Ariyani, S.Si., M.Si._Biology/IPA Cambridge")</f>
        <v>Al-Wildan 16 Ciledug_Astri Ariyani, S.Si., M.Si._Biology/IPA Cambridge</v>
      </c>
      <c r="AP755" s="1" t="s">
        <v>12075</v>
      </c>
    </row>
    <row r="756">
      <c r="A756" s="6">
        <v>45068.455630439814</v>
      </c>
      <c r="B756" s="7" t="s">
        <v>12076</v>
      </c>
      <c r="C756" s="8" t="s">
        <v>12077</v>
      </c>
      <c r="D756" s="1" t="s">
        <v>11517</v>
      </c>
      <c r="E756" s="9" t="s">
        <v>11518</v>
      </c>
      <c r="F756" s="1" t="s">
        <v>11519</v>
      </c>
      <c r="G756" s="1" t="s">
        <v>11520</v>
      </c>
      <c r="H756" s="1" t="s">
        <v>2689</v>
      </c>
      <c r="I756" s="9" t="s">
        <v>12078</v>
      </c>
      <c r="J756" s="1" t="s">
        <v>8032</v>
      </c>
      <c r="K756" s="1" t="s">
        <v>102</v>
      </c>
      <c r="L756" s="1" t="s">
        <v>103</v>
      </c>
      <c r="M756" s="1" t="s">
        <v>104</v>
      </c>
      <c r="N756" s="1" t="s">
        <v>771</v>
      </c>
      <c r="O756" s="1" t="s">
        <v>127</v>
      </c>
      <c r="P756" s="1" t="s">
        <v>6187</v>
      </c>
      <c r="Q756" s="1" t="s">
        <v>11522</v>
      </c>
      <c r="R756" s="1" t="s">
        <v>5612</v>
      </c>
      <c r="S756" s="1" t="s">
        <v>4892</v>
      </c>
      <c r="Z756" s="1" t="s">
        <v>12079</v>
      </c>
      <c r="AA756" s="10">
        <v>3600000.0</v>
      </c>
      <c r="AB756" s="1" t="s">
        <v>12080</v>
      </c>
      <c r="AC756" s="10">
        <v>3900000.0</v>
      </c>
      <c r="AF756" s="10">
        <v>5000000.0</v>
      </c>
      <c r="AG756" s="1">
        <v>8.39996959E9</v>
      </c>
      <c r="AJ756" s="1">
        <v>172.0</v>
      </c>
      <c r="AK756" s="1">
        <v>117.0</v>
      </c>
      <c r="AL756" s="1" t="s">
        <v>11525</v>
      </c>
      <c r="AM756" s="1" t="s">
        <v>12081</v>
      </c>
      <c r="AN756" s="7" t="s">
        <v>12082</v>
      </c>
      <c r="AO756" s="8" t="str">
        <f>HYPERLINK("https://docs.google.com/document/d/1gHreO_XdEhfAfz4JP7YfHFnP3adaB8FdlgYCqF3RRL0/edit?usp=drivesdk","Al-Wildan 14 Bumi Mutiara, Bogor_Aldy Kusnadi, S.S_English")</f>
        <v>Al-Wildan 14 Bumi Mutiara, Bogor_Aldy Kusnadi, S.S_English</v>
      </c>
      <c r="AP756" s="1" t="s">
        <v>12083</v>
      </c>
    </row>
    <row r="757">
      <c r="A757" s="6">
        <v>45068.48320653936</v>
      </c>
      <c r="B757" s="7" t="s">
        <v>12084</v>
      </c>
      <c r="C757" s="8" t="s">
        <v>12085</v>
      </c>
      <c r="D757" s="1" t="s">
        <v>12086</v>
      </c>
      <c r="E757" s="9" t="s">
        <v>12087</v>
      </c>
      <c r="F757" s="1" t="s">
        <v>12088</v>
      </c>
      <c r="G757" s="1" t="s">
        <v>12089</v>
      </c>
      <c r="H757" s="1" t="s">
        <v>3047</v>
      </c>
      <c r="I757" s="9" t="s">
        <v>12090</v>
      </c>
      <c r="J757" s="1" t="s">
        <v>12091</v>
      </c>
      <c r="K757" s="1" t="s">
        <v>102</v>
      </c>
      <c r="L757" s="1" t="s">
        <v>103</v>
      </c>
      <c r="M757" s="1" t="s">
        <v>104</v>
      </c>
      <c r="N757" s="1" t="s">
        <v>12092</v>
      </c>
      <c r="O757" s="1" t="s">
        <v>127</v>
      </c>
      <c r="P757" s="1" t="s">
        <v>5712</v>
      </c>
      <c r="Q757" s="1" t="s">
        <v>153</v>
      </c>
      <c r="R757" s="1" t="s">
        <v>410</v>
      </c>
      <c r="S757" s="9" t="s">
        <v>4421</v>
      </c>
      <c r="T757" s="1" t="s">
        <v>153</v>
      </c>
      <c r="U757" s="1" t="s">
        <v>12093</v>
      </c>
      <c r="V757" s="1" t="s">
        <v>1060</v>
      </c>
      <c r="Z757" s="1" t="s">
        <v>12094</v>
      </c>
      <c r="AA757" s="10">
        <v>6000000.0</v>
      </c>
      <c r="AB757" s="1" t="s">
        <v>12095</v>
      </c>
      <c r="AC757" s="10">
        <v>3500000.0</v>
      </c>
      <c r="AD757" s="1" t="s">
        <v>12096</v>
      </c>
      <c r="AE757" s="10">
        <v>2500000.0</v>
      </c>
      <c r="AF757" s="10">
        <v>8000000.0</v>
      </c>
      <c r="AG757" s="1">
        <v>1.028158188E9</v>
      </c>
      <c r="AI757" s="1" t="s">
        <v>5113</v>
      </c>
      <c r="AJ757" s="1">
        <v>165.0</v>
      </c>
      <c r="AK757" s="1">
        <v>63.0</v>
      </c>
      <c r="AL757" s="1" t="s">
        <v>12097</v>
      </c>
      <c r="AM757" s="1" t="s">
        <v>12098</v>
      </c>
      <c r="AN757" s="7" t="s">
        <v>12099</v>
      </c>
      <c r="AO757" s="8" t="str">
        <f>HYPERLINK("https://docs.google.com/document/d/1vu5fqYV75LcGz1-DRoDRyzNs2HK2-gYbWOHWYMxwszg/edit?usp=drivesdk","Al-Wildan 3 BSD City_Mokhamad Fauji Fajarudin, M.Pd._Fisika/IPA Cambridge")</f>
        <v>Al-Wildan 3 BSD City_Mokhamad Fauji Fajarudin, M.Pd._Fisika/IPA Cambridge</v>
      </c>
      <c r="AP757" s="1" t="s">
        <v>12100</v>
      </c>
    </row>
    <row r="758">
      <c r="A758" s="6">
        <v>45068.64494216435</v>
      </c>
      <c r="B758" s="7" t="s">
        <v>12101</v>
      </c>
      <c r="C758" s="8" t="s">
        <v>12102</v>
      </c>
      <c r="D758" s="1" t="s">
        <v>12103</v>
      </c>
      <c r="E758" s="9" t="s">
        <v>12104</v>
      </c>
      <c r="F758" s="1" t="s">
        <v>12105</v>
      </c>
      <c r="G758" s="1" t="s">
        <v>12106</v>
      </c>
      <c r="H758" s="1" t="s">
        <v>12107</v>
      </c>
      <c r="I758" s="9" t="s">
        <v>12108</v>
      </c>
      <c r="J758" s="1" t="s">
        <v>423</v>
      </c>
      <c r="K758" s="1" t="s">
        <v>151</v>
      </c>
      <c r="L758" s="1" t="s">
        <v>103</v>
      </c>
      <c r="M758" s="1" t="s">
        <v>104</v>
      </c>
      <c r="N758" s="1" t="s">
        <v>12109</v>
      </c>
      <c r="O758" s="1" t="s">
        <v>127</v>
      </c>
      <c r="P758" s="1" t="s">
        <v>7162</v>
      </c>
      <c r="Q758" s="1" t="s">
        <v>153</v>
      </c>
      <c r="R758" s="1" t="s">
        <v>459</v>
      </c>
      <c r="S758" s="1" t="s">
        <v>1023</v>
      </c>
      <c r="Z758" s="1" t="s">
        <v>12110</v>
      </c>
      <c r="AA758" s="10">
        <v>2400000.0</v>
      </c>
      <c r="AB758" s="1" t="s">
        <v>12111</v>
      </c>
      <c r="AC758" s="10">
        <v>500000.0</v>
      </c>
      <c r="AF758" s="10">
        <v>4800000.0</v>
      </c>
      <c r="AH758" s="1">
        <v>1.384864193E9</v>
      </c>
      <c r="AI758" s="1" t="s">
        <v>159</v>
      </c>
      <c r="AJ758" s="1">
        <v>155.0</v>
      </c>
      <c r="AK758" s="1">
        <v>72.0</v>
      </c>
      <c r="AL758" s="1" t="s">
        <v>12112</v>
      </c>
      <c r="AM758" s="1" t="s">
        <v>12113</v>
      </c>
      <c r="AN758" s="7" t="s">
        <v>12114</v>
      </c>
      <c r="AO758" s="8" t="str">
        <f>HYPERLINK("https://docs.google.com/document/d/1vobbkptmaYhq_mJ-GYAzTd1KStaIfnSKLhIEknB8bAA/edit?usp=drivesdk","Al-Wildan 7 Serang_Aldini Alvionnita, S.Pd_Ekonomi/IPS Cambridge")</f>
        <v>Al-Wildan 7 Serang_Aldini Alvionnita, S.Pd_Ekonomi/IPS Cambridge</v>
      </c>
      <c r="AP758" s="1" t="s">
        <v>12115</v>
      </c>
    </row>
    <row r="759">
      <c r="A759" s="6">
        <v>45070.24070221065</v>
      </c>
      <c r="B759" s="7" t="s">
        <v>12116</v>
      </c>
      <c r="C759" s="8" t="s">
        <v>12117</v>
      </c>
      <c r="D759" s="1" t="s">
        <v>12118</v>
      </c>
      <c r="E759" s="9" t="s">
        <v>12119</v>
      </c>
      <c r="F759" s="1" t="s">
        <v>12120</v>
      </c>
      <c r="G759" s="1" t="s">
        <v>12121</v>
      </c>
      <c r="H759" s="1" t="s">
        <v>12121</v>
      </c>
      <c r="I759" s="9" t="s">
        <v>12122</v>
      </c>
      <c r="J759" s="1" t="s">
        <v>4654</v>
      </c>
      <c r="K759" s="1" t="s">
        <v>151</v>
      </c>
      <c r="L759" s="1" t="s">
        <v>103</v>
      </c>
      <c r="M759" s="1" t="s">
        <v>104</v>
      </c>
      <c r="N759" s="1" t="s">
        <v>1275</v>
      </c>
      <c r="O759" s="1" t="s">
        <v>236</v>
      </c>
      <c r="P759" s="1" t="s">
        <v>237</v>
      </c>
      <c r="Q759" s="1" t="s">
        <v>347</v>
      </c>
      <c r="R759" s="1" t="s">
        <v>989</v>
      </c>
      <c r="S759" s="1" t="s">
        <v>1524</v>
      </c>
      <c r="T759" s="1" t="s">
        <v>10945</v>
      </c>
      <c r="U759" s="1" t="s">
        <v>1275</v>
      </c>
      <c r="V759" s="1" t="s">
        <v>6303</v>
      </c>
      <c r="Z759" s="1" t="s">
        <v>12123</v>
      </c>
      <c r="AA759" s="10">
        <v>1900000.0</v>
      </c>
      <c r="AB759" s="1" t="s">
        <v>12124</v>
      </c>
      <c r="AC759" s="10">
        <v>1150000.0</v>
      </c>
      <c r="AD759" s="1" t="s">
        <v>12125</v>
      </c>
      <c r="AE759" s="10">
        <v>500000.0</v>
      </c>
      <c r="AF759" s="10">
        <v>5000000.0</v>
      </c>
      <c r="AG759" s="1">
        <v>7.222871616E9</v>
      </c>
      <c r="AI759" s="1" t="s">
        <v>12126</v>
      </c>
      <c r="AJ759" s="1">
        <v>159.0</v>
      </c>
      <c r="AK759" s="1">
        <v>48.0</v>
      </c>
      <c r="AL759" s="1" t="s">
        <v>12127</v>
      </c>
      <c r="AM759" s="1" t="s">
        <v>12128</v>
      </c>
      <c r="AN759" s="7" t="s">
        <v>12129</v>
      </c>
      <c r="AO759" s="8" t="str">
        <f>HYPERLINK("https://docs.google.com/document/d/1ML5VUmYEbdKoykJRyQCL72p9ZtWUB0_ZCtpnxvRbnvg/edit?usp=drivesdk","Al-Wildan 4 Lebak Bulus_Dwi Puji Hayati, S.Pd., M.Sc._Biologi")</f>
        <v>Al-Wildan 4 Lebak Bulus_Dwi Puji Hayati, S.Pd., M.Sc._Biologi</v>
      </c>
      <c r="AP759" s="1" t="s">
        <v>12130</v>
      </c>
    </row>
    <row r="760">
      <c r="A760" s="6">
        <v>45075.89913253472</v>
      </c>
      <c r="B760" s="7" t="s">
        <v>12131</v>
      </c>
      <c r="C760" s="8" t="s">
        <v>12132</v>
      </c>
      <c r="D760" s="1" t="s">
        <v>12133</v>
      </c>
      <c r="E760" s="1" t="s">
        <v>12134</v>
      </c>
      <c r="F760" s="1" t="s">
        <v>12135</v>
      </c>
      <c r="G760" s="1" t="s">
        <v>12136</v>
      </c>
      <c r="H760" s="1" t="s">
        <v>12137</v>
      </c>
      <c r="I760" s="9" t="s">
        <v>12138</v>
      </c>
      <c r="J760" s="1" t="s">
        <v>2783</v>
      </c>
      <c r="K760" s="1" t="s">
        <v>102</v>
      </c>
      <c r="L760" s="1" t="s">
        <v>103</v>
      </c>
      <c r="M760" s="1" t="s">
        <v>12139</v>
      </c>
      <c r="N760" s="1" t="s">
        <v>12140</v>
      </c>
      <c r="O760" s="1" t="s">
        <v>9794</v>
      </c>
      <c r="P760" s="1" t="s">
        <v>12141</v>
      </c>
      <c r="Q760" s="1" t="s">
        <v>1082</v>
      </c>
      <c r="R760" s="1" t="s">
        <v>12142</v>
      </c>
      <c r="S760" s="9" t="s">
        <v>5613</v>
      </c>
      <c r="Z760" s="1" t="s">
        <v>12143</v>
      </c>
      <c r="AA760" s="1" t="s">
        <v>12144</v>
      </c>
      <c r="AB760" s="1" t="s">
        <v>12145</v>
      </c>
      <c r="AC760" s="1" t="s">
        <v>12144</v>
      </c>
      <c r="AF760" s="10">
        <v>1.0E7</v>
      </c>
      <c r="AG760" s="1">
        <v>7.148623966E9</v>
      </c>
      <c r="AI760" s="1" t="s">
        <v>5561</v>
      </c>
      <c r="AJ760" s="1">
        <v>170.0</v>
      </c>
      <c r="AK760" s="1">
        <v>94.0</v>
      </c>
      <c r="AL760" s="1" t="s">
        <v>12146</v>
      </c>
      <c r="AM760" s="1" t="s">
        <v>12147</v>
      </c>
      <c r="AN760" s="7" t="s">
        <v>12148</v>
      </c>
      <c r="AO760" s="8" t="str">
        <f>HYPERLINK("https://docs.google.com/document/d/17DspEX5UWFTDAWcAfSY4RFDbI9mQLRPiz5Y84j-0KSw/edit?usp=drivesdk","Al-Wildan 21 Aceh_Muhammad Vega Satria, B.A._Al-Qur'an &amp; Native Arabic")</f>
        <v>Al-Wildan 21 Aceh_Muhammad Vega Satria, B.A._Al-Qur'an &amp; Native Arabic</v>
      </c>
      <c r="AP760" s="1" t="s">
        <v>12149</v>
      </c>
    </row>
    <row r="761">
      <c r="A761" s="6">
        <v>45093.92828765046</v>
      </c>
      <c r="B761" s="7" t="s">
        <v>12150</v>
      </c>
      <c r="C761" s="8" t="s">
        <v>12151</v>
      </c>
      <c r="D761" s="1" t="s">
        <v>12152</v>
      </c>
      <c r="E761" s="9" t="s">
        <v>10013</v>
      </c>
      <c r="F761" s="1" t="s">
        <v>10014</v>
      </c>
      <c r="G761" s="1" t="s">
        <v>12153</v>
      </c>
      <c r="H761" s="1" t="s">
        <v>2129</v>
      </c>
      <c r="I761" s="9" t="s">
        <v>12154</v>
      </c>
      <c r="J761" s="1" t="s">
        <v>12155</v>
      </c>
      <c r="K761" s="1" t="s">
        <v>102</v>
      </c>
      <c r="L761" s="1" t="s">
        <v>310</v>
      </c>
      <c r="M761" s="1" t="s">
        <v>12156</v>
      </c>
      <c r="O761" s="1" t="s">
        <v>10069</v>
      </c>
      <c r="P761" s="1" t="s">
        <v>237</v>
      </c>
      <c r="Q761" s="1" t="s">
        <v>10017</v>
      </c>
      <c r="R761" s="1" t="s">
        <v>10018</v>
      </c>
      <c r="S761" s="1" t="s">
        <v>6236</v>
      </c>
      <c r="T761" s="1" t="s">
        <v>10019</v>
      </c>
      <c r="U761" s="1" t="s">
        <v>12157</v>
      </c>
      <c r="V761" s="1" t="s">
        <v>2387</v>
      </c>
      <c r="W761" s="1" t="s">
        <v>12158</v>
      </c>
      <c r="X761" s="1" t="s">
        <v>12159</v>
      </c>
      <c r="Y761" s="1" t="s">
        <v>1279</v>
      </c>
      <c r="Z761" s="1" t="s">
        <v>12160</v>
      </c>
      <c r="AA761" s="10">
        <v>5000000.0</v>
      </c>
      <c r="AB761" s="1" t="s">
        <v>12161</v>
      </c>
      <c r="AC761" s="10">
        <v>1.0E7</v>
      </c>
      <c r="AF761" s="10">
        <v>2.2E7</v>
      </c>
      <c r="AG761" s="1">
        <v>3.45587483E9</v>
      </c>
      <c r="AJ761" s="1">
        <v>170.0</v>
      </c>
      <c r="AK761" s="1">
        <v>94.0</v>
      </c>
      <c r="AL761" s="1" t="s">
        <v>10024</v>
      </c>
      <c r="AM761" s="1" t="s">
        <v>12162</v>
      </c>
      <c r="AN761" s="7" t="s">
        <v>12163</v>
      </c>
      <c r="AO761" s="8" t="str">
        <f>HYPERLINK("https://docs.google.com/document/d/1MwuUe2dUhrXEEwPx1DeO9v3optlXV5DvSnXrZo48Ba0/edit?usp=drivesdk","Al-Wildan 4 Lebak Bulus_Dr(C) Agus Haryono, S.P.,M.M._")</f>
        <v>Al-Wildan 4 Lebak Bulus_Dr(C) Agus Haryono, S.P.,M.M._</v>
      </c>
      <c r="AP761" s="1" t="s">
        <v>12164</v>
      </c>
    </row>
    <row r="762">
      <c r="A762" s="6">
        <v>45107.468168657404</v>
      </c>
      <c r="B762" s="7" t="s">
        <v>12165</v>
      </c>
      <c r="C762" s="8" t="s">
        <v>12166</v>
      </c>
      <c r="D762" s="1" t="s">
        <v>12167</v>
      </c>
      <c r="E762" s="9" t="s">
        <v>12168</v>
      </c>
      <c r="F762" s="1" t="s">
        <v>12169</v>
      </c>
      <c r="G762" s="1" t="s">
        <v>12170</v>
      </c>
      <c r="H762" s="1" t="s">
        <v>6482</v>
      </c>
      <c r="I762" s="9" t="s">
        <v>12171</v>
      </c>
      <c r="J762" s="1" t="s">
        <v>10813</v>
      </c>
      <c r="K762" s="1" t="s">
        <v>102</v>
      </c>
      <c r="L762" s="1" t="s">
        <v>103</v>
      </c>
      <c r="M762" s="1" t="s">
        <v>104</v>
      </c>
      <c r="N762" s="1" t="s">
        <v>12172</v>
      </c>
      <c r="O762" s="1" t="s">
        <v>127</v>
      </c>
      <c r="P762" s="1" t="s">
        <v>5712</v>
      </c>
      <c r="Q762" s="1" t="s">
        <v>12173</v>
      </c>
      <c r="R762" s="1" t="s">
        <v>12174</v>
      </c>
      <c r="S762" s="1" t="s">
        <v>1084</v>
      </c>
      <c r="Z762" s="1" t="s">
        <v>12175</v>
      </c>
      <c r="AA762" s="10">
        <v>1.0E7</v>
      </c>
      <c r="AB762" s="1" t="s">
        <v>12176</v>
      </c>
      <c r="AC762" s="10">
        <v>7000000.0</v>
      </c>
      <c r="AD762" s="1" t="s">
        <v>12177</v>
      </c>
      <c r="AE762" s="1" t="s">
        <v>12178</v>
      </c>
      <c r="AF762" s="10">
        <v>1.5E7</v>
      </c>
      <c r="AH762" s="9" t="s">
        <v>12179</v>
      </c>
      <c r="AI762" s="1" t="s">
        <v>12180</v>
      </c>
      <c r="AJ762" s="1">
        <v>173.0</v>
      </c>
      <c r="AK762" s="1">
        <v>69.0</v>
      </c>
      <c r="AL762" s="1" t="s">
        <v>12181</v>
      </c>
      <c r="AM762" s="1" t="s">
        <v>12182</v>
      </c>
      <c r="AN762" s="7" t="s">
        <v>12183</v>
      </c>
      <c r="AO762" s="8" t="str">
        <f>HYPERLINK("https://docs.google.com/document/d/1DGTl6I32DLw4k9ep7T_mtNQeUZyGgUY3QDJMGK6FqjQ/edit?usp=drivesdk","Al-Wildan 3 BSD City_Fachrul Azmi BIS_bahasa inggris")</f>
        <v>Al-Wildan 3 BSD City_Fachrul Azmi BIS_bahasa inggris</v>
      </c>
      <c r="AP762" s="1" t="s">
        <v>12184</v>
      </c>
    </row>
    <row r="763">
      <c r="A763" s="6">
        <v>45107.546649131946</v>
      </c>
      <c r="B763" s="7" t="s">
        <v>12185</v>
      </c>
      <c r="C763" s="8" t="s">
        <v>12186</v>
      </c>
      <c r="D763" s="1" t="s">
        <v>12187</v>
      </c>
      <c r="E763" s="9" t="s">
        <v>12188</v>
      </c>
      <c r="F763" s="1" t="s">
        <v>12189</v>
      </c>
      <c r="G763" s="1" t="s">
        <v>2159</v>
      </c>
      <c r="H763" s="1" t="s">
        <v>12190</v>
      </c>
      <c r="I763" s="9" t="s">
        <v>4906</v>
      </c>
      <c r="J763" s="1">
        <v>27.0</v>
      </c>
      <c r="K763" s="1" t="s">
        <v>151</v>
      </c>
      <c r="L763" s="1" t="s">
        <v>256</v>
      </c>
      <c r="M763" s="1" t="s">
        <v>104</v>
      </c>
      <c r="N763" s="1" t="s">
        <v>235</v>
      </c>
      <c r="O763" s="1" t="s">
        <v>9794</v>
      </c>
      <c r="P763" s="1" t="s">
        <v>6091</v>
      </c>
      <c r="Q763" s="1" t="s">
        <v>3237</v>
      </c>
      <c r="R763" s="1" t="s">
        <v>7391</v>
      </c>
      <c r="S763" s="1" t="s">
        <v>426</v>
      </c>
      <c r="T763" s="1" t="s">
        <v>2802</v>
      </c>
      <c r="U763" s="1" t="s">
        <v>12191</v>
      </c>
      <c r="V763" s="1" t="s">
        <v>2181</v>
      </c>
      <c r="Z763" s="1" t="s">
        <v>12192</v>
      </c>
      <c r="AA763" s="10">
        <v>6000000.0</v>
      </c>
      <c r="AB763" s="1" t="s">
        <v>12193</v>
      </c>
      <c r="AC763" s="10">
        <v>9000000.0</v>
      </c>
      <c r="AF763" s="10">
        <v>7000000.0</v>
      </c>
      <c r="AG763" s="1">
        <v>7.23758236E9</v>
      </c>
      <c r="AI763" s="1" t="s">
        <v>5113</v>
      </c>
      <c r="AJ763" s="1">
        <v>170.0</v>
      </c>
      <c r="AK763" s="1">
        <v>65.0</v>
      </c>
      <c r="AL763" s="1" t="s">
        <v>12194</v>
      </c>
      <c r="AM763" s="1" t="s">
        <v>12195</v>
      </c>
      <c r="AN763" s="7" t="s">
        <v>12196</v>
      </c>
      <c r="AO763" s="8" t="str">
        <f>HYPERLINK("https://docs.google.com/document/d/1WZfE25XeowtgbpO5cMSA_qKopckQ4mkEqTpLAhOuce4/edit?usp=drivesdk","Al-Wildan 10 Cipinang, Jakarta Timur_Wahyu S Adam, M.Pd_Bahasa Arab")</f>
        <v>Al-Wildan 10 Cipinang, Jakarta Timur_Wahyu S Adam, M.Pd_Bahasa Arab</v>
      </c>
      <c r="AP763" s="1" t="s">
        <v>12197</v>
      </c>
    </row>
    <row r="764">
      <c r="A764" s="6">
        <v>45107.55061486111</v>
      </c>
      <c r="B764" s="7" t="s">
        <v>12198</v>
      </c>
      <c r="C764" s="8" t="s">
        <v>12199</v>
      </c>
      <c r="D764" s="1" t="s">
        <v>12200</v>
      </c>
      <c r="E764" s="9" t="s">
        <v>12201</v>
      </c>
      <c r="F764" s="1" t="s">
        <v>12202</v>
      </c>
      <c r="G764" s="1" t="s">
        <v>12203</v>
      </c>
      <c r="H764" s="1" t="s">
        <v>169</v>
      </c>
      <c r="I764" s="9" t="s">
        <v>12204</v>
      </c>
      <c r="J764" s="1" t="s">
        <v>2676</v>
      </c>
      <c r="K764" s="1" t="s">
        <v>102</v>
      </c>
      <c r="L764" s="1" t="s">
        <v>103</v>
      </c>
      <c r="M764" s="1" t="s">
        <v>104</v>
      </c>
      <c r="N764" s="1" t="s">
        <v>12205</v>
      </c>
      <c r="O764" s="1" t="s">
        <v>312</v>
      </c>
      <c r="P764" s="1" t="s">
        <v>6187</v>
      </c>
      <c r="Q764" s="1" t="s">
        <v>12206</v>
      </c>
      <c r="R764" s="1" t="s">
        <v>259</v>
      </c>
      <c r="S764" s="1">
        <v>3.18</v>
      </c>
      <c r="Z764" s="1" t="s">
        <v>12207</v>
      </c>
      <c r="AA764" s="10">
        <v>3700000.0</v>
      </c>
      <c r="AB764" s="1" t="s">
        <v>12208</v>
      </c>
      <c r="AC764" s="10">
        <v>4700000.0</v>
      </c>
      <c r="AF764" s="10">
        <v>5000000.0</v>
      </c>
      <c r="AH764" s="1">
        <v>1.240010406E9</v>
      </c>
      <c r="AI764" s="1" t="s">
        <v>298</v>
      </c>
      <c r="AJ764" s="1">
        <v>158.0</v>
      </c>
      <c r="AK764" s="1">
        <v>63.0</v>
      </c>
      <c r="AL764" s="1" t="s">
        <v>12209</v>
      </c>
      <c r="AM764" s="1" t="s">
        <v>12210</v>
      </c>
      <c r="AN764" s="7" t="s">
        <v>12211</v>
      </c>
      <c r="AO764" s="8" t="str">
        <f>HYPERLINK("https://docs.google.com/document/d/1YhdkU40FIiaPuMPmuisccZO4AiFwhOLF_gkXiqrcpmc/edit?usp=drivesdk","Al-Wildan 14 Bumi Mutiara, Bogor_Juwita nurramdhania_Guru PAI")</f>
        <v>Al-Wildan 14 Bumi Mutiara, Bogor_Juwita nurramdhania_Guru PAI</v>
      </c>
      <c r="AP764" s="1" t="s">
        <v>12212</v>
      </c>
    </row>
    <row r="765">
      <c r="A765" s="6">
        <v>45107.56758206019</v>
      </c>
      <c r="B765" s="7" t="s">
        <v>12213</v>
      </c>
      <c r="C765" s="8" t="s">
        <v>12214</v>
      </c>
      <c r="D765" s="1" t="s">
        <v>12215</v>
      </c>
      <c r="E765" s="9" t="s">
        <v>12216</v>
      </c>
      <c r="F765" s="1" t="s">
        <v>12217</v>
      </c>
      <c r="G765" s="1" t="s">
        <v>99</v>
      </c>
      <c r="H765" s="1" t="s">
        <v>99</v>
      </c>
      <c r="I765" s="9" t="s">
        <v>12218</v>
      </c>
      <c r="J765" s="1" t="s">
        <v>12219</v>
      </c>
      <c r="K765" s="1" t="s">
        <v>151</v>
      </c>
      <c r="L765" s="1" t="s">
        <v>256</v>
      </c>
      <c r="M765" s="1" t="s">
        <v>6060</v>
      </c>
      <c r="O765" s="1" t="s">
        <v>9794</v>
      </c>
      <c r="P765" s="1" t="s">
        <v>7162</v>
      </c>
      <c r="Q765" s="1" t="s">
        <v>12220</v>
      </c>
      <c r="R765" s="1" t="s">
        <v>259</v>
      </c>
      <c r="S765" s="1" t="s">
        <v>2181</v>
      </c>
      <c r="Z765" s="1" t="s">
        <v>12221</v>
      </c>
      <c r="AA765" s="10">
        <v>2500000.0</v>
      </c>
      <c r="AF765" s="1" t="s">
        <v>12222</v>
      </c>
      <c r="AH765" s="1">
        <v>1.79001003304506E14</v>
      </c>
      <c r="AI765" s="1" t="s">
        <v>2407</v>
      </c>
      <c r="AJ765" s="1">
        <v>158.0</v>
      </c>
      <c r="AK765" s="1">
        <v>70.0</v>
      </c>
      <c r="AL765" s="1" t="s">
        <v>12223</v>
      </c>
      <c r="AM765" s="1" t="s">
        <v>12224</v>
      </c>
      <c r="AN765" s="7" t="s">
        <v>12225</v>
      </c>
      <c r="AO765" s="8" t="str">
        <f>HYPERLINK("https://docs.google.com/document/d/1VMf8Py_c0TUOpEfa8ycKzuJ2pKW53Y0zDecafKS78SU/edit?usp=drivesdk","Al-Wildan 7 Serang_Ratu Najmah Nabilah S.Pd.,_")</f>
        <v>Al-Wildan 7 Serang_Ratu Najmah Nabilah S.Pd.,_</v>
      </c>
      <c r="AP765" s="1" t="s">
        <v>12226</v>
      </c>
    </row>
    <row r="766">
      <c r="A766" s="6">
        <v>45107.589022534725</v>
      </c>
      <c r="B766" s="7" t="s">
        <v>12227</v>
      </c>
      <c r="C766" s="8" t="s">
        <v>12228</v>
      </c>
      <c r="D766" s="1" t="s">
        <v>12229</v>
      </c>
      <c r="E766" s="1" t="s">
        <v>12230</v>
      </c>
      <c r="F766" s="1" t="s">
        <v>12231</v>
      </c>
      <c r="G766" s="1" t="s">
        <v>8937</v>
      </c>
      <c r="H766" s="1" t="s">
        <v>8937</v>
      </c>
      <c r="I766" s="9" t="s">
        <v>12232</v>
      </c>
      <c r="J766" s="1" t="s">
        <v>12233</v>
      </c>
      <c r="K766" s="1" t="s">
        <v>151</v>
      </c>
      <c r="L766" s="1" t="s">
        <v>256</v>
      </c>
      <c r="M766" s="1" t="s">
        <v>104</v>
      </c>
      <c r="N766" s="1" t="s">
        <v>12234</v>
      </c>
      <c r="O766" s="1" t="s">
        <v>312</v>
      </c>
      <c r="P766" s="1" t="s">
        <v>6091</v>
      </c>
      <c r="Q766" s="1" t="s">
        <v>1559</v>
      </c>
      <c r="R766" s="1" t="s">
        <v>3583</v>
      </c>
      <c r="S766" s="1" t="s">
        <v>12235</v>
      </c>
      <c r="Z766" s="1" t="s">
        <v>12236</v>
      </c>
      <c r="AA766" s="10">
        <v>3900000.0</v>
      </c>
      <c r="AB766" s="1" t="s">
        <v>12237</v>
      </c>
      <c r="AF766" s="10">
        <v>4000000.0</v>
      </c>
      <c r="AG766" s="1">
        <v>4.29269295E9</v>
      </c>
      <c r="AJ766" s="1">
        <v>144.0</v>
      </c>
      <c r="AK766" s="1">
        <v>34.0</v>
      </c>
      <c r="AL766" s="1" t="s">
        <v>12238</v>
      </c>
      <c r="AM766" s="1" t="s">
        <v>12239</v>
      </c>
      <c r="AN766" s="7" t="s">
        <v>12240</v>
      </c>
      <c r="AO766" s="8" t="str">
        <f>HYPERLINK("https://docs.google.com/document/d/1m_T2PXjRiSDr9Gn5GN5sFVxppYGJiP7q6QnJBKYbNpA/edit?usp=drivesdk","Al-Wildan 10 Cipinang, Jakarta Timur_Aidah Fauziah, BA_PAI/Arabic ")</f>
        <v>Al-Wildan 10 Cipinang, Jakarta Timur_Aidah Fauziah, BA_PAI/Arabic </v>
      </c>
      <c r="AP766" s="1" t="s">
        <v>12241</v>
      </c>
    </row>
    <row r="767">
      <c r="A767" s="6">
        <v>45107.65288550926</v>
      </c>
      <c r="B767" s="7" t="s">
        <v>12242</v>
      </c>
      <c r="C767" s="8" t="s">
        <v>12243</v>
      </c>
      <c r="D767" s="1" t="s">
        <v>12244</v>
      </c>
      <c r="E767" s="9" t="s">
        <v>12245</v>
      </c>
      <c r="F767" s="1" t="s">
        <v>12246</v>
      </c>
      <c r="G767" s="1" t="s">
        <v>12247</v>
      </c>
      <c r="H767" s="1" t="s">
        <v>12248</v>
      </c>
      <c r="I767" s="9" t="s">
        <v>12249</v>
      </c>
      <c r="J767" s="1" t="s">
        <v>12250</v>
      </c>
      <c r="K767" s="1" t="s">
        <v>102</v>
      </c>
      <c r="L767" s="1" t="s">
        <v>827</v>
      </c>
      <c r="M767" s="1" t="s">
        <v>104</v>
      </c>
      <c r="N767" s="1" t="s">
        <v>12251</v>
      </c>
      <c r="O767" s="1" t="s">
        <v>312</v>
      </c>
      <c r="P767" s="1" t="s">
        <v>6187</v>
      </c>
      <c r="Q767" s="1" t="s">
        <v>12252</v>
      </c>
      <c r="R767" s="1" t="s">
        <v>2355</v>
      </c>
      <c r="S767" s="1" t="s">
        <v>8371</v>
      </c>
      <c r="Z767" s="1" t="s">
        <v>12253</v>
      </c>
      <c r="AA767" s="10">
        <v>1500000.0</v>
      </c>
      <c r="AB767" s="1" t="s">
        <v>12254</v>
      </c>
      <c r="AC767" s="10">
        <v>4000000.0</v>
      </c>
      <c r="AF767" s="10">
        <v>4500000.0</v>
      </c>
      <c r="AG767" s="1">
        <v>7.41125904E9</v>
      </c>
      <c r="AJ767" s="1">
        <v>153.0</v>
      </c>
      <c r="AK767" s="1">
        <v>48.0</v>
      </c>
      <c r="AL767" s="1" t="s">
        <v>12255</v>
      </c>
      <c r="AM767" s="1" t="s">
        <v>12256</v>
      </c>
      <c r="AN767" s="7" t="s">
        <v>12257</v>
      </c>
      <c r="AO767" s="8" t="str">
        <f>HYPERLINK("https://docs.google.com/document/d/10EPH85v8ihsAOqEZC3azh-zcmTFt5aX9YrSxZO3zZsA/edit?usp=drivesdk","Al-Wildan 14 Bumi Mutiara, Bogor_Nurhayati Butarbutar, S.Pd_PAI, Arabic")</f>
        <v>Al-Wildan 14 Bumi Mutiara, Bogor_Nurhayati Butarbutar, S.Pd_PAI, Arabic</v>
      </c>
      <c r="AP767" s="1" t="s">
        <v>12258</v>
      </c>
    </row>
    <row r="768">
      <c r="A768" s="6">
        <v>45107.66438170139</v>
      </c>
      <c r="B768" s="7" t="s">
        <v>12259</v>
      </c>
      <c r="C768" s="8" t="s">
        <v>12260</v>
      </c>
      <c r="D768" s="1" t="s">
        <v>12261</v>
      </c>
      <c r="E768" s="9" t="s">
        <v>12262</v>
      </c>
      <c r="F768" s="1" t="s">
        <v>12263</v>
      </c>
      <c r="G768" s="1" t="s">
        <v>12264</v>
      </c>
      <c r="H768" s="1" t="s">
        <v>169</v>
      </c>
      <c r="I768" s="9" t="s">
        <v>12265</v>
      </c>
      <c r="J768" s="1" t="s">
        <v>5174</v>
      </c>
      <c r="K768" s="1" t="s">
        <v>151</v>
      </c>
      <c r="L768" s="1" t="s">
        <v>256</v>
      </c>
      <c r="M768" s="1" t="s">
        <v>104</v>
      </c>
      <c r="N768" s="1" t="s">
        <v>12266</v>
      </c>
      <c r="O768" s="1" t="s">
        <v>127</v>
      </c>
      <c r="P768" s="1" t="s">
        <v>6659</v>
      </c>
      <c r="Q768" s="1" t="s">
        <v>12267</v>
      </c>
      <c r="R768" s="1" t="s">
        <v>989</v>
      </c>
      <c r="S768" s="1" t="s">
        <v>12268</v>
      </c>
      <c r="Z768" s="1" t="s">
        <v>12269</v>
      </c>
      <c r="AA768" s="10">
        <v>850000.0</v>
      </c>
      <c r="AB768" s="1" t="s">
        <v>12270</v>
      </c>
      <c r="AC768" s="10">
        <v>2260000.0</v>
      </c>
      <c r="AD768" s="1" t="s">
        <v>9900</v>
      </c>
      <c r="AE768" s="1" t="s">
        <v>12271</v>
      </c>
      <c r="AF768" s="10">
        <v>6000000.0</v>
      </c>
      <c r="AH768" s="1">
        <v>9.0120480605E11</v>
      </c>
      <c r="AI768" s="1" t="s">
        <v>12272</v>
      </c>
      <c r="AJ768" s="1">
        <v>155.0</v>
      </c>
      <c r="AK768" s="1">
        <v>47.0</v>
      </c>
      <c r="AL768" s="1" t="s">
        <v>12273</v>
      </c>
      <c r="AM768" s="1" t="s">
        <v>12274</v>
      </c>
      <c r="AN768" s="7" t="s">
        <v>12275</v>
      </c>
      <c r="AO768" s="8" t="str">
        <f>HYPERLINK("https://docs.google.com/document/d/15EL5WCIu3BHzuX5EawFeDKkahyUmxWNoXXIO1oaYWPA/edit?usp=drivesdk","Al-Wildan 15 Kompas Indah, Tambun Bekasi._Ratih Kusuma Wardhani, S.Pd. _Biologi/ IPA Cambrige")</f>
        <v>Al-Wildan 15 Kompas Indah, Tambun Bekasi._Ratih Kusuma Wardhani, S.Pd. _Biologi/ IPA Cambrige</v>
      </c>
      <c r="AP768" s="1" t="s">
        <v>12276</v>
      </c>
    </row>
    <row r="769">
      <c r="A769" s="6">
        <v>45108.41246431713</v>
      </c>
      <c r="B769" s="7" t="s">
        <v>12277</v>
      </c>
      <c r="C769" s="8" t="s">
        <v>12278</v>
      </c>
      <c r="D769" s="11" t="s">
        <v>12279</v>
      </c>
      <c r="E769" s="9" t="s">
        <v>12280</v>
      </c>
      <c r="F769" s="9" t="s">
        <v>12281</v>
      </c>
      <c r="G769" s="1" t="s">
        <v>12282</v>
      </c>
      <c r="H769" s="1" t="s">
        <v>12283</v>
      </c>
      <c r="I769" s="1" t="s">
        <v>12284</v>
      </c>
      <c r="J769" s="1">
        <v>38.0</v>
      </c>
      <c r="K769" s="1" t="s">
        <v>102</v>
      </c>
      <c r="L769" s="1" t="s">
        <v>256</v>
      </c>
      <c r="M769" s="1" t="s">
        <v>104</v>
      </c>
      <c r="N769" s="1" t="s">
        <v>235</v>
      </c>
      <c r="O769" s="1" t="s">
        <v>9794</v>
      </c>
      <c r="P769" s="1" t="s">
        <v>107</v>
      </c>
      <c r="Z769" s="1">
        <v>3.0</v>
      </c>
      <c r="AG769" s="1">
        <v>7.207388248E9</v>
      </c>
      <c r="AJ769" s="1">
        <v>150.0</v>
      </c>
      <c r="AK769" s="1">
        <v>65.0</v>
      </c>
      <c r="AL769" s="1" t="s">
        <v>12285</v>
      </c>
      <c r="AM769" s="1" t="s">
        <v>12286</v>
      </c>
      <c r="AN769" s="7" t="s">
        <v>12287</v>
      </c>
      <c r="AO769" s="8" t="str">
        <f>HYPERLINK("https://docs.google.com/document/d/1tWz2dKBB1YDSZ_eWEbODuf3mT7AaO6hgC4tMP8qQGzI/edit?usp=drivesdk","Al-Wildan 1 Gading Serpong_عمره فيصل الله جابو الطيب_Bahasa Arab")</f>
        <v>Al-Wildan 1 Gading Serpong_عمره فيصل الله جابو الطيب_Bahasa Arab</v>
      </c>
      <c r="AP769" s="1" t="s">
        <v>12288</v>
      </c>
    </row>
    <row r="770">
      <c r="A770" s="6">
        <v>45108.87075137731</v>
      </c>
      <c r="B770" s="7" t="s">
        <v>12289</v>
      </c>
      <c r="C770" s="8" t="s">
        <v>12290</v>
      </c>
      <c r="D770" s="1" t="s">
        <v>12291</v>
      </c>
      <c r="E770" s="9" t="s">
        <v>12292</v>
      </c>
      <c r="F770" s="1" t="s">
        <v>12293</v>
      </c>
      <c r="G770" s="1" t="s">
        <v>12294</v>
      </c>
      <c r="H770" s="1" t="s">
        <v>6057</v>
      </c>
      <c r="I770" s="9" t="s">
        <v>12295</v>
      </c>
      <c r="J770" s="1" t="s">
        <v>3959</v>
      </c>
      <c r="K770" s="1" t="s">
        <v>151</v>
      </c>
      <c r="L770" s="1" t="s">
        <v>256</v>
      </c>
      <c r="M770" s="1" t="s">
        <v>104</v>
      </c>
      <c r="N770" s="1" t="s">
        <v>152</v>
      </c>
      <c r="O770" s="1" t="s">
        <v>9794</v>
      </c>
      <c r="P770" s="1" t="s">
        <v>6659</v>
      </c>
      <c r="Q770" s="1" t="s">
        <v>12296</v>
      </c>
      <c r="R770" s="1" t="s">
        <v>12297</v>
      </c>
      <c r="S770" s="1" t="s">
        <v>2181</v>
      </c>
      <c r="Z770" s="1" t="s">
        <v>12298</v>
      </c>
      <c r="AA770" s="10">
        <v>4300000.0</v>
      </c>
      <c r="AB770" s="1" t="s">
        <v>12299</v>
      </c>
      <c r="AC770" s="10">
        <v>3500000.0</v>
      </c>
      <c r="AD770" s="1" t="s">
        <v>12299</v>
      </c>
      <c r="AE770" s="10">
        <v>4000000.0</v>
      </c>
      <c r="AF770" s="10">
        <v>5000000.0</v>
      </c>
      <c r="AG770" s="1">
        <v>7.99036061E9</v>
      </c>
      <c r="AI770" s="1" t="s">
        <v>10041</v>
      </c>
      <c r="AJ770" s="1">
        <v>164.0</v>
      </c>
      <c r="AK770" s="1">
        <v>70.0</v>
      </c>
      <c r="AL770" s="1" t="s">
        <v>12300</v>
      </c>
      <c r="AM770" s="1" t="s">
        <v>12301</v>
      </c>
      <c r="AN770" s="7" t="s">
        <v>12302</v>
      </c>
      <c r="AO770" s="8" t="str">
        <f>HYPERLINK("https://docs.google.com/document/d/10Ub9UqH6hV1empySAs597AxNVNh2ApsKjnVdg-Uqk_w/edit?usp=drivesdk","Al-Wildan 15 Kompas Indah, Tambun Bekasi._Dahlia Trianisantika S.S_Bahasa Inggris")</f>
        <v>Al-Wildan 15 Kompas Indah, Tambun Bekasi._Dahlia Trianisantika S.S_Bahasa Inggris</v>
      </c>
      <c r="AP770" s="1" t="s">
        <v>12303</v>
      </c>
    </row>
    <row r="771">
      <c r="A771" s="6">
        <v>45109.47070157407</v>
      </c>
      <c r="B771" s="7" t="s">
        <v>12304</v>
      </c>
      <c r="C771" s="8" t="s">
        <v>12305</v>
      </c>
      <c r="D771" s="1" t="s">
        <v>12306</v>
      </c>
      <c r="E771" s="9" t="s">
        <v>12307</v>
      </c>
      <c r="F771" s="1" t="s">
        <v>12308</v>
      </c>
      <c r="G771" s="1" t="s">
        <v>12309</v>
      </c>
      <c r="H771" s="1" t="s">
        <v>169</v>
      </c>
      <c r="I771" s="9" t="s">
        <v>12310</v>
      </c>
      <c r="J771" s="1" t="s">
        <v>290</v>
      </c>
      <c r="K771" s="1" t="s">
        <v>151</v>
      </c>
      <c r="L771" s="1" t="s">
        <v>103</v>
      </c>
      <c r="M771" s="1" t="s">
        <v>104</v>
      </c>
      <c r="N771" s="1" t="s">
        <v>235</v>
      </c>
      <c r="O771" s="1" t="s">
        <v>312</v>
      </c>
      <c r="P771" s="1" t="s">
        <v>237</v>
      </c>
      <c r="Q771" s="1" t="s">
        <v>7133</v>
      </c>
      <c r="R771" s="1" t="s">
        <v>12311</v>
      </c>
      <c r="S771" s="1" t="s">
        <v>7779</v>
      </c>
      <c r="Z771" s="1" t="s">
        <v>12312</v>
      </c>
      <c r="AA771" s="10">
        <v>2500000.0</v>
      </c>
      <c r="AB771" s="1" t="s">
        <v>12313</v>
      </c>
      <c r="AC771" s="10">
        <v>1500000.0</v>
      </c>
      <c r="AF771" s="10">
        <v>4500000.0</v>
      </c>
      <c r="AH771" s="1">
        <v>4.550002119E9</v>
      </c>
      <c r="AI771" s="1" t="s">
        <v>298</v>
      </c>
      <c r="AJ771" s="1">
        <v>158.0</v>
      </c>
      <c r="AK771" s="1">
        <v>53.0</v>
      </c>
      <c r="AL771" s="1" t="s">
        <v>12314</v>
      </c>
      <c r="AM771" s="1" t="s">
        <v>12315</v>
      </c>
      <c r="AN771" s="7" t="s">
        <v>12316</v>
      </c>
      <c r="AO771" s="8" t="str">
        <f>HYPERLINK("https://docs.google.com/document/d/1G2DiDw7tfnCG54fJjVCvHyc1xMfbifi_c0524w3lejw/edit?usp=drivesdk","Al-Wildan 4 Lebak Bulus_Unaisah Abdat, S.Li_Bahasa Arab")</f>
        <v>Al-Wildan 4 Lebak Bulus_Unaisah Abdat, S.Li_Bahasa Arab</v>
      </c>
      <c r="AP771" s="1" t="s">
        <v>12317</v>
      </c>
    </row>
    <row r="772">
      <c r="A772" s="6">
        <v>45109.61744775463</v>
      </c>
      <c r="B772" s="7" t="s">
        <v>12318</v>
      </c>
      <c r="C772" s="8" t="s">
        <v>12319</v>
      </c>
      <c r="D772" s="1" t="s">
        <v>12320</v>
      </c>
      <c r="E772" s="9" t="s">
        <v>12321</v>
      </c>
      <c r="F772" s="1" t="s">
        <v>12322</v>
      </c>
      <c r="G772" s="1" t="s">
        <v>12323</v>
      </c>
      <c r="H772" s="1" t="s">
        <v>12107</v>
      </c>
      <c r="I772" s="9" t="s">
        <v>12324</v>
      </c>
      <c r="J772" s="1" t="s">
        <v>12325</v>
      </c>
      <c r="K772" s="1" t="s">
        <v>151</v>
      </c>
      <c r="L772" s="1" t="s">
        <v>103</v>
      </c>
      <c r="M772" s="1" t="s">
        <v>104</v>
      </c>
      <c r="N772" s="1" t="s">
        <v>12326</v>
      </c>
      <c r="O772" s="1" t="s">
        <v>106</v>
      </c>
      <c r="P772" s="1" t="s">
        <v>5712</v>
      </c>
      <c r="Q772" s="1" t="s">
        <v>12327</v>
      </c>
      <c r="R772" s="1" t="s">
        <v>12326</v>
      </c>
      <c r="S772" s="1" t="s">
        <v>908</v>
      </c>
      <c r="Z772" s="1" t="s">
        <v>12328</v>
      </c>
      <c r="AA772" s="10">
        <v>4.5E7</v>
      </c>
      <c r="AB772" s="1" t="s">
        <v>12329</v>
      </c>
      <c r="AC772" s="10">
        <v>3700000.0</v>
      </c>
      <c r="AF772" s="10">
        <v>4.5E7</v>
      </c>
      <c r="AH772" s="1">
        <v>8.37910521E8</v>
      </c>
      <c r="AI772" s="1" t="s">
        <v>159</v>
      </c>
      <c r="AJ772" s="1">
        <v>168.0</v>
      </c>
      <c r="AK772" s="1">
        <v>62.0</v>
      </c>
      <c r="AL772" s="1" t="s">
        <v>12330</v>
      </c>
      <c r="AM772" s="1" t="s">
        <v>12331</v>
      </c>
      <c r="AN772" s="7" t="s">
        <v>12332</v>
      </c>
      <c r="AO772" s="8" t="str">
        <f>HYPERLINK("https://docs.google.com/document/d/151Prt1s3O7-StMwsegAj6oOGd_Gn7WyFvWKTQ9DRGV8/edit?usp=drivesdk","Al-Wildan 3 BSD City_M. Ramjil Afrizal S.Pd_Pendidikan Pancasila dan Kewarganegaraan")</f>
        <v>Al-Wildan 3 BSD City_M. Ramjil Afrizal S.Pd_Pendidikan Pancasila dan Kewarganegaraan</v>
      </c>
      <c r="AP772" s="1" t="s">
        <v>12333</v>
      </c>
    </row>
    <row r="773">
      <c r="A773" s="6">
        <v>45109.83079703704</v>
      </c>
      <c r="B773" s="7" t="s">
        <v>12334</v>
      </c>
      <c r="C773" s="8" t="s">
        <v>12335</v>
      </c>
      <c r="D773" s="1" t="s">
        <v>12336</v>
      </c>
      <c r="E773" s="9" t="s">
        <v>12337</v>
      </c>
      <c r="F773" s="1" t="s">
        <v>12338</v>
      </c>
      <c r="G773" s="1" t="s">
        <v>12339</v>
      </c>
      <c r="H773" s="1" t="s">
        <v>169</v>
      </c>
      <c r="I773" s="9" t="s">
        <v>12340</v>
      </c>
      <c r="J773" s="1" t="s">
        <v>4209</v>
      </c>
      <c r="K773" s="1" t="s">
        <v>151</v>
      </c>
      <c r="L773" s="1" t="s">
        <v>103</v>
      </c>
      <c r="M773" s="1" t="s">
        <v>104</v>
      </c>
      <c r="N773" s="1" t="s">
        <v>12341</v>
      </c>
      <c r="O773" s="1" t="s">
        <v>312</v>
      </c>
      <c r="P773" s="1" t="s">
        <v>237</v>
      </c>
      <c r="Q773" s="1" t="s">
        <v>12342</v>
      </c>
      <c r="R773" s="1" t="s">
        <v>12343</v>
      </c>
      <c r="S773" s="1" t="s">
        <v>1680</v>
      </c>
      <c r="Z773" s="1" t="s">
        <v>12344</v>
      </c>
      <c r="AA773" s="10">
        <v>1500000.0</v>
      </c>
      <c r="AB773" s="1" t="s">
        <v>12345</v>
      </c>
      <c r="AC773" s="10">
        <v>1000000.0</v>
      </c>
      <c r="AD773" s="1" t="s">
        <v>12346</v>
      </c>
      <c r="AE773" s="1" t="s">
        <v>12347</v>
      </c>
      <c r="AF773" s="10">
        <v>4500000.0</v>
      </c>
      <c r="AH773" s="1">
        <v>4.550002556E9</v>
      </c>
      <c r="AI773" s="1" t="s">
        <v>7412</v>
      </c>
      <c r="AJ773" s="1">
        <v>157.0</v>
      </c>
      <c r="AK773" s="1">
        <v>40.0</v>
      </c>
      <c r="AL773" s="1" t="s">
        <v>12348</v>
      </c>
      <c r="AM773" s="1" t="s">
        <v>12349</v>
      </c>
      <c r="AN773" s="7" t="s">
        <v>12350</v>
      </c>
      <c r="AO773" s="8" t="str">
        <f>HYPERLINK("https://docs.google.com/document/d/1pr6Ab7W0kYvfpeE-TAgzByWl2f1hpoTl4ktLQajVMaE/edit?usp=drivesdk","Al-Wildan 4 Lebak Bulus_Umainah Abdat_Guru Tahsin/Tahfidz/al-qur'an.")</f>
        <v>Al-Wildan 4 Lebak Bulus_Umainah Abdat_Guru Tahsin/Tahfidz/al-qur'an.</v>
      </c>
      <c r="AP773" s="1" t="s">
        <v>12351</v>
      </c>
    </row>
    <row r="774">
      <c r="A774" s="6">
        <v>45111.46015517361</v>
      </c>
      <c r="B774" s="7" t="s">
        <v>12352</v>
      </c>
      <c r="C774" s="8" t="s">
        <v>12353</v>
      </c>
      <c r="D774" s="1" t="s">
        <v>12354</v>
      </c>
      <c r="E774" s="9" t="s">
        <v>12355</v>
      </c>
      <c r="F774" s="1" t="s">
        <v>12356</v>
      </c>
      <c r="G774" s="1" t="s">
        <v>12357</v>
      </c>
      <c r="H774" s="1" t="s">
        <v>12358</v>
      </c>
      <c r="I774" s="9" t="s">
        <v>12359</v>
      </c>
      <c r="J774" s="1" t="s">
        <v>12360</v>
      </c>
      <c r="K774" s="1" t="s">
        <v>151</v>
      </c>
      <c r="L774" s="1" t="s">
        <v>496</v>
      </c>
      <c r="M774" s="1" t="s">
        <v>5671</v>
      </c>
      <c r="O774" s="1" t="s">
        <v>127</v>
      </c>
      <c r="P774" s="1" t="s">
        <v>5712</v>
      </c>
      <c r="Q774" s="1" t="s">
        <v>12361</v>
      </c>
      <c r="R774" s="1" t="s">
        <v>8140</v>
      </c>
      <c r="S774" s="1" t="s">
        <v>426</v>
      </c>
      <c r="Z774" s="1" t="s">
        <v>12362</v>
      </c>
      <c r="AA774" s="10">
        <v>3000000.0</v>
      </c>
      <c r="AB774" s="1" t="s">
        <v>12363</v>
      </c>
      <c r="AC774" s="10">
        <v>2000000.0</v>
      </c>
      <c r="AG774" s="1">
        <v>7.78956709E9</v>
      </c>
      <c r="AI774" s="1" t="s">
        <v>12354</v>
      </c>
      <c r="AJ774" s="1">
        <v>168.0</v>
      </c>
      <c r="AK774" s="1">
        <v>65.0</v>
      </c>
      <c r="AL774" s="1" t="s">
        <v>12364</v>
      </c>
      <c r="AM774" s="1" t="s">
        <v>12365</v>
      </c>
      <c r="AN774" s="7" t="s">
        <v>12366</v>
      </c>
      <c r="AO774" s="8" t="str">
        <f>HYPERLINK("https://docs.google.com/document/d/1hsHD5zwPLb9wQl9emUolokFco1kM8jaXAgGH5umk_Ck/edit?usp=drivesdk","Al-Wildan 3 BSD City_Mohammad Mahdi Ibnu Hamid _")</f>
        <v>Al-Wildan 3 BSD City_Mohammad Mahdi Ibnu Hamid _</v>
      </c>
      <c r="AP774" s="1" t="s">
        <v>12367</v>
      </c>
    </row>
    <row r="775">
      <c r="A775" s="6">
        <v>45111.47222121528</v>
      </c>
      <c r="B775" s="7" t="s">
        <v>12368</v>
      </c>
      <c r="C775" s="8" t="s">
        <v>12369</v>
      </c>
      <c r="D775" s="1" t="s">
        <v>12370</v>
      </c>
      <c r="E775" s="9" t="s">
        <v>12371</v>
      </c>
      <c r="F775" s="1" t="s">
        <v>12372</v>
      </c>
      <c r="G775" s="1" t="s">
        <v>12373</v>
      </c>
      <c r="H775" s="1" t="s">
        <v>12373</v>
      </c>
      <c r="I775" s="9" t="s">
        <v>12374</v>
      </c>
      <c r="J775" s="1" t="s">
        <v>12375</v>
      </c>
      <c r="K775" s="1" t="s">
        <v>151</v>
      </c>
      <c r="L775" s="1" t="s">
        <v>496</v>
      </c>
      <c r="M775" s="1" t="s">
        <v>5671</v>
      </c>
      <c r="O775" s="1" t="s">
        <v>106</v>
      </c>
      <c r="P775" s="1" t="s">
        <v>5712</v>
      </c>
      <c r="Z775" s="1" t="s">
        <v>12376</v>
      </c>
      <c r="AA775" s="10">
        <v>3000000.0</v>
      </c>
      <c r="AF775" s="10">
        <v>3000000.0</v>
      </c>
      <c r="AG775" s="1">
        <v>7.233698029E9</v>
      </c>
      <c r="AJ775" s="1">
        <v>167.0</v>
      </c>
      <c r="AK775" s="1">
        <v>65.0</v>
      </c>
      <c r="AL775" s="1" t="s">
        <v>12377</v>
      </c>
      <c r="AM775" s="1" t="s">
        <v>12378</v>
      </c>
      <c r="AN775" s="7" t="s">
        <v>12379</v>
      </c>
      <c r="AO775" s="8" t="str">
        <f>HYPERLINK("https://docs.google.com/document/d/1HGgQYiDbo8v5iFALlVVrfbwX2fKQ63AySv0hkuZKrmk/edit?usp=drivesdk","Al-Wildan 3 BSD City_Adip Umar _")</f>
        <v>Al-Wildan 3 BSD City_Adip Umar _</v>
      </c>
      <c r="AP775" s="1" t="s">
        <v>12380</v>
      </c>
    </row>
    <row r="776">
      <c r="A776" s="6">
        <v>45111.48808931713</v>
      </c>
      <c r="B776" s="7" t="s">
        <v>12381</v>
      </c>
      <c r="C776" s="8" t="s">
        <v>12382</v>
      </c>
      <c r="D776" s="1" t="s">
        <v>12383</v>
      </c>
      <c r="E776" s="9" t="s">
        <v>12384</v>
      </c>
      <c r="F776" s="1" t="s">
        <v>12385</v>
      </c>
      <c r="G776" s="1" t="s">
        <v>12386</v>
      </c>
      <c r="H776" s="1" t="s">
        <v>12387</v>
      </c>
      <c r="I776" s="9" t="s">
        <v>12388</v>
      </c>
      <c r="J776" s="1" t="s">
        <v>12389</v>
      </c>
      <c r="K776" s="1" t="s">
        <v>151</v>
      </c>
      <c r="L776" s="1" t="s">
        <v>103</v>
      </c>
      <c r="M776" s="1" t="s">
        <v>104</v>
      </c>
      <c r="N776" s="1" t="s">
        <v>12390</v>
      </c>
      <c r="O776" s="1" t="s">
        <v>312</v>
      </c>
      <c r="P776" s="1" t="s">
        <v>107</v>
      </c>
      <c r="Q776" s="1" t="s">
        <v>12391</v>
      </c>
      <c r="R776" s="1" t="s">
        <v>11538</v>
      </c>
      <c r="S776" s="1" t="s">
        <v>740</v>
      </c>
      <c r="T776" s="1" t="s">
        <v>8565</v>
      </c>
      <c r="U776" s="1" t="s">
        <v>8565</v>
      </c>
      <c r="V776" s="1" t="s">
        <v>110</v>
      </c>
      <c r="Z776" s="1" t="s">
        <v>12392</v>
      </c>
      <c r="AA776" s="10">
        <v>720000.0</v>
      </c>
      <c r="AF776" s="10">
        <v>4500000.0</v>
      </c>
      <c r="AH776" s="1">
        <v>4.87201000288508E14</v>
      </c>
      <c r="AI776" s="1" t="s">
        <v>2407</v>
      </c>
      <c r="AJ776" s="1">
        <v>168.0</v>
      </c>
      <c r="AK776" s="1">
        <v>65.0</v>
      </c>
      <c r="AL776" s="1" t="s">
        <v>12393</v>
      </c>
      <c r="AM776" s="1" t="s">
        <v>12394</v>
      </c>
      <c r="AN776" s="7" t="s">
        <v>12395</v>
      </c>
      <c r="AO776" s="8" t="str">
        <f>HYPERLINK("https://docs.google.com/document/d/1PeyrfZK6aYIhpg5xU1BXYWfKZBuOBHdYbUbyxpKmG1c/edit?usp=drivesdk","Al-Wildan 1 Gading Serpong_Muhammad Haikal Umarella, S.IP.,M.Pd_Pkn")</f>
        <v>Al-Wildan 1 Gading Serpong_Muhammad Haikal Umarella, S.IP.,M.Pd_Pkn</v>
      </c>
      <c r="AP776" s="1" t="s">
        <v>12396</v>
      </c>
    </row>
    <row r="777">
      <c r="A777" s="6">
        <v>45111.490777812505</v>
      </c>
      <c r="B777" s="7" t="s">
        <v>12397</v>
      </c>
      <c r="C777" s="8" t="s">
        <v>12398</v>
      </c>
      <c r="D777" s="1" t="s">
        <v>12399</v>
      </c>
      <c r="E777" s="9" t="s">
        <v>12400</v>
      </c>
      <c r="F777" s="1">
        <v>1.70806600597001E14</v>
      </c>
      <c r="G777" s="1" t="s">
        <v>12401</v>
      </c>
      <c r="H777" s="1" t="s">
        <v>12402</v>
      </c>
      <c r="I777" s="9" t="s">
        <v>12403</v>
      </c>
      <c r="J777" s="1" t="s">
        <v>533</v>
      </c>
      <c r="K777" s="1" t="s">
        <v>151</v>
      </c>
      <c r="L777" s="1" t="s">
        <v>329</v>
      </c>
      <c r="M777" s="1" t="s">
        <v>104</v>
      </c>
      <c r="N777" s="1" t="s">
        <v>12404</v>
      </c>
      <c r="O777" s="1" t="s">
        <v>127</v>
      </c>
      <c r="P777" s="1" t="s">
        <v>6091</v>
      </c>
      <c r="Q777" s="1" t="s">
        <v>11607</v>
      </c>
      <c r="R777" s="1" t="s">
        <v>12405</v>
      </c>
      <c r="S777" s="1" t="s">
        <v>12406</v>
      </c>
      <c r="T777" s="1" t="s">
        <v>1362</v>
      </c>
      <c r="U777" s="1" t="s">
        <v>4778</v>
      </c>
      <c r="V777" s="1" t="s">
        <v>12407</v>
      </c>
      <c r="Z777" s="1" t="s">
        <v>12408</v>
      </c>
      <c r="AA777" s="10">
        <v>4500000.0</v>
      </c>
      <c r="AF777" s="10">
        <v>6500000.0</v>
      </c>
      <c r="AH777" s="1">
        <v>2.14601004940531E14</v>
      </c>
      <c r="AI777" s="1" t="s">
        <v>2407</v>
      </c>
      <c r="AJ777" s="1">
        <v>160.0</v>
      </c>
      <c r="AK777" s="1">
        <v>65.0</v>
      </c>
      <c r="AL777" s="1" t="s">
        <v>12409</v>
      </c>
      <c r="AM777" s="1" t="s">
        <v>12410</v>
      </c>
      <c r="AN777" s="7" t="s">
        <v>12411</v>
      </c>
      <c r="AO777" s="8" t="str">
        <f>HYPERLINK("https://docs.google.com/document/d/1h-tyAzUTNX-PBN9U4NS547CTnI7Ir1Z7uRB6OmkoOnc/edit?usp=drivesdk","Al-Wildan 10 Cipinang, Jakarta Timur_Uci Cahlia, S.Si., M.Si._Biologi Cambridge")</f>
        <v>Al-Wildan 10 Cipinang, Jakarta Timur_Uci Cahlia, S.Si., M.Si._Biologi Cambridge</v>
      </c>
      <c r="AP777" s="1" t="s">
        <v>12412</v>
      </c>
    </row>
    <row r="778">
      <c r="A778" s="6">
        <v>45111.49410776621</v>
      </c>
      <c r="B778" s="7" t="s">
        <v>12413</v>
      </c>
      <c r="C778" s="8" t="s">
        <v>12414</v>
      </c>
      <c r="D778" s="1" t="s">
        <v>12415</v>
      </c>
      <c r="E778" s="9" t="s">
        <v>12416</v>
      </c>
      <c r="F778" s="1" t="s">
        <v>12417</v>
      </c>
      <c r="G778" s="1" t="s">
        <v>188</v>
      </c>
      <c r="H778" s="1" t="s">
        <v>2076</v>
      </c>
      <c r="I778" s="9" t="s">
        <v>12418</v>
      </c>
      <c r="J778" s="1" t="s">
        <v>5330</v>
      </c>
      <c r="K778" s="1" t="s">
        <v>151</v>
      </c>
      <c r="L778" s="1" t="s">
        <v>496</v>
      </c>
      <c r="M778" s="1" t="s">
        <v>5671</v>
      </c>
      <c r="N778" s="1" t="s">
        <v>217</v>
      </c>
      <c r="O778" s="1" t="s">
        <v>236</v>
      </c>
      <c r="P778" s="1" t="s">
        <v>5712</v>
      </c>
      <c r="R778" s="1" t="s">
        <v>3361</v>
      </c>
      <c r="U778" s="1" t="s">
        <v>217</v>
      </c>
      <c r="V778" s="1" t="s">
        <v>217</v>
      </c>
      <c r="W778" s="1" t="s">
        <v>217</v>
      </c>
      <c r="X778" s="1" t="s">
        <v>217</v>
      </c>
      <c r="Z778" s="1" t="s">
        <v>12419</v>
      </c>
      <c r="AA778" s="10">
        <v>1800000.0</v>
      </c>
      <c r="AB778" s="1" t="s">
        <v>12420</v>
      </c>
      <c r="AC778" s="10">
        <v>400000.0</v>
      </c>
      <c r="AD778" s="1" t="s">
        <v>217</v>
      </c>
      <c r="AE778" s="1" t="s">
        <v>217</v>
      </c>
      <c r="AF778" s="10">
        <v>4000000.0</v>
      </c>
      <c r="AG778" s="1">
        <v>9.51317461E9</v>
      </c>
      <c r="AI778" s="1" t="s">
        <v>5113</v>
      </c>
      <c r="AJ778" s="1">
        <v>165.0</v>
      </c>
      <c r="AK778" s="1">
        <v>62.0</v>
      </c>
      <c r="AL778" s="1" t="s">
        <v>12421</v>
      </c>
      <c r="AM778" s="1" t="s">
        <v>12422</v>
      </c>
      <c r="AN778" s="7" t="s">
        <v>12423</v>
      </c>
      <c r="AO778" s="8" t="str">
        <f>HYPERLINK("https://docs.google.com/document/d/1JvWobLbdyaSDY0zw01kWxpxA2nFvsXGyhxl-VhZqsm8/edit?usp=drivesdk","Al-Wildan 3 BSD City_Muhammad naji ansori_-")</f>
        <v>Al-Wildan 3 BSD City_Muhammad naji ansori_-</v>
      </c>
      <c r="AP778" s="1" t="s">
        <v>12424</v>
      </c>
    </row>
    <row r="779">
      <c r="A779" s="6">
        <v>45111.528995127315</v>
      </c>
      <c r="B779" s="7" t="s">
        <v>12425</v>
      </c>
      <c r="C779" s="8" t="s">
        <v>12426</v>
      </c>
      <c r="D779" s="1" t="s">
        <v>12427</v>
      </c>
      <c r="E779" s="9" t="s">
        <v>12428</v>
      </c>
      <c r="F779" s="1" t="s">
        <v>12429</v>
      </c>
      <c r="G779" s="1" t="s">
        <v>12430</v>
      </c>
      <c r="H779" s="1" t="s">
        <v>12431</v>
      </c>
      <c r="I779" s="9" t="s">
        <v>12432</v>
      </c>
      <c r="J779" s="1" t="s">
        <v>8213</v>
      </c>
      <c r="K779" s="1" t="s">
        <v>102</v>
      </c>
      <c r="L779" s="1" t="s">
        <v>103</v>
      </c>
      <c r="M779" s="1" t="s">
        <v>104</v>
      </c>
      <c r="N779" s="1" t="s">
        <v>152</v>
      </c>
      <c r="O779" s="1" t="s">
        <v>106</v>
      </c>
      <c r="P779" s="1" t="s">
        <v>6187</v>
      </c>
      <c r="Q779" s="1" t="s">
        <v>12433</v>
      </c>
      <c r="R779" s="1" t="s">
        <v>172</v>
      </c>
      <c r="S779" s="1" t="s">
        <v>6092</v>
      </c>
      <c r="T779" s="1" t="s">
        <v>217</v>
      </c>
      <c r="U779" s="1" t="s">
        <v>217</v>
      </c>
      <c r="V779" s="1" t="s">
        <v>217</v>
      </c>
      <c r="W779" s="1" t="s">
        <v>217</v>
      </c>
      <c r="X779" s="1" t="s">
        <v>217</v>
      </c>
      <c r="Y779" s="1">
        <v>0.0</v>
      </c>
      <c r="Z779" s="1" t="s">
        <v>12434</v>
      </c>
      <c r="AA779" s="10">
        <v>5000000.0</v>
      </c>
      <c r="AB779" s="1" t="s">
        <v>12435</v>
      </c>
      <c r="AC779" s="10">
        <v>5500000.0</v>
      </c>
      <c r="AD779" s="1" t="s">
        <v>12436</v>
      </c>
      <c r="AE779" s="10">
        <v>5500000.0</v>
      </c>
      <c r="AF779" s="10">
        <v>5850000.0</v>
      </c>
      <c r="AG779" s="1">
        <v>8.38286894E9</v>
      </c>
      <c r="AH779" s="1">
        <v>0.0</v>
      </c>
      <c r="AI779" s="1" t="s">
        <v>217</v>
      </c>
      <c r="AJ779" s="1">
        <v>172.0</v>
      </c>
      <c r="AK779" s="1">
        <v>92.0</v>
      </c>
      <c r="AL779" s="1" t="s">
        <v>12437</v>
      </c>
      <c r="AM779" s="1" t="s">
        <v>12438</v>
      </c>
      <c r="AN779" s="7" t="s">
        <v>12439</v>
      </c>
      <c r="AO779" s="8" t="str">
        <f>HYPERLINK("https://docs.google.com/document/d/16bsGStaY2mToUTbNHz7SVakfXCQKQpZ-qKeoQ4hSQXo/edit?usp=drivesdk","Al-Wildan 14 Bumi Mutiara, Bogor_Andi Dwi Priyono, S.Pd._Bahasa Inggris")</f>
        <v>Al-Wildan 14 Bumi Mutiara, Bogor_Andi Dwi Priyono, S.Pd._Bahasa Inggris</v>
      </c>
      <c r="AP779" s="1" t="s">
        <v>12440</v>
      </c>
    </row>
    <row r="780">
      <c r="A780" s="6">
        <v>45111.54340439815</v>
      </c>
      <c r="B780" s="7" t="s">
        <v>12441</v>
      </c>
      <c r="C780" s="8" t="s">
        <v>12442</v>
      </c>
      <c r="D780" s="1" t="s">
        <v>12443</v>
      </c>
      <c r="E780" s="1">
        <v>8.5950822015E10</v>
      </c>
      <c r="F780" s="1" t="s">
        <v>8223</v>
      </c>
      <c r="G780" s="1" t="s">
        <v>12444</v>
      </c>
      <c r="H780" s="1" t="s">
        <v>1851</v>
      </c>
      <c r="I780" s="9" t="s">
        <v>12445</v>
      </c>
      <c r="J780" s="1" t="s">
        <v>170</v>
      </c>
      <c r="K780" s="1" t="s">
        <v>102</v>
      </c>
      <c r="L780" s="1" t="s">
        <v>103</v>
      </c>
      <c r="M780" s="1" t="s">
        <v>104</v>
      </c>
      <c r="N780" s="1" t="s">
        <v>12446</v>
      </c>
      <c r="O780" s="1" t="s">
        <v>127</v>
      </c>
      <c r="P780" s="1" t="s">
        <v>5712</v>
      </c>
      <c r="Q780" s="1" t="s">
        <v>1505</v>
      </c>
      <c r="R780" s="1" t="s">
        <v>193</v>
      </c>
      <c r="T780" s="1" t="s">
        <v>12447</v>
      </c>
      <c r="U780" s="1" t="s">
        <v>12448</v>
      </c>
      <c r="Z780" s="1" t="s">
        <v>12449</v>
      </c>
      <c r="AA780" s="10">
        <v>3500000.0</v>
      </c>
      <c r="AB780" s="1" t="s">
        <v>12450</v>
      </c>
      <c r="AC780" s="10">
        <v>4500000.0</v>
      </c>
      <c r="AD780" s="1" t="s">
        <v>12451</v>
      </c>
      <c r="AE780" s="10">
        <v>5000000.0</v>
      </c>
      <c r="AF780" s="10">
        <v>6500000.0</v>
      </c>
      <c r="AG780" s="1">
        <v>8.07670763E9</v>
      </c>
      <c r="AJ780" s="1">
        <v>158.0</v>
      </c>
      <c r="AK780" s="1">
        <v>78.0</v>
      </c>
      <c r="AL780" s="1" t="s">
        <v>8232</v>
      </c>
      <c r="AM780" s="1" t="s">
        <v>12452</v>
      </c>
      <c r="AN780" s="7" t="s">
        <v>12453</v>
      </c>
      <c r="AO780" s="8" t="str">
        <f>HYPERLINK("https://docs.google.com/document/d/1vaFkJUaukjWuq5PilcCkDNCoo2FYyBPH5gHmTtNLM38/edit?usp=drivesdk","Al-Wildan 3 BSD City_Zulkarnaen, MA. _Diniyyah/PAI")</f>
        <v>Al-Wildan 3 BSD City_Zulkarnaen, MA. _Diniyyah/PAI</v>
      </c>
      <c r="AP780" s="1" t="s">
        <v>12454</v>
      </c>
    </row>
    <row r="781">
      <c r="A781" s="6">
        <v>45111.71501335649</v>
      </c>
      <c r="B781" s="7" t="s">
        <v>12455</v>
      </c>
      <c r="C781" s="8" t="s">
        <v>12456</v>
      </c>
      <c r="D781" s="1" t="s">
        <v>12457</v>
      </c>
      <c r="E781" s="9" t="s">
        <v>12458</v>
      </c>
      <c r="F781" s="1" t="s">
        <v>12459</v>
      </c>
      <c r="G781" s="1" t="s">
        <v>12460</v>
      </c>
      <c r="H781" s="1" t="s">
        <v>9167</v>
      </c>
      <c r="I781" s="1">
        <v>2.7121999E7</v>
      </c>
      <c r="J781" s="1" t="s">
        <v>12461</v>
      </c>
      <c r="K781" s="1" t="s">
        <v>102</v>
      </c>
      <c r="L781" s="1" t="s">
        <v>256</v>
      </c>
      <c r="M781" s="1" t="s">
        <v>104</v>
      </c>
      <c r="N781" s="1" t="s">
        <v>152</v>
      </c>
      <c r="O781" s="1" t="s">
        <v>312</v>
      </c>
      <c r="P781" s="1" t="s">
        <v>107</v>
      </c>
      <c r="Q781" s="1" t="s">
        <v>291</v>
      </c>
      <c r="R781" s="1" t="s">
        <v>2584</v>
      </c>
      <c r="S781" s="1" t="s">
        <v>4892</v>
      </c>
      <c r="Z781" s="1" t="s">
        <v>12462</v>
      </c>
      <c r="AA781" s="10">
        <v>4700000.0</v>
      </c>
      <c r="AB781" s="1" t="s">
        <v>12463</v>
      </c>
      <c r="AC781" s="10">
        <v>4700000.0</v>
      </c>
      <c r="AD781" s="1" t="s">
        <v>12464</v>
      </c>
      <c r="AE781" s="10">
        <v>2500000.0</v>
      </c>
      <c r="AF781" s="10">
        <v>6000000.0</v>
      </c>
      <c r="AH781" s="9" t="s">
        <v>12465</v>
      </c>
      <c r="AI781" s="1" t="s">
        <v>159</v>
      </c>
      <c r="AJ781" s="1">
        <v>170.0</v>
      </c>
      <c r="AK781" s="1">
        <v>68.0</v>
      </c>
      <c r="AL781" s="1" t="s">
        <v>12466</v>
      </c>
      <c r="AM781" s="1" t="s">
        <v>12467</v>
      </c>
      <c r="AN781" s="7" t="s">
        <v>12468</v>
      </c>
      <c r="AO781" s="8" t="str">
        <f>HYPERLINK("https://docs.google.com/document/d/1xS0bzF3-z7kP-hsOPhVf1QERIWEy27Zr0ezm_PV-A90/edit?usp=drivesdk","Al-Wildan 1 Gading Serpong_Annisya Salma Syacfira,S.Pd_Bahasa Inggris")</f>
        <v>Al-Wildan 1 Gading Serpong_Annisya Salma Syacfira,S.Pd_Bahasa Inggris</v>
      </c>
      <c r="AP781" s="1" t="s">
        <v>12469</v>
      </c>
    </row>
    <row r="782">
      <c r="A782" s="6">
        <v>45111.986529745365</v>
      </c>
      <c r="B782" s="7" t="s">
        <v>12470</v>
      </c>
      <c r="C782" s="8" t="s">
        <v>12471</v>
      </c>
      <c r="D782" s="1" t="s">
        <v>12472</v>
      </c>
      <c r="E782" s="9" t="s">
        <v>9504</v>
      </c>
      <c r="F782" s="1">
        <v>3.27508460291001E15</v>
      </c>
      <c r="G782" s="1" t="s">
        <v>12473</v>
      </c>
      <c r="H782" s="1" t="s">
        <v>169</v>
      </c>
      <c r="I782" s="9" t="s">
        <v>9506</v>
      </c>
      <c r="J782" s="1" t="s">
        <v>5610</v>
      </c>
      <c r="K782" s="1" t="s">
        <v>151</v>
      </c>
      <c r="L782" s="1" t="s">
        <v>256</v>
      </c>
      <c r="M782" s="1" t="s">
        <v>104</v>
      </c>
      <c r="N782" s="1" t="s">
        <v>771</v>
      </c>
      <c r="O782" s="1" t="s">
        <v>127</v>
      </c>
      <c r="P782" s="1" t="s">
        <v>6091</v>
      </c>
      <c r="Q782" s="1" t="s">
        <v>3090</v>
      </c>
      <c r="R782" s="1" t="s">
        <v>5612</v>
      </c>
      <c r="S782" s="1" t="s">
        <v>6437</v>
      </c>
      <c r="Z782" s="1" t="s">
        <v>12474</v>
      </c>
      <c r="AA782" s="1" t="s">
        <v>12475</v>
      </c>
      <c r="AF782" s="1" t="s">
        <v>12475</v>
      </c>
      <c r="AG782" s="1">
        <v>1.021196537E9</v>
      </c>
      <c r="AJ782" s="1">
        <v>160.0</v>
      </c>
      <c r="AK782" s="1">
        <v>59.0</v>
      </c>
      <c r="AL782" s="1" t="s">
        <v>12476</v>
      </c>
      <c r="AM782" s="1" t="s">
        <v>12477</v>
      </c>
      <c r="AN782" s="7" t="s">
        <v>12478</v>
      </c>
      <c r="AO782" s="8" t="str">
        <f>HYPERLINK("https://docs.google.com/document/d/19jT2pKZx-Gp-_G5nqKMltzBn-X15t_40tSlSrIhDeO0/edit?usp=drivesdk","Al-Wildan 10 Cipinang, Jakarta Timur_Andrea Lestari Wibowo S.S_English")</f>
        <v>Al-Wildan 10 Cipinang, Jakarta Timur_Andrea Lestari Wibowo S.S_English</v>
      </c>
      <c r="AP782" s="1" t="s">
        <v>12479</v>
      </c>
    </row>
    <row r="783">
      <c r="A783" s="6">
        <v>45112.30902299768</v>
      </c>
      <c r="B783" s="7" t="s">
        <v>12480</v>
      </c>
      <c r="C783" s="8" t="s">
        <v>12481</v>
      </c>
      <c r="D783" s="1" t="s">
        <v>12482</v>
      </c>
      <c r="E783" s="9" t="s">
        <v>12483</v>
      </c>
      <c r="F783" s="1" t="s">
        <v>12484</v>
      </c>
      <c r="G783" s="1" t="s">
        <v>12485</v>
      </c>
      <c r="H783" s="1" t="s">
        <v>1555</v>
      </c>
      <c r="I783" s="9" t="s">
        <v>12486</v>
      </c>
      <c r="J783" s="1" t="s">
        <v>1020</v>
      </c>
      <c r="K783" s="1" t="s">
        <v>151</v>
      </c>
      <c r="L783" s="1" t="s">
        <v>256</v>
      </c>
      <c r="M783" s="1" t="s">
        <v>104</v>
      </c>
      <c r="N783" s="1" t="s">
        <v>12487</v>
      </c>
      <c r="O783" s="1" t="s">
        <v>312</v>
      </c>
      <c r="P783" s="1" t="s">
        <v>7991</v>
      </c>
      <c r="Q783" s="1" t="s">
        <v>12488</v>
      </c>
      <c r="R783" s="1" t="s">
        <v>172</v>
      </c>
      <c r="S783" s="1" t="s">
        <v>2582</v>
      </c>
      <c r="T783" s="1" t="s">
        <v>217</v>
      </c>
      <c r="U783" s="1" t="s">
        <v>217</v>
      </c>
      <c r="V783" s="1" t="s">
        <v>217</v>
      </c>
      <c r="W783" s="1" t="s">
        <v>217</v>
      </c>
      <c r="X783" s="1" t="s">
        <v>217</v>
      </c>
      <c r="Z783" s="1" t="s">
        <v>3410</v>
      </c>
      <c r="AA783" s="10">
        <v>4000000.0</v>
      </c>
      <c r="AF783" s="10">
        <v>6000000.0</v>
      </c>
      <c r="AG783" s="1">
        <v>7.152295377E9</v>
      </c>
      <c r="AI783" s="1" t="s">
        <v>4856</v>
      </c>
      <c r="AJ783" s="1">
        <v>155.0</v>
      </c>
      <c r="AK783" s="1">
        <v>43.0</v>
      </c>
      <c r="AL783" s="1" t="s">
        <v>12489</v>
      </c>
      <c r="AM783" s="1" t="s">
        <v>12490</v>
      </c>
      <c r="AN783" s="7" t="s">
        <v>12491</v>
      </c>
      <c r="AO783" s="8" t="str">
        <f>HYPERLINK("https://docs.google.com/document/d/1uG9eorTlSap3fvDwtOYoNC7fLYDHLmwUcMYKWR4r1YE/edit?usp=drivesdk","Al-Wildan 12 Bulak Kapal, Bekasi_Ima Siti Maryam, S.Pd._English, math, science")</f>
        <v>Al-Wildan 12 Bulak Kapal, Bekasi_Ima Siti Maryam, S.Pd._English, math, science</v>
      </c>
      <c r="AP783" s="1" t="s">
        <v>12492</v>
      </c>
    </row>
    <row r="784">
      <c r="A784" s="6">
        <v>45112.597452546295</v>
      </c>
      <c r="B784" s="7" t="s">
        <v>12493</v>
      </c>
      <c r="C784" s="8" t="s">
        <v>12494</v>
      </c>
      <c r="D784" s="1" t="s">
        <v>12495</v>
      </c>
      <c r="E784" s="9" t="s">
        <v>12496</v>
      </c>
      <c r="F784" s="1" t="s">
        <v>12497</v>
      </c>
      <c r="G784" s="1" t="s">
        <v>12498</v>
      </c>
      <c r="H784" s="1" t="s">
        <v>685</v>
      </c>
      <c r="I784" s="9" t="s">
        <v>12499</v>
      </c>
      <c r="J784" s="1" t="s">
        <v>6813</v>
      </c>
      <c r="K784" s="1" t="s">
        <v>151</v>
      </c>
      <c r="L784" s="1" t="s">
        <v>256</v>
      </c>
      <c r="M784" s="1" t="s">
        <v>104</v>
      </c>
      <c r="N784" s="1" t="s">
        <v>12500</v>
      </c>
      <c r="O784" s="1" t="s">
        <v>312</v>
      </c>
      <c r="P784" s="1" t="s">
        <v>6187</v>
      </c>
      <c r="Q784" s="1" t="s">
        <v>12501</v>
      </c>
      <c r="R784" s="1" t="s">
        <v>235</v>
      </c>
      <c r="S784" s="1">
        <v>4.23</v>
      </c>
      <c r="Z784" s="1" t="s">
        <v>12502</v>
      </c>
      <c r="AA784" s="1" t="s">
        <v>12503</v>
      </c>
      <c r="AB784" s="1" t="s">
        <v>12504</v>
      </c>
      <c r="AC784" s="10">
        <v>2300000.0</v>
      </c>
      <c r="AF784" s="1" t="s">
        <v>12505</v>
      </c>
      <c r="AG784" s="1">
        <v>8.65697653E9</v>
      </c>
      <c r="AJ784" s="1">
        <v>157.0</v>
      </c>
      <c r="AK784" s="1">
        <v>51.0</v>
      </c>
      <c r="AL784" s="1" t="s">
        <v>12506</v>
      </c>
      <c r="AM784" s="1" t="s">
        <v>12507</v>
      </c>
      <c r="AN784" s="7" t="s">
        <v>12508</v>
      </c>
      <c r="AO784" s="8" t="str">
        <f>HYPERLINK("https://docs.google.com/document/d/11q9nRZOsKd1ccLGRONIqgbP6d1ERZHnqoQpyPHmcXww/edit?usp=drivesdk","Al-Wildan 14 Bumi Mutiara, Bogor_Putri Bairukha Jannati, B.A_Al-Quran &amp; Arabic Basic")</f>
        <v>Al-Wildan 14 Bumi Mutiara, Bogor_Putri Bairukha Jannati, B.A_Al-Quran &amp; Arabic Basic</v>
      </c>
      <c r="AP784" s="1" t="s">
        <v>12509</v>
      </c>
    </row>
    <row r="785">
      <c r="A785" s="6">
        <v>45112.79694328704</v>
      </c>
      <c r="B785" s="7" t="s">
        <v>12510</v>
      </c>
      <c r="C785" s="8" t="s">
        <v>12511</v>
      </c>
      <c r="D785" s="1" t="s">
        <v>12512</v>
      </c>
      <c r="E785" s="9" t="s">
        <v>12513</v>
      </c>
      <c r="F785" s="1" t="s">
        <v>12514</v>
      </c>
      <c r="G785" s="1" t="s">
        <v>12515</v>
      </c>
      <c r="H785" s="1" t="s">
        <v>148</v>
      </c>
      <c r="I785" s="9" t="s">
        <v>12516</v>
      </c>
      <c r="J785" s="1" t="s">
        <v>12517</v>
      </c>
      <c r="K785" s="1" t="s">
        <v>151</v>
      </c>
      <c r="L785" s="1" t="s">
        <v>103</v>
      </c>
      <c r="M785" s="1" t="s">
        <v>104</v>
      </c>
      <c r="N785" s="1" t="s">
        <v>9478</v>
      </c>
      <c r="O785" s="1" t="s">
        <v>106</v>
      </c>
      <c r="P785" s="1" t="s">
        <v>6659</v>
      </c>
      <c r="Q785" s="1" t="s">
        <v>6304</v>
      </c>
      <c r="R785" s="1" t="s">
        <v>5304</v>
      </c>
      <c r="S785" s="1" t="s">
        <v>6661</v>
      </c>
      <c r="Z785" s="1" t="s">
        <v>12518</v>
      </c>
      <c r="AA785" s="10">
        <v>1500000.0</v>
      </c>
      <c r="AF785" s="1" t="s">
        <v>12519</v>
      </c>
      <c r="AH785" s="1">
        <v>1.640002408518E12</v>
      </c>
      <c r="AI785" s="1" t="s">
        <v>4483</v>
      </c>
      <c r="AJ785" s="1">
        <v>150.0</v>
      </c>
      <c r="AK785" s="1">
        <v>70.0</v>
      </c>
      <c r="AL785" s="1" t="s">
        <v>12520</v>
      </c>
      <c r="AM785" s="1" t="s">
        <v>12521</v>
      </c>
      <c r="AN785" s="7" t="s">
        <v>12522</v>
      </c>
      <c r="AO785" s="8" t="str">
        <f>HYPERLINK("https://docs.google.com/document/d/1pMGGM_-1-Pg4_MSLBDfDIbjvau77MziFogXGR5oNSVI/edit?usp=drivesdk","Al-Wildan 15 Kompas Indah, Tambun Bekasi._Fenny Rachmawati, S.Pd._Mathematics")</f>
        <v>Al-Wildan 15 Kompas Indah, Tambun Bekasi._Fenny Rachmawati, S.Pd._Mathematics</v>
      </c>
      <c r="AP785" s="1" t="s">
        <v>12523</v>
      </c>
    </row>
    <row r="786">
      <c r="A786" s="6">
        <v>45113.391035092594</v>
      </c>
      <c r="B786" s="7" t="s">
        <v>12524</v>
      </c>
      <c r="C786" s="8" t="s">
        <v>12525</v>
      </c>
      <c r="D786" s="1" t="s">
        <v>12526</v>
      </c>
      <c r="E786" s="9" t="s">
        <v>12527</v>
      </c>
      <c r="F786" s="1" t="s">
        <v>12528</v>
      </c>
      <c r="G786" s="1" t="s">
        <v>6779</v>
      </c>
      <c r="H786" s="1" t="s">
        <v>12529</v>
      </c>
      <c r="I786" s="9" t="s">
        <v>12530</v>
      </c>
      <c r="J786" s="1" t="s">
        <v>12531</v>
      </c>
      <c r="K786" s="1" t="s">
        <v>151</v>
      </c>
      <c r="L786" s="1" t="s">
        <v>496</v>
      </c>
      <c r="M786" s="1" t="s">
        <v>213</v>
      </c>
      <c r="O786" s="1" t="s">
        <v>127</v>
      </c>
      <c r="P786" s="1" t="s">
        <v>6659</v>
      </c>
      <c r="Q786" s="1" t="s">
        <v>3584</v>
      </c>
      <c r="R786" s="1" t="s">
        <v>12532</v>
      </c>
      <c r="S786" s="1" t="s">
        <v>4462</v>
      </c>
      <c r="Z786" s="1" t="s">
        <v>12533</v>
      </c>
      <c r="AA786" s="10">
        <v>2400000.0</v>
      </c>
      <c r="AB786" s="1" t="s">
        <v>12534</v>
      </c>
      <c r="AC786" s="10">
        <v>2500000.0</v>
      </c>
      <c r="AD786" s="1" t="s">
        <v>12535</v>
      </c>
      <c r="AE786" s="10">
        <v>1000000.0</v>
      </c>
      <c r="AF786" s="10">
        <v>3000000.0</v>
      </c>
      <c r="AG786" s="1">
        <v>8.65697813E9</v>
      </c>
      <c r="AJ786" s="1">
        <v>153.0</v>
      </c>
      <c r="AK786" s="1">
        <v>43.0</v>
      </c>
      <c r="AL786" s="1" t="s">
        <v>12536</v>
      </c>
      <c r="AM786" s="1" t="s">
        <v>12537</v>
      </c>
      <c r="AN786" s="7" t="s">
        <v>12538</v>
      </c>
      <c r="AO786" s="8" t="str">
        <f>HYPERLINK("https://docs.google.com/document/d/1yjWkqf8G6XXcteERt3nQjKCfAalbG_LErK06-ecgl0c/edit?usp=drivesdk","Al-Wildan 15 Kompas Indah, Tambun Bekasi._DESI ASMARA DELIMA_")</f>
        <v>Al-Wildan 15 Kompas Indah, Tambun Bekasi._DESI ASMARA DELIMA_</v>
      </c>
      <c r="AP786" s="1" t="s">
        <v>12539</v>
      </c>
    </row>
    <row r="787">
      <c r="A787" s="6">
        <v>45113.39866871528</v>
      </c>
      <c r="B787" s="7" t="s">
        <v>12540</v>
      </c>
      <c r="C787" s="8" t="s">
        <v>12541</v>
      </c>
      <c r="D787" s="1" t="s">
        <v>12542</v>
      </c>
      <c r="E787" s="9" t="s">
        <v>12543</v>
      </c>
      <c r="F787" s="1" t="s">
        <v>12544</v>
      </c>
      <c r="G787" s="1" t="s">
        <v>12545</v>
      </c>
      <c r="H787" s="1" t="s">
        <v>12546</v>
      </c>
      <c r="I787" s="9" t="s">
        <v>12547</v>
      </c>
      <c r="J787" s="1" t="s">
        <v>12548</v>
      </c>
      <c r="K787" s="1" t="s">
        <v>151</v>
      </c>
      <c r="L787" s="1" t="s">
        <v>103</v>
      </c>
      <c r="M787" s="1" t="s">
        <v>6060</v>
      </c>
      <c r="O787" s="1" t="s">
        <v>10069</v>
      </c>
      <c r="P787" s="1" t="s">
        <v>237</v>
      </c>
      <c r="Q787" s="1" t="s">
        <v>12549</v>
      </c>
      <c r="R787" s="1" t="s">
        <v>12550</v>
      </c>
      <c r="S787" s="1" t="s">
        <v>755</v>
      </c>
      <c r="Z787" s="1" t="s">
        <v>12551</v>
      </c>
      <c r="AA787" s="10">
        <v>5500000.0</v>
      </c>
      <c r="AB787" s="1" t="s">
        <v>12552</v>
      </c>
      <c r="AC787" s="10">
        <v>4000000.0</v>
      </c>
      <c r="AF787" s="10">
        <v>5000000.0</v>
      </c>
      <c r="AG787" s="1">
        <v>7.209683177E9</v>
      </c>
      <c r="AJ787" s="1">
        <v>170.0</v>
      </c>
      <c r="AK787" s="1">
        <v>60.0</v>
      </c>
      <c r="AL787" s="1" t="s">
        <v>12553</v>
      </c>
      <c r="AM787" s="1" t="s">
        <v>12554</v>
      </c>
      <c r="AN787" s="7" t="s">
        <v>12555</v>
      </c>
      <c r="AO787" s="8" t="str">
        <f>HYPERLINK("https://docs.google.com/document/d/1fTCW5H1WV5uyRz-4HoguQd900uLBcZh-nLZqP14a3SA/edit?usp=drivesdk","Al-Wildan 4 Lebak Bulus_Muhammad Najwah, S.Kom_")</f>
        <v>Al-Wildan 4 Lebak Bulus_Muhammad Najwah, S.Kom_</v>
      </c>
      <c r="AP787" s="1" t="s">
        <v>12539</v>
      </c>
    </row>
    <row r="788">
      <c r="A788" s="6">
        <v>45113.82116847222</v>
      </c>
      <c r="B788" s="7" t="s">
        <v>12556</v>
      </c>
      <c r="C788" s="8" t="s">
        <v>12557</v>
      </c>
      <c r="D788" s="1" t="s">
        <v>12558</v>
      </c>
      <c r="E788" s="9" t="s">
        <v>12559</v>
      </c>
      <c r="F788" s="1" t="s">
        <v>12560</v>
      </c>
      <c r="G788" s="1" t="s">
        <v>12561</v>
      </c>
      <c r="H788" s="1" t="s">
        <v>169</v>
      </c>
      <c r="I788" s="9" t="s">
        <v>12562</v>
      </c>
      <c r="J788" s="1" t="s">
        <v>2131</v>
      </c>
      <c r="K788" s="1" t="s">
        <v>151</v>
      </c>
      <c r="L788" s="1" t="s">
        <v>827</v>
      </c>
      <c r="M788" s="1" t="s">
        <v>104</v>
      </c>
      <c r="N788" s="1" t="s">
        <v>12563</v>
      </c>
      <c r="O788" s="1" t="s">
        <v>236</v>
      </c>
      <c r="P788" s="1" t="s">
        <v>6187</v>
      </c>
      <c r="Q788" s="1" t="s">
        <v>275</v>
      </c>
      <c r="R788" s="1" t="s">
        <v>12564</v>
      </c>
      <c r="S788" s="1" t="s">
        <v>9882</v>
      </c>
      <c r="T788" s="1" t="s">
        <v>12565</v>
      </c>
      <c r="U788" s="1" t="s">
        <v>12566</v>
      </c>
      <c r="V788" s="1" t="s">
        <v>9882</v>
      </c>
      <c r="Z788" s="1" t="s">
        <v>12567</v>
      </c>
      <c r="AA788" s="1" t="s">
        <v>12568</v>
      </c>
      <c r="AB788" s="1" t="s">
        <v>12569</v>
      </c>
      <c r="AC788" s="1" t="s">
        <v>12570</v>
      </c>
      <c r="AF788" s="10">
        <v>5500000.0</v>
      </c>
      <c r="AG788" s="1">
        <v>7.113656578E9</v>
      </c>
      <c r="AJ788" s="1">
        <v>157.0</v>
      </c>
      <c r="AK788" s="1">
        <v>68.0</v>
      </c>
      <c r="AL788" s="1" t="s">
        <v>12571</v>
      </c>
      <c r="AM788" s="1" t="s">
        <v>12572</v>
      </c>
      <c r="AN788" s="7" t="s">
        <v>12573</v>
      </c>
      <c r="AO788" s="8" t="str">
        <f>HYPERLINK("https://docs.google.com/document/d/1EHAQb5zjyRZObVGa2_XT7RBQaStC9mGUxz43KcUXqjc/edit?usp=drivesdk","Al-Wildan 14 Bumi Mutiara, Bogor_Maitsa Hanifa Setyadi, S. Hum._Sejarah")</f>
        <v>Al-Wildan 14 Bumi Mutiara, Bogor_Maitsa Hanifa Setyadi, S. Hum._Sejarah</v>
      </c>
      <c r="AP788" s="1" t="s">
        <v>12574</v>
      </c>
    </row>
    <row r="789">
      <c r="A789" s="6">
        <v>45113.914568541666</v>
      </c>
      <c r="B789" s="7" t="s">
        <v>12575</v>
      </c>
      <c r="C789" s="8" t="s">
        <v>12576</v>
      </c>
      <c r="D789" s="1" t="s">
        <v>12577</v>
      </c>
      <c r="E789" s="9" t="s">
        <v>12578</v>
      </c>
      <c r="F789" s="1" t="s">
        <v>12579</v>
      </c>
      <c r="G789" s="1" t="s">
        <v>12580</v>
      </c>
      <c r="H789" s="1" t="s">
        <v>12581</v>
      </c>
      <c r="I789" s="9" t="s">
        <v>12582</v>
      </c>
      <c r="J789" s="1" t="s">
        <v>3619</v>
      </c>
      <c r="K789" s="1" t="s">
        <v>102</v>
      </c>
      <c r="L789" s="1" t="s">
        <v>103</v>
      </c>
      <c r="M789" s="1" t="s">
        <v>104</v>
      </c>
      <c r="N789" s="1" t="s">
        <v>12583</v>
      </c>
      <c r="O789" s="1" t="s">
        <v>312</v>
      </c>
      <c r="P789" s="1" t="s">
        <v>7991</v>
      </c>
      <c r="Q789" s="1" t="s">
        <v>12584</v>
      </c>
      <c r="R789" s="1" t="s">
        <v>8140</v>
      </c>
      <c r="S789" s="1" t="s">
        <v>479</v>
      </c>
      <c r="Z789" s="1" t="s">
        <v>12585</v>
      </c>
      <c r="AA789" s="10">
        <v>1500000.0</v>
      </c>
      <c r="AB789" s="1" t="s">
        <v>12586</v>
      </c>
      <c r="AC789" s="10">
        <v>1500000.0</v>
      </c>
      <c r="AD789" s="1" t="s">
        <v>12587</v>
      </c>
      <c r="AE789" s="10">
        <v>5000000.0</v>
      </c>
      <c r="AF789" s="10">
        <v>5000000.0</v>
      </c>
      <c r="AG789" s="1">
        <v>8.36742862E9</v>
      </c>
      <c r="AJ789" s="1">
        <v>165.0</v>
      </c>
      <c r="AK789" s="1">
        <v>75.0</v>
      </c>
      <c r="AL789" s="1" t="s">
        <v>12588</v>
      </c>
      <c r="AM789" s="1" t="s">
        <v>12589</v>
      </c>
      <c r="AN789" s="7" t="s">
        <v>12590</v>
      </c>
      <c r="AO789" s="8" t="str">
        <f>HYPERLINK("https://docs.google.com/document/d/19TNqZH8lXbNR8aAptZROMH8rwHmBEca15HKAu6CBQAc/edit?usp=drivesdk","Al-Wildan 12 Bulak Kapal, Bekasi_IKHWANUL MUSLIM, S.Pd_Arabic dan PAI")</f>
        <v>Al-Wildan 12 Bulak Kapal, Bekasi_IKHWANUL MUSLIM, S.Pd_Arabic dan PAI</v>
      </c>
      <c r="AP789" s="1" t="s">
        <v>12591</v>
      </c>
    </row>
    <row r="790">
      <c r="A790" s="6">
        <v>45113.938655555554</v>
      </c>
      <c r="B790" s="7" t="s">
        <v>12592</v>
      </c>
      <c r="C790" s="8" t="s">
        <v>12593</v>
      </c>
      <c r="D790" s="1" t="s">
        <v>12594</v>
      </c>
      <c r="E790" s="9" t="s">
        <v>12595</v>
      </c>
      <c r="F790" s="1" t="s">
        <v>12596</v>
      </c>
      <c r="G790" s="1" t="s">
        <v>12597</v>
      </c>
      <c r="H790" s="1" t="s">
        <v>148</v>
      </c>
      <c r="I790" s="9" t="s">
        <v>12598</v>
      </c>
      <c r="J790" s="1" t="s">
        <v>12599</v>
      </c>
      <c r="K790" s="1" t="s">
        <v>151</v>
      </c>
      <c r="L790" s="1" t="s">
        <v>103</v>
      </c>
      <c r="M790" s="1" t="s">
        <v>104</v>
      </c>
      <c r="N790" s="1" t="s">
        <v>12583</v>
      </c>
      <c r="O790" s="1" t="s">
        <v>312</v>
      </c>
      <c r="P790" s="1" t="s">
        <v>7991</v>
      </c>
      <c r="Q790" s="1" t="s">
        <v>1022</v>
      </c>
      <c r="R790" s="1" t="s">
        <v>3583</v>
      </c>
      <c r="S790" s="1">
        <v>4.73</v>
      </c>
      <c r="Z790" s="1" t="s">
        <v>12600</v>
      </c>
      <c r="AA790" s="10">
        <v>2300000.0</v>
      </c>
      <c r="AB790" s="1" t="s">
        <v>6734</v>
      </c>
      <c r="AC790" s="10">
        <v>1600000.0</v>
      </c>
      <c r="AF790" s="1" t="s">
        <v>12601</v>
      </c>
      <c r="AG790" s="1">
        <v>7.21029544E9</v>
      </c>
      <c r="AJ790" s="1">
        <v>180.0</v>
      </c>
      <c r="AK790" s="1">
        <v>60.0</v>
      </c>
      <c r="AL790" s="1" t="s">
        <v>12602</v>
      </c>
      <c r="AM790" s="1" t="s">
        <v>12603</v>
      </c>
      <c r="AN790" s="7" t="s">
        <v>12604</v>
      </c>
      <c r="AO790" s="8" t="str">
        <f>HYPERLINK("https://docs.google.com/document/d/1C_anSynNXwMU2UTDBBMSSwmUVup-i0GJYF3UMTjGtVo/edit?usp=drivesdk","Al-Wildan 12 Bulak Kapal, Bekasi_Abdurrahman Hanif, BA._Arabic dan PAI")</f>
        <v>Al-Wildan 12 Bulak Kapal, Bekasi_Abdurrahman Hanif, BA._Arabic dan PAI</v>
      </c>
      <c r="AP790" s="1" t="s">
        <v>12605</v>
      </c>
    </row>
    <row r="791">
      <c r="A791" s="6">
        <v>45114.33135003472</v>
      </c>
      <c r="B791" s="7" t="s">
        <v>12606</v>
      </c>
      <c r="C791" s="8" t="s">
        <v>12607</v>
      </c>
      <c r="D791" s="1" t="s">
        <v>12608</v>
      </c>
      <c r="E791" s="9" t="s">
        <v>12609</v>
      </c>
      <c r="F791" s="1" t="s">
        <v>12610</v>
      </c>
      <c r="G791" s="1" t="s">
        <v>12611</v>
      </c>
      <c r="H791" s="1" t="s">
        <v>12612</v>
      </c>
      <c r="I791" s="9" t="s">
        <v>12613</v>
      </c>
      <c r="J791" s="1" t="s">
        <v>12614</v>
      </c>
      <c r="K791" s="1" t="s">
        <v>102</v>
      </c>
      <c r="L791" s="1" t="s">
        <v>103</v>
      </c>
      <c r="M791" s="1" t="s">
        <v>104</v>
      </c>
      <c r="N791" s="1" t="s">
        <v>12615</v>
      </c>
      <c r="O791" s="1" t="s">
        <v>127</v>
      </c>
      <c r="P791" s="1" t="s">
        <v>237</v>
      </c>
      <c r="Q791" s="1" t="s">
        <v>12616</v>
      </c>
      <c r="R791" s="1" t="s">
        <v>12617</v>
      </c>
      <c r="S791" s="1" t="s">
        <v>12618</v>
      </c>
      <c r="Z791" s="1" t="s">
        <v>11554</v>
      </c>
      <c r="AA791" s="10">
        <v>5000000.0</v>
      </c>
      <c r="AF791" s="10">
        <v>6000000.0</v>
      </c>
      <c r="AG791" s="1">
        <v>6.21366506E9</v>
      </c>
      <c r="AJ791" s="1">
        <v>160.0</v>
      </c>
      <c r="AK791" s="1">
        <v>55.0</v>
      </c>
      <c r="AL791" s="1" t="s">
        <v>12619</v>
      </c>
      <c r="AM791" s="1" t="s">
        <v>12620</v>
      </c>
      <c r="AN791" s="7" t="s">
        <v>12621</v>
      </c>
      <c r="AO791" s="8" t="str">
        <f>HYPERLINK("https://docs.google.com/document/d/14p6ouvE5jp3Of4zDl3U8uVjNACX1sAriVCPyUrOGHbU/edit?usp=drivesdk","Al-Wildan 4 Lebak Bulus_Afwan Harir, B.Sh_Diniyah ")</f>
        <v>Al-Wildan 4 Lebak Bulus_Afwan Harir, B.Sh_Diniyah </v>
      </c>
      <c r="AP791" s="1" t="s">
        <v>12622</v>
      </c>
    </row>
    <row r="792">
      <c r="A792" s="6">
        <v>45114.49620409722</v>
      </c>
      <c r="B792" s="7" t="s">
        <v>12623</v>
      </c>
      <c r="C792" s="8" t="s">
        <v>12624</v>
      </c>
      <c r="D792" s="1" t="s">
        <v>12625</v>
      </c>
      <c r="E792" s="9" t="s">
        <v>12626</v>
      </c>
      <c r="F792" s="1" t="s">
        <v>12627</v>
      </c>
      <c r="G792" s="1" t="s">
        <v>12628</v>
      </c>
      <c r="H792" s="1" t="s">
        <v>1003</v>
      </c>
      <c r="I792" s="9" t="s">
        <v>12629</v>
      </c>
      <c r="J792" s="1" t="s">
        <v>273</v>
      </c>
      <c r="K792" s="1" t="s">
        <v>151</v>
      </c>
      <c r="L792" s="1" t="s">
        <v>103</v>
      </c>
      <c r="M792" s="1" t="s">
        <v>104</v>
      </c>
      <c r="O792" s="1" t="s">
        <v>312</v>
      </c>
      <c r="P792" s="1" t="s">
        <v>6533</v>
      </c>
      <c r="Z792" s="1" t="s">
        <v>12630</v>
      </c>
      <c r="AA792" s="1" t="s">
        <v>12631</v>
      </c>
      <c r="AB792" s="1" t="s">
        <v>12632</v>
      </c>
      <c r="AC792" s="1" t="s">
        <v>12633</v>
      </c>
      <c r="AF792" s="10">
        <v>4000000.0</v>
      </c>
      <c r="AG792" s="1">
        <v>8.07335022E9</v>
      </c>
      <c r="AJ792" s="1">
        <v>165.0</v>
      </c>
      <c r="AK792" s="1">
        <v>75.0</v>
      </c>
      <c r="AL792" s="1" t="s">
        <v>12634</v>
      </c>
      <c r="AM792" s="1" t="s">
        <v>12635</v>
      </c>
      <c r="AN792" s="7" t="s">
        <v>12636</v>
      </c>
      <c r="AO792" s="8" t="str">
        <f>HYPERLINK("https://docs.google.com/document/d/1suwP6xxbxJo-GivCbf7JjY7QgZr98kFa26sMIcw3c2Q/edit?usp=drivesdk","Al-Wildan 5 Benhil_Aditia Yidhistira Tri sapoetra_")</f>
        <v>Al-Wildan 5 Benhil_Aditia Yidhistira Tri sapoetra_</v>
      </c>
      <c r="AP792" s="1" t="s">
        <v>12637</v>
      </c>
    </row>
    <row r="793">
      <c r="A793" s="6">
        <v>45114.52611175926</v>
      </c>
      <c r="B793" s="7" t="s">
        <v>12638</v>
      </c>
      <c r="C793" s="8" t="s">
        <v>12639</v>
      </c>
      <c r="D793" s="1" t="s">
        <v>12640</v>
      </c>
      <c r="E793" s="9" t="s">
        <v>12641</v>
      </c>
      <c r="F793" s="1">
        <v>3.6041044039403E15</v>
      </c>
      <c r="G793" s="1" t="s">
        <v>12642</v>
      </c>
      <c r="H793" s="1" t="s">
        <v>12643</v>
      </c>
      <c r="I793" s="9" t="s">
        <v>12644</v>
      </c>
      <c r="J793" s="1" t="s">
        <v>12645</v>
      </c>
      <c r="K793" s="1" t="s">
        <v>102</v>
      </c>
      <c r="L793" s="1" t="s">
        <v>827</v>
      </c>
      <c r="M793" s="1" t="s">
        <v>104</v>
      </c>
      <c r="O793" s="1" t="s">
        <v>312</v>
      </c>
      <c r="P793" s="1" t="s">
        <v>7162</v>
      </c>
      <c r="Q793" s="1" t="s">
        <v>12646</v>
      </c>
      <c r="Z793" s="1" t="s">
        <v>12647</v>
      </c>
      <c r="AA793" s="10">
        <v>1500000.0</v>
      </c>
      <c r="AC793" s="10">
        <v>3000000.0</v>
      </c>
      <c r="AD793" s="1" t="s">
        <v>12647</v>
      </c>
      <c r="AE793" s="10">
        <v>1200000.0</v>
      </c>
      <c r="AF793" s="1" t="s">
        <v>12648</v>
      </c>
      <c r="AG793" s="1">
        <v>7.143601026E9</v>
      </c>
      <c r="AJ793" s="1">
        <v>150.0</v>
      </c>
      <c r="AK793" s="1">
        <v>49.0</v>
      </c>
      <c r="AL793" s="1" t="s">
        <v>12649</v>
      </c>
      <c r="AM793" s="1" t="s">
        <v>12650</v>
      </c>
      <c r="AN793" s="7" t="s">
        <v>12651</v>
      </c>
      <c r="AO793" s="8" t="str">
        <f>HYPERLINK("https://docs.google.com/document/d/1RQyQqmll-hMqD6sl4zBwp7V8Iw0jUQYEYX8wHrKH3ag/edit?usp=drivesdk","Al-Wildan 7 Serang_Siti robiah_")</f>
        <v>Al-Wildan 7 Serang_Siti robiah_</v>
      </c>
      <c r="AP793" s="1" t="s">
        <v>12652</v>
      </c>
    </row>
    <row r="794">
      <c r="A794" s="6">
        <v>45114.70340670139</v>
      </c>
      <c r="B794" s="7" t="s">
        <v>12653</v>
      </c>
      <c r="C794" s="8" t="s">
        <v>12654</v>
      </c>
      <c r="D794" s="1" t="s">
        <v>12655</v>
      </c>
      <c r="E794" s="9" t="s">
        <v>12656</v>
      </c>
      <c r="F794" s="1" t="s">
        <v>12657</v>
      </c>
      <c r="G794" s="1" t="s">
        <v>12658</v>
      </c>
      <c r="H794" s="1" t="s">
        <v>148</v>
      </c>
      <c r="I794" s="9" t="s">
        <v>12659</v>
      </c>
      <c r="J794" s="1" t="s">
        <v>1020</v>
      </c>
      <c r="K794" s="1" t="s">
        <v>151</v>
      </c>
      <c r="L794" s="1" t="s">
        <v>103</v>
      </c>
      <c r="M794" s="1" t="s">
        <v>104</v>
      </c>
      <c r="N794" s="1" t="s">
        <v>12660</v>
      </c>
      <c r="O794" s="1" t="s">
        <v>9794</v>
      </c>
      <c r="P794" s="1" t="s">
        <v>7991</v>
      </c>
      <c r="Q794" s="1" t="s">
        <v>2354</v>
      </c>
      <c r="R794" s="1" t="s">
        <v>2355</v>
      </c>
      <c r="S794" s="1" t="s">
        <v>3093</v>
      </c>
      <c r="Z794" s="1" t="s">
        <v>7599</v>
      </c>
      <c r="AA794" s="10">
        <v>2500000.0</v>
      </c>
      <c r="AB794" s="1" t="s">
        <v>12661</v>
      </c>
      <c r="AC794" s="10">
        <v>2500000.0</v>
      </c>
      <c r="AF794" s="10">
        <v>5500000.0</v>
      </c>
      <c r="AH794" s="1">
        <v>1.620003058E9</v>
      </c>
      <c r="AI794" s="1" t="s">
        <v>7412</v>
      </c>
      <c r="AJ794" s="1">
        <v>170.0</v>
      </c>
      <c r="AK794" s="1">
        <v>80.0</v>
      </c>
      <c r="AL794" s="1" t="s">
        <v>12662</v>
      </c>
      <c r="AM794" s="1" t="s">
        <v>12663</v>
      </c>
      <c r="AN794" s="7" t="s">
        <v>12664</v>
      </c>
      <c r="AO794" s="8" t="str">
        <f>HYPERLINK("https://docs.google.com/document/d/1xHoC_WX-K6q9h_fITH_qEibZNYvWu-Ifwdc1_Evkd68/edit?usp=drivesdk","Al-Wildan 12 Bulak Kapal, Bekasi_Muadz Abdul Aziz, S.Pd_PAI &amp; Arabic")</f>
        <v>Al-Wildan 12 Bulak Kapal, Bekasi_Muadz Abdul Aziz, S.Pd_PAI &amp; Arabic</v>
      </c>
      <c r="AP794" s="1" t="s">
        <v>12665</v>
      </c>
    </row>
    <row r="795">
      <c r="A795" s="6">
        <v>45114.82525362269</v>
      </c>
      <c r="B795" s="7" t="s">
        <v>12666</v>
      </c>
      <c r="C795" s="8" t="s">
        <v>12667</v>
      </c>
      <c r="D795" s="1" t="s">
        <v>12668</v>
      </c>
      <c r="E795" s="9" t="s">
        <v>12669</v>
      </c>
      <c r="F795" s="1" t="s">
        <v>12670</v>
      </c>
      <c r="G795" s="1" t="s">
        <v>12671</v>
      </c>
      <c r="H795" s="1" t="s">
        <v>12672</v>
      </c>
      <c r="I795" s="9" t="s">
        <v>12673</v>
      </c>
      <c r="J795" s="1" t="s">
        <v>12674</v>
      </c>
      <c r="K795" s="1" t="s">
        <v>102</v>
      </c>
      <c r="L795" s="1" t="s">
        <v>103</v>
      </c>
      <c r="M795" s="1" t="s">
        <v>104</v>
      </c>
      <c r="N795" s="1" t="s">
        <v>5937</v>
      </c>
      <c r="O795" s="1" t="s">
        <v>236</v>
      </c>
      <c r="P795" s="1" t="s">
        <v>5712</v>
      </c>
      <c r="Q795" s="1" t="s">
        <v>12675</v>
      </c>
      <c r="R795" s="1" t="s">
        <v>12676</v>
      </c>
      <c r="S795" s="1" t="s">
        <v>12677</v>
      </c>
      <c r="Z795" s="1" t="s">
        <v>12678</v>
      </c>
      <c r="AA795" s="10">
        <v>2500000.0</v>
      </c>
      <c r="AB795" s="1" t="s">
        <v>12679</v>
      </c>
      <c r="AC795" s="10">
        <v>5150000.0</v>
      </c>
      <c r="AF795" s="10">
        <v>1.0E7</v>
      </c>
      <c r="AG795" s="1">
        <v>7.202502738E9</v>
      </c>
      <c r="AJ795" s="1">
        <v>163.0</v>
      </c>
      <c r="AK795" s="1">
        <v>55.0</v>
      </c>
      <c r="AL795" s="1" t="s">
        <v>12680</v>
      </c>
      <c r="AM795" s="1" t="s">
        <v>12681</v>
      </c>
      <c r="AN795" s="7" t="s">
        <v>12682</v>
      </c>
      <c r="AO795" s="8" t="str">
        <f>HYPERLINK("https://docs.google.com/document/d/1sb0m-z5_Ws1Sp4ZzfPod0zNdAh-6me9jGI_s84ZIkTw/edit?usp=drivesdk","Al-Wildan 3 BSD City_DANI AJRIAN, Lc_PAI English")</f>
        <v>Al-Wildan 3 BSD City_DANI AJRIAN, Lc_PAI English</v>
      </c>
      <c r="AP795" s="1" t="s">
        <v>12683</v>
      </c>
    </row>
    <row r="796">
      <c r="A796" s="6">
        <v>45114.87448532408</v>
      </c>
      <c r="B796" s="7" t="s">
        <v>12684</v>
      </c>
      <c r="C796" s="8" t="s">
        <v>12685</v>
      </c>
      <c r="D796" s="1" t="s">
        <v>12686</v>
      </c>
      <c r="E796" s="9" t="s">
        <v>12687</v>
      </c>
      <c r="F796" s="1" t="s">
        <v>12688</v>
      </c>
      <c r="G796" s="1" t="s">
        <v>12689</v>
      </c>
      <c r="H796" s="1" t="s">
        <v>12690</v>
      </c>
      <c r="I796" s="9" t="s">
        <v>12691</v>
      </c>
      <c r="J796" s="1">
        <v>27.0</v>
      </c>
      <c r="K796" s="1" t="s">
        <v>102</v>
      </c>
      <c r="L796" s="1" t="s">
        <v>256</v>
      </c>
      <c r="M796" s="1" t="s">
        <v>104</v>
      </c>
      <c r="N796" s="1" t="s">
        <v>12692</v>
      </c>
      <c r="O796" s="1" t="s">
        <v>9794</v>
      </c>
      <c r="P796" s="1" t="s">
        <v>107</v>
      </c>
      <c r="Q796" s="1" t="s">
        <v>12693</v>
      </c>
      <c r="R796" s="1" t="s">
        <v>12694</v>
      </c>
      <c r="S796" s="1" t="s">
        <v>4479</v>
      </c>
      <c r="T796" s="1" t="s">
        <v>12695</v>
      </c>
      <c r="Z796" s="1" t="s">
        <v>12696</v>
      </c>
      <c r="AA796" s="10">
        <v>6500000.0</v>
      </c>
      <c r="AF796" s="10">
        <v>9500000.0</v>
      </c>
      <c r="AG796" s="1">
        <v>7.202241209E9</v>
      </c>
      <c r="AI796" s="1" t="s">
        <v>5113</v>
      </c>
      <c r="AJ796" s="1">
        <v>159.0</v>
      </c>
      <c r="AK796" s="1">
        <v>42.0</v>
      </c>
      <c r="AL796" s="1" t="s">
        <v>12697</v>
      </c>
      <c r="AM796" s="1" t="s">
        <v>12698</v>
      </c>
      <c r="AN796" s="7" t="s">
        <v>12699</v>
      </c>
      <c r="AO796" s="8" t="str">
        <f>HYPERLINK("https://docs.google.com/document/d/1Wq4teLw6hQwZ8kbp_NWLA8AHPADhbHgLGefGursqFsw/edit?usp=drivesdk","Al-Wildan 1 Gading Serpong_Hind Mohammed Aboughuffah _Native Arab")</f>
        <v>Al-Wildan 1 Gading Serpong_Hind Mohammed Aboughuffah _Native Arab</v>
      </c>
      <c r="AP796" s="1" t="s">
        <v>12700</v>
      </c>
    </row>
    <row r="797">
      <c r="A797" s="6">
        <v>45118.37918340278</v>
      </c>
      <c r="B797" s="7" t="s">
        <v>12701</v>
      </c>
      <c r="C797" s="8" t="s">
        <v>12702</v>
      </c>
      <c r="D797" s="1" t="s">
        <v>12703</v>
      </c>
      <c r="E797" s="9" t="s">
        <v>12704</v>
      </c>
      <c r="F797" s="1" t="s">
        <v>12705</v>
      </c>
      <c r="G797" s="1" t="s">
        <v>12706</v>
      </c>
      <c r="H797" s="1" t="s">
        <v>12707</v>
      </c>
      <c r="I797" s="9" t="s">
        <v>12708</v>
      </c>
      <c r="J797" s="1" t="s">
        <v>9669</v>
      </c>
      <c r="K797" s="1" t="s">
        <v>151</v>
      </c>
      <c r="L797" s="1" t="s">
        <v>256</v>
      </c>
      <c r="M797" s="1" t="s">
        <v>104</v>
      </c>
      <c r="N797" s="1" t="s">
        <v>4094</v>
      </c>
      <c r="O797" s="1" t="s">
        <v>127</v>
      </c>
      <c r="P797" s="1" t="s">
        <v>237</v>
      </c>
      <c r="Q797" s="1" t="s">
        <v>1022</v>
      </c>
      <c r="R797" s="1" t="s">
        <v>1611</v>
      </c>
      <c r="S797" s="1" t="s">
        <v>12709</v>
      </c>
      <c r="Z797" s="1" t="s">
        <v>12710</v>
      </c>
      <c r="AA797" s="10">
        <v>2200000.0</v>
      </c>
      <c r="AF797" s="1" t="s">
        <v>891</v>
      </c>
      <c r="AG797" s="1">
        <v>7.16690058E9</v>
      </c>
      <c r="AJ797" s="1">
        <v>158.0</v>
      </c>
      <c r="AK797" s="1">
        <v>55.0</v>
      </c>
      <c r="AL797" s="1" t="s">
        <v>12711</v>
      </c>
      <c r="AM797" s="1" t="s">
        <v>12712</v>
      </c>
      <c r="AN797" s="7" t="s">
        <v>12713</v>
      </c>
      <c r="AO797" s="8" t="str">
        <f>HYPERLINK("https://docs.google.com/document/d/1utO169VYBgRpHqoY1UVGVRGWVH3ofl-r3n61pIzOVNc/edit?usp=drivesdk","Al-Wildan 4 Lebak Bulus_Salsa Rasyidah Arsyi, B.Sh_Guru Diniyyah")</f>
        <v>Al-Wildan 4 Lebak Bulus_Salsa Rasyidah Arsyi, B.Sh_Guru Diniyyah</v>
      </c>
      <c r="AP797" s="1" t="s">
        <v>12714</v>
      </c>
    </row>
    <row r="798">
      <c r="A798" s="6">
        <v>45118.476928668984</v>
      </c>
      <c r="B798" s="7" t="s">
        <v>12715</v>
      </c>
      <c r="C798" s="8" t="s">
        <v>12716</v>
      </c>
      <c r="D798" s="1" t="s">
        <v>12717</v>
      </c>
      <c r="E798" s="9" t="s">
        <v>12718</v>
      </c>
      <c r="F798" s="1" t="s">
        <v>12719</v>
      </c>
      <c r="G798" s="1" t="s">
        <v>12720</v>
      </c>
      <c r="H798" s="1" t="s">
        <v>643</v>
      </c>
      <c r="I798" s="9" t="s">
        <v>12721</v>
      </c>
      <c r="J798" s="1" t="s">
        <v>12722</v>
      </c>
      <c r="K798" s="1" t="s">
        <v>102</v>
      </c>
      <c r="L798" s="1" t="s">
        <v>310</v>
      </c>
      <c r="M798" s="1" t="s">
        <v>104</v>
      </c>
      <c r="N798" s="1" t="s">
        <v>12723</v>
      </c>
      <c r="O798" s="1" t="s">
        <v>127</v>
      </c>
      <c r="P798" s="1" t="s">
        <v>5712</v>
      </c>
      <c r="Q798" s="1" t="s">
        <v>668</v>
      </c>
      <c r="R798" s="1" t="s">
        <v>193</v>
      </c>
      <c r="S798" s="1" t="s">
        <v>12724</v>
      </c>
      <c r="Z798" s="1" t="s">
        <v>12725</v>
      </c>
      <c r="AA798" s="1" t="s">
        <v>12726</v>
      </c>
      <c r="AB798" s="1" t="s">
        <v>12727</v>
      </c>
      <c r="AC798" s="10">
        <v>7000000.0</v>
      </c>
      <c r="AD798" s="1" t="s">
        <v>12728</v>
      </c>
      <c r="AE798" s="10">
        <v>8000000.0</v>
      </c>
      <c r="AF798" s="10">
        <v>1.0E7</v>
      </c>
      <c r="AG798" s="1">
        <v>1.059251256E9</v>
      </c>
      <c r="AJ798" s="1">
        <v>180.0</v>
      </c>
      <c r="AK798" s="1">
        <v>84.0</v>
      </c>
      <c r="AL798" s="1" t="s">
        <v>12729</v>
      </c>
      <c r="AM798" s="1" t="s">
        <v>12730</v>
      </c>
      <c r="AN798" s="7" t="s">
        <v>12731</v>
      </c>
      <c r="AO798" s="8" t="str">
        <f>HYPERLINK("https://docs.google.com/document/d/1y9Vwqmmf0-ijVYRyzJL0gX7xLZ6Ip_Dvj2PF3Aw3j1w/edit?usp=drivesdk","Al-Wildan 3 BSD City_Royyan_Al-Quran dan Arabic")</f>
        <v>Al-Wildan 3 BSD City_Royyan_Al-Quran dan Arabic</v>
      </c>
      <c r="AP798" s="1" t="s">
        <v>12732</v>
      </c>
    </row>
    <row r="799">
      <c r="A799" s="6">
        <v>45118.61977351852</v>
      </c>
      <c r="B799" s="7" t="s">
        <v>12733</v>
      </c>
      <c r="C799" s="8" t="s">
        <v>12734</v>
      </c>
      <c r="D799" s="1" t="s">
        <v>12735</v>
      </c>
      <c r="E799" s="9" t="s">
        <v>12736</v>
      </c>
      <c r="F799" s="1" t="s">
        <v>12737</v>
      </c>
      <c r="G799" s="1" t="s">
        <v>12738</v>
      </c>
      <c r="H799" s="1" t="s">
        <v>169</v>
      </c>
      <c r="I799" s="9" t="s">
        <v>12739</v>
      </c>
      <c r="J799" s="1" t="s">
        <v>12740</v>
      </c>
      <c r="K799" s="1" t="s">
        <v>102</v>
      </c>
      <c r="L799" s="1" t="s">
        <v>103</v>
      </c>
      <c r="M799" s="1" t="s">
        <v>104</v>
      </c>
      <c r="N799" s="1" t="s">
        <v>771</v>
      </c>
      <c r="O799" s="1" t="s">
        <v>312</v>
      </c>
      <c r="P799" s="1" t="s">
        <v>237</v>
      </c>
      <c r="Q799" s="1" t="s">
        <v>12741</v>
      </c>
      <c r="R799" s="1" t="s">
        <v>478</v>
      </c>
      <c r="S799" s="1" t="s">
        <v>10694</v>
      </c>
      <c r="Z799" s="1" t="s">
        <v>12742</v>
      </c>
      <c r="AA799" s="1" t="s">
        <v>12743</v>
      </c>
      <c r="AB799" s="1" t="s">
        <v>12744</v>
      </c>
      <c r="AC799" s="1" t="s">
        <v>12745</v>
      </c>
      <c r="AD799" s="1" t="s">
        <v>12746</v>
      </c>
      <c r="AE799" s="1" t="s">
        <v>12747</v>
      </c>
      <c r="AF799" s="1" t="s">
        <v>12748</v>
      </c>
      <c r="AH799" s="9" t="s">
        <v>12749</v>
      </c>
      <c r="AI799" s="1" t="s">
        <v>222</v>
      </c>
      <c r="AJ799" s="1">
        <v>172.0</v>
      </c>
      <c r="AK799" s="1">
        <v>75.0</v>
      </c>
      <c r="AL799" s="1" t="s">
        <v>12750</v>
      </c>
      <c r="AM799" s="1" t="s">
        <v>12751</v>
      </c>
      <c r="AN799" s="7" t="s">
        <v>12752</v>
      </c>
      <c r="AO799" s="8" t="str">
        <f>HYPERLINK("https://docs.google.com/document/d/1u9KxWbyeZYjun3eCeEivhAT4HFmiWX0idsIN4LgJtCo/edit?usp=drivesdk","Al-Wildan 4 Lebak Bulus_Aldo Syapta, S. Pd._English")</f>
        <v>Al-Wildan 4 Lebak Bulus_Aldo Syapta, S. Pd._English</v>
      </c>
      <c r="AP799" s="1" t="s">
        <v>12753</v>
      </c>
    </row>
    <row r="800">
      <c r="A800" s="6">
        <v>45118.70017784722</v>
      </c>
      <c r="B800" s="7" t="s">
        <v>12754</v>
      </c>
      <c r="C800" s="8" t="s">
        <v>12755</v>
      </c>
      <c r="D800" s="1" t="s">
        <v>12756</v>
      </c>
      <c r="E800" s="9" t="s">
        <v>12757</v>
      </c>
      <c r="F800" s="1" t="s">
        <v>12758</v>
      </c>
      <c r="G800" s="1" t="s">
        <v>12759</v>
      </c>
      <c r="H800" s="1" t="s">
        <v>12760</v>
      </c>
      <c r="I800" s="9" t="s">
        <v>12761</v>
      </c>
      <c r="J800" s="1">
        <v>17.0</v>
      </c>
      <c r="K800" s="1" t="s">
        <v>151</v>
      </c>
      <c r="L800" s="1" t="s">
        <v>827</v>
      </c>
      <c r="M800" s="1" t="s">
        <v>424</v>
      </c>
      <c r="N800" s="1" t="s">
        <v>9388</v>
      </c>
      <c r="O800" s="1" t="s">
        <v>312</v>
      </c>
      <c r="P800" s="1" t="s">
        <v>107</v>
      </c>
      <c r="Q800" s="1" t="s">
        <v>217</v>
      </c>
      <c r="R800" s="1" t="s">
        <v>217</v>
      </c>
      <c r="S800" s="1" t="s">
        <v>217</v>
      </c>
      <c r="T800" s="1" t="s">
        <v>217</v>
      </c>
      <c r="U800" s="1" t="s">
        <v>217</v>
      </c>
      <c r="V800" s="1" t="s">
        <v>217</v>
      </c>
      <c r="W800" s="1" t="s">
        <v>217</v>
      </c>
      <c r="X800" s="1" t="s">
        <v>217</v>
      </c>
      <c r="Y800" s="1">
        <v>0.0</v>
      </c>
      <c r="Z800" s="1" t="s">
        <v>217</v>
      </c>
      <c r="AA800" s="1" t="s">
        <v>217</v>
      </c>
      <c r="AB800" s="1" t="s">
        <v>217</v>
      </c>
      <c r="AC800" s="1" t="s">
        <v>217</v>
      </c>
      <c r="AD800" s="1" t="s">
        <v>217</v>
      </c>
      <c r="AE800" s="1" t="s">
        <v>217</v>
      </c>
      <c r="AF800" s="1" t="s">
        <v>217</v>
      </c>
      <c r="AG800" s="9" t="s">
        <v>12762</v>
      </c>
      <c r="AH800" s="9" t="s">
        <v>12763</v>
      </c>
      <c r="AI800" s="1" t="s">
        <v>217</v>
      </c>
      <c r="AJ800" s="1">
        <v>158.0</v>
      </c>
      <c r="AK800" s="1">
        <v>40.0</v>
      </c>
      <c r="AL800" s="1" t="s">
        <v>12764</v>
      </c>
      <c r="AM800" s="1" t="s">
        <v>12765</v>
      </c>
      <c r="AN800" s="7" t="s">
        <v>12766</v>
      </c>
      <c r="AO800" s="8" t="str">
        <f>HYPERLINK("https://docs.google.com/document/d/1wQLNSVAYHOFf0qKa69xLMyh_2FVOEmzfb4VvvlMPS2s/edit?usp=drivesdk","Al-Wildan 1 Gading Serpong_Melina Alexandrovna Khramtcova _English ")</f>
        <v>Al-Wildan 1 Gading Serpong_Melina Alexandrovna Khramtcova _English </v>
      </c>
      <c r="AP800" s="1" t="s">
        <v>12767</v>
      </c>
    </row>
    <row r="801">
      <c r="A801" s="6">
        <v>45119.51220920139</v>
      </c>
      <c r="B801" s="7" t="s">
        <v>12768</v>
      </c>
      <c r="C801" s="8" t="s">
        <v>12769</v>
      </c>
      <c r="D801" s="1" t="s">
        <v>12770</v>
      </c>
      <c r="E801" s="9" t="s">
        <v>12771</v>
      </c>
      <c r="F801" s="1" t="s">
        <v>12772</v>
      </c>
      <c r="G801" s="1" t="s">
        <v>12773</v>
      </c>
      <c r="H801" s="1" t="s">
        <v>12773</v>
      </c>
      <c r="I801" s="9" t="s">
        <v>12774</v>
      </c>
      <c r="J801" s="1" t="s">
        <v>12775</v>
      </c>
      <c r="K801" s="1" t="s">
        <v>151</v>
      </c>
      <c r="L801" s="1" t="s">
        <v>496</v>
      </c>
      <c r="M801" s="1" t="s">
        <v>8769</v>
      </c>
      <c r="O801" s="1" t="s">
        <v>236</v>
      </c>
      <c r="P801" s="1" t="s">
        <v>107</v>
      </c>
      <c r="AG801" s="1">
        <v>1.07246137E9</v>
      </c>
      <c r="AJ801" s="1">
        <v>155.0</v>
      </c>
      <c r="AK801" s="1">
        <v>54.0</v>
      </c>
      <c r="AL801" s="1" t="s">
        <v>12776</v>
      </c>
      <c r="AM801" s="1" t="s">
        <v>12777</v>
      </c>
      <c r="AN801" s="7" t="s">
        <v>12778</v>
      </c>
      <c r="AO801" s="8" t="str">
        <f>HYPERLINK("https://docs.google.com/document/d/1VtyORgjXOygC4H_2Uw2nPURmAi2VOP2kJU_JaygGIsk/edit?usp=drivesdk","Al-Wildan 1 Gading Serpong_Nur Cahya Hawaning Sukma_")</f>
        <v>Al-Wildan 1 Gading Serpong_Nur Cahya Hawaning Sukma_</v>
      </c>
      <c r="AP801" s="1" t="s">
        <v>12779</v>
      </c>
    </row>
    <row r="802">
      <c r="A802" s="6">
        <v>45119.72407327546</v>
      </c>
      <c r="B802" s="7" t="s">
        <v>12780</v>
      </c>
      <c r="C802" s="8" t="s">
        <v>12781</v>
      </c>
      <c r="D802" s="1" t="s">
        <v>12354</v>
      </c>
      <c r="E802" s="9" t="s">
        <v>12355</v>
      </c>
      <c r="F802" s="1" t="s">
        <v>12356</v>
      </c>
      <c r="G802" s="1" t="s">
        <v>12357</v>
      </c>
      <c r="H802" s="1" t="s">
        <v>12358</v>
      </c>
      <c r="I802" s="9" t="s">
        <v>12359</v>
      </c>
      <c r="J802" s="1">
        <v>25.0</v>
      </c>
      <c r="K802" s="1" t="s">
        <v>151</v>
      </c>
      <c r="L802" s="1" t="s">
        <v>496</v>
      </c>
      <c r="M802" s="1" t="s">
        <v>5671</v>
      </c>
      <c r="O802" s="1" t="s">
        <v>127</v>
      </c>
      <c r="P802" s="1" t="s">
        <v>5712</v>
      </c>
      <c r="Q802" s="1" t="s">
        <v>12361</v>
      </c>
      <c r="R802" s="1" t="s">
        <v>8140</v>
      </c>
      <c r="S802" s="1" t="s">
        <v>8998</v>
      </c>
      <c r="Z802" s="1" t="s">
        <v>12782</v>
      </c>
      <c r="AA802" s="10">
        <v>3000000.0</v>
      </c>
      <c r="AB802" s="1" t="s">
        <v>12783</v>
      </c>
      <c r="AC802" s="10">
        <v>3500000.0</v>
      </c>
      <c r="AF802" s="1" t="s">
        <v>12784</v>
      </c>
      <c r="AG802" s="1">
        <v>7.78956709E9</v>
      </c>
      <c r="AI802" s="1" t="s">
        <v>5113</v>
      </c>
      <c r="AJ802" s="1">
        <v>168.0</v>
      </c>
      <c r="AK802" s="1">
        <v>54.0</v>
      </c>
      <c r="AL802" s="1" t="s">
        <v>12364</v>
      </c>
      <c r="AM802" s="1" t="s">
        <v>12785</v>
      </c>
      <c r="AN802" s="7" t="s">
        <v>12786</v>
      </c>
      <c r="AO802" s="8" t="str">
        <f>HYPERLINK("https://docs.google.com/document/d/1-NPKaZFwe3XP0JdBoQ4GLoGKih8csuLEYMR6mFkdpqI/edit?usp=drivesdk","Al-Wildan 3 BSD City_Mohammad Mahdi Ibnu Hamid _")</f>
        <v>Al-Wildan 3 BSD City_Mohammad Mahdi Ibnu Hamid _</v>
      </c>
      <c r="AP802" s="1" t="s">
        <v>12787</v>
      </c>
    </row>
    <row r="803">
      <c r="A803" s="6">
        <v>45122.40375059028</v>
      </c>
      <c r="B803" s="7" t="s">
        <v>12788</v>
      </c>
      <c r="C803" s="8" t="s">
        <v>12789</v>
      </c>
      <c r="D803" s="1" t="s">
        <v>12790</v>
      </c>
      <c r="E803" s="9" t="s">
        <v>12791</v>
      </c>
      <c r="F803" s="1" t="s">
        <v>12792</v>
      </c>
      <c r="G803" s="1" t="s">
        <v>12793</v>
      </c>
      <c r="H803" s="1" t="s">
        <v>148</v>
      </c>
      <c r="I803" s="9" t="s">
        <v>7177</v>
      </c>
      <c r="J803" s="1">
        <v>27.0</v>
      </c>
      <c r="K803" s="1" t="s">
        <v>102</v>
      </c>
      <c r="L803" s="1" t="s">
        <v>103</v>
      </c>
      <c r="M803" s="1" t="s">
        <v>104</v>
      </c>
      <c r="N803" s="1" t="s">
        <v>12794</v>
      </c>
      <c r="O803" s="1" t="s">
        <v>106</v>
      </c>
      <c r="P803" s="1" t="s">
        <v>7991</v>
      </c>
      <c r="Q803" s="1" t="s">
        <v>12795</v>
      </c>
      <c r="R803" s="1" t="s">
        <v>1275</v>
      </c>
      <c r="S803" s="1">
        <v>2.76</v>
      </c>
      <c r="Z803" s="1" t="s">
        <v>12796</v>
      </c>
      <c r="AA803" s="1" t="s">
        <v>12797</v>
      </c>
      <c r="AB803" s="1" t="s">
        <v>12798</v>
      </c>
      <c r="AC803" s="1" t="s">
        <v>12799</v>
      </c>
      <c r="AD803" s="1" t="s">
        <v>12800</v>
      </c>
      <c r="AE803" s="10">
        <v>6000000.0</v>
      </c>
      <c r="AF803" s="1" t="s">
        <v>12801</v>
      </c>
      <c r="AH803" s="1">
        <v>8.421042098E9</v>
      </c>
      <c r="AI803" s="1" t="s">
        <v>222</v>
      </c>
      <c r="AJ803" s="1">
        <v>155.0</v>
      </c>
      <c r="AK803" s="1">
        <v>61.0</v>
      </c>
      <c r="AL803" s="1" t="s">
        <v>12802</v>
      </c>
      <c r="AM803" s="1" t="s">
        <v>12803</v>
      </c>
      <c r="AN803" s="7" t="s">
        <v>12804</v>
      </c>
      <c r="AO803" s="8" t="str">
        <f>HYPERLINK("https://docs.google.com/document/d/1vbElLU9BXwdYkXwk3Jl5PUUgx7LQzYpe8Pc-HB0beNk/edit?usp=drivesdk","Al-Wildan 12 Bulak Kapal, Bekasi_Putri Ayu Ningtyas S.Si_Sains/IPA")</f>
        <v>Al-Wildan 12 Bulak Kapal, Bekasi_Putri Ayu Ningtyas S.Si_Sains/IPA</v>
      </c>
      <c r="AP803" s="1" t="s">
        <v>12805</v>
      </c>
    </row>
    <row r="804">
      <c r="A804" s="6">
        <v>45125.43613120371</v>
      </c>
      <c r="B804" s="7" t="s">
        <v>12806</v>
      </c>
      <c r="C804" s="8" t="s">
        <v>12807</v>
      </c>
      <c r="D804" s="1" t="s">
        <v>12808</v>
      </c>
      <c r="E804" s="9" t="s">
        <v>8385</v>
      </c>
      <c r="F804" s="1" t="s">
        <v>8386</v>
      </c>
      <c r="G804" s="1" t="s">
        <v>12809</v>
      </c>
      <c r="H804" s="1" t="s">
        <v>6415</v>
      </c>
      <c r="I804" s="9" t="s">
        <v>8388</v>
      </c>
      <c r="J804" s="1" t="s">
        <v>12810</v>
      </c>
      <c r="K804" s="1" t="s">
        <v>102</v>
      </c>
      <c r="L804" s="1" t="s">
        <v>103</v>
      </c>
      <c r="M804" s="1" t="s">
        <v>104</v>
      </c>
      <c r="N804" s="1" t="s">
        <v>552</v>
      </c>
      <c r="O804" s="1" t="s">
        <v>127</v>
      </c>
      <c r="P804" s="1" t="s">
        <v>11168</v>
      </c>
      <c r="Q804" s="1" t="s">
        <v>8389</v>
      </c>
      <c r="R804" s="1" t="s">
        <v>8390</v>
      </c>
      <c r="S804" s="9" t="s">
        <v>5613</v>
      </c>
      <c r="Z804" s="1" t="s">
        <v>12811</v>
      </c>
      <c r="AA804" s="10">
        <v>7000000.0</v>
      </c>
      <c r="AF804" s="10">
        <v>6800000.0</v>
      </c>
      <c r="AG804" s="1">
        <v>7.179034087E9</v>
      </c>
      <c r="AJ804" s="1">
        <v>160.0</v>
      </c>
      <c r="AK804" s="1">
        <v>62.0</v>
      </c>
      <c r="AL804" s="1" t="s">
        <v>8394</v>
      </c>
      <c r="AM804" s="1" t="s">
        <v>12812</v>
      </c>
      <c r="AN804" s="7" t="s">
        <v>12813</v>
      </c>
      <c r="AO804" s="8" t="str">
        <f>HYPERLINK("https://docs.google.com/document/d/13dQluGP7mGea3SB2Ln0DNRVXETfstZKbgnKbKDFSOS0/edit?usp=drivesdk","Al-Wildan 8 Parung_Mochamad Wahyu Ardiatama, S.T_Fisika")</f>
        <v>Al-Wildan 8 Parung_Mochamad Wahyu Ardiatama, S.T_Fisika</v>
      </c>
      <c r="AP804" s="1" t="s">
        <v>12814</v>
      </c>
    </row>
    <row r="805">
      <c r="A805" s="6">
        <v>45127.56355016204</v>
      </c>
      <c r="B805" s="7" t="s">
        <v>12815</v>
      </c>
      <c r="C805" s="8" t="s">
        <v>12816</v>
      </c>
      <c r="D805" s="1" t="s">
        <v>12817</v>
      </c>
      <c r="E805" s="9" t="s">
        <v>12818</v>
      </c>
      <c r="F805" s="1" t="s">
        <v>12819</v>
      </c>
      <c r="G805" s="1" t="s">
        <v>12820</v>
      </c>
      <c r="H805" s="1" t="s">
        <v>9422</v>
      </c>
      <c r="I805" s="9" t="s">
        <v>12821</v>
      </c>
      <c r="J805" s="1" t="s">
        <v>407</v>
      </c>
      <c r="K805" s="1" t="s">
        <v>151</v>
      </c>
      <c r="L805" s="1" t="s">
        <v>103</v>
      </c>
      <c r="M805" s="1" t="s">
        <v>104</v>
      </c>
      <c r="N805" s="1" t="s">
        <v>12822</v>
      </c>
      <c r="O805" s="1" t="s">
        <v>312</v>
      </c>
      <c r="P805" s="1" t="s">
        <v>6187</v>
      </c>
      <c r="Q805" s="1" t="s">
        <v>7410</v>
      </c>
      <c r="R805" s="1" t="s">
        <v>172</v>
      </c>
      <c r="S805" s="1" t="s">
        <v>7926</v>
      </c>
      <c r="Z805" s="1" t="s">
        <v>12823</v>
      </c>
      <c r="AA805" s="1" t="s">
        <v>12824</v>
      </c>
      <c r="AF805" s="1" t="s">
        <v>12825</v>
      </c>
      <c r="AH805" s="1">
        <v>2.090644311E9</v>
      </c>
      <c r="AI805" s="1" t="s">
        <v>222</v>
      </c>
      <c r="AJ805" s="1">
        <v>156.0</v>
      </c>
      <c r="AK805" s="1">
        <v>42.0</v>
      </c>
      <c r="AL805" s="1" t="s">
        <v>12826</v>
      </c>
      <c r="AM805" s="1" t="s">
        <v>12827</v>
      </c>
      <c r="AN805" s="7" t="s">
        <v>12828</v>
      </c>
      <c r="AO805" s="8" t="str">
        <f>HYPERLINK("https://docs.google.com/document/d/1sUfIn-_SMG8btl0m5VYyYT-FH7RYtoU2R7En7GenSX0/edit?usp=drivesdk","Al-Wildan 14 Bumi Mutiara, Bogor_Zehan Agustia Ainussamsi, S.Pd_Bahasa Inggris, Matematika, IPA")</f>
        <v>Al-Wildan 14 Bumi Mutiara, Bogor_Zehan Agustia Ainussamsi, S.Pd_Bahasa Inggris, Matematika, IPA</v>
      </c>
      <c r="AP805" s="1" t="s">
        <v>12829</v>
      </c>
    </row>
    <row r="806">
      <c r="A806" s="6">
        <v>45127.62029258102</v>
      </c>
      <c r="B806" s="7" t="s">
        <v>12830</v>
      </c>
      <c r="C806" s="8" t="s">
        <v>12831</v>
      </c>
      <c r="D806" s="1" t="s">
        <v>12832</v>
      </c>
      <c r="E806" s="9" t="s">
        <v>12833</v>
      </c>
      <c r="F806" s="1" t="s">
        <v>12834</v>
      </c>
      <c r="G806" s="1" t="s">
        <v>685</v>
      </c>
      <c r="H806" s="1" t="s">
        <v>685</v>
      </c>
      <c r="I806" s="9" t="s">
        <v>12835</v>
      </c>
      <c r="J806" s="1" t="s">
        <v>1186</v>
      </c>
      <c r="K806" s="1" t="s">
        <v>151</v>
      </c>
      <c r="L806" s="1" t="s">
        <v>329</v>
      </c>
      <c r="M806" s="1" t="s">
        <v>104</v>
      </c>
      <c r="N806" s="1" t="s">
        <v>12836</v>
      </c>
      <c r="O806" s="1" t="s">
        <v>312</v>
      </c>
      <c r="P806" s="1" t="s">
        <v>237</v>
      </c>
      <c r="Q806" s="1" t="s">
        <v>12837</v>
      </c>
      <c r="R806" s="1" t="s">
        <v>12838</v>
      </c>
      <c r="S806" s="1" t="s">
        <v>1624</v>
      </c>
      <c r="AF806" s="10">
        <v>3500000.0</v>
      </c>
      <c r="AG806" s="1">
        <v>7.183491142E9</v>
      </c>
      <c r="AJ806" s="1">
        <v>160.0</v>
      </c>
      <c r="AK806" s="1">
        <v>55.0</v>
      </c>
      <c r="AL806" s="1" t="s">
        <v>12839</v>
      </c>
      <c r="AM806" s="1" t="s">
        <v>12840</v>
      </c>
      <c r="AN806" s="7" t="s">
        <v>12841</v>
      </c>
      <c r="AO806" s="8" t="str">
        <f>HYPERLINK("https://docs.google.com/document/d/16qIHq8PxIuzPYmVJ78db2WbFnHJI_1-B7MS59lyB1r8/edit?usp=drivesdk","Al-Wildan 4 Lebak Bulus_Abdullah Mutaal_Al - Qur'an")</f>
        <v>Al-Wildan 4 Lebak Bulus_Abdullah Mutaal_Al - Qur'an</v>
      </c>
      <c r="AP806" s="1" t="s">
        <v>12842</v>
      </c>
    </row>
    <row r="807">
      <c r="A807" s="6">
        <v>45127.66400780092</v>
      </c>
      <c r="B807" s="7" t="s">
        <v>12843</v>
      </c>
      <c r="C807" s="8" t="s">
        <v>12844</v>
      </c>
      <c r="D807" s="1" t="s">
        <v>12845</v>
      </c>
      <c r="E807" s="9" t="s">
        <v>12846</v>
      </c>
      <c r="F807" s="1" t="s">
        <v>12847</v>
      </c>
      <c r="G807" s="1" t="s">
        <v>12848</v>
      </c>
      <c r="H807" s="1" t="s">
        <v>148</v>
      </c>
      <c r="I807" s="9" t="s">
        <v>12849</v>
      </c>
      <c r="J807" s="1" t="s">
        <v>12850</v>
      </c>
      <c r="K807" s="1" t="s">
        <v>151</v>
      </c>
      <c r="L807" s="1" t="s">
        <v>103</v>
      </c>
      <c r="M807" s="1" t="s">
        <v>104</v>
      </c>
      <c r="N807" s="1" t="s">
        <v>552</v>
      </c>
      <c r="O807" s="1" t="s">
        <v>9794</v>
      </c>
      <c r="P807" s="1" t="s">
        <v>6659</v>
      </c>
      <c r="Q807" s="1" t="s">
        <v>9389</v>
      </c>
      <c r="R807" s="1" t="s">
        <v>12851</v>
      </c>
      <c r="S807" s="1" t="s">
        <v>831</v>
      </c>
      <c r="Z807" s="1" t="s">
        <v>12852</v>
      </c>
      <c r="AA807" s="10">
        <v>1700000.0</v>
      </c>
      <c r="AB807" s="1" t="s">
        <v>12853</v>
      </c>
      <c r="AC807" s="10">
        <v>1000000.0</v>
      </c>
      <c r="AF807" s="1" t="s">
        <v>12854</v>
      </c>
      <c r="AH807" s="1">
        <v>1.119334727E9</v>
      </c>
      <c r="AI807" s="1" t="s">
        <v>12855</v>
      </c>
      <c r="AJ807" s="1">
        <v>170.0</v>
      </c>
      <c r="AK807" s="1">
        <v>75.0</v>
      </c>
      <c r="AL807" s="1" t="s">
        <v>12856</v>
      </c>
      <c r="AM807" s="1" t="s">
        <v>12857</v>
      </c>
      <c r="AN807" s="7" t="s">
        <v>12858</v>
      </c>
      <c r="AO807" s="8" t="str">
        <f>HYPERLINK("https://docs.google.com/document/d/1dGgAPhxaKuc0mn1J-h68k-oKsPQVVdJTgNz6KT3mQSE/edit?usp=drivesdk","Al-Wildan 15 Kompas Indah, Tambun Bekasi._Ahmad Riski Faturrahman, S.Pd._Fisika")</f>
        <v>Al-Wildan 15 Kompas Indah, Tambun Bekasi._Ahmad Riski Faturrahman, S.Pd._Fisika</v>
      </c>
      <c r="AP807" s="1" t="s">
        <v>12859</v>
      </c>
    </row>
    <row r="808">
      <c r="A808" s="6">
        <v>45127.73323450232</v>
      </c>
      <c r="B808" s="7" t="s">
        <v>12860</v>
      </c>
      <c r="C808" s="8" t="s">
        <v>12861</v>
      </c>
      <c r="D808" s="1" t="s">
        <v>12862</v>
      </c>
      <c r="E808" s="9" t="s">
        <v>12863</v>
      </c>
      <c r="F808" s="1" t="s">
        <v>12864</v>
      </c>
      <c r="G808" s="1" t="s">
        <v>12865</v>
      </c>
      <c r="H808" s="1" t="s">
        <v>12865</v>
      </c>
      <c r="I808" s="9" t="s">
        <v>12866</v>
      </c>
      <c r="J808" s="1" t="s">
        <v>5447</v>
      </c>
      <c r="K808" s="1" t="s">
        <v>151</v>
      </c>
      <c r="L808" s="1" t="s">
        <v>256</v>
      </c>
      <c r="M808" s="1" t="s">
        <v>104</v>
      </c>
      <c r="N808" s="1" t="s">
        <v>12867</v>
      </c>
      <c r="O808" s="1" t="s">
        <v>127</v>
      </c>
      <c r="P808" s="1" t="s">
        <v>6187</v>
      </c>
      <c r="Q808" s="1" t="s">
        <v>12868</v>
      </c>
      <c r="R808" s="1" t="s">
        <v>12851</v>
      </c>
      <c r="S808" s="1">
        <v>3.39</v>
      </c>
      <c r="Z808" s="1" t="s">
        <v>5479</v>
      </c>
      <c r="AA808" s="10">
        <v>3060000.0</v>
      </c>
      <c r="AF808" s="10">
        <v>3700000.0</v>
      </c>
      <c r="AG808" s="1">
        <v>7.240646317E9</v>
      </c>
      <c r="AJ808" s="1">
        <v>159.0</v>
      </c>
      <c r="AK808" s="1">
        <v>48.0</v>
      </c>
      <c r="AL808" s="1" t="s">
        <v>12869</v>
      </c>
      <c r="AM808" s="1" t="s">
        <v>12870</v>
      </c>
      <c r="AN808" s="7" t="s">
        <v>12871</v>
      </c>
      <c r="AO808" s="8" t="str">
        <f>HYPERLINK("https://docs.google.com/document/d/13kZMUJA1EU1tFJNjU-LSiJfY2JgFleOBx75nfNm81BQ/edit?usp=drivesdk","Al-Wildan 14 Bumi Mutiara, Bogor_Rohmiati Zakiah, S.Pd._Fisika, Matematika ")</f>
        <v>Al-Wildan 14 Bumi Mutiara, Bogor_Rohmiati Zakiah, S.Pd._Fisika, Matematika </v>
      </c>
      <c r="AP808" s="1" t="s">
        <v>12872</v>
      </c>
    </row>
    <row r="809">
      <c r="A809" s="6">
        <v>45127.90003577546</v>
      </c>
      <c r="B809" s="7" t="s">
        <v>12873</v>
      </c>
      <c r="C809" s="8" t="s">
        <v>12874</v>
      </c>
      <c r="D809" s="1" t="s">
        <v>12875</v>
      </c>
      <c r="E809" s="9" t="s">
        <v>12876</v>
      </c>
      <c r="F809" s="1" t="s">
        <v>12877</v>
      </c>
      <c r="G809" s="1" t="s">
        <v>12878</v>
      </c>
      <c r="H809" s="1" t="s">
        <v>944</v>
      </c>
      <c r="I809" s="9" t="s">
        <v>12879</v>
      </c>
      <c r="J809" s="1" t="s">
        <v>12880</v>
      </c>
      <c r="K809" s="1" t="s">
        <v>151</v>
      </c>
      <c r="L809" s="1" t="s">
        <v>329</v>
      </c>
      <c r="M809" s="1" t="s">
        <v>104</v>
      </c>
      <c r="N809" s="1" t="s">
        <v>9441</v>
      </c>
      <c r="O809" s="1" t="s">
        <v>312</v>
      </c>
      <c r="P809" s="1" t="s">
        <v>107</v>
      </c>
      <c r="Q809" s="1" t="s">
        <v>12881</v>
      </c>
      <c r="R809" s="1" t="s">
        <v>4852</v>
      </c>
      <c r="S809" s="1" t="s">
        <v>1612</v>
      </c>
      <c r="Z809" s="1" t="s">
        <v>12882</v>
      </c>
      <c r="AA809" s="10">
        <v>300000.0</v>
      </c>
      <c r="AB809" s="1" t="s">
        <v>12883</v>
      </c>
      <c r="AC809" s="10">
        <v>200000.0</v>
      </c>
      <c r="AD809" s="1" t="s">
        <v>12884</v>
      </c>
      <c r="AE809" s="10">
        <v>50000.0</v>
      </c>
      <c r="AF809" s="10">
        <v>3500000.0</v>
      </c>
      <c r="AH809" s="9" t="s">
        <v>12885</v>
      </c>
      <c r="AI809" s="1" t="s">
        <v>159</v>
      </c>
      <c r="AJ809" s="1">
        <v>157.0</v>
      </c>
      <c r="AK809" s="1">
        <v>62.0</v>
      </c>
      <c r="AL809" s="1" t="s">
        <v>12886</v>
      </c>
      <c r="AM809" s="1" t="s">
        <v>12887</v>
      </c>
      <c r="AN809" s="7" t="s">
        <v>12888</v>
      </c>
      <c r="AO809" s="8" t="str">
        <f>HYPERLINK("https://docs.google.com/document/d/1lI14BMWrwR3_BnwERnCWvIoALDwxgYf0uyzj49tJquI/edit?usp=drivesdk","Al-Wildan 1 Gading Serpong_Asyatunnisa Adhitama Eka Putri, S.S_Guru Bahasa Indonesia")</f>
        <v>Al-Wildan 1 Gading Serpong_Asyatunnisa Adhitama Eka Putri, S.S_Guru Bahasa Indonesia</v>
      </c>
      <c r="AP809" s="1" t="s">
        <v>12889</v>
      </c>
    </row>
    <row r="810">
      <c r="A810" s="6">
        <v>45128.41927832176</v>
      </c>
      <c r="B810" s="7" t="s">
        <v>12890</v>
      </c>
      <c r="C810" s="8" t="s">
        <v>12891</v>
      </c>
      <c r="D810" s="1" t="s">
        <v>12892</v>
      </c>
      <c r="E810" s="9" t="s">
        <v>12893</v>
      </c>
      <c r="F810" s="1" t="s">
        <v>12894</v>
      </c>
      <c r="G810" s="1" t="s">
        <v>12895</v>
      </c>
      <c r="H810" s="1" t="s">
        <v>5230</v>
      </c>
      <c r="I810" s="9" t="s">
        <v>12896</v>
      </c>
      <c r="J810" s="1" t="s">
        <v>5573</v>
      </c>
      <c r="K810" s="1" t="s">
        <v>102</v>
      </c>
      <c r="L810" s="1" t="s">
        <v>103</v>
      </c>
      <c r="M810" s="1" t="s">
        <v>104</v>
      </c>
      <c r="N810" s="1" t="s">
        <v>12897</v>
      </c>
      <c r="O810" s="1" t="s">
        <v>9794</v>
      </c>
      <c r="P810" s="1" t="s">
        <v>237</v>
      </c>
      <c r="Q810" s="1" t="s">
        <v>153</v>
      </c>
      <c r="R810" s="1" t="s">
        <v>410</v>
      </c>
      <c r="S810" s="1" t="s">
        <v>363</v>
      </c>
      <c r="T810" s="1" t="s">
        <v>275</v>
      </c>
      <c r="U810" s="1" t="s">
        <v>6337</v>
      </c>
      <c r="V810" s="1" t="s">
        <v>9479</v>
      </c>
      <c r="Z810" s="1" t="s">
        <v>12898</v>
      </c>
      <c r="AA810" s="1" t="s">
        <v>12899</v>
      </c>
      <c r="AB810" s="1" t="s">
        <v>12900</v>
      </c>
      <c r="AC810" s="1" t="s">
        <v>12901</v>
      </c>
      <c r="AD810" s="1" t="s">
        <v>12902</v>
      </c>
      <c r="AE810" s="1" t="s">
        <v>12903</v>
      </c>
      <c r="AF810" s="10">
        <v>8300000.0</v>
      </c>
      <c r="AG810" s="1">
        <v>7.126495263E9</v>
      </c>
      <c r="AI810" s="1" t="s">
        <v>5131</v>
      </c>
      <c r="AJ810" s="1">
        <v>165.0</v>
      </c>
      <c r="AK810" s="1">
        <v>55.0</v>
      </c>
      <c r="AL810" s="1" t="s">
        <v>12904</v>
      </c>
      <c r="AM810" s="1" t="s">
        <v>12905</v>
      </c>
      <c r="AN810" s="7" t="s">
        <v>12906</v>
      </c>
      <c r="AO810" s="8" t="str">
        <f>HYPERLINK("https://docs.google.com/document/d/1bo-vT0wrpVikUyovw38Z_z90abOfn-AduwQGnDhfHJc/edit?usp=drivesdk","Al-Wildan 4 Lebak Bulus_Feri Apryandi, S.Pd., M.Si._Fisika / IPA Cambridge")</f>
        <v>Al-Wildan 4 Lebak Bulus_Feri Apryandi, S.Pd., M.Si._Fisika / IPA Cambridge</v>
      </c>
      <c r="AP810" s="1" t="s">
        <v>12907</v>
      </c>
    </row>
    <row r="811">
      <c r="A811" s="6">
        <v>45131.50387425926</v>
      </c>
      <c r="B811" s="7" t="s">
        <v>12908</v>
      </c>
      <c r="C811" s="8" t="s">
        <v>12909</v>
      </c>
      <c r="D811" s="1" t="s">
        <v>12910</v>
      </c>
      <c r="E811" s="9" t="s">
        <v>12911</v>
      </c>
      <c r="F811" s="1" t="s">
        <v>12912</v>
      </c>
      <c r="G811" s="1" t="s">
        <v>12913</v>
      </c>
      <c r="H811" s="1" t="s">
        <v>7578</v>
      </c>
      <c r="I811" s="9" t="s">
        <v>12914</v>
      </c>
      <c r="J811" s="1" t="s">
        <v>290</v>
      </c>
      <c r="K811" s="1" t="s">
        <v>102</v>
      </c>
      <c r="L811" s="1" t="s">
        <v>103</v>
      </c>
      <c r="M811" s="1" t="s">
        <v>104</v>
      </c>
      <c r="N811" s="1" t="s">
        <v>274</v>
      </c>
      <c r="O811" s="1" t="s">
        <v>127</v>
      </c>
      <c r="P811" s="1" t="s">
        <v>11168</v>
      </c>
      <c r="Q811" s="1" t="s">
        <v>5126</v>
      </c>
      <c r="R811" s="1" t="s">
        <v>12915</v>
      </c>
      <c r="S811" s="1" t="s">
        <v>12916</v>
      </c>
      <c r="Z811" s="1" t="s">
        <v>12917</v>
      </c>
      <c r="AA811" s="1" t="s">
        <v>12918</v>
      </c>
      <c r="AF811" s="1" t="s">
        <v>12919</v>
      </c>
      <c r="AG811" s="1">
        <v>7.126574007E9</v>
      </c>
      <c r="AJ811" s="1">
        <v>173.0</v>
      </c>
      <c r="AK811" s="1">
        <v>80.0</v>
      </c>
      <c r="AL811" s="1" t="s">
        <v>12920</v>
      </c>
      <c r="AM811" s="1" t="s">
        <v>12921</v>
      </c>
      <c r="AN811" s="7" t="s">
        <v>12922</v>
      </c>
      <c r="AO811" s="8" t="str">
        <f>HYPERLINK("https://docs.google.com/document/d/1ZzOhwTnJbLtFBTPmAHF9sCumbUmhvQYYnbzhB4ZYvzE/edit?usp=drivesdk","Al-Wildan 8 Parung_Muhamad Refsanjani Fahreza, S.H._Diniyyah")</f>
        <v>Al-Wildan 8 Parung_Muhamad Refsanjani Fahreza, S.H._Diniyyah</v>
      </c>
      <c r="AP811" s="1" t="s">
        <v>12923</v>
      </c>
    </row>
    <row r="812">
      <c r="A812" s="6">
        <v>45131.51492444445</v>
      </c>
      <c r="B812" s="7" t="s">
        <v>12924</v>
      </c>
      <c r="C812" s="8" t="s">
        <v>12925</v>
      </c>
      <c r="D812" s="1" t="s">
        <v>12926</v>
      </c>
      <c r="E812" s="9" t="s">
        <v>12927</v>
      </c>
      <c r="F812" s="1" t="s">
        <v>12928</v>
      </c>
      <c r="G812" s="1" t="s">
        <v>12929</v>
      </c>
      <c r="H812" s="1" t="s">
        <v>722</v>
      </c>
      <c r="I812" s="9" t="s">
        <v>12930</v>
      </c>
      <c r="J812" s="1" t="s">
        <v>12931</v>
      </c>
      <c r="K812" s="1" t="s">
        <v>151</v>
      </c>
      <c r="L812" s="1" t="s">
        <v>256</v>
      </c>
      <c r="M812" s="1" t="s">
        <v>104</v>
      </c>
      <c r="N812" s="1" t="s">
        <v>3018</v>
      </c>
      <c r="O812" s="1" t="s">
        <v>236</v>
      </c>
      <c r="P812" s="1" t="s">
        <v>5712</v>
      </c>
      <c r="Q812" s="1" t="s">
        <v>153</v>
      </c>
      <c r="R812" s="1" t="s">
        <v>536</v>
      </c>
      <c r="S812" s="1" t="s">
        <v>7975</v>
      </c>
      <c r="T812" s="1" t="s">
        <v>12932</v>
      </c>
      <c r="U812" s="1" t="s">
        <v>536</v>
      </c>
      <c r="V812" s="1" t="s">
        <v>12933</v>
      </c>
      <c r="Z812" s="1" t="s">
        <v>12934</v>
      </c>
      <c r="AA812" s="1" t="s">
        <v>12935</v>
      </c>
      <c r="AB812" s="1" t="s">
        <v>12936</v>
      </c>
      <c r="AC812" s="10">
        <v>1500000.0</v>
      </c>
      <c r="AD812" s="1" t="s">
        <v>12937</v>
      </c>
      <c r="AE812" s="1" t="s">
        <v>12938</v>
      </c>
      <c r="AF812" s="10">
        <v>7500000.0</v>
      </c>
      <c r="AH812" s="9" t="s">
        <v>12939</v>
      </c>
      <c r="AI812" s="1" t="s">
        <v>159</v>
      </c>
      <c r="AJ812" s="1">
        <v>164.0</v>
      </c>
      <c r="AK812" s="1">
        <v>50.0</v>
      </c>
      <c r="AL812" s="1" t="s">
        <v>12940</v>
      </c>
      <c r="AM812" s="1" t="s">
        <v>12941</v>
      </c>
      <c r="AN812" s="7" t="s">
        <v>12942</v>
      </c>
      <c r="AO812" s="8" t="str">
        <f>HYPERLINK("https://docs.google.com/document/d/1FTwC_mHYowzgnV-j8ofef3xv7eleF2eKCJoEeAQBvVs/edit?usp=drivesdk","Al-Wildan 3 BSD City_Jalu Rafli Ismail, S.Pd._Geografi")</f>
        <v>Al-Wildan 3 BSD City_Jalu Rafli Ismail, S.Pd._Geografi</v>
      </c>
      <c r="AP812" s="1" t="s">
        <v>12943</v>
      </c>
    </row>
    <row r="813">
      <c r="A813" s="6">
        <v>45132.44748269676</v>
      </c>
      <c r="B813" s="7" t="s">
        <v>12944</v>
      </c>
      <c r="C813" s="8" t="s">
        <v>12945</v>
      </c>
      <c r="D813" s="1" t="s">
        <v>12946</v>
      </c>
      <c r="E813" s="9" t="s">
        <v>12947</v>
      </c>
      <c r="F813" s="1" t="s">
        <v>12948</v>
      </c>
      <c r="G813" s="1" t="s">
        <v>12949</v>
      </c>
      <c r="H813" s="1" t="s">
        <v>169</v>
      </c>
      <c r="I813" s="9" t="s">
        <v>12950</v>
      </c>
      <c r="J813" s="1" t="s">
        <v>4587</v>
      </c>
      <c r="K813" s="1" t="s">
        <v>1235</v>
      </c>
      <c r="L813" s="1" t="s">
        <v>310</v>
      </c>
      <c r="M813" s="1" t="s">
        <v>104</v>
      </c>
      <c r="N813" s="1" t="s">
        <v>12951</v>
      </c>
      <c r="O813" s="1" t="s">
        <v>312</v>
      </c>
      <c r="P813" s="1" t="s">
        <v>107</v>
      </c>
      <c r="Q813" s="1" t="s">
        <v>12952</v>
      </c>
      <c r="R813" s="1" t="s">
        <v>12953</v>
      </c>
      <c r="S813" s="1" t="s">
        <v>2181</v>
      </c>
      <c r="T813" s="1" t="s">
        <v>12954</v>
      </c>
      <c r="U813" s="1" t="s">
        <v>12954</v>
      </c>
      <c r="W813" s="1" t="s">
        <v>12954</v>
      </c>
      <c r="X813" s="1" t="s">
        <v>12954</v>
      </c>
      <c r="Z813" s="1" t="s">
        <v>12955</v>
      </c>
      <c r="AA813" s="1" t="s">
        <v>12956</v>
      </c>
      <c r="AB813" s="1" t="s">
        <v>12957</v>
      </c>
      <c r="AC813" s="1" t="s">
        <v>12958</v>
      </c>
      <c r="AD813" s="1" t="s">
        <v>12959</v>
      </c>
      <c r="AE813" s="1" t="s">
        <v>12960</v>
      </c>
      <c r="AF813" s="1" t="s">
        <v>12961</v>
      </c>
      <c r="AG813" s="1">
        <v>1.209470053E9</v>
      </c>
      <c r="AJ813" s="1">
        <v>155.0</v>
      </c>
      <c r="AK813" s="1">
        <v>48.0</v>
      </c>
      <c r="AL813" s="1" t="s">
        <v>12962</v>
      </c>
      <c r="AM813" s="1" t="s">
        <v>12963</v>
      </c>
      <c r="AN813" s="7" t="s">
        <v>12964</v>
      </c>
      <c r="AO813" s="8" t="str">
        <f>HYPERLINK("https://docs.google.com/document/d/10g_7vYsGHZ8HeHPY-dHTSwsiBvUEcDOqLRPEqMFGljo/edit?usp=drivesdk","Al-Wildan 1 Gading Serpong_Angela Marini, BSc_Math, English, Science")</f>
        <v>Al-Wildan 1 Gading Serpong_Angela Marini, BSc_Math, English, Science</v>
      </c>
      <c r="AP813" s="1" t="s">
        <v>12965</v>
      </c>
    </row>
    <row r="814">
      <c r="A814" s="6">
        <v>45132.74387010417</v>
      </c>
      <c r="B814" s="7" t="s">
        <v>12966</v>
      </c>
      <c r="C814" s="8" t="s">
        <v>12967</v>
      </c>
      <c r="D814" s="1" t="s">
        <v>12968</v>
      </c>
      <c r="E814" s="9" t="s">
        <v>12969</v>
      </c>
      <c r="F814" s="1" t="s">
        <v>12970</v>
      </c>
      <c r="G814" s="1" t="s">
        <v>99</v>
      </c>
      <c r="H814" s="1" t="s">
        <v>99</v>
      </c>
      <c r="I814" s="9" t="s">
        <v>12971</v>
      </c>
      <c r="J814" s="1" t="s">
        <v>12972</v>
      </c>
      <c r="K814" s="1" t="s">
        <v>151</v>
      </c>
      <c r="L814" s="1" t="s">
        <v>496</v>
      </c>
      <c r="M814" s="1" t="s">
        <v>8769</v>
      </c>
      <c r="N814" s="1" t="s">
        <v>12973</v>
      </c>
      <c r="O814" s="1" t="s">
        <v>127</v>
      </c>
      <c r="P814" s="1" t="s">
        <v>107</v>
      </c>
      <c r="Z814" s="1" t="s">
        <v>12974</v>
      </c>
      <c r="AA814" s="10">
        <v>1500000.0</v>
      </c>
      <c r="AG814" s="1">
        <v>7.199639654E9</v>
      </c>
      <c r="AI814" s="1" t="s">
        <v>8790</v>
      </c>
      <c r="AJ814" s="1">
        <v>171.0</v>
      </c>
      <c r="AK814" s="1">
        <v>80.0</v>
      </c>
      <c r="AL814" s="1" t="s">
        <v>12975</v>
      </c>
      <c r="AM814" s="1" t="s">
        <v>12976</v>
      </c>
      <c r="AN814" s="7" t="s">
        <v>12977</v>
      </c>
      <c r="AO814" s="8" t="str">
        <f>HYPERLINK("https://docs.google.com/document/d/10tyNmAP8ciCjV7wOL1arpUaoCnSFTXbQziCJatrJwXg/edit?usp=drivesdk","Al-Wildan 1 Gading Serpong_Shesilia Mulyati_Nahwu, Shorof, Bahasa Arab, Fikih")</f>
        <v>Al-Wildan 1 Gading Serpong_Shesilia Mulyati_Nahwu, Shorof, Bahasa Arab, Fikih</v>
      </c>
      <c r="AP814" s="1" t="s">
        <v>12978</v>
      </c>
    </row>
    <row r="815">
      <c r="A815" s="6">
        <v>45134.89738866898</v>
      </c>
      <c r="B815" s="7" t="s">
        <v>12979</v>
      </c>
      <c r="C815" s="8" t="s">
        <v>12980</v>
      </c>
      <c r="D815" s="1" t="s">
        <v>12981</v>
      </c>
      <c r="E815" s="9" t="s">
        <v>12982</v>
      </c>
      <c r="F815" s="1" t="s">
        <v>12983</v>
      </c>
      <c r="G815" s="1" t="s">
        <v>99</v>
      </c>
      <c r="H815" s="1" t="s">
        <v>1255</v>
      </c>
      <c r="I815" s="9" t="s">
        <v>12984</v>
      </c>
      <c r="J815" s="1">
        <v>21.0</v>
      </c>
      <c r="K815" s="1" t="s">
        <v>151</v>
      </c>
      <c r="L815" s="1" t="s">
        <v>496</v>
      </c>
      <c r="M815" s="1" t="s">
        <v>8769</v>
      </c>
      <c r="O815" s="1" t="s">
        <v>236</v>
      </c>
      <c r="P815" s="1" t="s">
        <v>107</v>
      </c>
      <c r="Z815" s="1" t="s">
        <v>1575</v>
      </c>
      <c r="AF815" s="10">
        <v>5000000.0</v>
      </c>
      <c r="AG815" s="1">
        <v>7.240930042E9</v>
      </c>
      <c r="AJ815" s="1">
        <v>159.0</v>
      </c>
      <c r="AK815" s="1">
        <v>43.0</v>
      </c>
      <c r="AL815" s="1" t="s">
        <v>12985</v>
      </c>
      <c r="AM815" s="1" t="s">
        <v>12986</v>
      </c>
      <c r="AN815" s="7" t="s">
        <v>12987</v>
      </c>
      <c r="AO815" s="8" t="str">
        <f>HYPERLINK("https://docs.google.com/document/d/1r_93yhPx33S7Su90IzuW8S4QI554EvoXw7WpxWwspuo/edit?usp=drivesdk","Al-Wildan 1 Gading Serpong_Minkhautul Aula_")</f>
        <v>Al-Wildan 1 Gading Serpong_Minkhautul Aula_</v>
      </c>
      <c r="AP815" s="1" t="s">
        <v>12988</v>
      </c>
    </row>
    <row r="816">
      <c r="A816" s="6">
        <v>45134.90077979167</v>
      </c>
      <c r="B816" s="7" t="s">
        <v>12989</v>
      </c>
      <c r="C816" s="8" t="s">
        <v>12990</v>
      </c>
      <c r="D816" s="1" t="s">
        <v>12991</v>
      </c>
      <c r="E816" s="9" t="s">
        <v>12992</v>
      </c>
      <c r="F816" s="1" t="s">
        <v>12993</v>
      </c>
      <c r="G816" s="1" t="s">
        <v>12994</v>
      </c>
      <c r="H816" s="1" t="s">
        <v>722</v>
      </c>
      <c r="I816" s="9" t="s">
        <v>12995</v>
      </c>
      <c r="J816" s="1" t="s">
        <v>4476</v>
      </c>
      <c r="K816" s="1" t="s">
        <v>102</v>
      </c>
      <c r="L816" s="1" t="s">
        <v>103</v>
      </c>
      <c r="M816" s="1" t="s">
        <v>104</v>
      </c>
      <c r="N816" s="1" t="s">
        <v>12996</v>
      </c>
      <c r="O816" s="1" t="s">
        <v>106</v>
      </c>
      <c r="P816" s="1" t="s">
        <v>107</v>
      </c>
      <c r="Q816" s="1" t="s">
        <v>12997</v>
      </c>
      <c r="R816" s="1" t="s">
        <v>12998</v>
      </c>
      <c r="S816" s="1" t="s">
        <v>755</v>
      </c>
      <c r="T816" s="1" t="s">
        <v>217</v>
      </c>
      <c r="U816" s="1" t="s">
        <v>217</v>
      </c>
      <c r="V816" s="1" t="s">
        <v>217</v>
      </c>
      <c r="W816" s="1" t="s">
        <v>217</v>
      </c>
      <c r="X816" s="1" t="s">
        <v>217</v>
      </c>
      <c r="Z816" s="1" t="s">
        <v>12999</v>
      </c>
      <c r="AA816" s="10">
        <v>6000000.0</v>
      </c>
      <c r="AB816" s="1" t="s">
        <v>13000</v>
      </c>
      <c r="AC816" s="10">
        <v>5000000.0</v>
      </c>
      <c r="AD816" s="1" t="s">
        <v>13001</v>
      </c>
      <c r="AE816" s="1" t="s">
        <v>13002</v>
      </c>
      <c r="AF816" s="10">
        <v>9000000.0</v>
      </c>
      <c r="AH816" s="1">
        <v>6.050485259E9</v>
      </c>
      <c r="AI816" s="1" t="s">
        <v>222</v>
      </c>
      <c r="AJ816" s="1">
        <v>150.0</v>
      </c>
      <c r="AK816" s="1">
        <v>50.0</v>
      </c>
      <c r="AL816" s="1" t="s">
        <v>13003</v>
      </c>
      <c r="AM816" s="1" t="s">
        <v>13004</v>
      </c>
      <c r="AN816" s="7" t="s">
        <v>13005</v>
      </c>
      <c r="AO816" s="8" t="str">
        <f>HYPERLINK("https://docs.google.com/document/d/1kwDBDfO0slX60aH8WMVzxOC_le_bQPTFMfupxg_tVGk/edit?usp=drivesdk","Al-Wildan 1 Gading Serpong_Fitria Fadilah Anggarini, S.Si_BIology/Science")</f>
        <v>Al-Wildan 1 Gading Serpong_Fitria Fadilah Anggarini, S.Si_BIology/Science</v>
      </c>
      <c r="AP816" s="1" t="s">
        <v>13006</v>
      </c>
    </row>
    <row r="817">
      <c r="A817" s="6">
        <v>45134.91836459491</v>
      </c>
      <c r="B817" s="7" t="s">
        <v>13007</v>
      </c>
      <c r="C817" s="8" t="s">
        <v>13008</v>
      </c>
      <c r="D817" s="1" t="s">
        <v>13009</v>
      </c>
      <c r="E817" s="9" t="s">
        <v>13010</v>
      </c>
      <c r="F817" s="1" t="s">
        <v>13011</v>
      </c>
      <c r="G817" s="1" t="s">
        <v>13012</v>
      </c>
      <c r="H817" s="1" t="s">
        <v>768</v>
      </c>
      <c r="I817" s="9" t="s">
        <v>13013</v>
      </c>
      <c r="J817" s="1" t="s">
        <v>610</v>
      </c>
      <c r="K817" s="1" t="s">
        <v>102</v>
      </c>
      <c r="L817" s="1" t="s">
        <v>256</v>
      </c>
      <c r="M817" s="1" t="s">
        <v>424</v>
      </c>
      <c r="N817" s="1" t="s">
        <v>424</v>
      </c>
      <c r="O817" s="1" t="s">
        <v>236</v>
      </c>
      <c r="P817" s="1" t="s">
        <v>6659</v>
      </c>
      <c r="Q817" s="1" t="s">
        <v>13014</v>
      </c>
      <c r="R817" s="1" t="s">
        <v>11140</v>
      </c>
      <c r="S817" s="1">
        <v>3.68</v>
      </c>
      <c r="Z817" s="1" t="s">
        <v>13015</v>
      </c>
      <c r="AA817" s="1" t="s">
        <v>13016</v>
      </c>
      <c r="AB817" s="1" t="s">
        <v>13017</v>
      </c>
      <c r="AC817" s="1" t="s">
        <v>13018</v>
      </c>
      <c r="AD817" s="1" t="s">
        <v>13019</v>
      </c>
      <c r="AE817" s="10">
        <v>5200000.0</v>
      </c>
      <c r="AF817" s="10">
        <v>4800000.0</v>
      </c>
      <c r="AH817" s="1">
        <v>3.85501031132533E14</v>
      </c>
      <c r="AI817" s="1" t="s">
        <v>2407</v>
      </c>
      <c r="AJ817" s="1">
        <v>160.0</v>
      </c>
      <c r="AK817" s="1">
        <v>68.0</v>
      </c>
      <c r="AL817" s="1" t="s">
        <v>13020</v>
      </c>
      <c r="AM817" s="1" t="s">
        <v>13021</v>
      </c>
      <c r="AN817" s="7" t="s">
        <v>13022</v>
      </c>
      <c r="AO817" s="8" t="str">
        <f>HYPERLINK("https://docs.google.com/document/d/1julBLoesrcPRNGSLrJ130ceg_86V52LceKTlq8MDrP0/edit?usp=drivesdk","Al-Wildan 15 Kompas Indah, Tambun Bekasi._Alga Dwi Aprilia S.sos_Guru Bimbingan Konseling")</f>
        <v>Al-Wildan 15 Kompas Indah, Tambun Bekasi._Alga Dwi Aprilia S.sos_Guru Bimbingan Konseling</v>
      </c>
      <c r="AP817" s="1" t="s">
        <v>13023</v>
      </c>
    </row>
    <row r="818">
      <c r="A818" s="6">
        <v>45135.24433994213</v>
      </c>
      <c r="B818" s="7" t="s">
        <v>13024</v>
      </c>
      <c r="C818" s="8" t="s">
        <v>13025</v>
      </c>
      <c r="D818" s="1" t="s">
        <v>13026</v>
      </c>
      <c r="E818" s="9" t="s">
        <v>13027</v>
      </c>
      <c r="F818" s="1" t="s">
        <v>13028</v>
      </c>
      <c r="G818" s="1" t="s">
        <v>13029</v>
      </c>
      <c r="H818" s="1" t="s">
        <v>6169</v>
      </c>
      <c r="I818" s="9" t="s">
        <v>13030</v>
      </c>
      <c r="J818" s="1" t="s">
        <v>13031</v>
      </c>
      <c r="K818" s="1" t="s">
        <v>102</v>
      </c>
      <c r="L818" s="1" t="s">
        <v>103</v>
      </c>
      <c r="M818" s="1" t="s">
        <v>104</v>
      </c>
      <c r="N818" s="1" t="s">
        <v>3444</v>
      </c>
      <c r="O818" s="1" t="s">
        <v>312</v>
      </c>
      <c r="P818" s="1" t="s">
        <v>237</v>
      </c>
      <c r="Q818" s="1" t="s">
        <v>13032</v>
      </c>
      <c r="R818" s="1" t="s">
        <v>2355</v>
      </c>
      <c r="S818" s="1" t="s">
        <v>5399</v>
      </c>
      <c r="Z818" s="1" t="s">
        <v>13033</v>
      </c>
      <c r="AA818" s="10">
        <v>2700000.0</v>
      </c>
      <c r="AF818" s="10">
        <v>5000000.0</v>
      </c>
      <c r="AG818" s="1">
        <v>7.218421778E9</v>
      </c>
      <c r="AJ818" s="1">
        <v>150.0</v>
      </c>
      <c r="AK818" s="1">
        <v>69.0</v>
      </c>
      <c r="AL818" s="1" t="s">
        <v>13034</v>
      </c>
      <c r="AM818" s="1" t="s">
        <v>13035</v>
      </c>
      <c r="AN818" s="7" t="s">
        <v>13036</v>
      </c>
      <c r="AO818" s="8" t="str">
        <f>HYPERLINK("https://docs.google.com/document/d/1dCBtgFcTv738uYvb8xDiLi0CWjt0aQZKhAEhJboW-9o/edit?usp=drivesdk","Al-Wildan 4 Lebak Bulus_Fadhilah Nurzahira _Al-Quran")</f>
        <v>Al-Wildan 4 Lebak Bulus_Fadhilah Nurzahira _Al-Quran</v>
      </c>
      <c r="AP818" s="1" t="s">
        <v>13037</v>
      </c>
    </row>
    <row r="819">
      <c r="A819" s="6">
        <v>45135.2552215162</v>
      </c>
      <c r="B819" s="7" t="s">
        <v>13038</v>
      </c>
      <c r="C819" s="8" t="s">
        <v>13039</v>
      </c>
      <c r="D819" s="1" t="s">
        <v>13040</v>
      </c>
      <c r="E819" s="9" t="s">
        <v>13027</v>
      </c>
      <c r="F819" s="1" t="s">
        <v>13028</v>
      </c>
      <c r="G819" s="1" t="s">
        <v>13041</v>
      </c>
      <c r="H819" s="1" t="s">
        <v>6169</v>
      </c>
      <c r="I819" s="9" t="s">
        <v>13042</v>
      </c>
      <c r="J819" s="1" t="s">
        <v>407</v>
      </c>
      <c r="K819" s="1" t="s">
        <v>102</v>
      </c>
      <c r="L819" s="1" t="s">
        <v>103</v>
      </c>
      <c r="M819" s="1" t="s">
        <v>104</v>
      </c>
      <c r="N819" s="1" t="s">
        <v>3063</v>
      </c>
      <c r="O819" s="1" t="s">
        <v>312</v>
      </c>
      <c r="P819" s="1" t="s">
        <v>237</v>
      </c>
      <c r="Q819" s="1" t="s">
        <v>13032</v>
      </c>
      <c r="R819" s="1" t="s">
        <v>2355</v>
      </c>
      <c r="S819" s="1" t="s">
        <v>5399</v>
      </c>
      <c r="Z819" s="1" t="s">
        <v>13043</v>
      </c>
      <c r="AA819" s="10">
        <v>2700000.0</v>
      </c>
      <c r="AF819" s="10">
        <v>5000000.0</v>
      </c>
      <c r="AG819" s="1">
        <v>7.218421778E9</v>
      </c>
      <c r="AJ819" s="1">
        <v>150.0</v>
      </c>
      <c r="AK819" s="1">
        <v>69.0</v>
      </c>
      <c r="AL819" s="1" t="s">
        <v>13034</v>
      </c>
      <c r="AM819" s="1" t="s">
        <v>13044</v>
      </c>
      <c r="AN819" s="7" t="s">
        <v>13045</v>
      </c>
      <c r="AO819" s="8" t="str">
        <f>HYPERLINK("https://docs.google.com/document/d/1-mA2VMoxSTjQMZmF4mG44ZuFlFkZk3e47RqtJOdktjg/edit?usp=drivesdk","Al-Wildan 4 Lebak Bulus_Fadhilah Nurzahira, S. Pd_AL QURAN")</f>
        <v>Al-Wildan 4 Lebak Bulus_Fadhilah Nurzahira, S. Pd_AL QURAN</v>
      </c>
      <c r="AP819" s="1" t="s">
        <v>13046</v>
      </c>
    </row>
    <row r="820">
      <c r="A820" s="6">
        <v>45135.32811166666</v>
      </c>
      <c r="B820" s="7" t="s">
        <v>13047</v>
      </c>
      <c r="C820" s="8" t="s">
        <v>13048</v>
      </c>
      <c r="D820" s="1" t="s">
        <v>13049</v>
      </c>
      <c r="E820" s="9" t="s">
        <v>13050</v>
      </c>
      <c r="F820" s="1" t="s">
        <v>13051</v>
      </c>
      <c r="G820" s="1" t="s">
        <v>13052</v>
      </c>
      <c r="H820" s="1" t="s">
        <v>169</v>
      </c>
      <c r="I820" s="9" t="s">
        <v>13053</v>
      </c>
      <c r="J820" s="1" t="s">
        <v>2385</v>
      </c>
      <c r="K820" s="1" t="s">
        <v>151</v>
      </c>
      <c r="L820" s="1" t="s">
        <v>103</v>
      </c>
      <c r="M820" s="1" t="s">
        <v>104</v>
      </c>
      <c r="N820" s="1" t="s">
        <v>9478</v>
      </c>
      <c r="O820" s="1" t="s">
        <v>312</v>
      </c>
      <c r="P820" s="1" t="s">
        <v>237</v>
      </c>
      <c r="Q820" s="1" t="s">
        <v>3379</v>
      </c>
      <c r="R820" s="1" t="s">
        <v>13054</v>
      </c>
      <c r="S820" s="1" t="s">
        <v>1060</v>
      </c>
      <c r="Z820" s="1" t="s">
        <v>13055</v>
      </c>
      <c r="AA820" s="10">
        <v>4400000.0</v>
      </c>
      <c r="AB820" s="1" t="s">
        <v>13056</v>
      </c>
      <c r="AC820" s="10">
        <v>5100000.0</v>
      </c>
      <c r="AF820" s="10">
        <v>8000000.0</v>
      </c>
      <c r="AH820" s="1">
        <v>1.410021490685E12</v>
      </c>
      <c r="AI820" s="1" t="s">
        <v>13057</v>
      </c>
      <c r="AJ820" s="1">
        <v>157.0</v>
      </c>
      <c r="AK820" s="1">
        <v>53.0</v>
      </c>
      <c r="AL820" s="1" t="s">
        <v>13058</v>
      </c>
      <c r="AM820" s="1" t="s">
        <v>13059</v>
      </c>
      <c r="AN820" s="7" t="s">
        <v>13060</v>
      </c>
      <c r="AO820" s="8" t="str">
        <f>HYPERLINK("https://docs.google.com/document/d/1WLkmUtEm43zMU4ws2bJQzRw1Q5G7ZuM-y6c0QiT_b1w/edit?usp=drivesdk","Al-Wildan 4 Lebak Bulus_Winny Tri Kurnia Sari, S. Pd._Mathematics")</f>
        <v>Al-Wildan 4 Lebak Bulus_Winny Tri Kurnia Sari, S. Pd._Mathematics</v>
      </c>
      <c r="AP820" s="1" t="s">
        <v>13061</v>
      </c>
    </row>
    <row r="821">
      <c r="A821" s="6">
        <v>45135.49567293981</v>
      </c>
      <c r="B821" s="7" t="s">
        <v>13062</v>
      </c>
      <c r="C821" s="8" t="s">
        <v>13063</v>
      </c>
      <c r="D821" s="1" t="s">
        <v>13064</v>
      </c>
      <c r="E821" s="9" t="s">
        <v>13065</v>
      </c>
      <c r="F821" s="1" t="s">
        <v>13066</v>
      </c>
      <c r="G821" s="1" t="s">
        <v>13067</v>
      </c>
      <c r="H821" s="1" t="s">
        <v>13068</v>
      </c>
      <c r="I821" s="9" t="s">
        <v>13069</v>
      </c>
      <c r="J821" s="1" t="s">
        <v>13070</v>
      </c>
      <c r="K821" s="1" t="s">
        <v>102</v>
      </c>
      <c r="L821" s="1" t="s">
        <v>103</v>
      </c>
      <c r="M821" s="1" t="s">
        <v>13071</v>
      </c>
      <c r="O821" s="1" t="s">
        <v>10069</v>
      </c>
      <c r="P821" s="1" t="s">
        <v>7991</v>
      </c>
      <c r="Q821" s="1" t="s">
        <v>13072</v>
      </c>
      <c r="R821" s="1" t="s">
        <v>13073</v>
      </c>
      <c r="S821" s="1" t="s">
        <v>1084</v>
      </c>
      <c r="T821" s="1" t="s">
        <v>13074</v>
      </c>
      <c r="U821" s="1" t="s">
        <v>13075</v>
      </c>
      <c r="V821" s="1" t="s">
        <v>6303</v>
      </c>
      <c r="Z821" s="1" t="s">
        <v>13076</v>
      </c>
      <c r="AA821" s="10">
        <v>4500000.0</v>
      </c>
      <c r="AF821" s="10">
        <v>4500000.0</v>
      </c>
      <c r="AG821" s="1">
        <v>7.240946488E9</v>
      </c>
      <c r="AI821" s="1" t="s">
        <v>5113</v>
      </c>
      <c r="AJ821" s="1">
        <v>160.0</v>
      </c>
      <c r="AK821" s="1">
        <v>73.0</v>
      </c>
      <c r="AL821" s="1" t="s">
        <v>13077</v>
      </c>
      <c r="AM821" s="1" t="s">
        <v>13078</v>
      </c>
      <c r="AN821" s="7" t="s">
        <v>13079</v>
      </c>
      <c r="AO821" s="8" t="str">
        <f>HYPERLINK("https://docs.google.com/document/d/18IEwTsinRN2M84HIXJUYVLc0zU2RjcPrBaG0hm8uPWo/edit?usp=drivesdk","Al-Wildan 12 Bulak Kapal, Bekasi_SAFPARUDIN, S.Pd.I. M.Pd_")</f>
        <v>Al-Wildan 12 Bulak Kapal, Bekasi_SAFPARUDIN, S.Pd.I. M.Pd_</v>
      </c>
      <c r="AP821" s="1" t="s">
        <v>13080</v>
      </c>
    </row>
    <row r="822">
      <c r="A822" s="6">
        <v>45135.57677221065</v>
      </c>
      <c r="B822" s="7" t="s">
        <v>13081</v>
      </c>
      <c r="C822" s="8" t="s">
        <v>13082</v>
      </c>
      <c r="D822" s="1" t="s">
        <v>13083</v>
      </c>
      <c r="E822" s="9" t="s">
        <v>13084</v>
      </c>
      <c r="F822" s="1" t="s">
        <v>13085</v>
      </c>
      <c r="G822" s="1" t="s">
        <v>13086</v>
      </c>
      <c r="H822" s="1" t="s">
        <v>685</v>
      </c>
      <c r="I822" s="9" t="s">
        <v>13087</v>
      </c>
      <c r="J822" s="1" t="s">
        <v>986</v>
      </c>
      <c r="K822" s="1" t="s">
        <v>151</v>
      </c>
      <c r="L822" s="1" t="s">
        <v>103</v>
      </c>
      <c r="M822" s="1" t="s">
        <v>104</v>
      </c>
      <c r="N822" s="1" t="s">
        <v>1634</v>
      </c>
      <c r="O822" s="1" t="s">
        <v>9794</v>
      </c>
      <c r="P822" s="1" t="s">
        <v>11207</v>
      </c>
      <c r="Q822" s="1" t="s">
        <v>668</v>
      </c>
      <c r="R822" s="1" t="s">
        <v>13088</v>
      </c>
      <c r="S822" s="1">
        <v>4.56</v>
      </c>
      <c r="Z822" s="1" t="s">
        <v>13089</v>
      </c>
      <c r="AA822" s="10">
        <v>900000.0</v>
      </c>
      <c r="AB822" s="1" t="s">
        <v>13090</v>
      </c>
      <c r="AC822" s="10">
        <v>2800000.0</v>
      </c>
      <c r="AF822" s="10">
        <v>8000000.0</v>
      </c>
      <c r="AG822" s="1">
        <v>1.109052788E9</v>
      </c>
      <c r="AJ822" s="1">
        <v>169.0</v>
      </c>
      <c r="AK822" s="1">
        <v>63.0</v>
      </c>
      <c r="AL822" s="1" t="s">
        <v>13091</v>
      </c>
      <c r="AM822" s="1" t="s">
        <v>13092</v>
      </c>
      <c r="AN822" s="7" t="s">
        <v>13093</v>
      </c>
      <c r="AO822" s="8" t="str">
        <f>HYPERLINK("https://docs.google.com/document/d/1xreK3Iq7jtp6qubFEmPxsdYK7dtQ4kzpQSFeM0k1Rjc/edit?usp=drivesdk","Al-Wildan 16 Ciledug_Fuad Said Karamah Balweel B.A_Diniyah")</f>
        <v>Al-Wildan 16 Ciledug_Fuad Said Karamah Balweel B.A_Diniyah</v>
      </c>
      <c r="AP822" s="1" t="s">
        <v>13094</v>
      </c>
    </row>
    <row r="823">
      <c r="A823" s="6">
        <v>45136.32407423611</v>
      </c>
      <c r="B823" s="7" t="s">
        <v>13095</v>
      </c>
      <c r="C823" s="8" t="s">
        <v>13096</v>
      </c>
      <c r="D823" s="1" t="s">
        <v>13097</v>
      </c>
      <c r="E823" s="9" t="s">
        <v>13098</v>
      </c>
      <c r="F823" s="1" t="s">
        <v>13099</v>
      </c>
      <c r="G823" s="1" t="s">
        <v>13100</v>
      </c>
      <c r="H823" s="1" t="s">
        <v>3580</v>
      </c>
      <c r="I823" s="9" t="s">
        <v>13101</v>
      </c>
      <c r="J823" s="1" t="s">
        <v>13102</v>
      </c>
      <c r="K823" s="1" t="s">
        <v>151</v>
      </c>
      <c r="L823" s="1" t="s">
        <v>256</v>
      </c>
      <c r="M823" s="1" t="s">
        <v>104</v>
      </c>
      <c r="N823" s="1" t="s">
        <v>12951</v>
      </c>
      <c r="O823" s="1" t="s">
        <v>312</v>
      </c>
      <c r="P823" s="1" t="s">
        <v>6533</v>
      </c>
      <c r="Q823" s="1" t="s">
        <v>3379</v>
      </c>
      <c r="R823" s="1" t="s">
        <v>13103</v>
      </c>
      <c r="S823" s="1" t="s">
        <v>5523</v>
      </c>
      <c r="Z823" s="1" t="s">
        <v>13104</v>
      </c>
      <c r="AA823" s="10">
        <v>4500000.0</v>
      </c>
      <c r="AF823" s="10">
        <v>8500000.0</v>
      </c>
      <c r="AH823" s="1">
        <v>3.18501039199532E14</v>
      </c>
      <c r="AI823" s="1" t="s">
        <v>2407</v>
      </c>
      <c r="AJ823" s="1">
        <v>160.0</v>
      </c>
      <c r="AK823" s="1">
        <v>56.0</v>
      </c>
      <c r="AL823" s="1" t="s">
        <v>13105</v>
      </c>
      <c r="AM823" s="1" t="s">
        <v>13106</v>
      </c>
      <c r="AN823" s="7" t="s">
        <v>13107</v>
      </c>
      <c r="AO823" s="8" t="str">
        <f>HYPERLINK("https://docs.google.com/document/d/167fqkLwb9iKdQxMB3KwQ2WXsjlqUBRh49Gd8QPFYe3o/edit?usp=drivesdk","Al-Wildan 5 Benhil_Mohamad Haris Khunaifi, S.Pd._Math, English, Science")</f>
        <v>Al-Wildan 5 Benhil_Mohamad Haris Khunaifi, S.Pd._Math, English, Science</v>
      </c>
      <c r="AP823" s="1" t="s">
        <v>13108</v>
      </c>
    </row>
    <row r="824">
      <c r="A824" s="6">
        <v>45136.818942557875</v>
      </c>
      <c r="B824" s="7" t="s">
        <v>13109</v>
      </c>
      <c r="C824" s="8" t="s">
        <v>13110</v>
      </c>
      <c r="D824" s="1" t="s">
        <v>13111</v>
      </c>
      <c r="E824" s="9" t="s">
        <v>13112</v>
      </c>
      <c r="F824" s="1" t="s">
        <v>13113</v>
      </c>
      <c r="G824" s="1" t="s">
        <v>13114</v>
      </c>
      <c r="H824" s="1" t="s">
        <v>169</v>
      </c>
      <c r="I824" s="9" t="s">
        <v>13115</v>
      </c>
      <c r="J824" s="1" t="s">
        <v>3942</v>
      </c>
      <c r="K824" s="1" t="s">
        <v>151</v>
      </c>
      <c r="L824" s="1" t="s">
        <v>827</v>
      </c>
      <c r="M824" s="1" t="s">
        <v>104</v>
      </c>
      <c r="N824" s="1" t="s">
        <v>552</v>
      </c>
      <c r="O824" s="1" t="s">
        <v>236</v>
      </c>
      <c r="P824" s="1" t="s">
        <v>11207</v>
      </c>
      <c r="Q824" s="1" t="s">
        <v>3409</v>
      </c>
      <c r="R824" s="1" t="s">
        <v>410</v>
      </c>
      <c r="S824" s="1" t="s">
        <v>2369</v>
      </c>
      <c r="AF824" s="10">
        <v>5000000.0</v>
      </c>
      <c r="AG824" s="1">
        <v>7.111690458E9</v>
      </c>
      <c r="AJ824" s="1">
        <v>162.0</v>
      </c>
      <c r="AK824" s="1">
        <v>43.0</v>
      </c>
      <c r="AL824" s="1" t="s">
        <v>13116</v>
      </c>
      <c r="AM824" s="1" t="s">
        <v>13117</v>
      </c>
      <c r="AN824" s="7" t="s">
        <v>13118</v>
      </c>
      <c r="AO824" s="8" t="str">
        <f>HYPERLINK("https://docs.google.com/document/d/112alOKmfeIFpd8OCuESxMda4507ZY5a_WSfuRRAexug/edit?usp=drivesdk","Al-Wildan 16 Ciledug_Ainun Mardiah, S.Pd._Fisika")</f>
        <v>Al-Wildan 16 Ciledug_Ainun Mardiah, S.Pd._Fisika</v>
      </c>
      <c r="AP824" s="1" t="s">
        <v>13119</v>
      </c>
    </row>
    <row r="825">
      <c r="A825" s="6">
        <v>45138.273369953706</v>
      </c>
      <c r="B825" s="7" t="s">
        <v>13120</v>
      </c>
      <c r="C825" s="8" t="s">
        <v>13121</v>
      </c>
      <c r="D825" s="1" t="s">
        <v>13122</v>
      </c>
      <c r="E825" s="9" t="s">
        <v>13123</v>
      </c>
      <c r="F825" s="1" t="s">
        <v>13124</v>
      </c>
      <c r="G825" s="1" t="s">
        <v>13125</v>
      </c>
      <c r="H825" s="1" t="s">
        <v>13126</v>
      </c>
      <c r="I825" s="9" t="s">
        <v>13127</v>
      </c>
      <c r="J825" s="1" t="s">
        <v>7921</v>
      </c>
      <c r="K825" s="1" t="s">
        <v>102</v>
      </c>
      <c r="L825" s="1" t="s">
        <v>310</v>
      </c>
      <c r="M825" s="1" t="s">
        <v>104</v>
      </c>
      <c r="N825" s="1" t="s">
        <v>12836</v>
      </c>
      <c r="O825" s="1" t="s">
        <v>106</v>
      </c>
      <c r="P825" s="1" t="s">
        <v>5712</v>
      </c>
      <c r="Z825" s="1" t="s">
        <v>13128</v>
      </c>
      <c r="AA825" s="10">
        <v>5725000.0</v>
      </c>
      <c r="AB825" s="1" t="s">
        <v>13129</v>
      </c>
      <c r="AC825" s="10">
        <v>1.2E7</v>
      </c>
      <c r="AD825" s="1" t="s">
        <v>13130</v>
      </c>
      <c r="AE825" s="10">
        <v>3550000.0</v>
      </c>
      <c r="AF825" s="10">
        <v>5000000.0</v>
      </c>
      <c r="AG825" s="1">
        <v>1.041174931E9</v>
      </c>
      <c r="AI825" s="1" t="s">
        <v>5113</v>
      </c>
      <c r="AJ825" s="1">
        <v>162.0</v>
      </c>
      <c r="AK825" s="1">
        <v>84.0</v>
      </c>
      <c r="AL825" s="1" t="s">
        <v>13131</v>
      </c>
      <c r="AM825" s="1" t="s">
        <v>13132</v>
      </c>
      <c r="AN825" s="7" t="s">
        <v>13133</v>
      </c>
      <c r="AO825" s="8" t="str">
        <f>HYPERLINK("https://docs.google.com/document/d/1cxHqZ30MYheBHSLd2HgNZm-lUN52HBpIVTsQ3_daQLw/edit?usp=drivesdk","Al-Wildan 3 BSD City_Riono (Muhammad Ridho)_Al - Qur'an")</f>
        <v>Al-Wildan 3 BSD City_Riono (Muhammad Ridho)_Al - Qur'an</v>
      </c>
      <c r="AP825" s="1" t="s">
        <v>13134</v>
      </c>
    </row>
    <row r="826">
      <c r="A826" s="6">
        <v>45138.64554894676</v>
      </c>
      <c r="B826" s="7" t="s">
        <v>13135</v>
      </c>
      <c r="C826" s="8" t="s">
        <v>13136</v>
      </c>
      <c r="D826" s="1" t="s">
        <v>13137</v>
      </c>
      <c r="E826" s="9" t="s">
        <v>13138</v>
      </c>
      <c r="F826" s="1" t="s">
        <v>13139</v>
      </c>
      <c r="G826" s="1" t="s">
        <v>13140</v>
      </c>
      <c r="H826" s="1" t="s">
        <v>1868</v>
      </c>
      <c r="I826" s="9" t="s">
        <v>13141</v>
      </c>
      <c r="J826" s="1" t="s">
        <v>13142</v>
      </c>
      <c r="K826" s="1" t="s">
        <v>102</v>
      </c>
      <c r="L826" s="1" t="s">
        <v>103</v>
      </c>
      <c r="M826" s="1" t="s">
        <v>104</v>
      </c>
      <c r="N826" s="1" t="s">
        <v>152</v>
      </c>
      <c r="O826" s="1" t="s">
        <v>127</v>
      </c>
      <c r="P826" s="1" t="s">
        <v>5712</v>
      </c>
      <c r="Q826" s="1" t="s">
        <v>13143</v>
      </c>
      <c r="R826" s="1" t="s">
        <v>172</v>
      </c>
      <c r="S826" s="1" t="s">
        <v>2032</v>
      </c>
      <c r="T826" s="1" t="s">
        <v>13144</v>
      </c>
      <c r="U826" s="1" t="s">
        <v>172</v>
      </c>
      <c r="V826" s="1" t="s">
        <v>277</v>
      </c>
      <c r="Z826" s="1" t="s">
        <v>13145</v>
      </c>
      <c r="AA826" s="10">
        <v>2000000.0</v>
      </c>
      <c r="AB826" s="1" t="s">
        <v>13146</v>
      </c>
      <c r="AC826" s="10">
        <v>3500000.0</v>
      </c>
      <c r="AF826" s="10">
        <v>4500000.0</v>
      </c>
      <c r="AG826" s="1">
        <v>7.210318482E9</v>
      </c>
      <c r="AH826" s="1">
        <v>1.316925874E9</v>
      </c>
      <c r="AI826" s="1" t="s">
        <v>13147</v>
      </c>
      <c r="AJ826" s="1">
        <v>178.0</v>
      </c>
      <c r="AK826" s="1">
        <v>68.0</v>
      </c>
      <c r="AL826" s="1" t="s">
        <v>13148</v>
      </c>
      <c r="AM826" s="1" t="s">
        <v>13149</v>
      </c>
      <c r="AN826" s="7" t="s">
        <v>13150</v>
      </c>
      <c r="AO826" s="8" t="str">
        <f>HYPERLINK("https://docs.google.com/document/d/1tRRCxnV_13P3JOl8QZJ1oYkkzOqPGOQLCoOzCGhBiGQ/edit?usp=drivesdk","Al-Wildan 3 BSD City_Nur Mahmudi, M.Pd. _Bahasa Inggris")</f>
        <v>Al-Wildan 3 BSD City_Nur Mahmudi, M.Pd. _Bahasa Inggris</v>
      </c>
      <c r="AP826" s="1" t="s">
        <v>13151</v>
      </c>
    </row>
    <row r="827">
      <c r="A827" s="6">
        <v>45138.68291998842</v>
      </c>
      <c r="B827" s="7" t="s">
        <v>13152</v>
      </c>
      <c r="C827" s="8" t="s">
        <v>13153</v>
      </c>
      <c r="D827" s="1" t="s">
        <v>13154</v>
      </c>
      <c r="E827" s="9" t="s">
        <v>13065</v>
      </c>
      <c r="F827" s="1" t="s">
        <v>13066</v>
      </c>
      <c r="G827" s="1" t="s">
        <v>13155</v>
      </c>
      <c r="H827" s="1" t="s">
        <v>13156</v>
      </c>
      <c r="I827" s="9" t="s">
        <v>13069</v>
      </c>
      <c r="J827" s="1" t="s">
        <v>13157</v>
      </c>
      <c r="K827" s="1" t="s">
        <v>102</v>
      </c>
      <c r="L827" s="1" t="s">
        <v>103</v>
      </c>
      <c r="M827" s="1" t="s">
        <v>13071</v>
      </c>
      <c r="O827" s="1" t="s">
        <v>9794</v>
      </c>
      <c r="P827" s="1" t="s">
        <v>7991</v>
      </c>
      <c r="Q827" s="1" t="s">
        <v>13158</v>
      </c>
      <c r="R827" s="1" t="s">
        <v>13159</v>
      </c>
      <c r="S827" s="1" t="s">
        <v>1084</v>
      </c>
      <c r="T827" s="1" t="s">
        <v>13160</v>
      </c>
      <c r="U827" s="1" t="s">
        <v>13161</v>
      </c>
      <c r="V827" s="1" t="s">
        <v>6303</v>
      </c>
      <c r="Z827" s="1" t="s">
        <v>13162</v>
      </c>
      <c r="AA827" s="10">
        <v>4500000.0</v>
      </c>
      <c r="AF827" s="10">
        <v>5000000.0</v>
      </c>
      <c r="AG827" s="1">
        <v>7.240946488E9</v>
      </c>
      <c r="AI827" s="1" t="s">
        <v>5113</v>
      </c>
      <c r="AJ827" s="1">
        <v>160.0</v>
      </c>
      <c r="AK827" s="1">
        <v>75.0</v>
      </c>
      <c r="AL827" s="1" t="s">
        <v>13077</v>
      </c>
      <c r="AM827" s="1" t="s">
        <v>13163</v>
      </c>
      <c r="AN827" s="7" t="s">
        <v>13164</v>
      </c>
      <c r="AO827" s="8" t="str">
        <f>HYPERLINK("https://docs.google.com/document/d/1JUNmryJDirmJ_Y16rEsV6uGZMM4m16JeG9G1ACyeMEM/edit?usp=drivesdk","Al-Wildan 12 Bulak Kapal, Bekasi_SAFPARUDIN, S.Pd.I.M.Pd_")</f>
        <v>Al-Wildan 12 Bulak Kapal, Bekasi_SAFPARUDIN, S.Pd.I.M.Pd_</v>
      </c>
      <c r="AP827" s="1" t="s">
        <v>13165</v>
      </c>
    </row>
    <row r="828">
      <c r="A828" s="6">
        <v>45139.01695034722</v>
      </c>
      <c r="B828" s="7" t="s">
        <v>13166</v>
      </c>
      <c r="C828" s="8" t="s">
        <v>13167</v>
      </c>
      <c r="D828" s="1" t="s">
        <v>13168</v>
      </c>
      <c r="E828" s="9" t="s">
        <v>13169</v>
      </c>
      <c r="F828" s="1" t="s">
        <v>13170</v>
      </c>
      <c r="G828" s="1" t="s">
        <v>13171</v>
      </c>
      <c r="H828" s="1" t="s">
        <v>768</v>
      </c>
      <c r="I828" s="9" t="s">
        <v>13172</v>
      </c>
      <c r="J828" s="1" t="s">
        <v>13173</v>
      </c>
      <c r="K828" s="1" t="s">
        <v>151</v>
      </c>
      <c r="L828" s="1" t="s">
        <v>310</v>
      </c>
      <c r="M828" s="1" t="s">
        <v>8033</v>
      </c>
      <c r="O828" s="1" t="s">
        <v>10069</v>
      </c>
      <c r="P828" s="1" t="s">
        <v>237</v>
      </c>
      <c r="Q828" s="1" t="s">
        <v>13174</v>
      </c>
      <c r="R828" s="1" t="s">
        <v>6153</v>
      </c>
      <c r="S828" s="1" t="s">
        <v>9214</v>
      </c>
      <c r="Z828" s="1" t="s">
        <v>13175</v>
      </c>
      <c r="AA828" s="10">
        <v>7000000.0</v>
      </c>
      <c r="AF828" s="10">
        <v>1.0E7</v>
      </c>
      <c r="AG828" s="1">
        <v>7.239916109E9</v>
      </c>
      <c r="AJ828" s="1">
        <v>160.0</v>
      </c>
      <c r="AK828" s="1">
        <v>55.0</v>
      </c>
      <c r="AL828" s="1" t="s">
        <v>13176</v>
      </c>
      <c r="AM828" s="1" t="s">
        <v>13177</v>
      </c>
      <c r="AN828" s="7" t="s">
        <v>13178</v>
      </c>
      <c r="AO828" s="8" t="str">
        <f>HYPERLINK("https://docs.google.com/document/d/1hrE12iceKG5PsfzwYMn0AJOXPntM47fF7NATrdYhmCo/edit?usp=drivesdk","Al-Wildan 4 Lebak Bulus_IRA IKA YANTI, SE_")</f>
        <v>Al-Wildan 4 Lebak Bulus_IRA IKA YANTI, SE_</v>
      </c>
      <c r="AP828" s="1" t="s">
        <v>13179</v>
      </c>
    </row>
    <row r="829">
      <c r="A829" s="6">
        <v>45139.529660381944</v>
      </c>
      <c r="B829" s="7" t="s">
        <v>13180</v>
      </c>
      <c r="C829" s="8" t="s">
        <v>13181</v>
      </c>
      <c r="D829" s="1" t="s">
        <v>13182</v>
      </c>
      <c r="E829" s="9" t="s">
        <v>13183</v>
      </c>
      <c r="F829" s="1" t="s">
        <v>13184</v>
      </c>
      <c r="G829" s="1" t="s">
        <v>13185</v>
      </c>
      <c r="H829" s="1" t="s">
        <v>169</v>
      </c>
      <c r="I829" s="9" t="s">
        <v>13186</v>
      </c>
      <c r="J829" s="1" t="s">
        <v>1327</v>
      </c>
      <c r="K829" s="1" t="s">
        <v>102</v>
      </c>
      <c r="L829" s="1" t="s">
        <v>103</v>
      </c>
      <c r="M829" s="1" t="s">
        <v>5671</v>
      </c>
      <c r="O829" s="1" t="s">
        <v>127</v>
      </c>
      <c r="P829" s="1" t="s">
        <v>5712</v>
      </c>
      <c r="Q829" s="1" t="s">
        <v>13187</v>
      </c>
      <c r="R829" s="1" t="s">
        <v>2355</v>
      </c>
      <c r="S829" s="1" t="s">
        <v>9882</v>
      </c>
      <c r="Z829" s="1" t="s">
        <v>13188</v>
      </c>
      <c r="AA829" s="10">
        <v>500000.0</v>
      </c>
      <c r="AB829" s="1" t="s">
        <v>13189</v>
      </c>
      <c r="AC829" s="10">
        <v>2000000.0</v>
      </c>
      <c r="AD829" s="1" t="s">
        <v>13190</v>
      </c>
      <c r="AE829" s="10">
        <v>300000.0</v>
      </c>
      <c r="AF829" s="10">
        <v>5000000.0</v>
      </c>
      <c r="AG829" s="1">
        <v>7.134158039E9</v>
      </c>
      <c r="AJ829" s="1">
        <v>185.0</v>
      </c>
      <c r="AK829" s="1">
        <v>60.0</v>
      </c>
      <c r="AL829" s="1" t="s">
        <v>13191</v>
      </c>
      <c r="AM829" s="1" t="s">
        <v>13192</v>
      </c>
      <c r="AN829" s="7" t="s">
        <v>13193</v>
      </c>
      <c r="AO829" s="8" t="str">
        <f>HYPERLINK("https://docs.google.com/document/d/1CjhuvMaYETTnFIPi_XXUqYTW3QNkTiCQ4Zs7Uwdyu00/edit?usp=drivesdk","Al-Wildan 3 BSD City_Mohamad Mustofainal Akhyar_")</f>
        <v>Al-Wildan 3 BSD City_Mohamad Mustofainal Akhyar_</v>
      </c>
      <c r="AP829" s="1" t="s">
        <v>13194</v>
      </c>
    </row>
    <row r="830">
      <c r="A830" s="6">
        <v>45139.55905174768</v>
      </c>
      <c r="B830" s="7" t="s">
        <v>13195</v>
      </c>
      <c r="C830" s="8" t="s">
        <v>13196</v>
      </c>
      <c r="D830" s="1" t="s">
        <v>13197</v>
      </c>
      <c r="E830" s="9" t="s">
        <v>13198</v>
      </c>
      <c r="F830" s="1" t="s">
        <v>13199</v>
      </c>
      <c r="G830" s="1" t="s">
        <v>13200</v>
      </c>
      <c r="H830" s="1" t="s">
        <v>13201</v>
      </c>
      <c r="I830" s="9" t="s">
        <v>13202</v>
      </c>
      <c r="J830" s="1" t="s">
        <v>13203</v>
      </c>
      <c r="K830" s="1" t="s">
        <v>151</v>
      </c>
      <c r="L830" s="1" t="s">
        <v>103</v>
      </c>
      <c r="M830" s="1" t="s">
        <v>13204</v>
      </c>
      <c r="O830" s="1" t="s">
        <v>236</v>
      </c>
      <c r="P830" s="1" t="s">
        <v>6044</v>
      </c>
      <c r="Z830" s="1" t="s">
        <v>13205</v>
      </c>
      <c r="AA830" s="10">
        <v>4200000.0</v>
      </c>
      <c r="AB830" s="1" t="s">
        <v>13206</v>
      </c>
      <c r="AC830" s="10">
        <v>3200000.0</v>
      </c>
      <c r="AF830" s="1" t="s">
        <v>13207</v>
      </c>
      <c r="AH830" s="1">
        <v>7.6070101298053E14</v>
      </c>
      <c r="AI830" s="1" t="s">
        <v>13208</v>
      </c>
      <c r="AJ830" s="1">
        <v>153.0</v>
      </c>
      <c r="AK830" s="1">
        <v>50.0</v>
      </c>
      <c r="AL830" s="1" t="s">
        <v>13209</v>
      </c>
      <c r="AM830" s="1" t="s">
        <v>13210</v>
      </c>
      <c r="AN830" s="7" t="s">
        <v>13211</v>
      </c>
      <c r="AO830" s="8" t="str">
        <f>HYPERLINK("https://docs.google.com/document/d/1jgL_etAHkiW_9d4SEGC3EJiOO2TYE_kB_DW3bCc3TjM/edit?usp=drivesdk","Al-Wildan Holding_Reni heriyanti_")</f>
        <v>Al-Wildan Holding_Reni heriyanti_</v>
      </c>
      <c r="AP830" s="1" t="s">
        <v>13212</v>
      </c>
    </row>
    <row r="831">
      <c r="A831" s="6">
        <v>45139.75202958334</v>
      </c>
      <c r="B831" s="7" t="s">
        <v>13213</v>
      </c>
      <c r="C831" s="8" t="s">
        <v>13214</v>
      </c>
      <c r="D831" s="1" t="s">
        <v>13215</v>
      </c>
      <c r="E831" s="9" t="s">
        <v>13216</v>
      </c>
      <c r="F831" s="1" t="s">
        <v>13217</v>
      </c>
      <c r="G831" s="1" t="s">
        <v>13218</v>
      </c>
      <c r="H831" s="1" t="s">
        <v>13219</v>
      </c>
      <c r="I831" s="9" t="s">
        <v>13220</v>
      </c>
      <c r="J831" s="1">
        <v>25.0</v>
      </c>
      <c r="K831" s="1" t="s">
        <v>151</v>
      </c>
      <c r="L831" s="1" t="s">
        <v>329</v>
      </c>
      <c r="M831" s="1" t="s">
        <v>104</v>
      </c>
      <c r="N831" s="1" t="s">
        <v>3171</v>
      </c>
      <c r="O831" s="1" t="s">
        <v>312</v>
      </c>
      <c r="P831" s="1" t="s">
        <v>6091</v>
      </c>
      <c r="Q831" s="1" t="s">
        <v>13221</v>
      </c>
      <c r="R831" s="1" t="s">
        <v>13222</v>
      </c>
      <c r="S831" s="1">
        <v>3.95</v>
      </c>
      <c r="Z831" s="1" t="s">
        <v>13223</v>
      </c>
      <c r="AA831" s="10">
        <v>3000000.0</v>
      </c>
      <c r="AB831" s="1" t="s">
        <v>13224</v>
      </c>
      <c r="AF831" s="10">
        <v>2500000.0</v>
      </c>
      <c r="AH831" s="9" t="s">
        <v>13225</v>
      </c>
      <c r="AI831" s="1" t="s">
        <v>159</v>
      </c>
      <c r="AJ831" s="1">
        <v>162.0</v>
      </c>
      <c r="AK831" s="1">
        <v>65.0</v>
      </c>
      <c r="AL831" s="1" t="s">
        <v>13226</v>
      </c>
      <c r="AM831" s="1" t="s">
        <v>13227</v>
      </c>
      <c r="AN831" s="7" t="s">
        <v>13228</v>
      </c>
      <c r="AO831" s="8" t="str">
        <f>HYPERLINK("https://docs.google.com/document/d/1OAha69eQEbQ5VRrV67H0C4EyUK-w0EicQ7wp6Q7Kb0Q/edit?usp=drivesdk","Al-Wildan 10 Cipinang, Jakarta Timur_Muhammad Dahyal Afkar _Al Qur'an ")</f>
        <v>Al-Wildan 10 Cipinang, Jakarta Timur_Muhammad Dahyal Afkar _Al Qur'an </v>
      </c>
      <c r="AP831" s="1" t="s">
        <v>13229</v>
      </c>
    </row>
    <row r="832">
      <c r="A832" s="6">
        <v>45139.78167702546</v>
      </c>
      <c r="B832" s="7" t="s">
        <v>13230</v>
      </c>
      <c r="C832" s="8" t="s">
        <v>13231</v>
      </c>
      <c r="D832" s="1" t="s">
        <v>13232</v>
      </c>
      <c r="E832" s="9" t="s">
        <v>13233</v>
      </c>
      <c r="F832" s="1" t="s">
        <v>13234</v>
      </c>
      <c r="G832" s="1" t="s">
        <v>13235</v>
      </c>
      <c r="H832" s="1" t="s">
        <v>13236</v>
      </c>
      <c r="I832" s="9" t="s">
        <v>13237</v>
      </c>
      <c r="J832" s="1">
        <v>25.0</v>
      </c>
      <c r="K832" s="1" t="s">
        <v>102</v>
      </c>
      <c r="L832" s="1" t="s">
        <v>103</v>
      </c>
      <c r="M832" s="1" t="s">
        <v>104</v>
      </c>
      <c r="N832" s="1" t="s">
        <v>311</v>
      </c>
      <c r="O832" s="1" t="s">
        <v>312</v>
      </c>
      <c r="P832" s="1" t="s">
        <v>6091</v>
      </c>
      <c r="R832" s="1" t="s">
        <v>1562</v>
      </c>
      <c r="Z832" s="1" t="s">
        <v>13238</v>
      </c>
      <c r="AB832" s="1" t="s">
        <v>13239</v>
      </c>
      <c r="AF832" s="10">
        <v>2500000.0</v>
      </c>
      <c r="AG832" s="1">
        <v>7.232547272E9</v>
      </c>
      <c r="AI832" s="1" t="s">
        <v>13240</v>
      </c>
      <c r="AJ832" s="1">
        <v>158.0</v>
      </c>
      <c r="AK832" s="1">
        <v>59.0</v>
      </c>
      <c r="AL832" s="1" t="s">
        <v>13241</v>
      </c>
      <c r="AM832" s="1" t="s">
        <v>13242</v>
      </c>
      <c r="AN832" s="7" t="s">
        <v>13243</v>
      </c>
      <c r="AO832" s="8" t="str">
        <f>HYPERLINK("https://docs.google.com/document/d/1je33Igcm-I5ptswmQ4CCze2wm9_guJ4s9VUpSF8jzXc/edit?usp=drivesdk","Al-Wildan 10 Cipinang, Jakarta Timur_Nanda Ayu hidayati_Al Qur'an")</f>
        <v>Al-Wildan 10 Cipinang, Jakarta Timur_Nanda Ayu hidayati_Al Qur'an</v>
      </c>
      <c r="AP832" s="1" t="s">
        <v>13244</v>
      </c>
    </row>
    <row r="833">
      <c r="A833" s="6">
        <v>45139.7960030324</v>
      </c>
      <c r="B833" s="7" t="s">
        <v>13245</v>
      </c>
      <c r="C833" s="8" t="s">
        <v>13246</v>
      </c>
      <c r="D833" s="1" t="s">
        <v>13247</v>
      </c>
      <c r="E833" s="9" t="s">
        <v>13248</v>
      </c>
      <c r="F833" s="1" t="s">
        <v>13249</v>
      </c>
      <c r="G833" s="1" t="s">
        <v>6779</v>
      </c>
      <c r="H833" s="1" t="s">
        <v>4556</v>
      </c>
      <c r="I833" s="9" t="s">
        <v>1326</v>
      </c>
      <c r="J833" s="1" t="s">
        <v>13250</v>
      </c>
      <c r="K833" s="1" t="s">
        <v>151</v>
      </c>
      <c r="L833" s="1" t="s">
        <v>329</v>
      </c>
      <c r="M833" s="1" t="s">
        <v>104</v>
      </c>
      <c r="N833" s="1" t="s">
        <v>13251</v>
      </c>
      <c r="O833" s="1" t="s">
        <v>106</v>
      </c>
      <c r="P833" s="1" t="s">
        <v>6091</v>
      </c>
      <c r="Q833" s="1" t="s">
        <v>13252</v>
      </c>
      <c r="R833" s="1" t="s">
        <v>2584</v>
      </c>
      <c r="S833" s="1" t="s">
        <v>5523</v>
      </c>
      <c r="Z833" s="1" t="s">
        <v>13253</v>
      </c>
      <c r="AA833" s="10">
        <v>1.2E7</v>
      </c>
      <c r="AB833" s="1" t="s">
        <v>9141</v>
      </c>
      <c r="AC833" s="10">
        <v>1500000.0</v>
      </c>
      <c r="AH833" s="9" t="s">
        <v>13254</v>
      </c>
      <c r="AI833" s="1" t="s">
        <v>159</v>
      </c>
      <c r="AJ833" s="1">
        <v>155.0</v>
      </c>
      <c r="AK833" s="1">
        <v>47.0</v>
      </c>
      <c r="AL833" s="1" t="s">
        <v>13255</v>
      </c>
      <c r="AM833" s="1" t="s">
        <v>13256</v>
      </c>
      <c r="AN833" s="7" t="s">
        <v>13257</v>
      </c>
      <c r="AO833" s="8" t="str">
        <f>HYPERLINK("https://docs.google.com/document/d/1sz_yZf5JPc2tMQyIuWhbPH0wA1SlbPX1_HgorUKg_RA/edit?usp=drivesdk","Al-Wildan 10 Cipinang, Jakarta Timur_Rina Risnawati S.Pd., MCE_Guru bahasa Inggris ")</f>
        <v>Al-Wildan 10 Cipinang, Jakarta Timur_Rina Risnawati S.Pd., MCE_Guru bahasa Inggris </v>
      </c>
      <c r="AP833" s="1" t="s">
        <v>13258</v>
      </c>
    </row>
    <row r="834">
      <c r="A834" s="6">
        <v>45140.35098511574</v>
      </c>
      <c r="B834" s="7" t="s">
        <v>13259</v>
      </c>
      <c r="C834" s="8" t="s">
        <v>13260</v>
      </c>
      <c r="D834" s="1" t="s">
        <v>13261</v>
      </c>
      <c r="E834" s="1" t="s">
        <v>12230</v>
      </c>
      <c r="F834" s="1" t="s">
        <v>12231</v>
      </c>
      <c r="G834" s="1" t="s">
        <v>13262</v>
      </c>
      <c r="H834" s="1" t="s">
        <v>722</v>
      </c>
      <c r="I834" s="9" t="s">
        <v>12232</v>
      </c>
      <c r="J834" s="1" t="s">
        <v>7711</v>
      </c>
      <c r="K834" s="1" t="s">
        <v>151</v>
      </c>
      <c r="L834" s="1" t="s">
        <v>329</v>
      </c>
      <c r="M834" s="1" t="s">
        <v>104</v>
      </c>
      <c r="N834" s="1" t="s">
        <v>13263</v>
      </c>
      <c r="O834" s="1" t="s">
        <v>9794</v>
      </c>
      <c r="P834" s="1" t="s">
        <v>6091</v>
      </c>
      <c r="R834" s="1" t="s">
        <v>13264</v>
      </c>
      <c r="S834" s="1" t="s">
        <v>13265</v>
      </c>
      <c r="Z834" s="1" t="s">
        <v>13266</v>
      </c>
      <c r="AG834" s="1">
        <v>4.29269295E9</v>
      </c>
      <c r="AJ834" s="1">
        <v>144.0</v>
      </c>
      <c r="AK834" s="1">
        <v>33.0</v>
      </c>
      <c r="AL834" s="1" t="s">
        <v>12238</v>
      </c>
      <c r="AM834" s="1" t="s">
        <v>13267</v>
      </c>
      <c r="AN834" s="7" t="s">
        <v>13268</v>
      </c>
      <c r="AO834" s="8" t="str">
        <f>HYPERLINK("https://docs.google.com/document/d/16NiqrgbfvoA0wTmm-fso8WqT1ARvxqLm6rXC4XKmzvM/edit?usp=drivesdk","Al-Wildan 10 Cipinang, Jakarta Timur_Aidah Fauziah, B.A_Bahasa Arab, Fikih, PE")</f>
        <v>Al-Wildan 10 Cipinang, Jakarta Timur_Aidah Fauziah, B.A_Bahasa Arab, Fikih, PE</v>
      </c>
      <c r="AP834" s="1" t="s">
        <v>13269</v>
      </c>
    </row>
    <row r="835">
      <c r="A835" s="6">
        <v>45141.702278819444</v>
      </c>
      <c r="B835" s="7" t="s">
        <v>13270</v>
      </c>
      <c r="C835" s="8" t="s">
        <v>13271</v>
      </c>
      <c r="D835" s="1" t="s">
        <v>13272</v>
      </c>
      <c r="E835" s="9" t="s">
        <v>13273</v>
      </c>
      <c r="F835" s="1" t="s">
        <v>13274</v>
      </c>
      <c r="G835" s="1" t="s">
        <v>13275</v>
      </c>
      <c r="H835" s="1" t="s">
        <v>169</v>
      </c>
      <c r="I835" s="9" t="s">
        <v>13276</v>
      </c>
      <c r="J835" s="1" t="s">
        <v>13277</v>
      </c>
      <c r="K835" s="1" t="s">
        <v>151</v>
      </c>
      <c r="L835" s="1" t="s">
        <v>827</v>
      </c>
      <c r="M835" s="1" t="s">
        <v>104</v>
      </c>
      <c r="N835" s="1" t="s">
        <v>2197</v>
      </c>
      <c r="O835" s="1" t="s">
        <v>312</v>
      </c>
      <c r="P835" s="1" t="s">
        <v>6091</v>
      </c>
      <c r="Q835" s="1" t="s">
        <v>217</v>
      </c>
      <c r="R835" s="1" t="s">
        <v>217</v>
      </c>
      <c r="S835" s="1" t="s">
        <v>217</v>
      </c>
      <c r="T835" s="1" t="s">
        <v>217</v>
      </c>
      <c r="U835" s="1" t="s">
        <v>217</v>
      </c>
      <c r="V835" s="1" t="s">
        <v>217</v>
      </c>
      <c r="W835" s="1" t="s">
        <v>217</v>
      </c>
      <c r="X835" s="1" t="s">
        <v>217</v>
      </c>
      <c r="Y835" s="1">
        <v>0.0</v>
      </c>
      <c r="Z835" s="1" t="s">
        <v>13278</v>
      </c>
      <c r="AA835" s="1" t="s">
        <v>217</v>
      </c>
      <c r="AB835" s="1" t="s">
        <v>217</v>
      </c>
      <c r="AC835" s="1" t="s">
        <v>217</v>
      </c>
      <c r="AD835" s="1" t="s">
        <v>217</v>
      </c>
      <c r="AE835" s="1" t="s">
        <v>217</v>
      </c>
      <c r="AF835" s="1" t="s">
        <v>217</v>
      </c>
      <c r="AG835" s="1">
        <v>7.229022487E9</v>
      </c>
      <c r="AH835" s="1">
        <v>0.0</v>
      </c>
      <c r="AI835" s="1" t="s">
        <v>5113</v>
      </c>
      <c r="AJ835" s="1">
        <v>165.0</v>
      </c>
      <c r="AK835" s="1">
        <v>64.0</v>
      </c>
      <c r="AL835" s="1" t="s">
        <v>13279</v>
      </c>
      <c r="AM835" s="1" t="s">
        <v>13280</v>
      </c>
      <c r="AN835" s="7" t="s">
        <v>13281</v>
      </c>
      <c r="AO835" s="8" t="str">
        <f>HYPERLINK("https://docs.google.com/document/d/1EnkgDG_ZsFH-70knanzGCgU2c0ryR7viqbVvxm9GRpU/edit?usp=drivesdk","Al-Wildan 10 Cipinang, Jakarta Timur_Shinta Julia Winata_Al-Qur'an")</f>
        <v>Al-Wildan 10 Cipinang, Jakarta Timur_Shinta Julia Winata_Al-Qur'an</v>
      </c>
      <c r="AP835" s="1" t="s">
        <v>13282</v>
      </c>
    </row>
    <row r="836">
      <c r="A836" s="6">
        <v>45142.592880752316</v>
      </c>
      <c r="B836" s="7" t="s">
        <v>13283</v>
      </c>
      <c r="C836" s="8" t="s">
        <v>13284</v>
      </c>
      <c r="D836" s="1" t="s">
        <v>13285</v>
      </c>
      <c r="E836" s="9" t="s">
        <v>13286</v>
      </c>
      <c r="F836" s="1" t="s">
        <v>13287</v>
      </c>
      <c r="G836" s="1" t="s">
        <v>13288</v>
      </c>
      <c r="H836" s="1" t="s">
        <v>288</v>
      </c>
      <c r="I836" s="9" t="s">
        <v>13289</v>
      </c>
      <c r="J836" s="1" t="s">
        <v>13290</v>
      </c>
      <c r="K836" s="1" t="s">
        <v>102</v>
      </c>
      <c r="L836" s="1" t="s">
        <v>103</v>
      </c>
      <c r="M836" s="1" t="s">
        <v>104</v>
      </c>
      <c r="N836" s="1" t="s">
        <v>594</v>
      </c>
      <c r="O836" s="1" t="s">
        <v>106</v>
      </c>
      <c r="P836" s="1" t="s">
        <v>5712</v>
      </c>
      <c r="Q836" s="1" t="s">
        <v>13291</v>
      </c>
      <c r="R836" s="1" t="s">
        <v>5612</v>
      </c>
      <c r="S836" s="1">
        <v>3.53</v>
      </c>
      <c r="Z836" s="1" t="s">
        <v>13292</v>
      </c>
      <c r="AA836" s="10">
        <v>7000000.0</v>
      </c>
      <c r="AB836" s="1" t="s">
        <v>13293</v>
      </c>
      <c r="AC836" s="10">
        <v>6000000.0</v>
      </c>
      <c r="AF836" s="10">
        <v>8000000.0</v>
      </c>
      <c r="AG836" s="1">
        <v>1.054511198E9</v>
      </c>
      <c r="AH836" s="1">
        <v>1.44676672E9</v>
      </c>
      <c r="AI836" s="1" t="s">
        <v>9002</v>
      </c>
      <c r="AJ836" s="1">
        <v>168.0</v>
      </c>
      <c r="AK836" s="1">
        <v>60.0</v>
      </c>
      <c r="AL836" s="1" t="s">
        <v>13294</v>
      </c>
      <c r="AM836" s="1" t="s">
        <v>13295</v>
      </c>
      <c r="AN836" s="7" t="s">
        <v>13296</v>
      </c>
      <c r="AO836" s="8" t="str">
        <f>HYPERLINK("https://docs.google.com/document/d/1wkQpwBbDiUl9IIa9xk_N5QoLKO6ameUNB76WEpW3aZU/edit?usp=drivesdk","Al-Wildan 3 BSD City_MUHAMAD NOVARI S.S._Bahasa inggris")</f>
        <v>Al-Wildan 3 BSD City_MUHAMAD NOVARI S.S._Bahasa inggris</v>
      </c>
      <c r="AP836" s="1" t="s">
        <v>13297</v>
      </c>
    </row>
    <row r="837">
      <c r="A837" s="6">
        <v>45145.332744837964</v>
      </c>
      <c r="B837" s="7" t="s">
        <v>13298</v>
      </c>
      <c r="C837" s="8" t="s">
        <v>13299</v>
      </c>
      <c r="D837" s="1" t="s">
        <v>13300</v>
      </c>
      <c r="E837" s="9" t="s">
        <v>13301</v>
      </c>
      <c r="F837" s="1" t="s">
        <v>13302</v>
      </c>
      <c r="G837" s="1" t="s">
        <v>13303</v>
      </c>
      <c r="H837" s="1" t="s">
        <v>99</v>
      </c>
      <c r="I837" s="9" t="s">
        <v>13304</v>
      </c>
      <c r="J837" s="1" t="s">
        <v>7322</v>
      </c>
      <c r="K837" s="1" t="s">
        <v>151</v>
      </c>
      <c r="L837" s="1" t="s">
        <v>256</v>
      </c>
      <c r="M837" s="1" t="s">
        <v>104</v>
      </c>
      <c r="N837" s="1" t="s">
        <v>439</v>
      </c>
      <c r="O837" s="1" t="s">
        <v>236</v>
      </c>
      <c r="P837" s="1" t="s">
        <v>237</v>
      </c>
      <c r="Q837" s="1" t="s">
        <v>5589</v>
      </c>
      <c r="R837" s="1" t="s">
        <v>13305</v>
      </c>
      <c r="S837" s="1">
        <v>3.65</v>
      </c>
      <c r="Z837" s="1" t="s">
        <v>13306</v>
      </c>
      <c r="AA837" s="10">
        <v>3000000.0</v>
      </c>
      <c r="AB837" s="1" t="s">
        <v>13307</v>
      </c>
      <c r="AC837" s="10">
        <v>6000000.0</v>
      </c>
      <c r="AD837" s="1" t="s">
        <v>13308</v>
      </c>
      <c r="AE837" s="10">
        <v>1100000.0</v>
      </c>
      <c r="AF837" s="1" t="s">
        <v>13309</v>
      </c>
      <c r="AH837" s="1">
        <v>7.125135609E9</v>
      </c>
      <c r="AI837" s="1" t="s">
        <v>222</v>
      </c>
      <c r="AJ837" s="1">
        <v>159.0</v>
      </c>
      <c r="AK837" s="1">
        <v>67.0</v>
      </c>
      <c r="AL837" s="1" t="s">
        <v>13310</v>
      </c>
      <c r="AM837" s="1" t="s">
        <v>13311</v>
      </c>
      <c r="AN837" s="7" t="s">
        <v>13312</v>
      </c>
      <c r="AO837" s="8" t="str">
        <f>HYPERLINK("https://docs.google.com/document/d/176pQZ13L1i9v7oOFwPjNuaDV7tbE3qD-EcQfINTidBM/edit?usp=drivesdk","Al-Wildan 4 Lebak Bulus_Rizky Dita Sari, S. Sos_Sosiologi")</f>
        <v>Al-Wildan 4 Lebak Bulus_Rizky Dita Sari, S. Sos_Sosiologi</v>
      </c>
      <c r="AP837" s="1" t="s">
        <v>13313</v>
      </c>
    </row>
    <row r="838">
      <c r="A838" s="6">
        <v>45145.67628532407</v>
      </c>
      <c r="B838" s="7" t="s">
        <v>13314</v>
      </c>
      <c r="C838" s="8" t="s">
        <v>13315</v>
      </c>
      <c r="D838" s="1" t="s">
        <v>13316</v>
      </c>
      <c r="E838" s="9" t="s">
        <v>13317</v>
      </c>
      <c r="F838" s="1" t="s">
        <v>13318</v>
      </c>
      <c r="G838" s="1" t="s">
        <v>13319</v>
      </c>
      <c r="H838" s="1" t="s">
        <v>13320</v>
      </c>
      <c r="I838" s="9" t="s">
        <v>13321</v>
      </c>
      <c r="J838" s="1" t="s">
        <v>2460</v>
      </c>
      <c r="K838" s="1" t="s">
        <v>151</v>
      </c>
      <c r="L838" s="1" t="s">
        <v>256</v>
      </c>
      <c r="M838" s="1" t="s">
        <v>104</v>
      </c>
      <c r="N838" s="1" t="s">
        <v>552</v>
      </c>
      <c r="O838" s="1" t="s">
        <v>127</v>
      </c>
      <c r="P838" s="1" t="s">
        <v>237</v>
      </c>
      <c r="Q838" s="1" t="s">
        <v>13322</v>
      </c>
      <c r="R838" s="1" t="s">
        <v>552</v>
      </c>
      <c r="S838" s="1" t="s">
        <v>1087</v>
      </c>
      <c r="T838" s="1" t="s">
        <v>13323</v>
      </c>
      <c r="U838" s="1" t="s">
        <v>552</v>
      </c>
      <c r="V838" s="1" t="s">
        <v>4462</v>
      </c>
      <c r="Z838" s="1" t="s">
        <v>13324</v>
      </c>
      <c r="AA838" s="10">
        <v>3000000.0</v>
      </c>
      <c r="AF838" s="10">
        <v>1.0E7</v>
      </c>
      <c r="AG838" s="1">
        <v>7.242077312E9</v>
      </c>
      <c r="AI838" s="1" t="s">
        <v>8719</v>
      </c>
      <c r="AJ838" s="1">
        <v>148.0</v>
      </c>
      <c r="AK838" s="1">
        <v>47.0</v>
      </c>
      <c r="AL838" s="1" t="s">
        <v>13325</v>
      </c>
      <c r="AM838" s="1" t="s">
        <v>13326</v>
      </c>
      <c r="AN838" s="7" t="s">
        <v>13327</v>
      </c>
      <c r="AO838" s="8" t="str">
        <f>HYPERLINK("https://docs.google.com/document/d/11iilfTwyNj0iAlLKH2PvlLt0YHAPnkgYsrEZCLLr2WY/edit?usp=drivesdk","Al-Wildan 4 Lebak Bulus_Fifi karnila M.Sc_Fisika")</f>
        <v>Al-Wildan 4 Lebak Bulus_Fifi karnila M.Sc_Fisika</v>
      </c>
      <c r="AP838" s="1" t="s">
        <v>13328</v>
      </c>
    </row>
    <row r="839">
      <c r="A839" s="6">
        <v>45146.82009368055</v>
      </c>
      <c r="B839" s="7" t="s">
        <v>13329</v>
      </c>
      <c r="C839" s="8" t="s">
        <v>13330</v>
      </c>
      <c r="D839" s="1" t="s">
        <v>13331</v>
      </c>
      <c r="E839" s="9" t="s">
        <v>13332</v>
      </c>
      <c r="F839" s="1" t="s">
        <v>13333</v>
      </c>
      <c r="G839" s="1" t="s">
        <v>13334</v>
      </c>
      <c r="H839" s="1" t="s">
        <v>13335</v>
      </c>
      <c r="I839" s="9" t="s">
        <v>13336</v>
      </c>
      <c r="J839" s="1" t="s">
        <v>13337</v>
      </c>
      <c r="K839" s="1" t="s">
        <v>102</v>
      </c>
      <c r="L839" s="1" t="s">
        <v>827</v>
      </c>
      <c r="M839" s="1" t="s">
        <v>13338</v>
      </c>
      <c r="O839" s="1" t="s">
        <v>236</v>
      </c>
      <c r="P839" s="1" t="s">
        <v>11207</v>
      </c>
      <c r="Q839" s="1" t="s">
        <v>236</v>
      </c>
      <c r="R839" s="1" t="s">
        <v>236</v>
      </c>
      <c r="T839" s="1" t="s">
        <v>236</v>
      </c>
      <c r="U839" s="1" t="s">
        <v>13339</v>
      </c>
      <c r="V839" s="1" t="s">
        <v>13339</v>
      </c>
      <c r="W839" s="1" t="s">
        <v>236</v>
      </c>
      <c r="X839" s="1" t="s">
        <v>13339</v>
      </c>
      <c r="Y839" s="1">
        <v>123.0</v>
      </c>
      <c r="Z839" s="1" t="s">
        <v>13340</v>
      </c>
      <c r="AA839" s="1">
        <v>2700000.0</v>
      </c>
      <c r="AB839" s="1" t="s">
        <v>13340</v>
      </c>
      <c r="AC839" s="1">
        <v>2700000.0</v>
      </c>
      <c r="AD839" s="1" t="s">
        <v>13340</v>
      </c>
      <c r="AE839" s="1">
        <v>2700000.0</v>
      </c>
      <c r="AH839" s="1">
        <v>8.670691455E9</v>
      </c>
      <c r="AI839" s="1" t="s">
        <v>222</v>
      </c>
      <c r="AJ839" s="1">
        <v>150.0</v>
      </c>
      <c r="AK839" s="1">
        <v>49.0</v>
      </c>
      <c r="AL839" s="1" t="s">
        <v>13341</v>
      </c>
      <c r="AM839" s="1" t="s">
        <v>13342</v>
      </c>
      <c r="AN839" s="7" t="s">
        <v>13343</v>
      </c>
      <c r="AO839" s="8" t="str">
        <f>HYPERLINK("https://docs.google.com/document/d/1EQacX7RIZmDjDblYemIs-y7vbcqNdXr22aUOKvSPrbs/edit?usp=drivesdk","Al-Wildan 16 Ciledug_Nurmi azijah _")</f>
        <v>Al-Wildan 16 Ciledug_Nurmi azijah _</v>
      </c>
      <c r="AP839" s="1" t="s">
        <v>13344</v>
      </c>
    </row>
    <row r="840">
      <c r="A840" s="6">
        <v>45150.62924835648</v>
      </c>
      <c r="B840" s="7" t="s">
        <v>13345</v>
      </c>
      <c r="C840" s="8" t="s">
        <v>13346</v>
      </c>
      <c r="D840" s="1" t="s">
        <v>13347</v>
      </c>
      <c r="E840" s="9" t="s">
        <v>13348</v>
      </c>
      <c r="F840" s="1" t="s">
        <v>13349</v>
      </c>
      <c r="G840" s="1" t="s">
        <v>5158</v>
      </c>
      <c r="H840" s="1" t="s">
        <v>327</v>
      </c>
      <c r="I840" s="9" t="s">
        <v>13350</v>
      </c>
      <c r="J840" s="1" t="s">
        <v>407</v>
      </c>
      <c r="K840" s="1" t="s">
        <v>102</v>
      </c>
      <c r="L840" s="1" t="s">
        <v>103</v>
      </c>
      <c r="M840" s="1" t="s">
        <v>104</v>
      </c>
      <c r="N840" s="1" t="s">
        <v>2616</v>
      </c>
      <c r="O840" s="1" t="s">
        <v>127</v>
      </c>
      <c r="P840" s="1" t="s">
        <v>11168</v>
      </c>
      <c r="Q840" s="1" t="s">
        <v>13351</v>
      </c>
      <c r="R840" s="1" t="s">
        <v>13352</v>
      </c>
      <c r="S840" s="1" t="s">
        <v>1997</v>
      </c>
      <c r="Z840" s="1" t="s">
        <v>13353</v>
      </c>
      <c r="AA840" s="10">
        <v>2500000.0</v>
      </c>
      <c r="AF840" s="1" t="s">
        <v>13354</v>
      </c>
      <c r="AG840" s="1">
        <v>5.53741552E9</v>
      </c>
      <c r="AI840" s="1" t="s">
        <v>5113</v>
      </c>
      <c r="AJ840" s="1">
        <v>165.0</v>
      </c>
      <c r="AK840" s="1">
        <v>55.0</v>
      </c>
      <c r="AL840" s="1" t="s">
        <v>13355</v>
      </c>
      <c r="AM840" s="1" t="s">
        <v>13356</v>
      </c>
      <c r="AN840" s="7" t="s">
        <v>13357</v>
      </c>
      <c r="AO840" s="8" t="str">
        <f>HYPERLINK("https://docs.google.com/document/d/1gZuzPAkEGhT-rfDUv9Jy7TAszdWR-3ZDpK-RZak7gzE/edit?usp=drivesdk","Al-Wildan 8 Parung_Muslimin S.Pd_Dinniyah")</f>
        <v>Al-Wildan 8 Parung_Muslimin S.Pd_Dinniyah</v>
      </c>
      <c r="AP840" s="1" t="s">
        <v>13358</v>
      </c>
    </row>
    <row r="841">
      <c r="A841" s="6">
        <v>45153.8526672338</v>
      </c>
      <c r="B841" s="7" t="s">
        <v>13359</v>
      </c>
      <c r="C841" s="8" t="s">
        <v>13360</v>
      </c>
      <c r="D841" s="1" t="s">
        <v>13361</v>
      </c>
      <c r="E841" s="9" t="s">
        <v>13362</v>
      </c>
      <c r="F841" s="1" t="s">
        <v>13363</v>
      </c>
      <c r="G841" s="1" t="s">
        <v>13364</v>
      </c>
      <c r="H841" s="1" t="s">
        <v>5344</v>
      </c>
      <c r="I841" s="9" t="s">
        <v>13365</v>
      </c>
      <c r="J841" s="1" t="s">
        <v>7766</v>
      </c>
      <c r="K841" s="1" t="s">
        <v>151</v>
      </c>
      <c r="L841" s="1" t="s">
        <v>256</v>
      </c>
      <c r="M841" s="1" t="s">
        <v>104</v>
      </c>
      <c r="N841" s="1" t="s">
        <v>928</v>
      </c>
      <c r="O841" s="1" t="s">
        <v>312</v>
      </c>
      <c r="P841" s="1" t="s">
        <v>6533</v>
      </c>
      <c r="Q841" s="1" t="s">
        <v>3379</v>
      </c>
      <c r="R841" s="1" t="s">
        <v>130</v>
      </c>
      <c r="S841" s="1" t="s">
        <v>8998</v>
      </c>
      <c r="Z841" s="1" t="s">
        <v>13366</v>
      </c>
      <c r="AA841" s="10">
        <v>4500000.0</v>
      </c>
      <c r="AF841" s="10">
        <v>7000000.0</v>
      </c>
      <c r="AH841" s="1">
        <v>2.251080447E9</v>
      </c>
      <c r="AI841" s="1" t="s">
        <v>222</v>
      </c>
      <c r="AJ841" s="1">
        <v>150.0</v>
      </c>
      <c r="AK841" s="1">
        <v>45.0</v>
      </c>
      <c r="AL841" s="1" t="s">
        <v>13367</v>
      </c>
      <c r="AM841" s="1" t="s">
        <v>13368</v>
      </c>
      <c r="AN841" s="7" t="s">
        <v>13369</v>
      </c>
      <c r="AO841" s="8" t="str">
        <f>HYPERLINK("https://docs.google.com/document/d/1UXIUUbro526UhP8ijyNZ26IXBwA3j3WppSCoSP6e0wQ/edit?usp=drivesdk","Al-Wildan 5 Benhil_Bella Anggraini Novitasari, S.Pd_Math English Science")</f>
        <v>Al-Wildan 5 Benhil_Bella Anggraini Novitasari, S.Pd_Math English Science</v>
      </c>
      <c r="AP841" s="1" t="s">
        <v>13370</v>
      </c>
    </row>
    <row r="842">
      <c r="A842" s="6">
        <v>45153.870985393514</v>
      </c>
      <c r="B842" s="7" t="s">
        <v>13371</v>
      </c>
      <c r="C842" s="8" t="s">
        <v>13372</v>
      </c>
      <c r="D842" s="1" t="s">
        <v>13373</v>
      </c>
      <c r="E842" s="9" t="s">
        <v>13374</v>
      </c>
      <c r="F842" s="1" t="s">
        <v>13375</v>
      </c>
      <c r="G842" s="1" t="s">
        <v>13376</v>
      </c>
      <c r="H842" s="1" t="s">
        <v>13377</v>
      </c>
      <c r="I842" s="9" t="s">
        <v>13378</v>
      </c>
      <c r="J842" s="1" t="s">
        <v>13379</v>
      </c>
      <c r="K842" s="1" t="s">
        <v>151</v>
      </c>
      <c r="L842" s="1" t="s">
        <v>496</v>
      </c>
      <c r="M842" s="1" t="s">
        <v>104</v>
      </c>
      <c r="N842" s="1" t="s">
        <v>152</v>
      </c>
      <c r="O842" s="1" t="s">
        <v>236</v>
      </c>
      <c r="P842" s="1" t="s">
        <v>7162</v>
      </c>
      <c r="Q842" s="1" t="s">
        <v>6045</v>
      </c>
      <c r="R842" s="1" t="s">
        <v>5612</v>
      </c>
      <c r="S842" s="1" t="s">
        <v>1522</v>
      </c>
      <c r="AF842" s="10">
        <v>4300000.0</v>
      </c>
      <c r="AH842" s="1">
        <v>8.585187212E9</v>
      </c>
      <c r="AI842" s="1" t="s">
        <v>222</v>
      </c>
      <c r="AJ842" s="1">
        <v>165.0</v>
      </c>
      <c r="AK842" s="1">
        <v>71.0</v>
      </c>
      <c r="AL842" s="1" t="s">
        <v>13380</v>
      </c>
      <c r="AM842" s="1" t="s">
        <v>13381</v>
      </c>
      <c r="AN842" s="7" t="s">
        <v>13382</v>
      </c>
      <c r="AO842" s="8" t="str">
        <f>HYPERLINK("https://docs.google.com/document/d/11YPzT6zjfZBCIX6PhGqfdtGluD-0UaGTCy8h1QYak4w/edit?usp=drivesdk","Al-Wildan 7 Serang_Evan Fahlevi EJ, S.S._Bahasa Inggris")</f>
        <v>Al-Wildan 7 Serang_Evan Fahlevi EJ, S.S._Bahasa Inggris</v>
      </c>
      <c r="AP842" s="1" t="s">
        <v>13383</v>
      </c>
    </row>
    <row r="843">
      <c r="A843" s="6">
        <v>45156.55671431713</v>
      </c>
      <c r="B843" s="7" t="s">
        <v>13384</v>
      </c>
      <c r="C843" s="8" t="s">
        <v>13385</v>
      </c>
      <c r="D843" s="1" t="s">
        <v>13386</v>
      </c>
      <c r="E843" s="9" t="s">
        <v>13387</v>
      </c>
      <c r="F843" s="1" t="s">
        <v>13388</v>
      </c>
      <c r="G843" s="1" t="s">
        <v>9167</v>
      </c>
      <c r="H843" s="1" t="s">
        <v>9167</v>
      </c>
      <c r="I843" s="9" t="s">
        <v>13389</v>
      </c>
      <c r="J843" s="1">
        <v>19.0</v>
      </c>
      <c r="K843" s="1" t="s">
        <v>151</v>
      </c>
      <c r="L843" s="1" t="s">
        <v>103</v>
      </c>
      <c r="M843" s="1" t="s">
        <v>13204</v>
      </c>
      <c r="O843" s="1" t="s">
        <v>236</v>
      </c>
      <c r="P843" s="1" t="s">
        <v>107</v>
      </c>
      <c r="Q843" s="1" t="s">
        <v>13390</v>
      </c>
      <c r="T843" s="1" t="s">
        <v>13391</v>
      </c>
      <c r="AA843" s="1" t="s">
        <v>13392</v>
      </c>
      <c r="AB843" s="1" t="s">
        <v>13393</v>
      </c>
      <c r="AD843" s="1" t="s">
        <v>13394</v>
      </c>
      <c r="AJ843" s="1">
        <v>155.0</v>
      </c>
      <c r="AK843" s="1">
        <v>47.0</v>
      </c>
      <c r="AL843" s="1" t="s">
        <v>13395</v>
      </c>
      <c r="AM843" s="1" t="s">
        <v>13396</v>
      </c>
      <c r="AN843" s="7" t="s">
        <v>13397</v>
      </c>
      <c r="AO843" s="8" t="str">
        <f>HYPERLINK("https://docs.google.com/document/d/1qSy-TL3gEsunqXJ0ej_sJx34dBpTWNy215pPlWZ61uM/edit?usp=drivesdk","Al-Wildan 1 Gading Serpong_Putri Yulita sari_")</f>
        <v>Al-Wildan 1 Gading Serpong_Putri Yulita sari_</v>
      </c>
      <c r="AP843" s="1" t="s">
        <v>13398</v>
      </c>
    </row>
    <row r="844">
      <c r="A844" s="6">
        <v>45156.83607696759</v>
      </c>
      <c r="B844" s="7" t="s">
        <v>13399</v>
      </c>
      <c r="C844" s="8" t="s">
        <v>13400</v>
      </c>
      <c r="D844" s="1" t="s">
        <v>13401</v>
      </c>
      <c r="E844" s="9" t="s">
        <v>13402</v>
      </c>
      <c r="F844" s="1" t="s">
        <v>13403</v>
      </c>
      <c r="G844" s="1" t="s">
        <v>13404</v>
      </c>
      <c r="H844" s="1" t="s">
        <v>99</v>
      </c>
      <c r="I844" s="9" t="s">
        <v>13405</v>
      </c>
      <c r="J844" s="1">
        <v>18.0</v>
      </c>
      <c r="K844" s="1" t="s">
        <v>151</v>
      </c>
      <c r="L844" s="1" t="s">
        <v>827</v>
      </c>
      <c r="M844" s="1" t="s">
        <v>13204</v>
      </c>
      <c r="O844" s="1" t="s">
        <v>13406</v>
      </c>
      <c r="P844" s="1" t="s">
        <v>6044</v>
      </c>
      <c r="Q844" s="1" t="s">
        <v>13407</v>
      </c>
      <c r="R844" s="1" t="s">
        <v>13408</v>
      </c>
      <c r="Z844" s="1" t="s">
        <v>13409</v>
      </c>
      <c r="AA844" s="1" t="s">
        <v>13410</v>
      </c>
      <c r="AB844" s="1" t="s">
        <v>13410</v>
      </c>
      <c r="AC844" s="1" t="s">
        <v>13410</v>
      </c>
      <c r="AD844" s="1" t="s">
        <v>13410</v>
      </c>
      <c r="AE844" s="1">
        <v>0.0</v>
      </c>
      <c r="AF844" s="10">
        <v>5000000.0</v>
      </c>
      <c r="AG844" s="1">
        <v>0.0</v>
      </c>
      <c r="AH844" s="1">
        <v>0.0</v>
      </c>
      <c r="AI844" s="1" t="s">
        <v>13411</v>
      </c>
      <c r="AJ844" s="1">
        <v>1.0</v>
      </c>
      <c r="AK844" s="1">
        <v>46.0</v>
      </c>
      <c r="AL844" s="1" t="s">
        <v>13412</v>
      </c>
      <c r="AM844" s="1" t="s">
        <v>13413</v>
      </c>
      <c r="AN844" s="7" t="s">
        <v>13414</v>
      </c>
      <c r="AO844" s="8" t="str">
        <f>HYPERLINK("https://docs.google.com/document/d/1MfVkDaZFj8hOJL5pWhM0G7waPZUc0Xlabzkzu9tNZRg/edit?usp=drivesdk","Al-Wildan Holding_Rida Amela Azzahra_")</f>
        <v>Al-Wildan Holding_Rida Amela Azzahra_</v>
      </c>
      <c r="AP844" s="1" t="s">
        <v>13415</v>
      </c>
    </row>
    <row r="845">
      <c r="A845" s="6">
        <v>45168.54017068287</v>
      </c>
      <c r="B845" s="7" t="s">
        <v>13416</v>
      </c>
      <c r="C845" s="8" t="s">
        <v>13417</v>
      </c>
      <c r="D845" s="1" t="s">
        <v>13418</v>
      </c>
      <c r="E845" s="9" t="s">
        <v>13419</v>
      </c>
      <c r="F845" s="1" t="s">
        <v>13420</v>
      </c>
      <c r="G845" s="1" t="s">
        <v>13421</v>
      </c>
      <c r="H845" s="1" t="s">
        <v>169</v>
      </c>
      <c r="I845" s="9" t="s">
        <v>13422</v>
      </c>
      <c r="J845" s="1" t="s">
        <v>12233</v>
      </c>
      <c r="K845" s="1" t="s">
        <v>151</v>
      </c>
      <c r="L845" s="1" t="s">
        <v>256</v>
      </c>
      <c r="M845" s="1" t="s">
        <v>13423</v>
      </c>
      <c r="N845" s="1" t="s">
        <v>13424</v>
      </c>
      <c r="O845" s="1" t="s">
        <v>9794</v>
      </c>
      <c r="P845" s="1" t="s">
        <v>7162</v>
      </c>
      <c r="Q845" s="1" t="s">
        <v>13425</v>
      </c>
      <c r="R845" s="1" t="s">
        <v>1521</v>
      </c>
      <c r="S845" s="1" t="s">
        <v>1680</v>
      </c>
      <c r="T845" s="1" t="s">
        <v>153</v>
      </c>
      <c r="U845" s="1" t="s">
        <v>1521</v>
      </c>
      <c r="V845" s="1" t="s">
        <v>442</v>
      </c>
      <c r="Z845" s="1" t="s">
        <v>13426</v>
      </c>
      <c r="AA845" s="10">
        <v>5000000.0</v>
      </c>
      <c r="AB845" s="1" t="s">
        <v>13427</v>
      </c>
      <c r="AC845" s="1">
        <v>0.0</v>
      </c>
      <c r="AD845" s="1" t="s">
        <v>13428</v>
      </c>
      <c r="AE845" s="10">
        <v>3000000.0</v>
      </c>
      <c r="AF845" s="10">
        <v>5000000.0</v>
      </c>
      <c r="AH845" s="9" t="s">
        <v>13429</v>
      </c>
      <c r="AI845" s="1" t="s">
        <v>159</v>
      </c>
      <c r="AJ845" s="1">
        <v>155.0</v>
      </c>
      <c r="AK845" s="1">
        <v>44.0</v>
      </c>
      <c r="AL845" s="1" t="s">
        <v>13430</v>
      </c>
      <c r="AM845" s="1" t="s">
        <v>13431</v>
      </c>
      <c r="AN845" s="7" t="s">
        <v>13432</v>
      </c>
      <c r="AO845" s="8" t="str">
        <f>HYPERLINK("https://docs.google.com/document/d/17ibcAIC8dhgKPtPzpL-Y7EhcpUHNlcK-Sg6UmVNWTs8/edit?usp=drivesdk","Al-Wildan 7 Serang_Nur Faizah, M. Pd_Kimia/ IPA")</f>
        <v>Al-Wildan 7 Serang_Nur Faizah, M. Pd_Kimia/ IPA</v>
      </c>
      <c r="AP845" s="1" t="s">
        <v>13433</v>
      </c>
    </row>
    <row r="846">
      <c r="A846" s="6">
        <v>45180.52248189815</v>
      </c>
      <c r="B846" s="7" t="s">
        <v>13434</v>
      </c>
      <c r="C846" s="8" t="s">
        <v>13435</v>
      </c>
      <c r="D846" s="1" t="s">
        <v>13436</v>
      </c>
      <c r="E846" s="9" t="s">
        <v>13437</v>
      </c>
      <c r="F846" s="1" t="s">
        <v>13438</v>
      </c>
      <c r="G846" s="1" t="s">
        <v>13439</v>
      </c>
      <c r="H846" s="1" t="s">
        <v>13440</v>
      </c>
      <c r="I846" s="9" t="s">
        <v>13441</v>
      </c>
      <c r="J846" s="1" t="s">
        <v>13442</v>
      </c>
      <c r="K846" s="1" t="s">
        <v>151</v>
      </c>
      <c r="L846" s="1" t="s">
        <v>103</v>
      </c>
      <c r="M846" s="1" t="s">
        <v>104</v>
      </c>
      <c r="N846" s="1" t="s">
        <v>13443</v>
      </c>
      <c r="O846" s="1" t="s">
        <v>106</v>
      </c>
      <c r="P846" s="1" t="s">
        <v>237</v>
      </c>
      <c r="Q846" s="1" t="s">
        <v>13444</v>
      </c>
      <c r="R846" s="1" t="s">
        <v>130</v>
      </c>
      <c r="S846" s="1" t="s">
        <v>537</v>
      </c>
      <c r="Z846" s="1" t="s">
        <v>13445</v>
      </c>
      <c r="AA846" s="10">
        <v>1500000.0</v>
      </c>
      <c r="AF846" s="10">
        <v>5000000.0</v>
      </c>
      <c r="AH846" s="9" t="s">
        <v>13446</v>
      </c>
      <c r="AI846" s="1" t="s">
        <v>13447</v>
      </c>
      <c r="AJ846" s="1">
        <v>150.0</v>
      </c>
      <c r="AK846" s="1">
        <v>63.0</v>
      </c>
      <c r="AL846" s="1" t="s">
        <v>13448</v>
      </c>
      <c r="AM846" s="1" t="s">
        <v>13449</v>
      </c>
      <c r="AN846" s="7" t="s">
        <v>13450</v>
      </c>
      <c r="AO846" s="8" t="str">
        <f>HYPERLINK("https://docs.google.com/document/d/1LJd10H95hLY2j-2Y94gjgxSaYOqYuU80rTYRNtQuyxE/edit?usp=drivesdk","Al-Wildan 4 Lebak Bulus_Monika Eka Rizkya, S.Pd_Guru Matematika Cambridge")</f>
        <v>Al-Wildan 4 Lebak Bulus_Monika Eka Rizkya, S.Pd_Guru Matematika Cambridge</v>
      </c>
      <c r="AP846" s="1" t="s">
        <v>13451</v>
      </c>
    </row>
    <row r="847">
      <c r="A847" s="6">
        <v>45184.450144953706</v>
      </c>
      <c r="B847" s="7" t="s">
        <v>13452</v>
      </c>
      <c r="C847" s="8" t="s">
        <v>13453</v>
      </c>
      <c r="D847" s="1" t="s">
        <v>13454</v>
      </c>
      <c r="E847" s="9" t="s">
        <v>13455</v>
      </c>
      <c r="F847" s="1" t="s">
        <v>13456</v>
      </c>
      <c r="G847" s="1" t="s">
        <v>13457</v>
      </c>
      <c r="H847" s="1" t="s">
        <v>13458</v>
      </c>
      <c r="I847" s="9" t="s">
        <v>13459</v>
      </c>
      <c r="J847" s="1" t="s">
        <v>13460</v>
      </c>
      <c r="K847" s="1" t="s">
        <v>151</v>
      </c>
      <c r="L847" s="1" t="s">
        <v>103</v>
      </c>
      <c r="M847" s="1" t="s">
        <v>104</v>
      </c>
      <c r="N847" s="1" t="s">
        <v>2601</v>
      </c>
      <c r="O847" s="1" t="s">
        <v>312</v>
      </c>
      <c r="P847" s="1" t="s">
        <v>107</v>
      </c>
      <c r="Q847" s="1" t="s">
        <v>754</v>
      </c>
      <c r="R847" s="1" t="s">
        <v>968</v>
      </c>
      <c r="S847" s="1" t="s">
        <v>1524</v>
      </c>
      <c r="T847" s="1" t="s">
        <v>754</v>
      </c>
      <c r="U847" s="1" t="s">
        <v>6816</v>
      </c>
      <c r="V847" s="1" t="s">
        <v>6418</v>
      </c>
      <c r="Z847" s="1" t="s">
        <v>13461</v>
      </c>
      <c r="AA847" s="1" t="s">
        <v>13462</v>
      </c>
      <c r="AB847" s="1" t="s">
        <v>13463</v>
      </c>
      <c r="AC847" s="1" t="s">
        <v>13464</v>
      </c>
      <c r="AD847" s="1" t="s">
        <v>13465</v>
      </c>
      <c r="AE847" s="1" t="s">
        <v>13466</v>
      </c>
      <c r="AF847" s="1" t="s">
        <v>13466</v>
      </c>
      <c r="AG847" s="1">
        <v>1.054950213E9</v>
      </c>
      <c r="AJ847" s="1">
        <v>150.0</v>
      </c>
      <c r="AK847" s="1">
        <v>50.0</v>
      </c>
      <c r="AL847" s="1" t="s">
        <v>13467</v>
      </c>
      <c r="AM847" s="1" t="s">
        <v>13468</v>
      </c>
      <c r="AN847" s="7" t="s">
        <v>13469</v>
      </c>
      <c r="AO847" s="8" t="str">
        <f>HYPERLINK("https://docs.google.com/document/d/1YDpE79vgkAynA1Xu5VUzwsBoh0x83gZZEJwtgqXWWcU/edit?usp=drivesdk","Al-Wildan 1 Gading Serpong_Henik Nur Khofiyah, M.Pd_Math, Science, English")</f>
        <v>Al-Wildan 1 Gading Serpong_Henik Nur Khofiyah, M.Pd_Math, Science, English</v>
      </c>
      <c r="AP847" s="1" t="s">
        <v>13470</v>
      </c>
    </row>
    <row r="848">
      <c r="A848" s="6">
        <v>45184.596279942125</v>
      </c>
      <c r="B848" s="7" t="s">
        <v>13471</v>
      </c>
      <c r="C848" s="8" t="s">
        <v>13472</v>
      </c>
      <c r="D848" s="1" t="s">
        <v>13473</v>
      </c>
      <c r="E848" s="9" t="s">
        <v>13474</v>
      </c>
      <c r="F848" s="1" t="s">
        <v>13475</v>
      </c>
      <c r="G848" s="1" t="s">
        <v>13476</v>
      </c>
      <c r="H848" s="1" t="s">
        <v>169</v>
      </c>
      <c r="I848" s="9" t="s">
        <v>13477</v>
      </c>
      <c r="J848" s="1">
        <v>31.0</v>
      </c>
      <c r="K848" s="1" t="s">
        <v>102</v>
      </c>
      <c r="L848" s="1" t="s">
        <v>256</v>
      </c>
      <c r="M848" s="1" t="s">
        <v>424</v>
      </c>
      <c r="O848" s="1" t="s">
        <v>9794</v>
      </c>
      <c r="P848" s="1" t="s">
        <v>6091</v>
      </c>
      <c r="Q848" s="1" t="s">
        <v>5414</v>
      </c>
      <c r="R848" s="1" t="s">
        <v>1057</v>
      </c>
      <c r="S848" s="1" t="s">
        <v>4479</v>
      </c>
      <c r="Z848" s="1" t="s">
        <v>13478</v>
      </c>
      <c r="AA848" s="10">
        <v>9300000.0</v>
      </c>
      <c r="AF848" s="1" t="s">
        <v>13479</v>
      </c>
      <c r="AJ848" s="1">
        <v>158.0</v>
      </c>
      <c r="AK848" s="1">
        <v>66.0</v>
      </c>
      <c r="AL848" s="1" t="s">
        <v>13480</v>
      </c>
      <c r="AM848" s="1" t="s">
        <v>13481</v>
      </c>
      <c r="AN848" s="7" t="s">
        <v>13482</v>
      </c>
      <c r="AO848" s="8" t="str">
        <f>HYPERLINK("https://docs.google.com/document/d/17OfVDhDaCLkHQUHyULbbP4Bya5nwNw-9zDZ6GcmcKSE/edit?usp=drivesdk","Al-Wildan 10 Cipinang, Jakarta Timur_Chairunnisa erlan S.Psi_")</f>
        <v>Al-Wildan 10 Cipinang, Jakarta Timur_Chairunnisa erlan S.Psi_</v>
      </c>
      <c r="AP848" s="1" t="s">
        <v>13483</v>
      </c>
    </row>
    <row r="849">
      <c r="A849" s="6">
        <v>45186.474650856486</v>
      </c>
      <c r="B849" s="7" t="s">
        <v>13484</v>
      </c>
      <c r="C849" s="8" t="s">
        <v>13485</v>
      </c>
      <c r="D849" s="1" t="s">
        <v>13486</v>
      </c>
      <c r="E849" s="9" t="s">
        <v>13487</v>
      </c>
      <c r="F849" s="1" t="s">
        <v>13488</v>
      </c>
      <c r="G849" s="1" t="s">
        <v>13489</v>
      </c>
      <c r="H849" s="1" t="s">
        <v>2458</v>
      </c>
      <c r="I849" s="9" t="s">
        <v>13490</v>
      </c>
      <c r="J849" s="1" t="s">
        <v>13491</v>
      </c>
      <c r="K849" s="1" t="s">
        <v>151</v>
      </c>
      <c r="L849" s="1" t="s">
        <v>103</v>
      </c>
      <c r="M849" s="1" t="s">
        <v>5710</v>
      </c>
      <c r="O849" s="1" t="s">
        <v>5711</v>
      </c>
      <c r="P849" s="1" t="s">
        <v>6091</v>
      </c>
      <c r="Q849" s="1" t="s">
        <v>13492</v>
      </c>
      <c r="R849" s="1" t="s">
        <v>13493</v>
      </c>
      <c r="S849" s="1" t="s">
        <v>5590</v>
      </c>
      <c r="Z849" s="1" t="s">
        <v>13494</v>
      </c>
      <c r="AA849" s="10">
        <v>4700000.0</v>
      </c>
      <c r="AB849" s="1" t="s">
        <v>13495</v>
      </c>
      <c r="AC849" s="10">
        <v>4900000.0</v>
      </c>
      <c r="AF849" s="10">
        <v>5000000.0</v>
      </c>
      <c r="AG849" s="1">
        <v>7.205622537E9</v>
      </c>
      <c r="AI849" s="1" t="s">
        <v>13496</v>
      </c>
      <c r="AJ849" s="1">
        <v>162.0</v>
      </c>
      <c r="AK849" s="1">
        <v>58.0</v>
      </c>
      <c r="AL849" s="1" t="s">
        <v>13497</v>
      </c>
      <c r="AM849" s="1" t="s">
        <v>13498</v>
      </c>
      <c r="AN849" s="7" t="s">
        <v>13499</v>
      </c>
      <c r="AO849" s="8" t="str">
        <f>HYPERLINK("https://docs.google.com/document/d/16YxH6feyEsNaKzTvAdJjYiKT_9JaZsiThZwfXzWSp4Y/edit?usp=drivesdk","Al-Wildan 10 Cipinang, Jakarta Timur_Jehan Latifah,A.Md.Kep_")</f>
        <v>Al-Wildan 10 Cipinang, Jakarta Timur_Jehan Latifah,A.Md.Kep_</v>
      </c>
      <c r="AP849" s="1" t="s">
        <v>13500</v>
      </c>
    </row>
    <row r="850">
      <c r="A850" s="6">
        <v>45189.51414829861</v>
      </c>
      <c r="B850" s="7" t="s">
        <v>13501</v>
      </c>
      <c r="C850" s="8" t="s">
        <v>13502</v>
      </c>
      <c r="D850" s="1" t="s">
        <v>13503</v>
      </c>
      <c r="E850" s="9" t="s">
        <v>13504</v>
      </c>
      <c r="F850" s="1" t="s">
        <v>13505</v>
      </c>
      <c r="G850" s="1" t="s">
        <v>13506</v>
      </c>
      <c r="H850" s="1" t="s">
        <v>13507</v>
      </c>
      <c r="I850" s="9" t="s">
        <v>13508</v>
      </c>
      <c r="J850" s="1" t="s">
        <v>13509</v>
      </c>
      <c r="K850" s="1" t="s">
        <v>102</v>
      </c>
      <c r="L850" s="1" t="s">
        <v>256</v>
      </c>
      <c r="M850" s="1" t="s">
        <v>13510</v>
      </c>
      <c r="N850" s="1" t="s">
        <v>217</v>
      </c>
      <c r="O850" s="1" t="s">
        <v>5711</v>
      </c>
      <c r="P850" s="1" t="s">
        <v>6091</v>
      </c>
      <c r="Q850" s="1" t="s">
        <v>13511</v>
      </c>
      <c r="R850" s="1" t="s">
        <v>217</v>
      </c>
      <c r="S850" s="1" t="s">
        <v>217</v>
      </c>
      <c r="T850" s="1" t="s">
        <v>217</v>
      </c>
      <c r="U850" s="1" t="s">
        <v>217</v>
      </c>
      <c r="V850" s="1" t="s">
        <v>217</v>
      </c>
      <c r="W850" s="1" t="s">
        <v>217</v>
      </c>
      <c r="X850" s="1" t="s">
        <v>217</v>
      </c>
      <c r="Z850" s="1" t="s">
        <v>13512</v>
      </c>
      <c r="AA850" s="10">
        <v>6000000.0</v>
      </c>
      <c r="AB850" s="1" t="s">
        <v>13513</v>
      </c>
      <c r="AC850" s="1" t="s">
        <v>13514</v>
      </c>
      <c r="AD850" s="1" t="s">
        <v>13515</v>
      </c>
      <c r="AE850" s="10">
        <v>7500000.0</v>
      </c>
      <c r="AF850" s="1" t="s">
        <v>13516</v>
      </c>
      <c r="AH850" s="1">
        <v>7.1520025427E10</v>
      </c>
      <c r="AI850" s="1" t="s">
        <v>13517</v>
      </c>
      <c r="AJ850" s="1">
        <v>160.0</v>
      </c>
      <c r="AK850" s="1">
        <v>54.0</v>
      </c>
      <c r="AL850" s="1" t="s">
        <v>13518</v>
      </c>
      <c r="AM850" s="1" t="s">
        <v>13519</v>
      </c>
      <c r="AN850" s="7" t="s">
        <v>13520</v>
      </c>
      <c r="AO850" s="8" t="str">
        <f>HYPERLINK("https://docs.google.com/document/d/1ko6dhYqejnbnetY6gKSuHrquqBIMwryqDojC-5pVf0A/edit?usp=drivesdk","Al-Wildan 10 Cipinang, Jakarta Timur_Pujiastuti Amk_-")</f>
        <v>Al-Wildan 10 Cipinang, Jakarta Timur_Pujiastuti Amk_-</v>
      </c>
      <c r="AP850" s="1" t="s">
        <v>13521</v>
      </c>
    </row>
    <row r="851">
      <c r="A851" s="6">
        <v>45195.49194440972</v>
      </c>
      <c r="B851" s="7" t="s">
        <v>13522</v>
      </c>
      <c r="C851" s="8" t="s">
        <v>13523</v>
      </c>
      <c r="D851" s="1" t="s">
        <v>13524</v>
      </c>
      <c r="E851" s="9" t="s">
        <v>13525</v>
      </c>
      <c r="F851" s="1" t="s">
        <v>13526</v>
      </c>
      <c r="G851" s="1" t="s">
        <v>13527</v>
      </c>
      <c r="H851" s="1" t="s">
        <v>1411</v>
      </c>
      <c r="I851" s="9" t="s">
        <v>5412</v>
      </c>
      <c r="J851" s="1" t="s">
        <v>13528</v>
      </c>
      <c r="K851" s="1" t="s">
        <v>102</v>
      </c>
      <c r="L851" s="1" t="s">
        <v>103</v>
      </c>
      <c r="M851" s="1" t="s">
        <v>104</v>
      </c>
      <c r="N851" s="1" t="s">
        <v>13529</v>
      </c>
      <c r="O851" s="1" t="s">
        <v>312</v>
      </c>
      <c r="P851" s="1" t="s">
        <v>6091</v>
      </c>
      <c r="Q851" s="1" t="s">
        <v>3090</v>
      </c>
      <c r="R851" s="1" t="s">
        <v>968</v>
      </c>
      <c r="S851" s="1">
        <v>3.68</v>
      </c>
      <c r="Z851" s="1" t="s">
        <v>13530</v>
      </c>
      <c r="AA851" s="10">
        <v>6958000.0</v>
      </c>
      <c r="AF851" s="10">
        <v>5500000.0</v>
      </c>
      <c r="AH851" s="1">
        <v>3.190204897E9</v>
      </c>
      <c r="AI851" s="1" t="s">
        <v>222</v>
      </c>
      <c r="AJ851" s="1">
        <v>170.0</v>
      </c>
      <c r="AK851" s="1">
        <v>118.0</v>
      </c>
      <c r="AL851" s="1" t="s">
        <v>13531</v>
      </c>
      <c r="AM851" s="1" t="s">
        <v>13532</v>
      </c>
      <c r="AN851" s="7" t="s">
        <v>13533</v>
      </c>
      <c r="AO851" s="8" t="str">
        <f>HYPERLINK("https://docs.google.com/document/d/1PlNagVhZQz31gIXiFs5BklKTBDNvXjHv7R8N_4wzy7k/edit?usp=drivesdk","Al-Wildan 10 Cipinang, Jakarta Timur_Lia Harliani, S.S, S.Pd_Math, Science and English")</f>
        <v>Al-Wildan 10 Cipinang, Jakarta Timur_Lia Harliani, S.S, S.Pd_Math, Science and English</v>
      </c>
      <c r="AP851" s="1" t="s">
        <v>13534</v>
      </c>
    </row>
    <row r="852">
      <c r="A852" s="6">
        <v>45195.59341508102</v>
      </c>
      <c r="B852" s="7" t="s">
        <v>13535</v>
      </c>
      <c r="C852" s="8" t="s">
        <v>13536</v>
      </c>
      <c r="D852" s="1" t="s">
        <v>13537</v>
      </c>
      <c r="E852" s="9" t="s">
        <v>13538</v>
      </c>
      <c r="F852" s="1" t="s">
        <v>13539</v>
      </c>
      <c r="G852" s="1" t="s">
        <v>13540</v>
      </c>
      <c r="H852" s="1" t="s">
        <v>6779</v>
      </c>
      <c r="I852" s="9" t="s">
        <v>11958</v>
      </c>
      <c r="J852" s="1" t="s">
        <v>7766</v>
      </c>
      <c r="K852" s="1" t="s">
        <v>151</v>
      </c>
      <c r="L852" s="1" t="s">
        <v>256</v>
      </c>
      <c r="M852" s="1" t="s">
        <v>104</v>
      </c>
      <c r="N852" s="1" t="s">
        <v>13541</v>
      </c>
      <c r="O852" s="1" t="s">
        <v>9794</v>
      </c>
      <c r="P852" s="1" t="s">
        <v>6091</v>
      </c>
      <c r="Q852" s="1" t="s">
        <v>108</v>
      </c>
      <c r="R852" s="1" t="s">
        <v>13542</v>
      </c>
      <c r="S852" s="1" t="s">
        <v>595</v>
      </c>
      <c r="Z852" s="1" t="s">
        <v>13445</v>
      </c>
      <c r="AA852" s="12">
        <v>5587000.0</v>
      </c>
      <c r="AB852" s="1" t="s">
        <v>217</v>
      </c>
      <c r="AC852" s="1" t="s">
        <v>217</v>
      </c>
      <c r="AD852" s="1" t="s">
        <v>217</v>
      </c>
      <c r="AE852" s="1" t="s">
        <v>217</v>
      </c>
      <c r="AF852" s="1" t="s">
        <v>13543</v>
      </c>
      <c r="AH852" s="1">
        <v>9.0014179786E10</v>
      </c>
      <c r="AI852" s="1" t="s">
        <v>13544</v>
      </c>
      <c r="AJ852" s="1">
        <v>160.0</v>
      </c>
      <c r="AK852" s="1">
        <v>73.0</v>
      </c>
      <c r="AL852" s="1" t="s">
        <v>13545</v>
      </c>
      <c r="AM852" s="1" t="s">
        <v>13546</v>
      </c>
      <c r="AN852" s="7" t="s">
        <v>13547</v>
      </c>
      <c r="AO852" s="8" t="str">
        <f>HYPERLINK("https://docs.google.com/document/d/1pl9X3aSYQGHBw-K313EiKUNtX_L7oJjUyCKASC147h8/edit?usp=drivesdk","Al-Wildan 10 Cipinang, Jakarta Timur_Ita Masitah, S.Pd._Matematika, Fisika")</f>
        <v>Al-Wildan 10 Cipinang, Jakarta Timur_Ita Masitah, S.Pd._Matematika, Fisika</v>
      </c>
      <c r="AP852" s="1" t="s">
        <v>13548</v>
      </c>
    </row>
    <row r="853">
      <c r="A853" s="6">
        <v>45195.637607662036</v>
      </c>
      <c r="B853" s="7" t="s">
        <v>13549</v>
      </c>
      <c r="C853" s="8" t="s">
        <v>13550</v>
      </c>
      <c r="D853" s="1" t="s">
        <v>13551</v>
      </c>
      <c r="E853" s="9" t="s">
        <v>13552</v>
      </c>
      <c r="F853" s="1" t="s">
        <v>13553</v>
      </c>
      <c r="G853" s="1" t="s">
        <v>13554</v>
      </c>
      <c r="H853" s="1" t="s">
        <v>169</v>
      </c>
      <c r="I853" s="9" t="s">
        <v>13555</v>
      </c>
      <c r="J853" s="1" t="s">
        <v>13556</v>
      </c>
      <c r="K853" s="1" t="s">
        <v>151</v>
      </c>
      <c r="L853" s="1" t="s">
        <v>103</v>
      </c>
      <c r="M853" s="1" t="s">
        <v>104</v>
      </c>
      <c r="N853" s="1" t="s">
        <v>552</v>
      </c>
      <c r="O853" s="1" t="s">
        <v>236</v>
      </c>
      <c r="P853" s="1" t="s">
        <v>237</v>
      </c>
      <c r="Q853" s="1" t="s">
        <v>3409</v>
      </c>
      <c r="R853" s="1" t="s">
        <v>410</v>
      </c>
      <c r="S853" s="1" t="s">
        <v>333</v>
      </c>
      <c r="Z853" s="1" t="s">
        <v>13557</v>
      </c>
      <c r="AA853" s="10">
        <v>5500000.0</v>
      </c>
      <c r="AF853" s="10">
        <v>5600000.0</v>
      </c>
      <c r="AH853" s="1">
        <v>2.910539119E9</v>
      </c>
      <c r="AI853" s="1" t="s">
        <v>222</v>
      </c>
      <c r="AJ853" s="1">
        <v>158.0</v>
      </c>
      <c r="AK853" s="1">
        <v>78.0</v>
      </c>
      <c r="AL853" s="1" t="s">
        <v>13558</v>
      </c>
      <c r="AM853" s="1" t="s">
        <v>13559</v>
      </c>
      <c r="AN853" s="7" t="s">
        <v>13560</v>
      </c>
      <c r="AO853" s="8" t="str">
        <f>HYPERLINK("https://docs.google.com/document/d/18IOo6VjfOE7fPlG2E_b4-este-nEHpJMNbL3mj01DQw/edit?usp=drivesdk","Al-Wildan 4 Lebak Bulus_Shadrina, S.Pd._Fisika")</f>
        <v>Al-Wildan 4 Lebak Bulus_Shadrina, S.Pd._Fisika</v>
      </c>
      <c r="AP853" s="1" t="s">
        <v>13561</v>
      </c>
    </row>
    <row r="854">
      <c r="A854" s="6">
        <v>45196.35626534722</v>
      </c>
      <c r="B854" s="7" t="s">
        <v>13562</v>
      </c>
      <c r="C854" s="8" t="s">
        <v>13563</v>
      </c>
      <c r="D854" s="1" t="s">
        <v>13564</v>
      </c>
      <c r="E854" s="9" t="s">
        <v>13565</v>
      </c>
      <c r="F854" s="1" t="s">
        <v>13566</v>
      </c>
      <c r="G854" s="1" t="s">
        <v>13567</v>
      </c>
      <c r="H854" s="1" t="s">
        <v>3157</v>
      </c>
      <c r="I854" s="9" t="s">
        <v>13568</v>
      </c>
      <c r="J854" s="1" t="s">
        <v>9896</v>
      </c>
      <c r="K854" s="1" t="s">
        <v>151</v>
      </c>
      <c r="L854" s="1" t="s">
        <v>103</v>
      </c>
      <c r="M854" s="1" t="s">
        <v>104</v>
      </c>
      <c r="N854" s="1" t="s">
        <v>126</v>
      </c>
      <c r="O854" s="1" t="s">
        <v>312</v>
      </c>
      <c r="P854" s="1" t="s">
        <v>7991</v>
      </c>
      <c r="Q854" s="1" t="s">
        <v>13569</v>
      </c>
      <c r="R854" s="1" t="s">
        <v>130</v>
      </c>
      <c r="S854" s="1" t="s">
        <v>1730</v>
      </c>
      <c r="Z854" s="1" t="s">
        <v>13445</v>
      </c>
      <c r="AF854" s="10">
        <v>4800000.0</v>
      </c>
      <c r="AH854" s="1">
        <v>7.25301005129506E14</v>
      </c>
      <c r="AI854" s="1" t="s">
        <v>2407</v>
      </c>
      <c r="AJ854" s="1">
        <v>158.0</v>
      </c>
      <c r="AK854" s="1">
        <v>43.0</v>
      </c>
      <c r="AL854" s="1" t="s">
        <v>13570</v>
      </c>
      <c r="AM854" s="1" t="s">
        <v>13571</v>
      </c>
      <c r="AN854" s="7" t="s">
        <v>13572</v>
      </c>
      <c r="AO854" s="8" t="str">
        <f>HYPERLINK("https://docs.google.com/document/d/1sbR5CjjQrlwVwuQOjiAKP1f-s5Sz9Thu5N7vB2f5nOU/edit?usp=drivesdk","Al-Wildan 12 Bulak Kapal, Bekasi_Anggi Pratiwi Zaditania, S.Pd_Matematika")</f>
        <v>Al-Wildan 12 Bulak Kapal, Bekasi_Anggi Pratiwi Zaditania, S.Pd_Matematika</v>
      </c>
      <c r="AP854" s="1" t="s">
        <v>13573</v>
      </c>
    </row>
    <row r="855">
      <c r="A855" s="6">
        <v>45200.3939953588</v>
      </c>
      <c r="B855" s="7" t="s">
        <v>13574</v>
      </c>
      <c r="C855" s="8" t="s">
        <v>13575</v>
      </c>
      <c r="D855" s="1" t="s">
        <v>13576</v>
      </c>
      <c r="E855" s="9" t="s">
        <v>13577</v>
      </c>
      <c r="F855" s="1" t="s">
        <v>13578</v>
      </c>
      <c r="G855" s="1" t="s">
        <v>13579</v>
      </c>
      <c r="H855" s="1" t="s">
        <v>169</v>
      </c>
      <c r="I855" s="9" t="s">
        <v>13580</v>
      </c>
      <c r="J855" s="1" t="s">
        <v>7269</v>
      </c>
      <c r="K855" s="1" t="s">
        <v>102</v>
      </c>
      <c r="L855" s="1" t="s">
        <v>256</v>
      </c>
      <c r="M855" s="1" t="s">
        <v>104</v>
      </c>
      <c r="N855" s="1" t="s">
        <v>105</v>
      </c>
      <c r="O855" s="1" t="s">
        <v>9794</v>
      </c>
      <c r="P855" s="1" t="s">
        <v>6091</v>
      </c>
      <c r="Q855" s="1" t="s">
        <v>2583</v>
      </c>
      <c r="R855" s="1" t="s">
        <v>13581</v>
      </c>
      <c r="S855" s="1">
        <v>3.61</v>
      </c>
      <c r="Z855" s="1" t="s">
        <v>13582</v>
      </c>
      <c r="AA855" s="10">
        <v>4450000.0</v>
      </c>
      <c r="AB855" s="1" t="s">
        <v>13583</v>
      </c>
      <c r="AC855" s="10">
        <v>4500000.0</v>
      </c>
      <c r="AD855" s="1" t="s">
        <v>13584</v>
      </c>
      <c r="AE855" s="10">
        <v>4600000.0</v>
      </c>
      <c r="AF855" s="10">
        <v>5000000.0</v>
      </c>
      <c r="AG855" s="1">
        <v>7.142377483E9</v>
      </c>
      <c r="AH855" s="1">
        <v>5.676006181E9</v>
      </c>
      <c r="AI855" s="1" t="s">
        <v>222</v>
      </c>
      <c r="AJ855" s="1">
        <v>165.0</v>
      </c>
      <c r="AK855" s="1">
        <v>68.0</v>
      </c>
      <c r="AL855" s="1" t="s">
        <v>13585</v>
      </c>
      <c r="AM855" s="1" t="s">
        <v>13586</v>
      </c>
      <c r="AN855" s="7" t="s">
        <v>13587</v>
      </c>
      <c r="AO855" s="8" t="str">
        <f>HYPERLINK("https://docs.google.com/document/d/1l10adHv2dICewoNJt9KDhYLqnfLiaZedodre3dmdrgI/edit?usp=drivesdk","Al-Wildan 10 Cipinang, Jakarta Timur_Muthia Nur Fadhillah, S.Pd_Bahasa Indonesia")</f>
        <v>Al-Wildan 10 Cipinang, Jakarta Timur_Muthia Nur Fadhillah, S.Pd_Bahasa Indonesia</v>
      </c>
      <c r="AP855" s="1" t="s">
        <v>13588</v>
      </c>
    </row>
    <row r="856">
      <c r="A856" s="6">
        <v>45200.48164994213</v>
      </c>
      <c r="B856" s="7" t="s">
        <v>13589</v>
      </c>
      <c r="C856" s="8" t="s">
        <v>13590</v>
      </c>
      <c r="D856" s="1" t="s">
        <v>13591</v>
      </c>
      <c r="E856" s="9" t="s">
        <v>13592</v>
      </c>
      <c r="F856" s="1" t="s">
        <v>13593</v>
      </c>
      <c r="G856" s="1" t="s">
        <v>13594</v>
      </c>
      <c r="H856" s="1" t="s">
        <v>685</v>
      </c>
      <c r="I856" s="9" t="s">
        <v>13595</v>
      </c>
      <c r="J856" s="1" t="s">
        <v>13596</v>
      </c>
      <c r="K856" s="1" t="s">
        <v>151</v>
      </c>
      <c r="L856" s="1" t="s">
        <v>827</v>
      </c>
      <c r="M856" s="1" t="s">
        <v>104</v>
      </c>
      <c r="N856" s="1" t="s">
        <v>1414</v>
      </c>
      <c r="O856" s="1" t="s">
        <v>312</v>
      </c>
      <c r="P856" s="1" t="s">
        <v>107</v>
      </c>
      <c r="Q856" s="1" t="s">
        <v>7637</v>
      </c>
      <c r="R856" s="1" t="s">
        <v>126</v>
      </c>
      <c r="S856" s="1" t="s">
        <v>277</v>
      </c>
      <c r="T856" s="1" t="s">
        <v>7637</v>
      </c>
      <c r="U856" s="1" t="s">
        <v>13597</v>
      </c>
      <c r="V856" s="1" t="s">
        <v>1279</v>
      </c>
      <c r="Z856" s="1" t="s">
        <v>13598</v>
      </c>
      <c r="AA856" s="10">
        <v>5200000.0</v>
      </c>
      <c r="AF856" s="10">
        <v>1.0E7</v>
      </c>
      <c r="AG856" s="1">
        <v>8.07342959E9</v>
      </c>
      <c r="AJ856" s="1">
        <v>160.0</v>
      </c>
      <c r="AK856" s="1">
        <v>40.0</v>
      </c>
      <c r="AL856" s="1" t="s">
        <v>13599</v>
      </c>
      <c r="AM856" s="1" t="s">
        <v>13600</v>
      </c>
      <c r="AN856" s="7" t="s">
        <v>13601</v>
      </c>
      <c r="AO856" s="8" t="str">
        <f>HYPERLINK("https://docs.google.com/document/d/15SO7LDUVypCcLxHgEY6lwgW5iTDaQoMPD85LrpZ3vzU/edit?usp=drivesdk","Al-Wildan 1 Gading Serpong_Imas Saumi Amalia, S.Si., M.Mat_Math ")</f>
        <v>Al-Wildan 1 Gading Serpong_Imas Saumi Amalia, S.Si., M.Mat_Math </v>
      </c>
      <c r="AP856" s="1" t="s">
        <v>13602</v>
      </c>
    </row>
    <row r="857">
      <c r="A857" s="6">
        <v>45200.61632166667</v>
      </c>
      <c r="B857" s="7" t="s">
        <v>13603</v>
      </c>
      <c r="C857" s="8" t="s">
        <v>13604</v>
      </c>
      <c r="D857" s="1" t="s">
        <v>13605</v>
      </c>
      <c r="E857" s="9" t="s">
        <v>13606</v>
      </c>
      <c r="F857" s="1" t="s">
        <v>13607</v>
      </c>
      <c r="G857" s="1" t="s">
        <v>13608</v>
      </c>
      <c r="H857" s="1" t="s">
        <v>169</v>
      </c>
      <c r="I857" s="9" t="s">
        <v>13609</v>
      </c>
      <c r="J857" s="1" t="s">
        <v>13610</v>
      </c>
      <c r="K857" s="1" t="s">
        <v>102</v>
      </c>
      <c r="L857" s="1" t="s">
        <v>256</v>
      </c>
      <c r="M857" s="1" t="s">
        <v>104</v>
      </c>
      <c r="N857" s="1" t="s">
        <v>105</v>
      </c>
      <c r="O857" s="1" t="s">
        <v>9794</v>
      </c>
      <c r="P857" s="1" t="s">
        <v>107</v>
      </c>
      <c r="Q857" s="1" t="s">
        <v>11710</v>
      </c>
      <c r="R857" s="1" t="s">
        <v>906</v>
      </c>
      <c r="S857" s="1" t="s">
        <v>363</v>
      </c>
      <c r="Z857" s="1" t="s">
        <v>13611</v>
      </c>
      <c r="AA857" s="10">
        <v>3500000.0</v>
      </c>
      <c r="AF857" s="10">
        <v>4000000.0</v>
      </c>
      <c r="AJ857" s="1">
        <v>168.0</v>
      </c>
      <c r="AK857" s="1">
        <v>47.0</v>
      </c>
      <c r="AL857" s="1" t="s">
        <v>13612</v>
      </c>
      <c r="AM857" s="1" t="s">
        <v>13613</v>
      </c>
      <c r="AN857" s="7" t="s">
        <v>13614</v>
      </c>
      <c r="AO857" s="8" t="str">
        <f>HYPERLINK("https://docs.google.com/document/d/1GSxZwGbKtghuO-zdkGnKAlsXtXiBoOIIn4aNDjpyQ7s/edit?usp=drivesdk","Al-Wildan 1 Gading Serpong_Ulan Damayanti, S.Pd._Bahasa Indonesia")</f>
        <v>Al-Wildan 1 Gading Serpong_Ulan Damayanti, S.Pd._Bahasa Indonesia</v>
      </c>
      <c r="AP857" s="1" t="s">
        <v>13615</v>
      </c>
    </row>
    <row r="858">
      <c r="A858" s="6">
        <v>45201.678504930554</v>
      </c>
      <c r="B858" s="7" t="s">
        <v>13616</v>
      </c>
      <c r="C858" s="8" t="s">
        <v>13617</v>
      </c>
      <c r="D858" s="1" t="s">
        <v>13618</v>
      </c>
      <c r="E858" s="9" t="s">
        <v>13619</v>
      </c>
      <c r="F858" s="1" t="s">
        <v>13620</v>
      </c>
      <c r="G858" s="1" t="s">
        <v>13621</v>
      </c>
      <c r="H858" s="1" t="s">
        <v>3157</v>
      </c>
      <c r="I858" s="9" t="s">
        <v>13622</v>
      </c>
      <c r="J858" s="1" t="s">
        <v>8084</v>
      </c>
      <c r="K858" s="1" t="s">
        <v>102</v>
      </c>
      <c r="L858" s="1" t="s">
        <v>256</v>
      </c>
      <c r="M858" s="1" t="s">
        <v>104</v>
      </c>
      <c r="N858" s="1" t="s">
        <v>13623</v>
      </c>
      <c r="O858" s="1" t="s">
        <v>127</v>
      </c>
      <c r="P858" s="1" t="s">
        <v>237</v>
      </c>
      <c r="Q858" s="1" t="s">
        <v>13624</v>
      </c>
      <c r="R858" s="1" t="s">
        <v>13625</v>
      </c>
      <c r="S858" s="1">
        <v>3.55</v>
      </c>
      <c r="Z858" s="1" t="s">
        <v>13626</v>
      </c>
      <c r="AA858" s="10">
        <v>2700000.0</v>
      </c>
      <c r="AB858" s="1" t="s">
        <v>13627</v>
      </c>
      <c r="AC858" s="10">
        <v>3500000.0</v>
      </c>
      <c r="AD858" s="1" t="s">
        <v>13628</v>
      </c>
      <c r="AE858" s="10">
        <v>4100000.0</v>
      </c>
      <c r="AF858" s="10">
        <v>5500000.0</v>
      </c>
      <c r="AH858" s="1">
        <v>7.151657536E9</v>
      </c>
      <c r="AI858" s="1" t="s">
        <v>222</v>
      </c>
      <c r="AJ858" s="1">
        <v>156.0</v>
      </c>
      <c r="AK858" s="1">
        <v>47.0</v>
      </c>
      <c r="AL858" s="1" t="s">
        <v>13629</v>
      </c>
      <c r="AM858" s="1" t="s">
        <v>13630</v>
      </c>
      <c r="AN858" s="7" t="s">
        <v>13631</v>
      </c>
      <c r="AO858" s="8" t="str">
        <f>HYPERLINK("https://docs.google.com/document/d/13PsmEHILWmm02MGmZn9GxQuEeLvgzW6as3_3n0dmQvw/edit?usp=drivesdk","Al-Wildan 4 Lebak Bulus_Nidia Ulfa Amalia, S.Pd_Bahasa Indonesia ")</f>
        <v>Al-Wildan 4 Lebak Bulus_Nidia Ulfa Amalia, S.Pd_Bahasa Indonesia </v>
      </c>
      <c r="AP858" s="1" t="s">
        <v>13632</v>
      </c>
    </row>
    <row r="859">
      <c r="A859" s="6">
        <v>45203.49529539351</v>
      </c>
      <c r="B859" s="7" t="s">
        <v>13633</v>
      </c>
      <c r="C859" s="8" t="s">
        <v>13634</v>
      </c>
      <c r="D859" s="1" t="s">
        <v>13635</v>
      </c>
      <c r="E859" s="9" t="s">
        <v>13636</v>
      </c>
      <c r="F859" s="1" t="s">
        <v>13637</v>
      </c>
      <c r="G859" s="1" t="s">
        <v>13638</v>
      </c>
      <c r="H859" s="1" t="s">
        <v>13639</v>
      </c>
      <c r="I859" s="9" t="s">
        <v>13640</v>
      </c>
      <c r="J859" s="1" t="s">
        <v>3929</v>
      </c>
      <c r="K859" s="1" t="s">
        <v>151</v>
      </c>
      <c r="L859" s="1" t="s">
        <v>329</v>
      </c>
      <c r="M859" s="1" t="s">
        <v>104</v>
      </c>
      <c r="N859" s="1" t="s">
        <v>552</v>
      </c>
      <c r="O859" s="1" t="s">
        <v>106</v>
      </c>
      <c r="P859" s="1" t="s">
        <v>7162</v>
      </c>
      <c r="Q859" s="1" t="s">
        <v>4511</v>
      </c>
      <c r="R859" s="1" t="s">
        <v>410</v>
      </c>
      <c r="S859" s="1" t="s">
        <v>6661</v>
      </c>
      <c r="T859" s="1" t="s">
        <v>12065</v>
      </c>
      <c r="U859" s="1" t="s">
        <v>6337</v>
      </c>
      <c r="V859" s="1" t="s">
        <v>1668</v>
      </c>
      <c r="Z859" s="1" t="s">
        <v>13641</v>
      </c>
      <c r="AA859" s="10">
        <v>2500000.0</v>
      </c>
      <c r="AF859" s="10">
        <v>4200000.0</v>
      </c>
      <c r="AH859" s="1">
        <v>5.42801012693531E14</v>
      </c>
      <c r="AI859" s="1" t="s">
        <v>2407</v>
      </c>
      <c r="AJ859" s="1">
        <v>163.0</v>
      </c>
      <c r="AK859" s="1">
        <v>54.0</v>
      </c>
      <c r="AL859" s="1" t="s">
        <v>13642</v>
      </c>
      <c r="AM859" s="1" t="s">
        <v>13643</v>
      </c>
      <c r="AN859" s="7" t="s">
        <v>13644</v>
      </c>
      <c r="AO859" s="8" t="str">
        <f>HYPERLINK("https://docs.google.com/document/d/1Aj6QufLk2LT0fV_efsfmV6p9BXCoSm-ebtmUT3SUEjE/edit?usp=drivesdk","Al-Wildan 7 Serang_Windy Andaresta, S.Pd., M.Si._Fisika")</f>
        <v>Al-Wildan 7 Serang_Windy Andaresta, S.Pd., M.Si._Fisika</v>
      </c>
      <c r="AP859" s="1" t="s">
        <v>13645</v>
      </c>
    </row>
    <row r="860">
      <c r="A860" s="6">
        <v>45203.56695554398</v>
      </c>
      <c r="B860" s="7" t="s">
        <v>13646</v>
      </c>
      <c r="C860" s="8" t="s">
        <v>13647</v>
      </c>
      <c r="D860" s="1" t="s">
        <v>13648</v>
      </c>
      <c r="E860" s="9" t="s">
        <v>13649</v>
      </c>
      <c r="F860" s="1" t="s">
        <v>13650</v>
      </c>
      <c r="G860" s="1" t="s">
        <v>13651</v>
      </c>
      <c r="H860" s="1" t="s">
        <v>359</v>
      </c>
      <c r="I860" s="9" t="s">
        <v>13652</v>
      </c>
      <c r="J860" s="1" t="s">
        <v>7352</v>
      </c>
      <c r="K860" s="1" t="s">
        <v>102</v>
      </c>
      <c r="L860" s="1" t="s">
        <v>256</v>
      </c>
      <c r="M860" s="1" t="s">
        <v>104</v>
      </c>
      <c r="N860" s="1" t="s">
        <v>152</v>
      </c>
      <c r="O860" s="1" t="s">
        <v>236</v>
      </c>
      <c r="P860" s="1" t="s">
        <v>6091</v>
      </c>
      <c r="Q860" s="1" t="s">
        <v>13653</v>
      </c>
      <c r="R860" s="1" t="s">
        <v>13654</v>
      </c>
      <c r="S860" s="1">
        <v>3.45</v>
      </c>
      <c r="Z860" s="1" t="s">
        <v>13655</v>
      </c>
      <c r="AA860" s="10">
        <v>7500000.0</v>
      </c>
      <c r="AB860" s="1" t="s">
        <v>13656</v>
      </c>
      <c r="AC860" s="10">
        <v>5500000.0</v>
      </c>
      <c r="AD860" s="1" t="s">
        <v>13657</v>
      </c>
      <c r="AE860" s="10">
        <v>2500000.0</v>
      </c>
      <c r="AF860" s="10">
        <v>7000000.0</v>
      </c>
      <c r="AH860" s="1">
        <v>1.120019070205E12</v>
      </c>
      <c r="AI860" s="1" t="s">
        <v>1493</v>
      </c>
      <c r="AJ860" s="1">
        <v>176.0</v>
      </c>
      <c r="AK860" s="1">
        <v>85.0</v>
      </c>
      <c r="AL860" s="1" t="s">
        <v>13658</v>
      </c>
      <c r="AM860" s="1" t="s">
        <v>13659</v>
      </c>
      <c r="AN860" s="7" t="s">
        <v>13660</v>
      </c>
      <c r="AO860" s="8" t="str">
        <f>HYPERLINK("https://docs.google.com/document/d/1N7Z37nMyf5dej2eqhCqyjQkJLjabh8fhNznoHR447H0/edit?usp=drivesdk","Al-Wildan 10 Cipinang, Jakarta Timur_Endang Irawan_Bahasa Inggris")</f>
        <v>Al-Wildan 10 Cipinang, Jakarta Timur_Endang Irawan_Bahasa Inggris</v>
      </c>
      <c r="AP860" s="1" t="s">
        <v>13661</v>
      </c>
    </row>
    <row r="861">
      <c r="A861" s="6">
        <v>45204.83441476852</v>
      </c>
      <c r="B861" s="7" t="s">
        <v>13662</v>
      </c>
      <c r="C861" s="8" t="s">
        <v>13663</v>
      </c>
      <c r="D861" s="1" t="s">
        <v>13664</v>
      </c>
      <c r="E861" s="9" t="s">
        <v>13665</v>
      </c>
      <c r="F861" s="1" t="s">
        <v>13666</v>
      </c>
      <c r="G861" s="1" t="s">
        <v>13667</v>
      </c>
      <c r="H861" s="1" t="s">
        <v>13668</v>
      </c>
      <c r="I861" s="9" t="s">
        <v>13669</v>
      </c>
      <c r="J861" s="1" t="s">
        <v>13670</v>
      </c>
      <c r="K861" s="1" t="s">
        <v>102</v>
      </c>
      <c r="L861" s="1" t="s">
        <v>329</v>
      </c>
      <c r="M861" s="1" t="s">
        <v>13671</v>
      </c>
      <c r="N861" s="1" t="s">
        <v>13672</v>
      </c>
      <c r="O861" s="1" t="s">
        <v>236</v>
      </c>
      <c r="P861" s="1" t="s">
        <v>11207</v>
      </c>
      <c r="Q861" s="1" t="s">
        <v>13673</v>
      </c>
      <c r="R861" s="1" t="s">
        <v>2885</v>
      </c>
      <c r="S861" s="1" t="s">
        <v>931</v>
      </c>
      <c r="Z861" s="1" t="s">
        <v>13674</v>
      </c>
      <c r="AA861" s="1">
        <v>5750000.0</v>
      </c>
      <c r="AB861" s="1" t="s">
        <v>13675</v>
      </c>
      <c r="AC861" s="1">
        <v>5750000.0</v>
      </c>
      <c r="AF861" s="10">
        <v>6500000.0</v>
      </c>
      <c r="AG861" s="1">
        <v>7.124489401E9</v>
      </c>
      <c r="AI861" s="1" t="s">
        <v>13676</v>
      </c>
      <c r="AJ861" s="1">
        <v>168.0</v>
      </c>
      <c r="AK861" s="1">
        <v>75.0</v>
      </c>
      <c r="AL861" s="1" t="s">
        <v>13677</v>
      </c>
      <c r="AM861" s="1" t="s">
        <v>13678</v>
      </c>
      <c r="AN861" s="7" t="s">
        <v>13679</v>
      </c>
      <c r="AO861" s="8" t="str">
        <f>HYPERLINK("https://docs.google.com/document/d/1QXvFcmn7Hxnys_SSc1rDDQpcpknicqxgEQL7SVSIeAc/edit?usp=drivesdk","Al-Wildan 16 Ciledug_GHUFRAN ZUL QISTHI, S.T._Tematik - TIK &amp; Biology Cambridge")</f>
        <v>Al-Wildan 16 Ciledug_GHUFRAN ZUL QISTHI, S.T._Tematik - TIK &amp; Biology Cambridge</v>
      </c>
      <c r="AP861" s="1" t="s">
        <v>13680</v>
      </c>
    </row>
    <row r="862">
      <c r="A862" s="6">
        <v>45205.72539298611</v>
      </c>
      <c r="B862" s="7" t="s">
        <v>13681</v>
      </c>
      <c r="C862" s="8" t="s">
        <v>13682</v>
      </c>
      <c r="D862" s="1" t="s">
        <v>13683</v>
      </c>
      <c r="E862" s="9" t="s">
        <v>13684</v>
      </c>
      <c r="F862" s="1" t="s">
        <v>13685</v>
      </c>
      <c r="G862" s="1" t="s">
        <v>13686</v>
      </c>
      <c r="H862" s="1" t="s">
        <v>169</v>
      </c>
      <c r="I862" s="9" t="s">
        <v>13687</v>
      </c>
      <c r="J862" s="1" t="s">
        <v>9440</v>
      </c>
      <c r="K862" s="1" t="s">
        <v>102</v>
      </c>
      <c r="L862" s="1" t="s">
        <v>103</v>
      </c>
      <c r="M862" s="1" t="s">
        <v>104</v>
      </c>
      <c r="N862" s="1" t="s">
        <v>6624</v>
      </c>
      <c r="O862" s="1" t="s">
        <v>127</v>
      </c>
      <c r="P862" s="1" t="s">
        <v>5712</v>
      </c>
      <c r="Q862" s="1" t="s">
        <v>13688</v>
      </c>
      <c r="R862" s="1" t="s">
        <v>6220</v>
      </c>
      <c r="S862" s="1" t="s">
        <v>2582</v>
      </c>
      <c r="T862" s="1" t="s">
        <v>13688</v>
      </c>
      <c r="U862" s="1" t="s">
        <v>378</v>
      </c>
      <c r="V862" s="1" t="s">
        <v>5523</v>
      </c>
      <c r="Z862" s="1" t="s">
        <v>13689</v>
      </c>
      <c r="AA862" s="1">
        <v>5000000.0</v>
      </c>
      <c r="AB862" s="1" t="s">
        <v>13690</v>
      </c>
      <c r="AC862" s="1">
        <v>5100000.0</v>
      </c>
      <c r="AD862" s="1" t="s">
        <v>13691</v>
      </c>
      <c r="AE862" s="1">
        <v>3000000.0</v>
      </c>
      <c r="AF862" s="1" t="s">
        <v>13692</v>
      </c>
      <c r="AH862" s="9" t="s">
        <v>13693</v>
      </c>
      <c r="AI862" s="1" t="s">
        <v>159</v>
      </c>
      <c r="AJ862" s="1">
        <v>165.0</v>
      </c>
      <c r="AK862" s="1">
        <v>51.0</v>
      </c>
      <c r="AL862" s="1" t="s">
        <v>13694</v>
      </c>
      <c r="AM862" s="1" t="s">
        <v>13695</v>
      </c>
      <c r="AN862" s="7" t="s">
        <v>13696</v>
      </c>
      <c r="AO862" s="8" t="str">
        <f>HYPERLINK("https://docs.google.com/document/d/1YDaFha4J9Tblcw8Vdm3JaJgZ3S5x6YKvODXfTnyuAF0/edit?usp=drivesdk","Al-Wildan 3 BSD City_Andy Prihatmoko, S.Kom., M.M_Math Cambridge")</f>
        <v>Al-Wildan 3 BSD City_Andy Prihatmoko, S.Kom., M.M_Math Cambridge</v>
      </c>
      <c r="AP862" s="1" t="s">
        <v>13697</v>
      </c>
    </row>
    <row r="863">
      <c r="A863" s="6">
        <v>45206.87702901621</v>
      </c>
      <c r="B863" s="7" t="s">
        <v>13698</v>
      </c>
      <c r="C863" s="8" t="s">
        <v>13699</v>
      </c>
      <c r="D863" s="1" t="s">
        <v>13700</v>
      </c>
      <c r="E863" s="9" t="s">
        <v>13701</v>
      </c>
      <c r="F863" s="1" t="s">
        <v>13702</v>
      </c>
      <c r="G863" s="1" t="s">
        <v>13703</v>
      </c>
      <c r="H863" s="1" t="s">
        <v>13704</v>
      </c>
      <c r="I863" s="9" t="s">
        <v>13705</v>
      </c>
      <c r="J863" s="1">
        <v>26.0</v>
      </c>
      <c r="K863" s="1" t="s">
        <v>151</v>
      </c>
      <c r="L863" s="1" t="s">
        <v>103</v>
      </c>
      <c r="M863" s="1" t="s">
        <v>9914</v>
      </c>
      <c r="N863" s="1" t="s">
        <v>217</v>
      </c>
      <c r="O863" s="1" t="s">
        <v>312</v>
      </c>
      <c r="P863" s="1" t="s">
        <v>107</v>
      </c>
      <c r="Q863" s="1" t="s">
        <v>13706</v>
      </c>
      <c r="R863" s="1" t="s">
        <v>13707</v>
      </c>
      <c r="S863" s="1" t="s">
        <v>755</v>
      </c>
      <c r="T863" s="1" t="s">
        <v>217</v>
      </c>
      <c r="U863" s="1" t="s">
        <v>217</v>
      </c>
      <c r="V863" s="1" t="s">
        <v>217</v>
      </c>
      <c r="W863" s="1" t="s">
        <v>217</v>
      </c>
      <c r="X863" s="1" t="s">
        <v>217</v>
      </c>
      <c r="Z863" s="1" t="s">
        <v>7826</v>
      </c>
      <c r="AA863" s="10">
        <v>2750000.0</v>
      </c>
      <c r="AB863" s="1" t="s">
        <v>217</v>
      </c>
      <c r="AC863" s="1" t="s">
        <v>217</v>
      </c>
      <c r="AD863" s="1" t="s">
        <v>217</v>
      </c>
      <c r="AE863" s="1" t="s">
        <v>217</v>
      </c>
      <c r="AF863" s="1" t="s">
        <v>217</v>
      </c>
      <c r="AG863" s="1">
        <v>7.209886132E9</v>
      </c>
      <c r="AH863" s="1">
        <v>0.0</v>
      </c>
      <c r="AI863" s="1" t="s">
        <v>217</v>
      </c>
      <c r="AJ863" s="1">
        <v>156.0</v>
      </c>
      <c r="AK863" s="1">
        <v>49.0</v>
      </c>
      <c r="AL863" s="1" t="s">
        <v>13708</v>
      </c>
      <c r="AM863" s="1" t="s">
        <v>13709</v>
      </c>
      <c r="AN863" s="7" t="s">
        <v>13710</v>
      </c>
      <c r="AO863" s="8" t="str">
        <f>HYPERLINK("https://docs.google.com/document/d/1WVxUo8SIQ693tgGb5G3H3Np22Trm3MNRQn9D5AjRka4/edit?usp=drivesdk","Al-Wildan 1 Gading Serpong_Indriati_-")</f>
        <v>Al-Wildan 1 Gading Serpong_Indriati_-</v>
      </c>
      <c r="AP863" s="1" t="s">
        <v>13711</v>
      </c>
    </row>
    <row r="864">
      <c r="A864" s="6">
        <v>45208.57784745371</v>
      </c>
      <c r="B864" s="7" t="s">
        <v>13712</v>
      </c>
      <c r="C864" s="8" t="s">
        <v>13713</v>
      </c>
      <c r="D864" s="1" t="s">
        <v>13714</v>
      </c>
      <c r="E864" s="9" t="s">
        <v>13715</v>
      </c>
      <c r="F864" s="1" t="s">
        <v>13716</v>
      </c>
      <c r="G864" s="1" t="s">
        <v>13717</v>
      </c>
      <c r="H864" s="1" t="s">
        <v>722</v>
      </c>
      <c r="I864" s="9" t="s">
        <v>13718</v>
      </c>
      <c r="J864" s="1" t="s">
        <v>4460</v>
      </c>
      <c r="K864" s="1" t="s">
        <v>102</v>
      </c>
      <c r="L864" s="1" t="s">
        <v>329</v>
      </c>
      <c r="M864" s="1" t="s">
        <v>104</v>
      </c>
      <c r="N864" s="1" t="s">
        <v>152</v>
      </c>
      <c r="O864" s="1" t="s">
        <v>127</v>
      </c>
      <c r="P864" s="1" t="s">
        <v>6091</v>
      </c>
      <c r="Q864" s="1" t="s">
        <v>13719</v>
      </c>
      <c r="R864" s="1" t="s">
        <v>172</v>
      </c>
      <c r="S864" s="1" t="s">
        <v>740</v>
      </c>
      <c r="T864" s="1" t="s">
        <v>13719</v>
      </c>
      <c r="U864" s="1" t="s">
        <v>172</v>
      </c>
      <c r="V864" s="1" t="s">
        <v>12268</v>
      </c>
      <c r="Z864" s="1" t="s">
        <v>13720</v>
      </c>
      <c r="AA864" s="10">
        <v>3000000.0</v>
      </c>
      <c r="AF864" s="10">
        <v>5000000.0</v>
      </c>
      <c r="AG864" s="1">
        <v>8.87203477E9</v>
      </c>
      <c r="AJ864" s="1">
        <v>155.0</v>
      </c>
      <c r="AK864" s="1">
        <v>45.0</v>
      </c>
      <c r="AL864" s="1" t="s">
        <v>13721</v>
      </c>
      <c r="AM864" s="1" t="s">
        <v>13722</v>
      </c>
      <c r="AN864" s="7" t="s">
        <v>13723</v>
      </c>
      <c r="AO864" s="8" t="str">
        <f>HYPERLINK("https://docs.google.com/document/d/15SQqPB3wiBw8nk2ly7l0TBRV3KAE5utDEmWVeGqayRw/edit?usp=drivesdk","Al-Wildan 10 Cipinang, Jakarta Timur_Diba Ratu Vidari Jannah, M.Pd_Bahasa Inggris")</f>
        <v>Al-Wildan 10 Cipinang, Jakarta Timur_Diba Ratu Vidari Jannah, M.Pd_Bahasa Inggris</v>
      </c>
      <c r="AP864" s="1" t="s">
        <v>13724</v>
      </c>
    </row>
    <row r="865">
      <c r="A865" s="6">
        <v>45208.826168368054</v>
      </c>
      <c r="B865" s="7" t="s">
        <v>13725</v>
      </c>
      <c r="C865" s="8" t="s">
        <v>13726</v>
      </c>
      <c r="D865" s="1" t="s">
        <v>13727</v>
      </c>
      <c r="E865" s="9" t="s">
        <v>4817</v>
      </c>
      <c r="F865" s="1" t="s">
        <v>4818</v>
      </c>
      <c r="G865" s="1" t="s">
        <v>13728</v>
      </c>
      <c r="H865" s="1" t="s">
        <v>169</v>
      </c>
      <c r="I865" s="9" t="s">
        <v>1556</v>
      </c>
      <c r="J865" s="1" t="s">
        <v>13729</v>
      </c>
      <c r="K865" s="1" t="s">
        <v>102</v>
      </c>
      <c r="L865" s="1" t="s">
        <v>103</v>
      </c>
      <c r="M865" s="1" t="s">
        <v>104</v>
      </c>
      <c r="N865" s="1" t="s">
        <v>105</v>
      </c>
      <c r="O865" s="1" t="s">
        <v>312</v>
      </c>
      <c r="P865" s="1" t="s">
        <v>107</v>
      </c>
      <c r="Q865" s="1" t="s">
        <v>153</v>
      </c>
      <c r="R865" s="1" t="s">
        <v>906</v>
      </c>
      <c r="S865" s="1" t="s">
        <v>592</v>
      </c>
      <c r="AG865" s="1">
        <v>7.083293483E9</v>
      </c>
      <c r="AJ865" s="1">
        <v>157.0</v>
      </c>
      <c r="AK865" s="1">
        <v>52.0</v>
      </c>
      <c r="AL865" s="1" t="s">
        <v>13730</v>
      </c>
      <c r="AM865" s="1" t="s">
        <v>13731</v>
      </c>
      <c r="AN865" s="7" t="s">
        <v>13732</v>
      </c>
      <c r="AO865" s="8" t="str">
        <f>HYPERLINK("https://docs.google.com/document/d/1FSoZNbpEuESPd8NFVjGMuWeR_BYFhWe04OyfTUwlWqM/edit?usp=drivesdk","Al-Wildan 1 Gading Serpong_Diniek Wahyuni, S. Pd. _Bahasa Indonesia")</f>
        <v>Al-Wildan 1 Gading Serpong_Diniek Wahyuni, S. Pd. _Bahasa Indonesia</v>
      </c>
      <c r="AP865" s="1" t="s">
        <v>13733</v>
      </c>
    </row>
    <row r="866">
      <c r="A866" s="6">
        <v>45209.49147796296</v>
      </c>
      <c r="B866" s="7" t="s">
        <v>13734</v>
      </c>
      <c r="C866" s="8" t="s">
        <v>13735</v>
      </c>
      <c r="D866" s="1" t="s">
        <v>13736</v>
      </c>
      <c r="E866" s="9" t="s">
        <v>13737</v>
      </c>
      <c r="F866" s="1" t="s">
        <v>13738</v>
      </c>
      <c r="G866" s="1" t="s">
        <v>13739</v>
      </c>
      <c r="H866" s="1" t="s">
        <v>11310</v>
      </c>
      <c r="I866" s="9" t="s">
        <v>13740</v>
      </c>
      <c r="J866" s="1" t="s">
        <v>9105</v>
      </c>
      <c r="K866" s="1" t="s">
        <v>151</v>
      </c>
      <c r="L866" s="1" t="s">
        <v>103</v>
      </c>
      <c r="M866" s="1" t="s">
        <v>104</v>
      </c>
      <c r="N866" s="1" t="s">
        <v>13741</v>
      </c>
      <c r="O866" s="1" t="s">
        <v>127</v>
      </c>
      <c r="P866" s="1" t="s">
        <v>237</v>
      </c>
      <c r="Q866" s="1" t="s">
        <v>13742</v>
      </c>
      <c r="R866" s="1" t="s">
        <v>1275</v>
      </c>
      <c r="S866" s="1" t="s">
        <v>6661</v>
      </c>
      <c r="T866" s="1" t="s">
        <v>10945</v>
      </c>
      <c r="U866" s="1" t="s">
        <v>1275</v>
      </c>
      <c r="V866" s="1" t="s">
        <v>155</v>
      </c>
      <c r="Z866" s="1" t="s">
        <v>13743</v>
      </c>
      <c r="AA866" s="10">
        <v>5000000.0</v>
      </c>
      <c r="AF866" s="10">
        <v>6000000.0</v>
      </c>
      <c r="AH866" s="1">
        <v>8.465559809E9</v>
      </c>
      <c r="AI866" s="1" t="s">
        <v>222</v>
      </c>
      <c r="AJ866" s="1">
        <v>164.0</v>
      </c>
      <c r="AK866" s="1">
        <v>53.0</v>
      </c>
      <c r="AL866" s="1" t="s">
        <v>13744</v>
      </c>
      <c r="AM866" s="1" t="s">
        <v>13745</v>
      </c>
      <c r="AN866" s="7" t="s">
        <v>13746</v>
      </c>
      <c r="AO866" s="8" t="str">
        <f>HYPERLINK("https://docs.google.com/document/d/1yuhlHWdWfb7BmGn63fbs2kxfL2aedj9ckMAjwb9z9BM/edit?usp=drivesdk","Al-Wildan 4 Lebak Bulus_Syaiful Adam Maulana, S.Si., M.Sc._IPA Biologi")</f>
        <v>Al-Wildan 4 Lebak Bulus_Syaiful Adam Maulana, S.Si., M.Sc._IPA Biologi</v>
      </c>
      <c r="AP866" s="1" t="s">
        <v>13747</v>
      </c>
    </row>
    <row r="867">
      <c r="A867" s="6">
        <v>45219.42513403935</v>
      </c>
      <c r="B867" s="7" t="s">
        <v>13748</v>
      </c>
      <c r="C867" s="8" t="s">
        <v>13749</v>
      </c>
      <c r="D867" s="1" t="s">
        <v>13750</v>
      </c>
      <c r="E867" s="1" t="s">
        <v>13751</v>
      </c>
      <c r="F867" s="1" t="s">
        <v>13752</v>
      </c>
      <c r="G867" s="1" t="s">
        <v>13753</v>
      </c>
      <c r="H867" s="1" t="s">
        <v>455</v>
      </c>
      <c r="I867" s="9" t="s">
        <v>13754</v>
      </c>
      <c r="J867" s="1" t="s">
        <v>13755</v>
      </c>
      <c r="K867" s="1" t="s">
        <v>151</v>
      </c>
      <c r="L867" s="1" t="s">
        <v>256</v>
      </c>
      <c r="M867" s="1" t="s">
        <v>424</v>
      </c>
      <c r="O867" s="1" t="s">
        <v>9794</v>
      </c>
      <c r="P867" s="1" t="s">
        <v>6091</v>
      </c>
      <c r="Q867" s="1" t="s">
        <v>13756</v>
      </c>
      <c r="R867" s="1" t="s">
        <v>425</v>
      </c>
      <c r="S867" s="1" t="s">
        <v>1279</v>
      </c>
      <c r="Z867" s="1" t="s">
        <v>13757</v>
      </c>
      <c r="AA867" s="10">
        <v>500000.0</v>
      </c>
      <c r="AF867" s="1" t="s">
        <v>8616</v>
      </c>
      <c r="AH867" s="9" t="s">
        <v>13758</v>
      </c>
      <c r="AI867" s="1" t="s">
        <v>6124</v>
      </c>
      <c r="AJ867" s="1">
        <v>161.0</v>
      </c>
      <c r="AK867" s="1">
        <v>57.0</v>
      </c>
      <c r="AL867" s="1" t="s">
        <v>13759</v>
      </c>
      <c r="AM867" s="1" t="s">
        <v>13760</v>
      </c>
      <c r="AN867" s="7" t="s">
        <v>13761</v>
      </c>
      <c r="AO867" s="8" t="str">
        <f>HYPERLINK("https://docs.google.com/document/d/1eBdVkVMmlbY2rFw3zqrU9sprllVl2sjlxPFqA8_tsg8/edit?usp=drivesdk","Al-Wildan 10 Cipinang, Jakarta Timur_Dinsya Arifa, S.Pd_")</f>
        <v>Al-Wildan 10 Cipinang, Jakarta Timur_Dinsya Arifa, S.Pd_</v>
      </c>
      <c r="AP867" s="1" t="s">
        <v>13762</v>
      </c>
    </row>
    <row r="868">
      <c r="A868" s="6">
        <v>45219.53623900463</v>
      </c>
      <c r="B868" s="7" t="s">
        <v>13763</v>
      </c>
      <c r="C868" s="8" t="s">
        <v>13764</v>
      </c>
      <c r="D868" s="1" t="s">
        <v>13765</v>
      </c>
      <c r="E868" s="9" t="s">
        <v>13766</v>
      </c>
      <c r="F868" s="1">
        <v>3.21606460601003E15</v>
      </c>
      <c r="G868" s="1" t="s">
        <v>13767</v>
      </c>
      <c r="H868" s="1" t="s">
        <v>148</v>
      </c>
      <c r="I868" s="9" t="s">
        <v>13768</v>
      </c>
      <c r="J868" s="1" t="s">
        <v>12931</v>
      </c>
      <c r="K868" s="1" t="s">
        <v>151</v>
      </c>
      <c r="L868" s="1" t="s">
        <v>103</v>
      </c>
      <c r="M868" s="1" t="s">
        <v>104</v>
      </c>
      <c r="N868" s="1" t="s">
        <v>152</v>
      </c>
      <c r="O868" s="1" t="s">
        <v>312</v>
      </c>
      <c r="P868" s="1" t="s">
        <v>6659</v>
      </c>
      <c r="Q868" s="1" t="s">
        <v>12267</v>
      </c>
      <c r="R868" s="1" t="s">
        <v>172</v>
      </c>
      <c r="S868" s="1" t="s">
        <v>6799</v>
      </c>
      <c r="AA868" s="1" t="s">
        <v>6858</v>
      </c>
      <c r="AF868" s="10">
        <v>5000000.0</v>
      </c>
      <c r="AG868" s="1">
        <v>7.252684934E9</v>
      </c>
      <c r="AI868" s="1" t="s">
        <v>5113</v>
      </c>
      <c r="AJ868" s="1">
        <v>155.0</v>
      </c>
      <c r="AK868" s="1">
        <v>55.0</v>
      </c>
      <c r="AL868" s="1" t="s">
        <v>13769</v>
      </c>
      <c r="AM868" s="1" t="s">
        <v>13770</v>
      </c>
      <c r="AN868" s="7" t="s">
        <v>13771</v>
      </c>
      <c r="AO868" s="8" t="str">
        <f>HYPERLINK("https://docs.google.com/document/d/1CvCYmzP2C-EDQ3xhdR6rLPDH8kYa1-i18W2i1n7nxoU/edit?usp=drivesdk","Al-Wildan 15 Kompas Indah, Tambun Bekasi._Saila Salsabila, S. Pd_Bahasa Inggris")</f>
        <v>Al-Wildan 15 Kompas Indah, Tambun Bekasi._Saila Salsabila, S. Pd_Bahasa Inggris</v>
      </c>
      <c r="AP868" s="1" t="s">
        <v>13772</v>
      </c>
    </row>
    <row r="869">
      <c r="A869" s="6">
        <v>45227.24368717593</v>
      </c>
      <c r="B869" s="7" t="s">
        <v>13773</v>
      </c>
      <c r="C869" s="8" t="s">
        <v>13774</v>
      </c>
      <c r="D869" s="1" t="s">
        <v>13775</v>
      </c>
      <c r="E869" s="9" t="s">
        <v>13776</v>
      </c>
      <c r="F869" s="1" t="s">
        <v>13777</v>
      </c>
      <c r="G869" s="1" t="s">
        <v>13778</v>
      </c>
      <c r="H869" s="1" t="s">
        <v>99</v>
      </c>
      <c r="I869" s="9" t="s">
        <v>11167</v>
      </c>
      <c r="J869" s="1" t="s">
        <v>8497</v>
      </c>
      <c r="K869" s="1" t="s">
        <v>151</v>
      </c>
      <c r="L869" s="1" t="s">
        <v>103</v>
      </c>
      <c r="M869" s="1" t="s">
        <v>104</v>
      </c>
      <c r="N869" s="1" t="s">
        <v>126</v>
      </c>
      <c r="O869" s="1" t="s">
        <v>312</v>
      </c>
      <c r="P869" s="1" t="s">
        <v>107</v>
      </c>
      <c r="Q869" s="1" t="s">
        <v>967</v>
      </c>
      <c r="R869" s="1" t="s">
        <v>130</v>
      </c>
      <c r="S869" s="1" t="s">
        <v>5415</v>
      </c>
      <c r="T869" s="1" t="s">
        <v>217</v>
      </c>
      <c r="U869" s="1" t="s">
        <v>217</v>
      </c>
      <c r="V869" s="1" t="s">
        <v>217</v>
      </c>
      <c r="W869" s="1" t="s">
        <v>217</v>
      </c>
      <c r="X869" s="1" t="s">
        <v>217</v>
      </c>
      <c r="AF869" s="10">
        <v>4500000.0</v>
      </c>
      <c r="AH869" s="9" t="s">
        <v>13779</v>
      </c>
      <c r="AI869" s="1" t="s">
        <v>2407</v>
      </c>
      <c r="AJ869" s="1">
        <v>157.0</v>
      </c>
      <c r="AK869" s="1" t="s">
        <v>13780</v>
      </c>
      <c r="AL869" s="1" t="s">
        <v>13781</v>
      </c>
      <c r="AM869" s="1" t="s">
        <v>13782</v>
      </c>
      <c r="AN869" s="7" t="s">
        <v>13783</v>
      </c>
      <c r="AO869" s="8" t="str">
        <f>HYPERLINK("https://docs.google.com/document/d/1v-BhJrrPV4Lyz2oXU-fr2b_MjYjykplIA5niPf8oMDc/edit?usp=drivesdk","Al-Wildan 1 Gading Serpong_ARITA WULANDARI, S.PD._Matematika")</f>
        <v>Al-Wildan 1 Gading Serpong_ARITA WULANDARI, S.PD._Matematika</v>
      </c>
      <c r="AP869" s="1" t="s">
        <v>13784</v>
      </c>
    </row>
    <row r="870">
      <c r="A870" s="6">
        <v>45227.50243663194</v>
      </c>
      <c r="B870" s="7" t="s">
        <v>13785</v>
      </c>
      <c r="C870" s="8" t="s">
        <v>13786</v>
      </c>
      <c r="D870" s="1" t="s">
        <v>13787</v>
      </c>
      <c r="E870" s="9" t="s">
        <v>13788</v>
      </c>
      <c r="F870" s="1" t="s">
        <v>13789</v>
      </c>
      <c r="G870" s="1" t="s">
        <v>13790</v>
      </c>
      <c r="H870" s="1" t="s">
        <v>8666</v>
      </c>
      <c r="I870" s="1">
        <v>1.2091988E7</v>
      </c>
      <c r="J870" s="1" t="s">
        <v>13791</v>
      </c>
      <c r="K870" s="1" t="s">
        <v>102</v>
      </c>
      <c r="L870" s="1" t="s">
        <v>103</v>
      </c>
      <c r="M870" s="1" t="s">
        <v>104</v>
      </c>
      <c r="N870" s="1" t="s">
        <v>105</v>
      </c>
      <c r="O870" s="1" t="s">
        <v>236</v>
      </c>
      <c r="P870" s="1" t="s">
        <v>237</v>
      </c>
      <c r="Q870" s="1" t="s">
        <v>13792</v>
      </c>
      <c r="R870" s="1" t="s">
        <v>109</v>
      </c>
      <c r="S870" s="1" t="s">
        <v>5590</v>
      </c>
      <c r="Z870" s="1" t="s">
        <v>13793</v>
      </c>
      <c r="AA870" s="10">
        <v>4800000.0</v>
      </c>
      <c r="AB870" s="1" t="s">
        <v>13794</v>
      </c>
      <c r="AC870" s="10">
        <v>6500000.0</v>
      </c>
      <c r="AF870" s="10">
        <v>6500000.0</v>
      </c>
      <c r="AG870" s="1">
        <v>7.98970297E9</v>
      </c>
      <c r="AJ870" s="1">
        <v>152.0</v>
      </c>
      <c r="AK870" s="1">
        <v>55.0</v>
      </c>
      <c r="AL870" s="1" t="s">
        <v>13795</v>
      </c>
      <c r="AM870" s="1" t="s">
        <v>13796</v>
      </c>
      <c r="AN870" s="7" t="s">
        <v>13797</v>
      </c>
      <c r="AO870" s="8" t="str">
        <f>HYPERLINK("https://docs.google.com/document/d/1rBc_6ioKMYmwya33Tj2fRUU4F9ekCx7LlxGoKzNLQjY/edit?usp=drivesdk","Al-Wildan 4 Lebak Bulus_Tri Suryani, S.Pd._Bahasa Indonesia")</f>
        <v>Al-Wildan 4 Lebak Bulus_Tri Suryani, S.Pd._Bahasa Indonesia</v>
      </c>
      <c r="AP870" s="1" t="s">
        <v>13798</v>
      </c>
    </row>
    <row r="871">
      <c r="A871" s="6">
        <v>45233.74823273148</v>
      </c>
      <c r="B871" s="7" t="s">
        <v>13799</v>
      </c>
      <c r="C871" s="8" t="s">
        <v>13800</v>
      </c>
      <c r="D871" s="1" t="s">
        <v>13801</v>
      </c>
      <c r="E871" s="9" t="s">
        <v>13802</v>
      </c>
      <c r="F871" s="1" t="s">
        <v>13803</v>
      </c>
      <c r="G871" s="1" t="s">
        <v>13804</v>
      </c>
      <c r="H871" s="1" t="s">
        <v>13805</v>
      </c>
      <c r="I871" s="1" t="s">
        <v>13806</v>
      </c>
      <c r="J871" s="1" t="s">
        <v>7352</v>
      </c>
      <c r="K871" s="1" t="s">
        <v>102</v>
      </c>
      <c r="L871" s="1" t="s">
        <v>329</v>
      </c>
      <c r="M871" s="1" t="s">
        <v>13807</v>
      </c>
      <c r="N871" s="1" t="s">
        <v>217</v>
      </c>
      <c r="O871" s="1" t="s">
        <v>13406</v>
      </c>
      <c r="P871" s="1" t="s">
        <v>12141</v>
      </c>
      <c r="Q871" s="1" t="s">
        <v>13808</v>
      </c>
      <c r="Z871" s="1" t="s">
        <v>13809</v>
      </c>
      <c r="AA871" s="1" t="s">
        <v>13810</v>
      </c>
      <c r="AB871" s="1" t="s">
        <v>5981</v>
      </c>
      <c r="AF871" s="1" t="s">
        <v>13811</v>
      </c>
      <c r="AJ871" s="1">
        <v>162.0</v>
      </c>
      <c r="AK871" s="1">
        <v>51.0</v>
      </c>
      <c r="AL871" s="1" t="s">
        <v>13812</v>
      </c>
      <c r="AM871" s="1" t="s">
        <v>13813</v>
      </c>
      <c r="AN871" s="7" t="s">
        <v>13814</v>
      </c>
      <c r="AO871" s="8" t="str">
        <f>HYPERLINK("https://docs.google.com/document/d/1sOL0SuCFgJSH28GK8Ap2-1KwhSdxtHZYbqa8DcL8r9k/edit?usp=drivesdk","Al-Wildan 21 Aceh_Jamsir Amd.p_-")</f>
        <v>Al-Wildan 21 Aceh_Jamsir Amd.p_-</v>
      </c>
      <c r="AP871" s="1" t="s">
        <v>13815</v>
      </c>
    </row>
    <row r="872">
      <c r="A872" s="6">
        <v>45236.898806805555</v>
      </c>
      <c r="B872" s="7" t="s">
        <v>13816</v>
      </c>
      <c r="C872" s="8" t="s">
        <v>13817</v>
      </c>
      <c r="D872" s="1" t="s">
        <v>13818</v>
      </c>
      <c r="E872" s="9" t="s">
        <v>13819</v>
      </c>
      <c r="F872" s="1" t="s">
        <v>13820</v>
      </c>
      <c r="G872" s="1" t="s">
        <v>13821</v>
      </c>
      <c r="H872" s="1" t="s">
        <v>169</v>
      </c>
      <c r="I872" s="9" t="s">
        <v>13822</v>
      </c>
      <c r="J872" s="1">
        <v>35.0</v>
      </c>
      <c r="K872" s="1" t="s">
        <v>102</v>
      </c>
      <c r="L872" s="1" t="s">
        <v>103</v>
      </c>
      <c r="M872" s="1" t="s">
        <v>104</v>
      </c>
      <c r="N872" s="1" t="s">
        <v>6436</v>
      </c>
      <c r="O872" s="1" t="s">
        <v>236</v>
      </c>
      <c r="P872" s="1" t="s">
        <v>107</v>
      </c>
      <c r="Q872" s="1" t="s">
        <v>13425</v>
      </c>
      <c r="R872" s="1" t="s">
        <v>1275</v>
      </c>
      <c r="T872" s="1" t="s">
        <v>13823</v>
      </c>
      <c r="U872" s="1" t="s">
        <v>13824</v>
      </c>
      <c r="V872" s="1" t="s">
        <v>3589</v>
      </c>
      <c r="Z872" s="1" t="s">
        <v>13825</v>
      </c>
      <c r="AA872" s="10">
        <v>2000000.0</v>
      </c>
      <c r="AB872" s="1" t="s">
        <v>13826</v>
      </c>
      <c r="AC872" s="10">
        <v>5050000.0</v>
      </c>
      <c r="AF872" s="10">
        <v>5650000.0</v>
      </c>
      <c r="AG872" s="1">
        <v>7.209846308E9</v>
      </c>
      <c r="AJ872" s="1">
        <v>165.0</v>
      </c>
      <c r="AK872" s="1">
        <v>74.0</v>
      </c>
      <c r="AL872" s="1" t="s">
        <v>13827</v>
      </c>
      <c r="AM872" s="1" t="s">
        <v>13828</v>
      </c>
      <c r="AN872" s="7" t="s">
        <v>13829</v>
      </c>
      <c r="AO872" s="8" t="str">
        <f>HYPERLINK("https://docs.google.com/document/d/1bIbXDHoeWDd7-uhwb7sC14YiJ9FSOAKMwKs5gvtyCFE/edit?usp=drivesdk","Al-Wildan 1 Gading Serpong_Ani nikmah M.Pd_Biologi ")</f>
        <v>Al-Wildan 1 Gading Serpong_Ani nikmah M.Pd_Biologi </v>
      </c>
      <c r="AP872" s="1" t="s">
        <v>13830</v>
      </c>
    </row>
    <row r="873">
      <c r="A873" s="6">
        <v>45247.45270570602</v>
      </c>
      <c r="B873" s="7" t="s">
        <v>13831</v>
      </c>
      <c r="C873" s="8" t="s">
        <v>13832</v>
      </c>
      <c r="D873" s="1" t="s">
        <v>13833</v>
      </c>
      <c r="E873" s="9" t="s">
        <v>13834</v>
      </c>
      <c r="F873" s="1" t="s">
        <v>13835</v>
      </c>
      <c r="G873" s="1" t="s">
        <v>13836</v>
      </c>
      <c r="H873" s="1" t="s">
        <v>13836</v>
      </c>
      <c r="I873" s="9" t="s">
        <v>13837</v>
      </c>
      <c r="J873" s="1" t="s">
        <v>667</v>
      </c>
      <c r="K873" s="1" t="s">
        <v>151</v>
      </c>
      <c r="L873" s="1" t="s">
        <v>103</v>
      </c>
      <c r="M873" s="1" t="s">
        <v>104</v>
      </c>
      <c r="N873" s="1" t="s">
        <v>771</v>
      </c>
      <c r="O873" s="1" t="s">
        <v>312</v>
      </c>
      <c r="P873" s="1" t="s">
        <v>237</v>
      </c>
      <c r="Q873" s="1" t="s">
        <v>6045</v>
      </c>
      <c r="R873" s="1" t="s">
        <v>5612</v>
      </c>
      <c r="S873" s="1" t="s">
        <v>5523</v>
      </c>
      <c r="T873" s="1" t="s">
        <v>6045</v>
      </c>
      <c r="U873" s="1" t="s">
        <v>13838</v>
      </c>
      <c r="V873" s="1" t="s">
        <v>1612</v>
      </c>
      <c r="Z873" s="1" t="s">
        <v>13839</v>
      </c>
      <c r="AA873" s="10">
        <v>1500000.0</v>
      </c>
      <c r="AB873" s="1" t="s">
        <v>13840</v>
      </c>
      <c r="AC873" s="10">
        <v>2000000.0</v>
      </c>
      <c r="AF873" s="10">
        <v>5000000.0</v>
      </c>
      <c r="AH873" s="1">
        <v>1.330015892763E12</v>
      </c>
      <c r="AI873" s="1" t="s">
        <v>2119</v>
      </c>
      <c r="AJ873" s="1">
        <v>155.0</v>
      </c>
      <c r="AK873" s="1">
        <v>55.0</v>
      </c>
      <c r="AL873" s="1" t="s">
        <v>13841</v>
      </c>
      <c r="AM873" s="1" t="s">
        <v>13842</v>
      </c>
      <c r="AN873" s="7" t="s">
        <v>13843</v>
      </c>
      <c r="AO873" s="8" t="str">
        <f>HYPERLINK("https://docs.google.com/document/d/1s2G1DS1JbPIfzNWVlGYzJYn6_n1Mbk2QcWF-m56gylo/edit?usp=drivesdk","Al-Wildan 4 Lebak Bulus_Annisa Siti Zulfah, S.S., M.Sas._English")</f>
        <v>Al-Wildan 4 Lebak Bulus_Annisa Siti Zulfah, S.S., M.Sas._English</v>
      </c>
      <c r="AP873" s="1" t="s">
        <v>13844</v>
      </c>
    </row>
    <row r="874">
      <c r="A874" s="6">
        <v>45248.466572199075</v>
      </c>
      <c r="B874" s="7" t="s">
        <v>13845</v>
      </c>
      <c r="C874" s="8" t="s">
        <v>13846</v>
      </c>
      <c r="D874" s="1" t="s">
        <v>13847</v>
      </c>
      <c r="E874" s="1" t="s">
        <v>13848</v>
      </c>
      <c r="F874" s="1" t="s">
        <v>13849</v>
      </c>
      <c r="G874" s="1" t="s">
        <v>13850</v>
      </c>
      <c r="H874" s="1" t="s">
        <v>6482</v>
      </c>
      <c r="I874" s="9" t="s">
        <v>13851</v>
      </c>
      <c r="J874" s="1" t="s">
        <v>13852</v>
      </c>
      <c r="K874" s="1" t="s">
        <v>151</v>
      </c>
      <c r="L874" s="1" t="s">
        <v>256</v>
      </c>
      <c r="M874" s="1" t="s">
        <v>104</v>
      </c>
      <c r="N874" s="1" t="s">
        <v>152</v>
      </c>
      <c r="O874" s="1" t="s">
        <v>106</v>
      </c>
      <c r="P874" s="1" t="s">
        <v>6091</v>
      </c>
      <c r="Q874" s="1" t="s">
        <v>13853</v>
      </c>
      <c r="R874" s="1" t="s">
        <v>13854</v>
      </c>
      <c r="S874" s="1" t="s">
        <v>1087</v>
      </c>
      <c r="Z874" s="1" t="s">
        <v>13855</v>
      </c>
      <c r="AA874" s="10">
        <v>7500000.0</v>
      </c>
      <c r="AB874" s="1" t="s">
        <v>13856</v>
      </c>
      <c r="AC874" s="10">
        <v>6500000.0</v>
      </c>
      <c r="AF874" s="1" t="s">
        <v>3207</v>
      </c>
      <c r="AG874" s="1">
        <v>7.79720636E9</v>
      </c>
      <c r="AJ874" s="1">
        <v>165.0</v>
      </c>
      <c r="AK874" s="1">
        <v>83.0</v>
      </c>
      <c r="AL874" s="1" t="s">
        <v>13857</v>
      </c>
      <c r="AM874" s="1" t="s">
        <v>13858</v>
      </c>
      <c r="AN874" s="7" t="s">
        <v>13859</v>
      </c>
      <c r="AO874" s="8" t="str">
        <f>HYPERLINK("https://docs.google.com/document/d/1IHGTlKHyFGadh7Ys1Vg1KRoB0jUAqjCuh7aWVEtwEFc/edit?usp=drivesdk","Al-Wildan 10 Cipinang, Jakarta Timur_Afik Mauliya Rafik_Bahasa Inggris")</f>
        <v>Al-Wildan 10 Cipinang, Jakarta Timur_Afik Mauliya Rafik_Bahasa Inggris</v>
      </c>
      <c r="AP874" s="1" t="s">
        <v>13860</v>
      </c>
    </row>
    <row r="875">
      <c r="A875" s="6">
        <v>45256.52428549768</v>
      </c>
      <c r="B875" s="7" t="s">
        <v>13861</v>
      </c>
      <c r="C875" s="8" t="s">
        <v>13862</v>
      </c>
      <c r="D875" s="1" t="s">
        <v>13863</v>
      </c>
      <c r="E875" s="9" t="s">
        <v>13864</v>
      </c>
      <c r="F875" s="1" t="s">
        <v>13865</v>
      </c>
      <c r="G875" s="1" t="s">
        <v>13866</v>
      </c>
      <c r="H875" s="1" t="s">
        <v>1411</v>
      </c>
      <c r="I875" s="9" t="s">
        <v>13867</v>
      </c>
      <c r="J875" s="1" t="s">
        <v>13868</v>
      </c>
      <c r="K875" s="1" t="s">
        <v>151</v>
      </c>
      <c r="L875" s="1" t="s">
        <v>256</v>
      </c>
      <c r="M875" s="1" t="s">
        <v>104</v>
      </c>
      <c r="N875" s="1" t="s">
        <v>771</v>
      </c>
      <c r="O875" s="1" t="s">
        <v>312</v>
      </c>
      <c r="P875" s="1" t="s">
        <v>237</v>
      </c>
      <c r="Q875" s="1" t="s">
        <v>13869</v>
      </c>
      <c r="R875" s="1" t="s">
        <v>2584</v>
      </c>
      <c r="S875" s="1" t="s">
        <v>2180</v>
      </c>
      <c r="Z875" s="1" t="s">
        <v>13870</v>
      </c>
      <c r="AA875" s="10">
        <v>4500000.0</v>
      </c>
      <c r="AF875" s="10">
        <v>5500000.0</v>
      </c>
      <c r="AH875" s="9" t="s">
        <v>13871</v>
      </c>
      <c r="AI875" s="1" t="s">
        <v>13872</v>
      </c>
      <c r="AJ875" s="1">
        <v>163.0</v>
      </c>
      <c r="AK875" s="1">
        <v>45.0</v>
      </c>
      <c r="AL875" s="1" t="s">
        <v>13873</v>
      </c>
      <c r="AM875" s="1" t="s">
        <v>13874</v>
      </c>
      <c r="AN875" s="7" t="s">
        <v>13875</v>
      </c>
      <c r="AO875" s="8" t="str">
        <f>HYPERLINK("https://docs.google.com/document/d/1fDLg89WojtSXxSScFg4wZhHgmh-BNas5feAXsbKQ7Ts/edit?usp=drivesdk","Al-Wildan 4 Lebak Bulus_Taqiya Nabila Prameswari, S.Pd._English")</f>
        <v>Al-Wildan 4 Lebak Bulus_Taqiya Nabila Prameswari, S.Pd._English</v>
      </c>
      <c r="AP875" s="1" t="s">
        <v>13876</v>
      </c>
    </row>
    <row r="876">
      <c r="A876" s="6">
        <v>45257.52875949074</v>
      </c>
      <c r="B876" s="7" t="s">
        <v>13877</v>
      </c>
      <c r="C876" s="8" t="s">
        <v>13878</v>
      </c>
      <c r="D876" s="1" t="s">
        <v>13879</v>
      </c>
      <c r="E876" s="9" t="s">
        <v>13880</v>
      </c>
      <c r="F876" s="1" t="s">
        <v>13881</v>
      </c>
      <c r="G876" s="1" t="s">
        <v>13882</v>
      </c>
      <c r="H876" s="1" t="s">
        <v>13883</v>
      </c>
      <c r="I876" s="9" t="s">
        <v>13884</v>
      </c>
      <c r="J876" s="1" t="s">
        <v>1274</v>
      </c>
      <c r="K876" s="1" t="s">
        <v>151</v>
      </c>
      <c r="L876" s="1" t="s">
        <v>310</v>
      </c>
      <c r="M876" s="1" t="s">
        <v>5710</v>
      </c>
      <c r="O876" s="1" t="s">
        <v>5711</v>
      </c>
      <c r="P876" s="1" t="s">
        <v>5712</v>
      </c>
      <c r="Q876" s="1" t="s">
        <v>13885</v>
      </c>
      <c r="S876" s="1">
        <v>2.88</v>
      </c>
      <c r="Z876" s="1" t="s">
        <v>13886</v>
      </c>
      <c r="AA876" s="1">
        <v>3000000.0</v>
      </c>
      <c r="AB876" s="1" t="s">
        <v>13887</v>
      </c>
      <c r="AC876" s="1">
        <v>5500000.0</v>
      </c>
      <c r="AD876" s="1" t="s">
        <v>13888</v>
      </c>
      <c r="AE876" s="1">
        <v>5.3E7</v>
      </c>
      <c r="AF876" s="1">
        <v>5500000.0</v>
      </c>
      <c r="AH876" s="1">
        <v>4.971464385E9</v>
      </c>
      <c r="AI876" s="1" t="s">
        <v>6322</v>
      </c>
      <c r="AJ876" s="1">
        <v>165.0</v>
      </c>
      <c r="AK876" s="1">
        <v>50.0</v>
      </c>
      <c r="AL876" s="1" t="s">
        <v>13889</v>
      </c>
      <c r="AM876" s="1" t="s">
        <v>13890</v>
      </c>
      <c r="AN876" s="7" t="s">
        <v>13891</v>
      </c>
      <c r="AO876" s="8" t="str">
        <f>HYPERLINK("https://docs.google.com/document/d/1yINnwLV8_zeUPfCTcFD7FY8T_cxdK-y85zd0p0ofeQQ/edit?usp=drivesdk","Al-Wildan 3 BSD City_Frengki Firnando Amd,Kep_")</f>
        <v>Al-Wildan 3 BSD City_Frengki Firnando Amd,Kep_</v>
      </c>
      <c r="AP876" s="1" t="s">
        <v>13892</v>
      </c>
    </row>
    <row r="877">
      <c r="A877" s="6">
        <v>45272.480015231486</v>
      </c>
      <c r="B877" s="7" t="s">
        <v>13893</v>
      </c>
      <c r="C877" s="8" t="s">
        <v>13894</v>
      </c>
      <c r="D877" s="1" t="s">
        <v>13895</v>
      </c>
      <c r="E877" s="9" t="s">
        <v>13896</v>
      </c>
      <c r="F877" s="1" t="s">
        <v>13897</v>
      </c>
      <c r="G877" s="1" t="s">
        <v>13898</v>
      </c>
      <c r="H877" s="1" t="s">
        <v>99</v>
      </c>
      <c r="I877" s="9" t="s">
        <v>13899</v>
      </c>
      <c r="J877" s="1" t="s">
        <v>13900</v>
      </c>
      <c r="K877" s="1" t="s">
        <v>102</v>
      </c>
      <c r="L877" s="1" t="s">
        <v>827</v>
      </c>
      <c r="M877" s="1" t="s">
        <v>5710</v>
      </c>
      <c r="O877" s="1" t="s">
        <v>5711</v>
      </c>
      <c r="P877" s="1" t="s">
        <v>107</v>
      </c>
      <c r="Q877" s="1" t="s">
        <v>967</v>
      </c>
      <c r="R877" s="1" t="s">
        <v>13901</v>
      </c>
      <c r="S877" s="1" t="s">
        <v>13902</v>
      </c>
      <c r="Z877" s="1" t="s">
        <v>13903</v>
      </c>
      <c r="AA877" s="10">
        <v>4000000.0</v>
      </c>
      <c r="AB877" s="1" t="s">
        <v>13904</v>
      </c>
      <c r="AC877" s="10">
        <v>4200000.0</v>
      </c>
      <c r="AD877" s="1" t="s">
        <v>13905</v>
      </c>
      <c r="AE877" s="10">
        <v>4600000.0</v>
      </c>
      <c r="AF877" s="10">
        <v>4900000.0</v>
      </c>
      <c r="AH877" s="1">
        <v>5.540774929E9</v>
      </c>
      <c r="AI877" s="1" t="s">
        <v>4705</v>
      </c>
      <c r="AJ877" s="1">
        <v>160.0</v>
      </c>
      <c r="AK877" s="1">
        <v>90.0</v>
      </c>
      <c r="AL877" s="1" t="s">
        <v>13906</v>
      </c>
      <c r="AM877" s="1" t="s">
        <v>13907</v>
      </c>
      <c r="AN877" s="7" t="s">
        <v>13908</v>
      </c>
      <c r="AO877" s="8" t="str">
        <f>HYPERLINK("https://docs.google.com/document/d/1gR6_wY78ljlXKQyaWwsusw3qEQV8MRVQ7-nEML9ydiI/edit?usp=drivesdk","Al-Wildan 1 Gading Serpong_Ns. Tiara Purwaningtyas., S.Kep_")</f>
        <v>Al-Wildan 1 Gading Serpong_Ns. Tiara Purwaningtyas., S.Kep_</v>
      </c>
      <c r="AP877" s="1" t="s">
        <v>13909</v>
      </c>
    </row>
    <row r="878">
      <c r="A878" s="6">
        <v>45272.514110069445</v>
      </c>
      <c r="B878" s="7" t="s">
        <v>13910</v>
      </c>
      <c r="C878" s="8" t="s">
        <v>13911</v>
      </c>
      <c r="D878" s="1" t="s">
        <v>13912</v>
      </c>
      <c r="E878" s="9" t="s">
        <v>13913</v>
      </c>
      <c r="F878" s="1" t="s">
        <v>13914</v>
      </c>
      <c r="G878" s="1" t="s">
        <v>13915</v>
      </c>
      <c r="H878" s="1" t="s">
        <v>169</v>
      </c>
      <c r="I878" s="9" t="s">
        <v>13916</v>
      </c>
      <c r="J878" s="1" t="s">
        <v>826</v>
      </c>
      <c r="K878" s="1" t="s">
        <v>151</v>
      </c>
      <c r="L878" s="1" t="s">
        <v>103</v>
      </c>
      <c r="M878" s="1" t="s">
        <v>13917</v>
      </c>
      <c r="N878" s="1" t="s">
        <v>13918</v>
      </c>
      <c r="O878" s="1" t="s">
        <v>106</v>
      </c>
      <c r="P878" s="1" t="s">
        <v>6091</v>
      </c>
      <c r="Q878" s="1" t="s">
        <v>13919</v>
      </c>
      <c r="R878" s="1" t="s">
        <v>13920</v>
      </c>
      <c r="S878" s="1" t="s">
        <v>2369</v>
      </c>
      <c r="Z878" s="1" t="s">
        <v>13921</v>
      </c>
      <c r="AA878" s="10">
        <v>3700000.0</v>
      </c>
      <c r="AB878" s="1" t="s">
        <v>13922</v>
      </c>
      <c r="AC878" s="10">
        <v>3600000.0</v>
      </c>
      <c r="AD878" s="1" t="s">
        <v>13923</v>
      </c>
      <c r="AE878" s="10">
        <v>750000.0</v>
      </c>
      <c r="AF878" s="10">
        <v>4000000.0</v>
      </c>
      <c r="AH878" s="1">
        <v>1.0423078773E10</v>
      </c>
      <c r="AI878" s="1" t="s">
        <v>13924</v>
      </c>
      <c r="AJ878" s="1">
        <v>171.0</v>
      </c>
      <c r="AK878" s="1">
        <v>96.0</v>
      </c>
      <c r="AL878" s="1" t="s">
        <v>13925</v>
      </c>
      <c r="AM878" s="1" t="s">
        <v>13926</v>
      </c>
      <c r="AN878" s="7" t="s">
        <v>13927</v>
      </c>
      <c r="AO878" s="8" t="str">
        <f>HYPERLINK("https://docs.google.com/document/d/1MQZWpTTHPsvhybqrIYHmfgUXjT0VSiyUqesMZnH_R0w/edit?usp=drivesdk","Al-Wildan 10 Cipinang, Jakarta Timur_Andri Saputra, SP. d_PJOK")</f>
        <v>Al-Wildan 10 Cipinang, Jakarta Timur_Andri Saputra, SP. d_PJOK</v>
      </c>
      <c r="AP878" s="1" t="s">
        <v>13928</v>
      </c>
    </row>
    <row r="879">
      <c r="A879" s="6">
        <v>45272.56045400463</v>
      </c>
      <c r="B879" s="7" t="s">
        <v>13929</v>
      </c>
      <c r="C879" s="8" t="s">
        <v>13930</v>
      </c>
      <c r="D879" s="1" t="s">
        <v>13931</v>
      </c>
      <c r="E879" s="9" t="s">
        <v>13932</v>
      </c>
      <c r="F879" s="1" t="s">
        <v>13933</v>
      </c>
      <c r="G879" s="1" t="s">
        <v>13934</v>
      </c>
      <c r="H879" s="1" t="s">
        <v>169</v>
      </c>
      <c r="I879" s="9" t="s">
        <v>13935</v>
      </c>
      <c r="J879" s="1" t="s">
        <v>13936</v>
      </c>
      <c r="K879" s="1" t="s">
        <v>102</v>
      </c>
      <c r="L879" s="1" t="s">
        <v>256</v>
      </c>
      <c r="M879" s="1" t="s">
        <v>5710</v>
      </c>
      <c r="O879" s="1" t="s">
        <v>5711</v>
      </c>
      <c r="P879" s="1" t="s">
        <v>6091</v>
      </c>
      <c r="Q879" s="1" t="s">
        <v>13937</v>
      </c>
      <c r="R879" s="1" t="s">
        <v>5731</v>
      </c>
      <c r="S879" s="1" t="s">
        <v>333</v>
      </c>
      <c r="Z879" s="1" t="s">
        <v>13938</v>
      </c>
      <c r="AB879" s="1" t="s">
        <v>13939</v>
      </c>
      <c r="AF879" s="1" t="s">
        <v>13940</v>
      </c>
      <c r="AG879" s="1">
        <v>7.174904906E9</v>
      </c>
      <c r="AJ879" s="1">
        <v>158.0</v>
      </c>
      <c r="AK879" s="1">
        <v>72.0</v>
      </c>
      <c r="AL879" s="1" t="s">
        <v>13941</v>
      </c>
      <c r="AM879" s="1" t="s">
        <v>13942</v>
      </c>
      <c r="AN879" s="7" t="s">
        <v>13943</v>
      </c>
      <c r="AO879" s="8" t="str">
        <f>HYPERLINK("https://docs.google.com/document/d/1s9x33ruAZswE9045Y293nd0_QkrsLbbUK-Xl2_qoCec/edit?usp=drivesdk","Al-Wildan 10 Cipinang, Jakarta Timur_Dewi Sri Wati_")</f>
        <v>Al-Wildan 10 Cipinang, Jakarta Timur_Dewi Sri Wati_</v>
      </c>
      <c r="AP879" s="1" t="s">
        <v>13944</v>
      </c>
    </row>
    <row r="880">
      <c r="A880" s="6">
        <v>45278.40145366898</v>
      </c>
      <c r="B880" s="7" t="s">
        <v>13945</v>
      </c>
      <c r="C880" s="8" t="s">
        <v>13946</v>
      </c>
      <c r="D880" s="1" t="s">
        <v>13947</v>
      </c>
      <c r="E880" s="9" t="s">
        <v>13948</v>
      </c>
      <c r="F880" s="1" t="s">
        <v>13949</v>
      </c>
      <c r="G880" s="1" t="s">
        <v>13950</v>
      </c>
      <c r="H880" s="1" t="s">
        <v>13951</v>
      </c>
      <c r="I880" s="9" t="s">
        <v>13952</v>
      </c>
      <c r="J880" s="1" t="s">
        <v>6813</v>
      </c>
      <c r="K880" s="1" t="s">
        <v>151</v>
      </c>
      <c r="L880" s="1" t="s">
        <v>329</v>
      </c>
      <c r="M880" s="1" t="s">
        <v>104</v>
      </c>
      <c r="N880" s="1" t="s">
        <v>9478</v>
      </c>
      <c r="O880" s="1" t="s">
        <v>312</v>
      </c>
      <c r="P880" s="1" t="s">
        <v>237</v>
      </c>
      <c r="Q880" s="1" t="s">
        <v>13953</v>
      </c>
      <c r="R880" s="1" t="s">
        <v>13954</v>
      </c>
      <c r="S880" s="1" t="s">
        <v>9882</v>
      </c>
      <c r="Z880" s="1" t="s">
        <v>13955</v>
      </c>
      <c r="AA880" s="10">
        <v>7000000.0</v>
      </c>
      <c r="AF880" s="10">
        <v>1.0E7</v>
      </c>
      <c r="AH880" s="1">
        <v>5.075148868E9</v>
      </c>
      <c r="AI880" s="1" t="s">
        <v>222</v>
      </c>
      <c r="AJ880" s="1">
        <v>154.0</v>
      </c>
      <c r="AK880" s="1">
        <v>50.0</v>
      </c>
      <c r="AL880" s="1" t="s">
        <v>13956</v>
      </c>
      <c r="AM880" s="1" t="s">
        <v>13957</v>
      </c>
      <c r="AN880" s="7" t="s">
        <v>13958</v>
      </c>
      <c r="AO880" s="8" t="str">
        <f>HYPERLINK("https://docs.google.com/document/d/15w-YVtFqnUkUw-DA1qh45dq_1Q6U1yacNjYC7v58dRo/edit?usp=drivesdk","Al-Wildan 4 Lebak Bulus_ANNISA RIZQA AULIA, S.Pd._Mathematics")</f>
        <v>Al-Wildan 4 Lebak Bulus_ANNISA RIZQA AULIA, S.Pd._Mathematics</v>
      </c>
      <c r="AP880" s="1" t="s">
        <v>13959</v>
      </c>
    </row>
    <row r="881">
      <c r="A881" s="6">
        <v>45278.41945247685</v>
      </c>
      <c r="B881" s="7" t="s">
        <v>13960</v>
      </c>
      <c r="C881" s="8" t="s">
        <v>13961</v>
      </c>
      <c r="D881" s="1" t="s">
        <v>13962</v>
      </c>
      <c r="E881" s="9" t="s">
        <v>13963</v>
      </c>
      <c r="F881" s="1" t="s">
        <v>13949</v>
      </c>
      <c r="G881" s="1" t="s">
        <v>13964</v>
      </c>
      <c r="H881" s="1" t="s">
        <v>6415</v>
      </c>
      <c r="I881" s="9" t="s">
        <v>13952</v>
      </c>
      <c r="J881" s="1" t="s">
        <v>6813</v>
      </c>
      <c r="K881" s="1" t="s">
        <v>151</v>
      </c>
      <c r="L881" s="1" t="s">
        <v>329</v>
      </c>
      <c r="M881" s="1" t="s">
        <v>104</v>
      </c>
      <c r="N881" s="1" t="s">
        <v>6008</v>
      </c>
      <c r="O881" s="1" t="s">
        <v>312</v>
      </c>
      <c r="P881" s="1" t="s">
        <v>237</v>
      </c>
      <c r="Q881" s="1" t="s">
        <v>13965</v>
      </c>
      <c r="R881" s="1" t="s">
        <v>13966</v>
      </c>
      <c r="S881" s="1">
        <v>3.57</v>
      </c>
      <c r="Z881" s="1" t="s">
        <v>13967</v>
      </c>
      <c r="AA881" s="10">
        <v>7000000.0</v>
      </c>
      <c r="AF881" s="10">
        <v>1.0E7</v>
      </c>
      <c r="AH881" s="1">
        <v>5.075148868E9</v>
      </c>
      <c r="AI881" s="1" t="s">
        <v>222</v>
      </c>
      <c r="AJ881" s="1">
        <v>154.0</v>
      </c>
      <c r="AK881" s="1">
        <v>50.0</v>
      </c>
      <c r="AL881" s="1" t="s">
        <v>13956</v>
      </c>
      <c r="AM881" s="1" t="s">
        <v>13968</v>
      </c>
      <c r="AN881" s="7" t="s">
        <v>13969</v>
      </c>
      <c r="AO881" s="8" t="str">
        <f>HYPERLINK("https://docs.google.com/document/d/1-E1MHxXqK48rqaQvDZ1sQIkV5K6R28f4JSdfTGcw13k/edit?usp=drivesdk","Al-Wildan 4 Lebak Bulus_Annisa Rizqa Aulia S.Pd._Mathematics ")</f>
        <v>Al-Wildan 4 Lebak Bulus_Annisa Rizqa Aulia S.Pd._Mathematics </v>
      </c>
      <c r="AP881" s="1" t="s">
        <v>13970</v>
      </c>
    </row>
    <row r="882">
      <c r="A882" s="6">
        <v>45280.7905450463</v>
      </c>
      <c r="B882" s="7" t="s">
        <v>13971</v>
      </c>
      <c r="C882" s="8" t="s">
        <v>13972</v>
      </c>
      <c r="D882" s="1" t="s">
        <v>13973</v>
      </c>
      <c r="E882" s="9" t="s">
        <v>13974</v>
      </c>
      <c r="F882" s="1" t="s">
        <v>13975</v>
      </c>
      <c r="G882" s="1" t="s">
        <v>13976</v>
      </c>
      <c r="H882" s="1" t="s">
        <v>944</v>
      </c>
      <c r="I882" s="9" t="s">
        <v>13977</v>
      </c>
      <c r="J882" s="1" t="s">
        <v>8497</v>
      </c>
      <c r="K882" s="1" t="s">
        <v>151</v>
      </c>
      <c r="L882" s="1" t="s">
        <v>256</v>
      </c>
      <c r="M882" s="1" t="s">
        <v>104</v>
      </c>
      <c r="N882" s="1" t="s">
        <v>13978</v>
      </c>
      <c r="O882" s="1" t="s">
        <v>312</v>
      </c>
      <c r="P882" s="1" t="s">
        <v>237</v>
      </c>
      <c r="Q882" s="1" t="s">
        <v>1022</v>
      </c>
      <c r="R882" s="1" t="s">
        <v>13979</v>
      </c>
      <c r="S882" s="1" t="s">
        <v>13980</v>
      </c>
      <c r="T882" s="1" t="s">
        <v>13981</v>
      </c>
      <c r="U882" s="1" t="s">
        <v>13981</v>
      </c>
      <c r="V882" s="1" t="s">
        <v>13981</v>
      </c>
      <c r="W882" s="1" t="s">
        <v>13981</v>
      </c>
      <c r="X882" s="1" t="s">
        <v>13981</v>
      </c>
      <c r="Y882" s="1">
        <v>0.0</v>
      </c>
      <c r="Z882" s="1" t="s">
        <v>13982</v>
      </c>
      <c r="AA882" s="10">
        <v>700000.0</v>
      </c>
      <c r="AB882" s="1" t="s">
        <v>13981</v>
      </c>
      <c r="AC882" s="1" t="s">
        <v>13981</v>
      </c>
      <c r="AD882" s="1" t="s">
        <v>13981</v>
      </c>
      <c r="AE882" s="1" t="s">
        <v>13981</v>
      </c>
      <c r="AF882" s="10">
        <v>5500000.0</v>
      </c>
      <c r="AG882" s="1">
        <v>9.50879259E9</v>
      </c>
      <c r="AH882" s="1">
        <v>0.0</v>
      </c>
      <c r="AI882" s="1" t="s">
        <v>13981</v>
      </c>
      <c r="AJ882" s="1">
        <v>150.0</v>
      </c>
      <c r="AK882" s="1">
        <v>40.0</v>
      </c>
      <c r="AL882" s="1" t="s">
        <v>13983</v>
      </c>
      <c r="AM882" s="1" t="s">
        <v>13984</v>
      </c>
      <c r="AN882" s="7" t="s">
        <v>13985</v>
      </c>
      <c r="AO882" s="8" t="str">
        <f>HYPERLINK("https://docs.google.com/document/d/1tlMYT-BmCLVz6ct71V25rJ6EvNYflYj7dzgwiw_y3oc/edit?usp=drivesdk","Al-Wildan 4 Lebak Bulus_Marfuatin Mutahharah B.B.A_Al-Quran / Diniyyah")</f>
        <v>Al-Wildan 4 Lebak Bulus_Marfuatin Mutahharah B.B.A_Al-Quran / Diniyyah</v>
      </c>
      <c r="AP882" s="1" t="s">
        <v>13986</v>
      </c>
    </row>
    <row r="883">
      <c r="A883" s="6">
        <v>45281.59554608796</v>
      </c>
      <c r="B883" s="7" t="s">
        <v>13987</v>
      </c>
      <c r="C883" s="8" t="s">
        <v>13988</v>
      </c>
      <c r="D883" s="1" t="s">
        <v>13989</v>
      </c>
      <c r="E883" s="9" t="s">
        <v>13990</v>
      </c>
      <c r="F883" s="1" t="s">
        <v>13991</v>
      </c>
      <c r="G883" s="1" t="s">
        <v>13992</v>
      </c>
      <c r="H883" s="1" t="s">
        <v>169</v>
      </c>
      <c r="I883" s="9" t="s">
        <v>13993</v>
      </c>
      <c r="J883" s="1" t="s">
        <v>13994</v>
      </c>
      <c r="K883" s="1" t="s">
        <v>151</v>
      </c>
      <c r="L883" s="1" t="s">
        <v>329</v>
      </c>
      <c r="M883" s="1" t="s">
        <v>104</v>
      </c>
      <c r="N883" s="1" t="s">
        <v>13995</v>
      </c>
      <c r="O883" s="1" t="s">
        <v>312</v>
      </c>
      <c r="P883" s="1" t="s">
        <v>237</v>
      </c>
      <c r="Q883" s="1" t="s">
        <v>13996</v>
      </c>
      <c r="R883" s="1" t="s">
        <v>6356</v>
      </c>
      <c r="S883" s="1" t="s">
        <v>1695</v>
      </c>
      <c r="Z883" s="1" t="s">
        <v>13997</v>
      </c>
      <c r="AA883" s="10">
        <v>5500000.0</v>
      </c>
      <c r="AF883" s="10">
        <v>5500000.0</v>
      </c>
      <c r="AG883" s="1">
        <v>7.249729145E9</v>
      </c>
      <c r="AJ883" s="1">
        <v>159.0</v>
      </c>
      <c r="AK883" s="1">
        <v>49.0</v>
      </c>
      <c r="AL883" s="1" t="s">
        <v>13998</v>
      </c>
      <c r="AM883" s="1" t="s">
        <v>13999</v>
      </c>
      <c r="AN883" s="7" t="s">
        <v>14000</v>
      </c>
      <c r="AO883" s="8" t="str">
        <f>HYPERLINK("https://docs.google.com/document/d/1xpZPihJ0wQIVmuMcsc1jCQSto1moJc3t2j8u7LqsmbE/edit?usp=drivesdk","Al-Wildan 4 Lebak Bulus_Nilanda Chandra Fitriarni S.sos_Math, Science, EL")</f>
        <v>Al-Wildan 4 Lebak Bulus_Nilanda Chandra Fitriarni S.sos_Math, Science, EL</v>
      </c>
      <c r="AP883" s="1" t="s">
        <v>14001</v>
      </c>
    </row>
    <row r="884">
      <c r="A884" s="6">
        <v>45289.635052627316</v>
      </c>
      <c r="B884" s="7" t="s">
        <v>14002</v>
      </c>
      <c r="C884" s="8" t="s">
        <v>14003</v>
      </c>
      <c r="D884" s="1" t="s">
        <v>14004</v>
      </c>
      <c r="E884" s="9" t="s">
        <v>14005</v>
      </c>
      <c r="F884" s="1" t="s">
        <v>14006</v>
      </c>
      <c r="G884" s="1" t="s">
        <v>14007</v>
      </c>
      <c r="H884" s="1" t="s">
        <v>722</v>
      </c>
      <c r="I884" s="9" t="s">
        <v>14008</v>
      </c>
      <c r="J884" s="1" t="s">
        <v>6813</v>
      </c>
      <c r="K884" s="1" t="s">
        <v>151</v>
      </c>
      <c r="L884" s="1" t="s">
        <v>103</v>
      </c>
      <c r="M884" s="1" t="s">
        <v>104</v>
      </c>
      <c r="N884" s="1" t="s">
        <v>439</v>
      </c>
      <c r="O884" s="1" t="s">
        <v>236</v>
      </c>
      <c r="P884" s="1" t="s">
        <v>237</v>
      </c>
      <c r="Q884" s="1" t="s">
        <v>14009</v>
      </c>
      <c r="R884" s="1" t="s">
        <v>14010</v>
      </c>
      <c r="Z884" s="1" t="s">
        <v>14011</v>
      </c>
      <c r="AA884" s="10">
        <v>2000000.0</v>
      </c>
      <c r="AB884" s="1" t="s">
        <v>14012</v>
      </c>
      <c r="AC884" s="10">
        <v>500000.0</v>
      </c>
      <c r="AD884" s="1" t="s">
        <v>14013</v>
      </c>
      <c r="AE884" s="10">
        <v>2500000.0</v>
      </c>
      <c r="AF884" s="1" t="s">
        <v>6769</v>
      </c>
      <c r="AH884" s="1">
        <v>1.070589482E9</v>
      </c>
      <c r="AI884" s="1" t="s">
        <v>222</v>
      </c>
      <c r="AJ884" s="1">
        <v>167.0</v>
      </c>
      <c r="AK884" s="1">
        <v>66.0</v>
      </c>
      <c r="AL884" s="1" t="s">
        <v>14014</v>
      </c>
      <c r="AM884" s="1" t="s">
        <v>14015</v>
      </c>
      <c r="AN884" s="7" t="s">
        <v>14016</v>
      </c>
      <c r="AO884" s="8" t="str">
        <f>HYPERLINK("https://docs.google.com/document/d/1qZgw8GpZUya7FFZ8hPoPwh0D5wP2JgQjc3aTQy1WyA4/edit?usp=drivesdk","Al-Wildan 4 Lebak Bulus_Husna Suhada, S.Sos._Sosiologi")</f>
        <v>Al-Wildan 4 Lebak Bulus_Husna Suhada, S.Sos._Sosiologi</v>
      </c>
      <c r="AP884" s="1" t="s">
        <v>14017</v>
      </c>
    </row>
    <row r="885">
      <c r="A885" s="6">
        <v>45293.629502916665</v>
      </c>
      <c r="B885" s="7" t="s">
        <v>14018</v>
      </c>
      <c r="C885" s="8" t="s">
        <v>14019</v>
      </c>
      <c r="D885" s="1" t="s">
        <v>14020</v>
      </c>
      <c r="E885" s="9" t="s">
        <v>14021</v>
      </c>
      <c r="F885" s="1">
        <v>3.17502671990007E14</v>
      </c>
      <c r="G885" s="1" t="s">
        <v>6779</v>
      </c>
      <c r="H885" s="1" t="s">
        <v>288</v>
      </c>
      <c r="I885" s="9" t="s">
        <v>14022</v>
      </c>
      <c r="J885" s="1" t="s">
        <v>667</v>
      </c>
      <c r="K885" s="1" t="s">
        <v>151</v>
      </c>
      <c r="L885" s="1" t="s">
        <v>827</v>
      </c>
      <c r="M885" s="1" t="s">
        <v>104</v>
      </c>
      <c r="N885" s="1" t="s">
        <v>14023</v>
      </c>
      <c r="O885" s="1" t="s">
        <v>9794</v>
      </c>
      <c r="P885" s="1" t="s">
        <v>6091</v>
      </c>
      <c r="Q885" s="1" t="s">
        <v>7463</v>
      </c>
      <c r="R885" s="1" t="s">
        <v>109</v>
      </c>
      <c r="AF885" s="10">
        <v>3500000.0</v>
      </c>
      <c r="AG885" s="1">
        <v>7.258796394E9</v>
      </c>
      <c r="AJ885" s="1">
        <v>162.0</v>
      </c>
      <c r="AK885" s="1">
        <v>48.0</v>
      </c>
      <c r="AL885" s="1" t="s">
        <v>14024</v>
      </c>
      <c r="AM885" s="1" t="s">
        <v>14025</v>
      </c>
      <c r="AN885" s="7" t="s">
        <v>14026</v>
      </c>
      <c r="AO885" s="8" t="str">
        <f>HYPERLINK("https://docs.google.com/document/d/1DZOuoWtTwDU_1XxQ9Z72_yQ-b-UjG1tjKtaYA8Gd_Gs/edit?usp=drivesdk","Al-Wildan 10 Cipinang, Jakarta Timur_Dien Fatimah, S.Pd_Tematik")</f>
        <v>Al-Wildan 10 Cipinang, Jakarta Timur_Dien Fatimah, S.Pd_Tematik</v>
      </c>
      <c r="AP885" s="1" t="s">
        <v>14027</v>
      </c>
    </row>
    <row r="886">
      <c r="A886" s="6">
        <v>45294.588320740746</v>
      </c>
      <c r="B886" s="7" t="s">
        <v>14028</v>
      </c>
      <c r="C886" s="8" t="s">
        <v>14029</v>
      </c>
      <c r="D886" s="1" t="s">
        <v>14030</v>
      </c>
      <c r="E886" s="9" t="s">
        <v>14031</v>
      </c>
      <c r="F886" s="1" t="s">
        <v>14032</v>
      </c>
      <c r="G886" s="1" t="s">
        <v>14033</v>
      </c>
      <c r="H886" s="1" t="s">
        <v>169</v>
      </c>
      <c r="I886" s="1">
        <v>2.6061994E7</v>
      </c>
      <c r="J886" s="1" t="s">
        <v>5413</v>
      </c>
      <c r="K886" s="1" t="s">
        <v>6075</v>
      </c>
      <c r="L886" s="1" t="s">
        <v>103</v>
      </c>
      <c r="M886" s="1" t="s">
        <v>104</v>
      </c>
      <c r="N886" s="1" t="s">
        <v>14034</v>
      </c>
      <c r="O886" s="1" t="s">
        <v>312</v>
      </c>
      <c r="P886" s="1" t="s">
        <v>237</v>
      </c>
      <c r="Q886" s="1" t="s">
        <v>14035</v>
      </c>
      <c r="R886" s="1" t="s">
        <v>259</v>
      </c>
      <c r="S886" s="1" t="s">
        <v>4479</v>
      </c>
      <c r="Z886" s="1" t="s">
        <v>14036</v>
      </c>
      <c r="AA886" s="10">
        <v>5000000.0</v>
      </c>
      <c r="AF886" s="10">
        <v>5500000.0</v>
      </c>
      <c r="AG886" s="1">
        <v>8.52309122E9</v>
      </c>
      <c r="AI886" s="1" t="s">
        <v>5113</v>
      </c>
      <c r="AJ886" s="1">
        <v>167.0</v>
      </c>
      <c r="AK886" s="1">
        <v>55.0</v>
      </c>
      <c r="AL886" s="1" t="s">
        <v>14037</v>
      </c>
      <c r="AM886" s="1" t="s">
        <v>14038</v>
      </c>
      <c r="AN886" s="7" t="s">
        <v>14039</v>
      </c>
      <c r="AO886" s="8" t="str">
        <f>HYPERLINK("https://docs.google.com/document/d/1nsiEP6WTNr1sJ3eIj2_uX4kC9_IuXQ_Ks-Mr1KzqJ9U/edit?usp=drivesdk","Al-Wildan 4 Lebak Bulus_Suryadi, S.Pd_Al-Quran dan Bahasa arab")</f>
        <v>Al-Wildan 4 Lebak Bulus_Suryadi, S.Pd_Al-Quran dan Bahasa arab</v>
      </c>
      <c r="AP886" s="1" t="s">
        <v>14040</v>
      </c>
    </row>
    <row r="887">
      <c r="A887" s="6">
        <v>45294.70057206019</v>
      </c>
      <c r="B887" s="7" t="s">
        <v>14041</v>
      </c>
      <c r="C887" s="8" t="s">
        <v>14042</v>
      </c>
      <c r="D887" s="1" t="s">
        <v>14043</v>
      </c>
      <c r="E887" s="9" t="s">
        <v>14044</v>
      </c>
      <c r="F887" s="1" t="s">
        <v>14045</v>
      </c>
      <c r="G887" s="1" t="s">
        <v>14046</v>
      </c>
      <c r="H887" s="1" t="s">
        <v>99</v>
      </c>
      <c r="I887" s="9" t="s">
        <v>14047</v>
      </c>
      <c r="J887" s="1" t="s">
        <v>12722</v>
      </c>
      <c r="K887" s="1" t="s">
        <v>151</v>
      </c>
      <c r="L887" s="1" t="s">
        <v>103</v>
      </c>
      <c r="M887" s="1" t="s">
        <v>104</v>
      </c>
      <c r="N887" s="1" t="s">
        <v>14048</v>
      </c>
      <c r="O887" s="1" t="s">
        <v>312</v>
      </c>
      <c r="P887" s="1" t="s">
        <v>107</v>
      </c>
      <c r="Q887" s="1" t="s">
        <v>14049</v>
      </c>
      <c r="R887" s="1" t="s">
        <v>2355</v>
      </c>
      <c r="S887" s="1">
        <v>3.86</v>
      </c>
      <c r="T887" s="1" t="s">
        <v>14050</v>
      </c>
      <c r="U887" s="1" t="s">
        <v>2355</v>
      </c>
      <c r="V887" s="1">
        <v>3.92</v>
      </c>
      <c r="Z887" s="1" t="s">
        <v>14051</v>
      </c>
      <c r="AA887" s="10">
        <v>1500000.0</v>
      </c>
      <c r="AB887" s="1" t="s">
        <v>14052</v>
      </c>
      <c r="AC887" s="10">
        <v>3000000.0</v>
      </c>
      <c r="AF887" s="10">
        <v>6000000.0</v>
      </c>
      <c r="AG887" s="1">
        <v>1.058977426E9</v>
      </c>
      <c r="AJ887" s="1">
        <v>174.0</v>
      </c>
      <c r="AK887" s="1">
        <v>55.0</v>
      </c>
      <c r="AL887" s="1" t="s">
        <v>14053</v>
      </c>
      <c r="AM887" s="1" t="s">
        <v>14054</v>
      </c>
      <c r="AN887" s="7" t="s">
        <v>14055</v>
      </c>
      <c r="AO887" s="8" t="str">
        <f>HYPERLINK("https://docs.google.com/document/d/14aUx62pY6rI5SoWcbHUpmGbpO_wuk-VyU4m7hWMmt4I/edit?usp=drivesdk","Al-Wildan 1 Gading Serpong_Muhammad Umar, M. Pd_Diniyah/Qur'an")</f>
        <v>Al-Wildan 1 Gading Serpong_Muhammad Umar, M. Pd_Diniyah/Qur'an</v>
      </c>
      <c r="AP887" s="1" t="s">
        <v>14056</v>
      </c>
    </row>
    <row r="888">
      <c r="A888" s="6">
        <v>45294.86815425926</v>
      </c>
      <c r="B888" s="7" t="s">
        <v>14057</v>
      </c>
      <c r="C888" s="8" t="s">
        <v>14058</v>
      </c>
      <c r="D888" s="1" t="s">
        <v>14059</v>
      </c>
      <c r="E888" s="9" t="s">
        <v>14060</v>
      </c>
      <c r="F888" s="1" t="s">
        <v>14061</v>
      </c>
      <c r="G888" s="1" t="s">
        <v>14062</v>
      </c>
      <c r="H888" s="1" t="s">
        <v>14063</v>
      </c>
      <c r="I888" s="9" t="s">
        <v>14064</v>
      </c>
      <c r="J888" s="1" t="s">
        <v>6642</v>
      </c>
      <c r="K888" s="1" t="s">
        <v>102</v>
      </c>
      <c r="L888" s="1" t="s">
        <v>103</v>
      </c>
      <c r="M888" s="1" t="s">
        <v>104</v>
      </c>
      <c r="N888" s="1" t="s">
        <v>1634</v>
      </c>
      <c r="O888" s="1" t="s">
        <v>127</v>
      </c>
      <c r="P888" s="1" t="s">
        <v>6659</v>
      </c>
      <c r="Q888" s="1" t="s">
        <v>14065</v>
      </c>
      <c r="R888" s="1" t="s">
        <v>14066</v>
      </c>
      <c r="S888" s="1" t="s">
        <v>14067</v>
      </c>
      <c r="Z888" s="1" t="s">
        <v>14068</v>
      </c>
      <c r="AA888" s="10">
        <v>1980000.0</v>
      </c>
      <c r="AB888" s="1" t="s">
        <v>14069</v>
      </c>
      <c r="AC888" s="10">
        <v>3550000.0</v>
      </c>
      <c r="AD888" s="1" t="s">
        <v>14070</v>
      </c>
      <c r="AE888" s="10">
        <v>1500000.0</v>
      </c>
      <c r="AF888" s="10">
        <v>7000000.0</v>
      </c>
      <c r="AG888" s="1">
        <v>7.081085417E9</v>
      </c>
      <c r="AJ888" s="1">
        <v>170.0</v>
      </c>
      <c r="AK888" s="1">
        <v>85.0</v>
      </c>
      <c r="AL888" s="1" t="s">
        <v>14071</v>
      </c>
      <c r="AM888" s="1" t="s">
        <v>14072</v>
      </c>
      <c r="AN888" s="7" t="s">
        <v>14073</v>
      </c>
      <c r="AO888" s="8" t="str">
        <f>HYPERLINK("https://docs.google.com/document/d/1Enin8hiVXoUvp_jEVF8EQU0YSeXRG4eoz8_XrC5PSzA/edit?usp=drivesdk","Al-Wildan 15 Kompas Indah, Tambun Bekasi._jefry zaki bustari Lc _Diniyah")</f>
        <v>Al-Wildan 15 Kompas Indah, Tambun Bekasi._jefry zaki bustari Lc _Diniyah</v>
      </c>
      <c r="AP888" s="1" t="s">
        <v>14074</v>
      </c>
    </row>
    <row r="889">
      <c r="A889" s="6">
        <v>45294.92579115741</v>
      </c>
      <c r="B889" s="7" t="s">
        <v>14075</v>
      </c>
      <c r="C889" s="8" t="s">
        <v>14076</v>
      </c>
      <c r="D889" s="1" t="s">
        <v>14077</v>
      </c>
      <c r="E889" s="9" t="s">
        <v>14078</v>
      </c>
      <c r="F889" s="1" t="s">
        <v>14079</v>
      </c>
      <c r="G889" s="1" t="s">
        <v>169</v>
      </c>
      <c r="H889" s="1" t="s">
        <v>169</v>
      </c>
      <c r="I889" s="9" t="s">
        <v>14080</v>
      </c>
      <c r="J889" s="1" t="s">
        <v>14081</v>
      </c>
      <c r="K889" s="1" t="s">
        <v>151</v>
      </c>
      <c r="L889" s="1" t="s">
        <v>103</v>
      </c>
      <c r="M889" s="1" t="s">
        <v>104</v>
      </c>
      <c r="N889" s="1" t="s">
        <v>6720</v>
      </c>
      <c r="O889" s="1" t="s">
        <v>106</v>
      </c>
      <c r="P889" s="1" t="s">
        <v>237</v>
      </c>
      <c r="Q889" s="1" t="s">
        <v>14082</v>
      </c>
      <c r="R889" s="1" t="s">
        <v>238</v>
      </c>
      <c r="S889" s="1">
        <v>3.76</v>
      </c>
      <c r="Z889" s="1" t="s">
        <v>10525</v>
      </c>
      <c r="AA889" s="1">
        <v>2.5</v>
      </c>
      <c r="AF889" s="10">
        <v>4000000.0</v>
      </c>
      <c r="AG889" s="1">
        <v>4.71001041843537E14</v>
      </c>
      <c r="AH889" s="1">
        <v>4.71001041843537E14</v>
      </c>
      <c r="AI889" s="1" t="s">
        <v>2407</v>
      </c>
      <c r="AJ889" s="1">
        <v>160.0</v>
      </c>
      <c r="AK889" s="1">
        <v>62.0</v>
      </c>
      <c r="AL889" s="1" t="s">
        <v>14083</v>
      </c>
      <c r="AM889" s="1" t="s">
        <v>14084</v>
      </c>
      <c r="AN889" s="7" t="s">
        <v>14085</v>
      </c>
      <c r="AO889" s="8" t="str">
        <f>HYPERLINK("https://docs.google.com/document/d/1dEd46T1ujXOsfYs6bQJHXFXFHQ8GWRTVIFEDfuv9s4A/edit?usp=drivesdk","Al-Wildan 4 Lebak Bulus_Muhammad Afrizal, S.H_Tahfidz")</f>
        <v>Al-Wildan 4 Lebak Bulus_Muhammad Afrizal, S.H_Tahfidz</v>
      </c>
      <c r="AP889" s="1" t="s">
        <v>14086</v>
      </c>
    </row>
    <row r="890">
      <c r="A890" s="6">
        <v>45297.89275496527</v>
      </c>
      <c r="B890" s="7" t="s">
        <v>14087</v>
      </c>
      <c r="C890" s="8" t="s">
        <v>14088</v>
      </c>
      <c r="D890" s="1" t="s">
        <v>14089</v>
      </c>
      <c r="E890" s="9" t="s">
        <v>14090</v>
      </c>
      <c r="F890" s="1" t="s">
        <v>14091</v>
      </c>
      <c r="G890" s="1" t="s">
        <v>14092</v>
      </c>
      <c r="H890" s="1" t="s">
        <v>14093</v>
      </c>
      <c r="I890" s="9" t="s">
        <v>14094</v>
      </c>
      <c r="J890" s="1" t="s">
        <v>14095</v>
      </c>
      <c r="K890" s="1" t="s">
        <v>102</v>
      </c>
      <c r="L890" s="1" t="s">
        <v>103</v>
      </c>
      <c r="M890" s="1" t="s">
        <v>104</v>
      </c>
      <c r="N890" s="1" t="s">
        <v>14096</v>
      </c>
      <c r="O890" s="1" t="s">
        <v>312</v>
      </c>
      <c r="P890" s="1" t="s">
        <v>6533</v>
      </c>
      <c r="Q890" s="1" t="s">
        <v>14097</v>
      </c>
      <c r="R890" s="1" t="s">
        <v>193</v>
      </c>
      <c r="S890" s="1" t="s">
        <v>14098</v>
      </c>
      <c r="Z890" s="1" t="s">
        <v>14099</v>
      </c>
      <c r="AA890" s="1" t="s">
        <v>14100</v>
      </c>
      <c r="AF890" s="10">
        <v>6000000.0</v>
      </c>
      <c r="AG890" s="1">
        <v>3.51137605E9</v>
      </c>
      <c r="AJ890" s="1">
        <v>165.0</v>
      </c>
      <c r="AK890" s="1">
        <v>64.0</v>
      </c>
      <c r="AL890" s="1" t="s">
        <v>14101</v>
      </c>
      <c r="AM890" s="1" t="s">
        <v>14102</v>
      </c>
      <c r="AN890" s="7" t="s">
        <v>14103</v>
      </c>
      <c r="AO890" s="8" t="str">
        <f>HYPERLINK("https://docs.google.com/document/d/1hjRMd_50hupT8XrD9AS3ZDaxG4naVl-V38vQMNREsLM/edit?usp=drivesdk","Al-Wildan 5 Benhil_Muhamad Kazuwaini Lc_Diniyah dan Bahasa Arab")</f>
        <v>Al-Wildan 5 Benhil_Muhamad Kazuwaini Lc_Diniyah dan Bahasa Arab</v>
      </c>
      <c r="AP890" s="1" t="s">
        <v>14104</v>
      </c>
    </row>
    <row r="891">
      <c r="A891" s="6">
        <v>45300.701747893516</v>
      </c>
      <c r="B891" s="7" t="s">
        <v>14105</v>
      </c>
      <c r="C891" s="8" t="s">
        <v>14106</v>
      </c>
      <c r="D891" s="1" t="s">
        <v>14107</v>
      </c>
      <c r="E891" s="9" t="s">
        <v>14108</v>
      </c>
      <c r="F891" s="1" t="s">
        <v>14109</v>
      </c>
      <c r="G891" s="1" t="s">
        <v>14110</v>
      </c>
      <c r="H891" s="1" t="s">
        <v>99</v>
      </c>
      <c r="I891" s="9" t="s">
        <v>14111</v>
      </c>
      <c r="J891" s="1" t="s">
        <v>14112</v>
      </c>
      <c r="K891" s="1" t="s">
        <v>151</v>
      </c>
      <c r="L891" s="1" t="s">
        <v>103</v>
      </c>
      <c r="M891" s="1" t="s">
        <v>104</v>
      </c>
      <c r="N891" s="1" t="s">
        <v>152</v>
      </c>
      <c r="O891" s="1" t="s">
        <v>1202</v>
      </c>
      <c r="P891" s="1" t="s">
        <v>107</v>
      </c>
      <c r="Q891" s="1" t="s">
        <v>14113</v>
      </c>
      <c r="R891" s="1" t="s">
        <v>14114</v>
      </c>
      <c r="S891" s="1">
        <v>3.48</v>
      </c>
      <c r="Z891" s="1" t="s">
        <v>14115</v>
      </c>
      <c r="AA891" s="1" t="s">
        <v>14116</v>
      </c>
      <c r="AF891" s="1" t="s">
        <v>14117</v>
      </c>
      <c r="AG891" s="1">
        <v>7.212948877E9</v>
      </c>
      <c r="AJ891" s="1">
        <v>158.0</v>
      </c>
      <c r="AK891" s="1">
        <v>44.0</v>
      </c>
      <c r="AL891" s="1" t="s">
        <v>14118</v>
      </c>
      <c r="AM891" s="1" t="s">
        <v>14119</v>
      </c>
      <c r="AN891" s="7" t="s">
        <v>14120</v>
      </c>
      <c r="AO891" s="8" t="str">
        <f>HYPERLINK("https://docs.google.com/document/d/1Ii1E06ov8OrAv0MvEnNFuBgCosvTOAWm7lUFbMPeCBs/edit?usp=drivesdk","Al-Wildan 1 Gading Serpong_IIS NUR FAIZAH, S.Ag_Bahasa Inggris")</f>
        <v>Al-Wildan 1 Gading Serpong_IIS NUR FAIZAH, S.Ag_Bahasa Inggris</v>
      </c>
      <c r="AP891" s="1" t="s">
        <v>14121</v>
      </c>
    </row>
    <row r="892">
      <c r="A892" s="6">
        <v>45303.59574208333</v>
      </c>
      <c r="B892" s="7" t="s">
        <v>14122</v>
      </c>
      <c r="C892" s="8" t="s">
        <v>14123</v>
      </c>
      <c r="D892" s="1" t="s">
        <v>14124</v>
      </c>
      <c r="E892" s="9" t="s">
        <v>14125</v>
      </c>
      <c r="F892" s="1" t="s">
        <v>14126</v>
      </c>
      <c r="G892" s="1" t="s">
        <v>14127</v>
      </c>
      <c r="H892" s="1" t="s">
        <v>1018</v>
      </c>
      <c r="I892" s="9" t="s">
        <v>14128</v>
      </c>
      <c r="J892" s="1">
        <v>22.0</v>
      </c>
      <c r="K892" s="1" t="s">
        <v>151</v>
      </c>
      <c r="L892" s="1" t="s">
        <v>256</v>
      </c>
      <c r="M892" s="1" t="s">
        <v>104</v>
      </c>
      <c r="N892" s="1" t="s">
        <v>14129</v>
      </c>
      <c r="O892" s="1" t="s">
        <v>312</v>
      </c>
      <c r="P892" s="1" t="s">
        <v>237</v>
      </c>
      <c r="Q892" s="1" t="s">
        <v>13425</v>
      </c>
      <c r="R892" s="1" t="s">
        <v>14130</v>
      </c>
      <c r="S892" s="1" t="s">
        <v>4021</v>
      </c>
      <c r="Z892" s="1" t="s">
        <v>14131</v>
      </c>
      <c r="AA892" s="10">
        <v>2000000.0</v>
      </c>
      <c r="AB892" s="1" t="s">
        <v>14132</v>
      </c>
      <c r="AC892" s="10">
        <v>6500000.0</v>
      </c>
      <c r="AF892" s="1" t="s">
        <v>3207</v>
      </c>
      <c r="AH892" s="9" t="s">
        <v>14133</v>
      </c>
      <c r="AI892" s="1" t="s">
        <v>159</v>
      </c>
      <c r="AJ892" s="1">
        <v>160.0</v>
      </c>
      <c r="AK892" s="1">
        <v>58.0</v>
      </c>
      <c r="AL892" s="1" t="s">
        <v>14134</v>
      </c>
      <c r="AM892" s="1" t="s">
        <v>14135</v>
      </c>
      <c r="AN892" s="7" t="s">
        <v>14136</v>
      </c>
      <c r="AO892" s="8" t="str">
        <f>HYPERLINK("https://docs.google.com/document/d/1dDJZRVgmVR_A0YK64t6acPXyU36DQjYyzrPAVVq7ogg/edit?usp=drivesdk","Al-Wildan 4 Lebak Bulus_Khaerunnisa Allutful Ilahi,S.Pd_English math and science")</f>
        <v>Al-Wildan 4 Lebak Bulus_Khaerunnisa Allutful Ilahi,S.Pd_English math and science</v>
      </c>
      <c r="AP892" s="1" t="s">
        <v>14137</v>
      </c>
    </row>
    <row r="893">
      <c r="A893" s="6">
        <v>45307.56987136574</v>
      </c>
      <c r="B893" s="7" t="s">
        <v>14138</v>
      </c>
      <c r="C893" s="8" t="s">
        <v>14139</v>
      </c>
      <c r="D893" s="1" t="s">
        <v>14140</v>
      </c>
      <c r="E893" s="9" t="s">
        <v>14141</v>
      </c>
      <c r="F893" s="1" t="s">
        <v>14142</v>
      </c>
      <c r="G893" s="1" t="s">
        <v>3157</v>
      </c>
      <c r="H893" s="1" t="s">
        <v>722</v>
      </c>
      <c r="I893" s="9" t="s">
        <v>13186</v>
      </c>
      <c r="J893" s="1" t="s">
        <v>8429</v>
      </c>
      <c r="K893" s="1" t="s">
        <v>151</v>
      </c>
      <c r="L893" s="1" t="s">
        <v>103</v>
      </c>
      <c r="M893" s="1" t="s">
        <v>104</v>
      </c>
      <c r="N893" s="1" t="s">
        <v>1978</v>
      </c>
      <c r="O893" s="1" t="s">
        <v>236</v>
      </c>
      <c r="P893" s="1" t="s">
        <v>237</v>
      </c>
      <c r="Q893" s="1" t="s">
        <v>6045</v>
      </c>
      <c r="R893" s="1" t="s">
        <v>3641</v>
      </c>
      <c r="S893" s="1" t="s">
        <v>5523</v>
      </c>
      <c r="Z893" s="1" t="s">
        <v>14143</v>
      </c>
      <c r="AA893" s="1" t="s">
        <v>14144</v>
      </c>
      <c r="AB893" s="1" t="s">
        <v>14145</v>
      </c>
      <c r="AC893" s="10">
        <v>2000000.0</v>
      </c>
      <c r="AD893" s="1" t="s">
        <v>14146</v>
      </c>
      <c r="AE893" s="10">
        <v>2500000.0</v>
      </c>
      <c r="AF893" s="10">
        <v>6500000.0</v>
      </c>
      <c r="AG893" s="1">
        <v>7.144457352E9</v>
      </c>
      <c r="AI893" s="1" t="s">
        <v>5113</v>
      </c>
      <c r="AJ893" s="1">
        <v>166.0</v>
      </c>
      <c r="AK893" s="1">
        <v>46.0</v>
      </c>
      <c r="AL893" s="1" t="s">
        <v>14147</v>
      </c>
      <c r="AM893" s="1" t="s">
        <v>14148</v>
      </c>
      <c r="AN893" s="7" t="s">
        <v>14149</v>
      </c>
      <c r="AO893" s="8" t="str">
        <f>HYPERLINK("https://docs.google.com/document/d/1Ny4OwJcixwFf23k-o3v6WeC51D6exr8MSCjOCDN0dAo/edit?usp=drivesdk","Al-Wildan 4 Lebak Bulus_Putri Oktavia Rusadi, S. E. _Ekonomi")</f>
        <v>Al-Wildan 4 Lebak Bulus_Putri Oktavia Rusadi, S. E. _Ekonomi</v>
      </c>
      <c r="AP893" s="1" t="s">
        <v>14150</v>
      </c>
    </row>
    <row r="894">
      <c r="A894" s="6">
        <v>45314.78613274306</v>
      </c>
      <c r="B894" s="7" t="s">
        <v>14151</v>
      </c>
      <c r="C894" s="8" t="s">
        <v>14152</v>
      </c>
      <c r="D894" s="1" t="s">
        <v>14153</v>
      </c>
      <c r="E894" s="9" t="s">
        <v>14154</v>
      </c>
      <c r="F894" s="1" t="s">
        <v>14155</v>
      </c>
      <c r="G894" s="1" t="s">
        <v>14156</v>
      </c>
      <c r="H894" s="1" t="s">
        <v>99</v>
      </c>
      <c r="I894" s="9" t="s">
        <v>14157</v>
      </c>
      <c r="J894" s="1" t="s">
        <v>2385</v>
      </c>
      <c r="K894" s="1" t="s">
        <v>151</v>
      </c>
      <c r="L894" s="1" t="s">
        <v>496</v>
      </c>
      <c r="M894" s="1" t="s">
        <v>104</v>
      </c>
      <c r="N894" s="1" t="s">
        <v>1523</v>
      </c>
      <c r="O894" s="1" t="s">
        <v>236</v>
      </c>
      <c r="P894" s="1" t="s">
        <v>7162</v>
      </c>
      <c r="Q894" s="1" t="s">
        <v>14158</v>
      </c>
      <c r="R894" s="1" t="s">
        <v>1521</v>
      </c>
      <c r="S894" s="1" t="s">
        <v>755</v>
      </c>
      <c r="T894" s="1" t="s">
        <v>14159</v>
      </c>
      <c r="U894" s="1" t="s">
        <v>1521</v>
      </c>
      <c r="V894" s="1" t="s">
        <v>1958</v>
      </c>
      <c r="Z894" s="1" t="s">
        <v>14160</v>
      </c>
      <c r="AA894" s="10">
        <v>2200000.0</v>
      </c>
      <c r="AF894" s="10">
        <v>6500000.0</v>
      </c>
      <c r="AH894" s="1">
        <v>1.457473583E9</v>
      </c>
      <c r="AI894" s="1" t="s">
        <v>159</v>
      </c>
      <c r="AJ894" s="1">
        <v>158.0</v>
      </c>
      <c r="AK894" s="1">
        <v>51.0</v>
      </c>
      <c r="AL894" s="1" t="s">
        <v>14161</v>
      </c>
      <c r="AM894" s="1" t="s">
        <v>14162</v>
      </c>
      <c r="AN894" s="7" t="s">
        <v>14163</v>
      </c>
      <c r="AO894" s="8" t="str">
        <f>HYPERLINK("https://docs.google.com/document/d/1d_AgujSlhi7lI1mAAaPst-uhHToBLBVpvsA1n2wf5iU/edit?usp=drivesdk","Al-Wildan 7 Serang_Naili Afwillah, S.Pd_Kimia")</f>
        <v>Al-Wildan 7 Serang_Naili Afwillah, S.Pd_Kimia</v>
      </c>
      <c r="AP894" s="1" t="s">
        <v>14164</v>
      </c>
    </row>
    <row r="895">
      <c r="A895" s="6">
        <v>45324.91890744213</v>
      </c>
      <c r="B895" s="7" t="s">
        <v>14165</v>
      </c>
      <c r="C895" s="8" t="s">
        <v>14166</v>
      </c>
      <c r="D895" s="1" t="s">
        <v>14167</v>
      </c>
      <c r="E895" s="9" t="s">
        <v>14168</v>
      </c>
      <c r="F895" s="1" t="s">
        <v>14169</v>
      </c>
      <c r="G895" s="1" t="s">
        <v>14170</v>
      </c>
      <c r="H895" s="1" t="s">
        <v>2076</v>
      </c>
      <c r="I895" s="9" t="s">
        <v>14171</v>
      </c>
      <c r="J895" s="1" t="s">
        <v>14172</v>
      </c>
      <c r="K895" s="1" t="s">
        <v>151</v>
      </c>
      <c r="L895" s="1" t="s">
        <v>256</v>
      </c>
      <c r="M895" s="1" t="s">
        <v>104</v>
      </c>
      <c r="N895" s="1" t="s">
        <v>14173</v>
      </c>
      <c r="O895" s="1" t="s">
        <v>9794</v>
      </c>
      <c r="P895" s="1" t="s">
        <v>6659</v>
      </c>
      <c r="Q895" s="1" t="s">
        <v>192</v>
      </c>
      <c r="R895" s="1" t="s">
        <v>193</v>
      </c>
      <c r="S895" s="1" t="s">
        <v>277</v>
      </c>
      <c r="Z895" s="1" t="s">
        <v>14174</v>
      </c>
      <c r="AA895" s="10">
        <v>500000.0</v>
      </c>
      <c r="AB895" s="1" t="s">
        <v>14175</v>
      </c>
      <c r="AC895" s="10">
        <v>400000.0</v>
      </c>
      <c r="AD895" s="1" t="s">
        <v>14176</v>
      </c>
      <c r="AE895" s="1" t="s">
        <v>14177</v>
      </c>
      <c r="AF895" s="10">
        <v>5000000.0</v>
      </c>
      <c r="AG895" s="1">
        <v>5.2748762E9</v>
      </c>
      <c r="AJ895" s="1">
        <v>150.0</v>
      </c>
      <c r="AK895" s="1">
        <v>60.0</v>
      </c>
      <c r="AL895" s="1" t="s">
        <v>14178</v>
      </c>
      <c r="AM895" s="1" t="s">
        <v>14179</v>
      </c>
      <c r="AN895" s="7" t="s">
        <v>14180</v>
      </c>
      <c r="AO895" s="8" t="str">
        <f>HYPERLINK("https://docs.google.com/document/d/1Nk5Iqb3CeNkiE6ECKBre4nIv2J_OLI8xgVoCSbOkpt8/edit?usp=drivesdk","Al-Wildan 15 Kompas Indah, Tambun Bekasi._Vita Dwi Larasati, Lc._Diniyah and Arabic ")</f>
        <v>Al-Wildan 15 Kompas Indah, Tambun Bekasi._Vita Dwi Larasati, Lc._Diniyah and Arabic </v>
      </c>
      <c r="AP895" s="1" t="s">
        <v>14181</v>
      </c>
    </row>
    <row r="896">
      <c r="A896" s="6">
        <v>45329.44442267361</v>
      </c>
      <c r="B896" s="7" t="s">
        <v>14182</v>
      </c>
      <c r="C896" s="8" t="s">
        <v>14183</v>
      </c>
      <c r="D896" s="1" t="s">
        <v>14184</v>
      </c>
      <c r="E896" s="9" t="s">
        <v>14185</v>
      </c>
      <c r="F896" s="1" t="s">
        <v>14186</v>
      </c>
      <c r="G896" s="1" t="s">
        <v>14187</v>
      </c>
      <c r="H896" s="1" t="s">
        <v>4850</v>
      </c>
      <c r="I896" s="9" t="s">
        <v>14188</v>
      </c>
      <c r="J896" s="1">
        <v>30.0</v>
      </c>
      <c r="K896" s="1" t="s">
        <v>102</v>
      </c>
      <c r="L896" s="1" t="s">
        <v>103</v>
      </c>
      <c r="M896" s="1" t="s">
        <v>8995</v>
      </c>
      <c r="O896" s="1" t="s">
        <v>13406</v>
      </c>
      <c r="P896" s="1" t="s">
        <v>5712</v>
      </c>
      <c r="Q896" s="1" t="s">
        <v>214</v>
      </c>
      <c r="R896" s="1" t="s">
        <v>14189</v>
      </c>
      <c r="S896" s="9" t="s">
        <v>14190</v>
      </c>
      <c r="Z896" s="1" t="s">
        <v>14191</v>
      </c>
      <c r="AA896" s="10">
        <v>4000000.0</v>
      </c>
      <c r="AF896" s="10">
        <v>4000000.0</v>
      </c>
      <c r="AH896" s="1">
        <v>4.50144986E9</v>
      </c>
      <c r="AI896" s="1" t="s">
        <v>14192</v>
      </c>
      <c r="AJ896" s="1">
        <v>173.0</v>
      </c>
      <c r="AK896" s="1">
        <v>52.0</v>
      </c>
      <c r="AL896" s="1" t="s">
        <v>14193</v>
      </c>
      <c r="AM896" s="1" t="s">
        <v>14194</v>
      </c>
      <c r="AN896" s="7" t="s">
        <v>14195</v>
      </c>
      <c r="AO896" s="8" t="str">
        <f>HYPERLINK("https://docs.google.com/document/d/1zp-XwWMa5H8JFPqX4C7yZz4quJfbEBe7GvfxyVA0RSE/edit?usp=drivesdk","Al-Wildan 3 BSD City_Rizal Hanavi_")</f>
        <v>Al-Wildan 3 BSD City_Rizal Hanavi_</v>
      </c>
      <c r="AP896" s="1" t="s">
        <v>14196</v>
      </c>
    </row>
    <row r="897">
      <c r="A897" s="6">
        <v>45333.421396018515</v>
      </c>
      <c r="B897" s="7" t="s">
        <v>14197</v>
      </c>
      <c r="C897" s="8" t="s">
        <v>14198</v>
      </c>
      <c r="D897" s="1" t="s">
        <v>14199</v>
      </c>
      <c r="E897" s="9" t="s">
        <v>14200</v>
      </c>
      <c r="F897" s="1" t="s">
        <v>14201</v>
      </c>
      <c r="G897" s="1" t="s">
        <v>14202</v>
      </c>
      <c r="H897" s="1" t="s">
        <v>1975</v>
      </c>
      <c r="I897" s="9" t="s">
        <v>14203</v>
      </c>
      <c r="J897" s="1" t="s">
        <v>438</v>
      </c>
      <c r="K897" s="1" t="s">
        <v>151</v>
      </c>
      <c r="L897" s="1" t="s">
        <v>329</v>
      </c>
      <c r="M897" s="1" t="s">
        <v>104</v>
      </c>
      <c r="N897" s="1" t="s">
        <v>14204</v>
      </c>
      <c r="O897" s="1" t="s">
        <v>9794</v>
      </c>
      <c r="P897" s="1" t="s">
        <v>6659</v>
      </c>
      <c r="Q897" s="1" t="s">
        <v>14205</v>
      </c>
      <c r="R897" s="1" t="s">
        <v>14206</v>
      </c>
      <c r="S897" s="1" t="s">
        <v>14207</v>
      </c>
      <c r="Z897" s="1" t="s">
        <v>14208</v>
      </c>
      <c r="AA897" s="10">
        <v>200000.0</v>
      </c>
      <c r="AB897" s="1" t="s">
        <v>14209</v>
      </c>
      <c r="AC897" s="10">
        <v>700000.0</v>
      </c>
      <c r="AD897" s="1" t="s">
        <v>14210</v>
      </c>
      <c r="AE897" s="10">
        <v>1500000.0</v>
      </c>
      <c r="AF897" s="12">
        <v>5000000.0</v>
      </c>
      <c r="AG897" s="1">
        <v>7.65190206E9</v>
      </c>
      <c r="AJ897" s="1">
        <v>164.0</v>
      </c>
      <c r="AK897" s="1">
        <v>60.0</v>
      </c>
      <c r="AL897" s="1" t="s">
        <v>14211</v>
      </c>
      <c r="AM897" s="1" t="s">
        <v>14212</v>
      </c>
      <c r="AN897" s="7" t="s">
        <v>14213</v>
      </c>
      <c r="AO897" s="8" t="str">
        <f>HYPERLINK("https://docs.google.com/document/d/1_FY1KWzbPJ60JnoVwHmhvCQnxkldLSs1_Uljt_oUEmA/edit?usp=drivesdk","Al-Wildan 15 Kompas Indah, Tambun Bekasi._Endang Sriwahyuni,B.Sh_Diniyyah dan Bahasa Arab")</f>
        <v>Al-Wildan 15 Kompas Indah, Tambun Bekasi._Endang Sriwahyuni,B.Sh_Diniyyah dan Bahasa Arab</v>
      </c>
      <c r="AP897" s="1" t="s">
        <v>14214</v>
      </c>
    </row>
    <row r="898">
      <c r="A898" s="6">
        <v>45334.558547928245</v>
      </c>
      <c r="B898" s="7" t="s">
        <v>14215</v>
      </c>
      <c r="C898" s="8" t="s">
        <v>14216</v>
      </c>
      <c r="D898" s="1" t="s">
        <v>14217</v>
      </c>
      <c r="E898" s="9" t="s">
        <v>14218</v>
      </c>
      <c r="F898" s="1" t="s">
        <v>14219</v>
      </c>
      <c r="G898" s="1" t="s">
        <v>1851</v>
      </c>
      <c r="H898" s="1" t="s">
        <v>2026</v>
      </c>
      <c r="I898" s="9" t="s">
        <v>14220</v>
      </c>
      <c r="J898" s="1">
        <v>22.0</v>
      </c>
      <c r="K898" s="1" t="s">
        <v>151</v>
      </c>
      <c r="L898" s="1" t="s">
        <v>496</v>
      </c>
      <c r="M898" s="1" t="s">
        <v>5671</v>
      </c>
      <c r="O898" s="1" t="s">
        <v>106</v>
      </c>
      <c r="P898" s="1" t="s">
        <v>5712</v>
      </c>
      <c r="Z898" s="1" t="s">
        <v>14221</v>
      </c>
      <c r="AG898" s="1">
        <v>7.185602677E9</v>
      </c>
      <c r="AI898" s="1" t="s">
        <v>9621</v>
      </c>
      <c r="AJ898" s="1">
        <v>158.0</v>
      </c>
      <c r="AK898" s="1">
        <v>68.0</v>
      </c>
      <c r="AL898" s="1" t="s">
        <v>14222</v>
      </c>
      <c r="AM898" s="1" t="s">
        <v>14223</v>
      </c>
      <c r="AN898" s="7" t="s">
        <v>14224</v>
      </c>
      <c r="AO898" s="8" t="str">
        <f>HYPERLINK("https://docs.google.com/document/d/19R8cfu8u1oHeBjk9HXoPe6I_absP8kNTuhGjEbW2NI8/edit?usp=drivesdk","Al-Wildan 3 BSD City_Sunan saputra_")</f>
        <v>Al-Wildan 3 BSD City_Sunan saputra_</v>
      </c>
      <c r="AP898" s="1" t="s">
        <v>14225</v>
      </c>
    </row>
    <row r="899">
      <c r="A899" s="6">
        <v>45337.506232291664</v>
      </c>
      <c r="B899" s="7" t="s">
        <v>14226</v>
      </c>
      <c r="C899" s="8" t="s">
        <v>14227</v>
      </c>
      <c r="D899" s="1" t="s">
        <v>14228</v>
      </c>
      <c r="E899" s="9" t="s">
        <v>14229</v>
      </c>
      <c r="F899" s="1" t="s">
        <v>14230</v>
      </c>
      <c r="G899" s="1" t="s">
        <v>6621</v>
      </c>
      <c r="H899" s="1" t="s">
        <v>2244</v>
      </c>
      <c r="I899" s="9" t="s">
        <v>14231</v>
      </c>
      <c r="J899" s="1" t="s">
        <v>14232</v>
      </c>
      <c r="K899" s="1" t="s">
        <v>151</v>
      </c>
      <c r="L899" s="1" t="s">
        <v>310</v>
      </c>
      <c r="M899" s="1" t="s">
        <v>104</v>
      </c>
      <c r="N899" s="1" t="s">
        <v>152</v>
      </c>
      <c r="O899" s="1" t="s">
        <v>312</v>
      </c>
      <c r="P899" s="1" t="s">
        <v>107</v>
      </c>
      <c r="AG899" s="1">
        <v>8.48881868E9</v>
      </c>
      <c r="AI899" s="1" t="s">
        <v>5113</v>
      </c>
      <c r="AJ899" s="1">
        <v>160.0</v>
      </c>
      <c r="AK899" s="1">
        <v>65.0</v>
      </c>
      <c r="AL899" s="1" t="s">
        <v>14233</v>
      </c>
      <c r="AM899" s="1" t="s">
        <v>14234</v>
      </c>
      <c r="AN899" s="7" t="s">
        <v>14235</v>
      </c>
      <c r="AO899" s="8" t="str">
        <f>HYPERLINK("https://docs.google.com/document/d/1KQysH4lSlYQW9Ob_WYJVzxutrqK5fWL8MQHEXjoGuaw/edit?usp=drivesdk","Al-Wildan 1 Gading Serpong_Maisie Vanianda_Bahasa Inggris")</f>
        <v>Al-Wildan 1 Gading Serpong_Maisie Vanianda_Bahasa Inggris</v>
      </c>
      <c r="AP899" s="1" t="s">
        <v>14236</v>
      </c>
    </row>
    <row r="900">
      <c r="A900" s="6">
        <v>45338.452630381944</v>
      </c>
      <c r="B900" s="7" t="s">
        <v>14237</v>
      </c>
      <c r="C900" s="8" t="s">
        <v>14238</v>
      </c>
      <c r="D900" s="1" t="s">
        <v>14239</v>
      </c>
      <c r="E900" s="9" t="s">
        <v>14240</v>
      </c>
      <c r="F900" s="1" t="s">
        <v>14241</v>
      </c>
      <c r="G900" s="1" t="s">
        <v>14242</v>
      </c>
      <c r="H900" s="1" t="s">
        <v>6169</v>
      </c>
      <c r="I900" s="9" t="s">
        <v>14243</v>
      </c>
      <c r="J900" s="1" t="s">
        <v>14244</v>
      </c>
      <c r="K900" s="1" t="s">
        <v>151</v>
      </c>
      <c r="L900" s="1" t="s">
        <v>496</v>
      </c>
      <c r="M900" s="1" t="s">
        <v>7580</v>
      </c>
      <c r="N900" s="1" t="s">
        <v>14245</v>
      </c>
      <c r="O900" s="1" t="s">
        <v>127</v>
      </c>
      <c r="P900" s="1" t="s">
        <v>107</v>
      </c>
      <c r="Q900" s="1" t="s">
        <v>1022</v>
      </c>
      <c r="R900" s="1" t="s">
        <v>235</v>
      </c>
      <c r="S900" s="1" t="s">
        <v>14246</v>
      </c>
      <c r="T900" s="1" t="s">
        <v>217</v>
      </c>
      <c r="U900" s="1" t="s">
        <v>217</v>
      </c>
      <c r="V900" s="1" t="s">
        <v>217</v>
      </c>
      <c r="W900" s="1" t="s">
        <v>217</v>
      </c>
      <c r="X900" s="1" t="s">
        <v>217</v>
      </c>
      <c r="Z900" s="1" t="s">
        <v>14247</v>
      </c>
      <c r="AB900" s="1" t="s">
        <v>14248</v>
      </c>
      <c r="AD900" s="1" t="s">
        <v>14249</v>
      </c>
      <c r="AF900" s="10">
        <v>1.3E7</v>
      </c>
      <c r="AG900" s="1">
        <v>7.72291681E9</v>
      </c>
      <c r="AJ900" s="1">
        <v>153.0</v>
      </c>
      <c r="AK900" s="1">
        <v>52.0</v>
      </c>
      <c r="AL900" s="1" t="s">
        <v>14250</v>
      </c>
      <c r="AM900" s="1" t="s">
        <v>14251</v>
      </c>
      <c r="AN900" s="7" t="s">
        <v>14252</v>
      </c>
      <c r="AO900" s="8" t="str">
        <f>HYPERLINK("https://docs.google.com/document/d/1SgYWDIepXs6bfDb_4qR8iPYSJfBaFHY0y8Jke0Mx9IY/edit?usp=drivesdk","Al-Wildan 1 Gading Serpong_Nawal ifada_Arabic, Al-quran dan diniyyah")</f>
        <v>Al-Wildan 1 Gading Serpong_Nawal ifada_Arabic, Al-quran dan diniyyah</v>
      </c>
      <c r="AP900" s="1" t="s">
        <v>14253</v>
      </c>
    </row>
    <row r="901">
      <c r="A901" s="6">
        <v>45343.80877153935</v>
      </c>
      <c r="B901" s="7" t="s">
        <v>14254</v>
      </c>
      <c r="C901" s="8" t="s">
        <v>14255</v>
      </c>
      <c r="D901" s="1" t="s">
        <v>14256</v>
      </c>
      <c r="E901" s="9" t="s">
        <v>14257</v>
      </c>
      <c r="F901" s="1" t="s">
        <v>14258</v>
      </c>
      <c r="G901" s="1" t="s">
        <v>14259</v>
      </c>
      <c r="H901" s="1" t="s">
        <v>722</v>
      </c>
      <c r="I901" s="9" t="s">
        <v>14260</v>
      </c>
      <c r="J901" s="1" t="s">
        <v>14261</v>
      </c>
      <c r="K901" s="1" t="s">
        <v>102</v>
      </c>
      <c r="L901" s="1" t="s">
        <v>310</v>
      </c>
      <c r="M901" s="1" t="s">
        <v>6043</v>
      </c>
      <c r="O901" s="1" t="s">
        <v>14262</v>
      </c>
      <c r="P901" s="1" t="s">
        <v>6044</v>
      </c>
      <c r="Q901" s="1" t="s">
        <v>1694</v>
      </c>
      <c r="R901" s="1" t="s">
        <v>14263</v>
      </c>
      <c r="S901" s="9" t="s">
        <v>9122</v>
      </c>
      <c r="Z901" s="1" t="s">
        <v>14264</v>
      </c>
      <c r="AA901" s="10">
        <v>7000000.0</v>
      </c>
      <c r="AF901" s="1" t="s">
        <v>217</v>
      </c>
      <c r="AG901" s="1">
        <v>9.02206633E8</v>
      </c>
      <c r="AJ901" s="1">
        <v>165.0</v>
      </c>
      <c r="AK901" s="1">
        <v>70.0</v>
      </c>
      <c r="AL901" s="1" t="s">
        <v>14265</v>
      </c>
      <c r="AM901" s="1" t="s">
        <v>14266</v>
      </c>
      <c r="AN901" s="7" t="s">
        <v>14267</v>
      </c>
      <c r="AO901" s="8" t="str">
        <f>HYPERLINK("https://docs.google.com/document/d/1WL-xAezzL5591qOUrbFFkLOHUdzy1_tMGWyhcvFqRd8/edit?usp=drivesdk","Al-Wildan Holding_Riska Altivani STP_")</f>
        <v>Al-Wildan Holding_Riska Altivani STP_</v>
      </c>
      <c r="AP901" s="1" t="s">
        <v>14268</v>
      </c>
    </row>
    <row r="902">
      <c r="A902" s="6">
        <v>45350.714361342594</v>
      </c>
      <c r="B902" s="7" t="s">
        <v>14269</v>
      </c>
      <c r="C902" s="8" t="s">
        <v>14270</v>
      </c>
      <c r="D902" s="1" t="s">
        <v>14271</v>
      </c>
      <c r="E902" s="9" t="s">
        <v>14272</v>
      </c>
      <c r="F902" s="1" t="s">
        <v>14273</v>
      </c>
      <c r="G902" s="1" t="s">
        <v>14274</v>
      </c>
      <c r="H902" s="1" t="s">
        <v>14275</v>
      </c>
      <c r="I902" s="9" t="s">
        <v>5143</v>
      </c>
      <c r="J902" s="1" t="s">
        <v>1360</v>
      </c>
      <c r="K902" s="1" t="s">
        <v>102</v>
      </c>
      <c r="L902" s="1" t="s">
        <v>103</v>
      </c>
      <c r="M902" s="1" t="s">
        <v>6186</v>
      </c>
      <c r="O902" s="1" t="s">
        <v>14262</v>
      </c>
      <c r="P902" s="1" t="s">
        <v>107</v>
      </c>
      <c r="Q902" s="1" t="s">
        <v>14276</v>
      </c>
      <c r="R902" s="1" t="s">
        <v>7391</v>
      </c>
      <c r="S902" s="1" t="s">
        <v>755</v>
      </c>
      <c r="T902" s="1" t="s">
        <v>14277</v>
      </c>
      <c r="U902" s="1" t="s">
        <v>7391</v>
      </c>
      <c r="Z902" s="1" t="s">
        <v>14278</v>
      </c>
      <c r="AA902" s="10">
        <v>3000000.0</v>
      </c>
      <c r="AF902" s="10">
        <v>5000000.0</v>
      </c>
      <c r="AG902" s="1">
        <v>5.59279576E9</v>
      </c>
      <c r="AJ902" s="1">
        <v>160.0</v>
      </c>
      <c r="AK902" s="1" t="s">
        <v>14279</v>
      </c>
      <c r="AL902" s="1" t="s">
        <v>14280</v>
      </c>
      <c r="AM902" s="1" t="s">
        <v>14281</v>
      </c>
      <c r="AN902" s="7" t="s">
        <v>14282</v>
      </c>
      <c r="AO902" s="8" t="str">
        <f>HYPERLINK("https://docs.google.com/document/d/1n5i1uLAGEiWJQHXMMcZ5qkZFCN7neGzJcDLzvCKEV7s/edit?usp=drivesdk","Al-Wildan 1 Gading Serpong_Putra Wibawa, S.Pd._")</f>
        <v>Al-Wildan 1 Gading Serpong_Putra Wibawa, S.Pd._</v>
      </c>
      <c r="AP902" s="1" t="s">
        <v>14283</v>
      </c>
    </row>
    <row r="903">
      <c r="A903" s="6">
        <v>45352.461468333335</v>
      </c>
      <c r="B903" s="7" t="s">
        <v>14284</v>
      </c>
      <c r="C903" s="8" t="s">
        <v>14285</v>
      </c>
      <c r="D903" s="1" t="s">
        <v>14286</v>
      </c>
      <c r="E903" s="9" t="s">
        <v>14287</v>
      </c>
      <c r="F903" s="1" t="s">
        <v>14288</v>
      </c>
      <c r="G903" s="1" t="s">
        <v>14289</v>
      </c>
      <c r="H903" s="1" t="s">
        <v>14290</v>
      </c>
      <c r="I903" s="9" t="s">
        <v>14291</v>
      </c>
      <c r="J903" s="1" t="s">
        <v>8497</v>
      </c>
      <c r="K903" s="1" t="s">
        <v>151</v>
      </c>
      <c r="L903" s="1" t="s">
        <v>256</v>
      </c>
      <c r="M903" s="1" t="s">
        <v>104</v>
      </c>
      <c r="N903" s="1" t="s">
        <v>552</v>
      </c>
      <c r="O903" s="1" t="s">
        <v>9794</v>
      </c>
      <c r="P903" s="1" t="s">
        <v>7162</v>
      </c>
      <c r="Q903" s="1" t="s">
        <v>9493</v>
      </c>
      <c r="R903" s="1" t="s">
        <v>552</v>
      </c>
      <c r="S903" s="1" t="s">
        <v>1730</v>
      </c>
      <c r="Z903" s="1" t="s">
        <v>14292</v>
      </c>
      <c r="AA903" s="10">
        <v>3200000.0</v>
      </c>
      <c r="AB903" s="1" t="s">
        <v>11610</v>
      </c>
      <c r="AC903" s="1" t="s">
        <v>217</v>
      </c>
      <c r="AD903" s="1" t="s">
        <v>14293</v>
      </c>
      <c r="AE903" s="10">
        <v>2400000.0</v>
      </c>
      <c r="AF903" s="1" t="s">
        <v>5254</v>
      </c>
      <c r="AH903" s="1">
        <v>1.220011776864E12</v>
      </c>
      <c r="AI903" s="1" t="s">
        <v>2119</v>
      </c>
      <c r="AJ903" s="1">
        <v>155.0</v>
      </c>
      <c r="AK903" s="1">
        <v>50.0</v>
      </c>
      <c r="AL903" s="1" t="s">
        <v>14294</v>
      </c>
      <c r="AM903" s="1" t="s">
        <v>14295</v>
      </c>
      <c r="AN903" s="7" t="s">
        <v>14296</v>
      </c>
      <c r="AO903" s="8" t="str">
        <f>HYPERLINK("https://docs.google.com/document/d/1sJk24J0IRBV_TT4me8XBMQApto5hB1jB39zk21V1Toc/edit?usp=drivesdk","Al-Wildan 7 Serang_Ariska Anjalni, S.Si_Fisika")</f>
        <v>Al-Wildan 7 Serang_Ariska Anjalni, S.Si_Fisika</v>
      </c>
      <c r="AP903" s="1" t="s">
        <v>14297</v>
      </c>
    </row>
    <row r="904">
      <c r="A904" s="6">
        <v>45376.55202645833</v>
      </c>
      <c r="B904" s="7" t="s">
        <v>14298</v>
      </c>
      <c r="C904" s="8" t="s">
        <v>14299</v>
      </c>
      <c r="D904" s="1" t="s">
        <v>14300</v>
      </c>
      <c r="E904" s="9" t="s">
        <v>14301</v>
      </c>
      <c r="F904" s="1" t="s">
        <v>4137</v>
      </c>
      <c r="G904" s="1" t="s">
        <v>14302</v>
      </c>
      <c r="H904" s="1" t="s">
        <v>14303</v>
      </c>
      <c r="I904" s="9" t="s">
        <v>4140</v>
      </c>
      <c r="J904" s="1" t="s">
        <v>6398</v>
      </c>
      <c r="K904" s="1" t="s">
        <v>151</v>
      </c>
      <c r="L904" s="1" t="s">
        <v>329</v>
      </c>
      <c r="M904" s="1" t="s">
        <v>104</v>
      </c>
      <c r="N904" s="1" t="s">
        <v>14304</v>
      </c>
      <c r="O904" s="1" t="s">
        <v>1202</v>
      </c>
      <c r="P904" s="1" t="s">
        <v>107</v>
      </c>
      <c r="Q904" s="1" t="s">
        <v>14305</v>
      </c>
      <c r="R904" s="1" t="s">
        <v>10527</v>
      </c>
      <c r="S904" s="1">
        <v>3.84</v>
      </c>
      <c r="T904" s="1" t="s">
        <v>217</v>
      </c>
      <c r="U904" s="1" t="s">
        <v>217</v>
      </c>
      <c r="W904" s="1" t="s">
        <v>217</v>
      </c>
      <c r="X904" s="1" t="s">
        <v>217</v>
      </c>
      <c r="Z904" s="1" t="s">
        <v>14306</v>
      </c>
      <c r="AA904" s="10">
        <v>650000.0</v>
      </c>
      <c r="AB904" s="1" t="s">
        <v>14307</v>
      </c>
      <c r="AC904" s="10">
        <v>800000.0</v>
      </c>
      <c r="AD904" s="1" t="s">
        <v>14308</v>
      </c>
      <c r="AE904" s="1" t="s">
        <v>14309</v>
      </c>
      <c r="AG904" s="1">
        <v>8.44330074E9</v>
      </c>
      <c r="AI904" s="1" t="s">
        <v>5113</v>
      </c>
      <c r="AJ904" s="1">
        <v>158.0</v>
      </c>
      <c r="AK904" s="1">
        <v>57.0</v>
      </c>
      <c r="AL904" s="1" t="s">
        <v>14310</v>
      </c>
      <c r="AM904" s="1" t="s">
        <v>14311</v>
      </c>
      <c r="AN904" s="7" t="s">
        <v>14312</v>
      </c>
      <c r="AO904" s="8" t="str">
        <f>HYPERLINK("https://docs.google.com/document/d/1_-ifvF2il6cPZtBamsDzBlrhdKSjPNh-GH96LZP4v9E/edit?usp=drivesdk","Al-Wildan 1 Gading Serpong_Aulia Zarah, S.Ag_Guru Diniyyah di TK (merangkap jadi guru Al-Qur'an &amp; Arabic, mengajar Nuronniyah juga)")</f>
        <v>Al-Wildan 1 Gading Serpong_Aulia Zarah, S.Ag_Guru Diniyyah di TK (merangkap jadi guru Al-Qur'an &amp; Arabic, mengajar Nuronniyah juga)</v>
      </c>
      <c r="AP904" s="1" t="s">
        <v>14313</v>
      </c>
    </row>
    <row r="905">
      <c r="A905" s="6">
        <v>45383.22044899306</v>
      </c>
      <c r="B905" s="7" t="s">
        <v>14314</v>
      </c>
      <c r="C905" s="8" t="s">
        <v>14315</v>
      </c>
      <c r="D905" s="1" t="s">
        <v>14316</v>
      </c>
      <c r="E905" s="9" t="s">
        <v>14317</v>
      </c>
      <c r="F905" s="1" t="s">
        <v>14318</v>
      </c>
      <c r="G905" s="1" t="s">
        <v>14319</v>
      </c>
      <c r="H905" s="1" t="s">
        <v>7160</v>
      </c>
      <c r="I905" s="9" t="s">
        <v>14320</v>
      </c>
      <c r="J905" s="1" t="s">
        <v>7941</v>
      </c>
      <c r="K905" s="1" t="s">
        <v>151</v>
      </c>
      <c r="L905" s="1" t="s">
        <v>256</v>
      </c>
      <c r="M905" s="1" t="s">
        <v>104</v>
      </c>
      <c r="N905" s="1" t="s">
        <v>552</v>
      </c>
      <c r="O905" s="1" t="s">
        <v>127</v>
      </c>
      <c r="P905" s="1" t="s">
        <v>7162</v>
      </c>
      <c r="Q905" s="1" t="s">
        <v>3409</v>
      </c>
      <c r="R905" s="1" t="s">
        <v>410</v>
      </c>
      <c r="S905" s="1" t="s">
        <v>8549</v>
      </c>
      <c r="Z905" s="1" t="s">
        <v>14321</v>
      </c>
      <c r="AA905" s="1" t="s">
        <v>14322</v>
      </c>
      <c r="AF905" s="10">
        <v>5500000.0</v>
      </c>
      <c r="AH905" s="1">
        <v>1.640002127936E12</v>
      </c>
      <c r="AI905" s="1" t="s">
        <v>2119</v>
      </c>
      <c r="AJ905" s="1">
        <v>150.0</v>
      </c>
      <c r="AK905" s="1">
        <v>47.0</v>
      </c>
      <c r="AL905" s="1" t="s">
        <v>14323</v>
      </c>
      <c r="AM905" s="1" t="s">
        <v>14324</v>
      </c>
      <c r="AN905" s="7" t="s">
        <v>14325</v>
      </c>
      <c r="AO905" s="8" t="str">
        <f>HYPERLINK("https://docs.google.com/document/d/1el5Xd7z0m_-9POWS5kpnyCCalJeyoiMA8Jp8i6wJD30/edit?usp=drivesdk","Al-Wildan 7 Serang_Uyun Komariyah, S.Pd_Fisika")</f>
        <v>Al-Wildan 7 Serang_Uyun Komariyah, S.Pd_Fisika</v>
      </c>
      <c r="AP905" s="1" t="s">
        <v>14326</v>
      </c>
    </row>
    <row r="906">
      <c r="A906" s="6">
        <v>45407.556928391205</v>
      </c>
      <c r="B906" s="7" t="s">
        <v>14327</v>
      </c>
      <c r="C906" s="8" t="s">
        <v>14328</v>
      </c>
      <c r="D906" s="1" t="s">
        <v>14329</v>
      </c>
      <c r="E906" s="9" t="s">
        <v>14330</v>
      </c>
      <c r="F906" s="1" t="s">
        <v>14331</v>
      </c>
      <c r="G906" s="1" t="s">
        <v>14332</v>
      </c>
      <c r="H906" s="1" t="s">
        <v>148</v>
      </c>
      <c r="I906" s="9" t="s">
        <v>14333</v>
      </c>
      <c r="J906" s="1" t="s">
        <v>4209</v>
      </c>
      <c r="K906" s="1" t="s">
        <v>151</v>
      </c>
      <c r="L906" s="1" t="s">
        <v>103</v>
      </c>
      <c r="M906" s="1" t="s">
        <v>6186</v>
      </c>
      <c r="N906" s="1" t="s">
        <v>10004</v>
      </c>
      <c r="O906" s="1" t="s">
        <v>14334</v>
      </c>
      <c r="P906" s="1" t="s">
        <v>14335</v>
      </c>
      <c r="Q906" s="1" t="s">
        <v>9572</v>
      </c>
      <c r="R906" s="1" t="s">
        <v>2584</v>
      </c>
      <c r="S906" s="1">
        <v>3.41</v>
      </c>
      <c r="Z906" s="1" t="s">
        <v>14336</v>
      </c>
      <c r="AA906" s="1" t="s">
        <v>217</v>
      </c>
      <c r="AF906" s="10">
        <v>3000000.0</v>
      </c>
      <c r="AJ906" s="1">
        <v>162.0</v>
      </c>
      <c r="AK906" s="1">
        <v>75.0</v>
      </c>
      <c r="AL906" s="1" t="s">
        <v>14337</v>
      </c>
      <c r="AM906" s="1" t="s">
        <v>14338</v>
      </c>
      <c r="AN906" s="7" t="s">
        <v>14339</v>
      </c>
      <c r="AO906" s="8" t="str">
        <f>HYPERLINK("https://docs.google.com/document/d/1aDojvilCaul4b4aZmuYK2ea7PWu3xdZ8Rhc06Oe0Fjk/edit?usp=drivesdk","Al-Wildan 13 Tembalang, Bekasi_Aliqa Nadhifa Rosa S.Pd_Bahasa Inggris ")</f>
        <v>Al-Wildan 13 Tembalang, Bekasi_Aliqa Nadhifa Rosa S.Pd_Bahasa Inggris </v>
      </c>
      <c r="AP906" s="1" t="s">
        <v>14340</v>
      </c>
    </row>
    <row r="907">
      <c r="A907" s="6">
        <v>45408.93348533565</v>
      </c>
      <c r="B907" s="7" t="s">
        <v>14341</v>
      </c>
      <c r="C907" s="8" t="s">
        <v>14342</v>
      </c>
      <c r="D907" s="1" t="s">
        <v>14343</v>
      </c>
      <c r="E907" s="9" t="s">
        <v>14344</v>
      </c>
      <c r="F907" s="1" t="s">
        <v>14345</v>
      </c>
      <c r="G907" s="1" t="s">
        <v>14346</v>
      </c>
      <c r="H907" s="1" t="s">
        <v>169</v>
      </c>
      <c r="I907" s="9" t="s">
        <v>14347</v>
      </c>
      <c r="J907" s="1" t="s">
        <v>1648</v>
      </c>
      <c r="K907" s="1" t="s">
        <v>151</v>
      </c>
      <c r="L907" s="1" t="s">
        <v>103</v>
      </c>
      <c r="M907" s="1" t="s">
        <v>104</v>
      </c>
      <c r="N907" s="1" t="s">
        <v>5860</v>
      </c>
      <c r="O907" s="1" t="s">
        <v>9794</v>
      </c>
      <c r="P907" s="1" t="s">
        <v>237</v>
      </c>
      <c r="Q907" s="1" t="s">
        <v>14348</v>
      </c>
      <c r="R907" s="1" t="s">
        <v>552</v>
      </c>
      <c r="S907" s="1" t="s">
        <v>1364</v>
      </c>
      <c r="Z907" s="1" t="s">
        <v>14349</v>
      </c>
      <c r="AA907" s="10">
        <v>2000000.0</v>
      </c>
      <c r="AB907" s="1" t="s">
        <v>14350</v>
      </c>
      <c r="AC907" s="10">
        <v>650000.0</v>
      </c>
      <c r="AF907" s="10">
        <v>5500000.0</v>
      </c>
      <c r="AH907" s="1">
        <v>7.330414337E9</v>
      </c>
      <c r="AI907" s="1" t="s">
        <v>222</v>
      </c>
      <c r="AJ907" s="1">
        <v>158.0</v>
      </c>
      <c r="AK907" s="1">
        <v>49.0</v>
      </c>
      <c r="AL907" s="1" t="s">
        <v>14351</v>
      </c>
      <c r="AM907" s="1" t="s">
        <v>14352</v>
      </c>
      <c r="AN907" s="7" t="s">
        <v>14353</v>
      </c>
      <c r="AO907" s="8" t="str">
        <f>HYPERLINK("https://docs.google.com/document/d/1kk8nXr2-mC2AOr8SzKLcC1uiLgovuYWUoICTvJwVs5I/edit?usp=drivesdk","Al-Wildan 4 Lebak Bulus_Nadia Khairunnisa, S.Si_Physics")</f>
        <v>Al-Wildan 4 Lebak Bulus_Nadia Khairunnisa, S.Si_Physics</v>
      </c>
      <c r="AP907" s="1" t="s">
        <v>14354</v>
      </c>
    </row>
    <row r="908">
      <c r="A908" s="6">
        <v>45408.98475831018</v>
      </c>
      <c r="B908" s="7" t="s">
        <v>14355</v>
      </c>
      <c r="C908" s="8" t="s">
        <v>14356</v>
      </c>
      <c r="D908" s="1" t="s">
        <v>14357</v>
      </c>
      <c r="E908" s="9" t="s">
        <v>14358</v>
      </c>
      <c r="F908" s="1" t="s">
        <v>14359</v>
      </c>
      <c r="G908" s="1" t="s">
        <v>14360</v>
      </c>
      <c r="H908" s="1" t="s">
        <v>10576</v>
      </c>
      <c r="I908" s="9" t="s">
        <v>14361</v>
      </c>
      <c r="J908" s="1" t="s">
        <v>9105</v>
      </c>
      <c r="K908" s="1" t="s">
        <v>151</v>
      </c>
      <c r="L908" s="1" t="s">
        <v>256</v>
      </c>
      <c r="M908" s="1" t="s">
        <v>8904</v>
      </c>
      <c r="N908" s="1" t="s">
        <v>14362</v>
      </c>
      <c r="O908" s="1" t="s">
        <v>236</v>
      </c>
      <c r="P908" s="1" t="s">
        <v>5712</v>
      </c>
      <c r="Q908" s="1" t="s">
        <v>14363</v>
      </c>
      <c r="R908" s="1" t="s">
        <v>14364</v>
      </c>
      <c r="S908" s="1" t="s">
        <v>7975</v>
      </c>
      <c r="T908" s="1" t="s">
        <v>14365</v>
      </c>
      <c r="U908" s="1" t="s">
        <v>14364</v>
      </c>
      <c r="Z908" s="1" t="s">
        <v>14366</v>
      </c>
      <c r="AA908" s="10">
        <v>5000000.0</v>
      </c>
      <c r="AB908" s="1" t="s">
        <v>14367</v>
      </c>
      <c r="AC908" s="10">
        <v>5000000.0</v>
      </c>
      <c r="AD908" s="1" t="s">
        <v>14368</v>
      </c>
      <c r="AE908" s="10">
        <v>5000000.0</v>
      </c>
      <c r="AF908" s="10">
        <v>7500000.0</v>
      </c>
      <c r="AG908" s="1">
        <v>7.195351907E9</v>
      </c>
      <c r="AJ908" s="1">
        <v>165.0</v>
      </c>
      <c r="AK908" s="1">
        <v>55.0</v>
      </c>
      <c r="AL908" s="1" t="s">
        <v>14369</v>
      </c>
      <c r="AM908" s="1" t="s">
        <v>14370</v>
      </c>
      <c r="AN908" s="7" t="s">
        <v>14371</v>
      </c>
      <c r="AO908" s="8" t="str">
        <f>HYPERLINK("https://docs.google.com/document/d/1dBQ6744Et5aBmNBrLEU7HWoG6zJ288DE004UxlyHw6M/edit?usp=drivesdk","Al-Wildan 3 BSD City_Lalu Nuzul Ilham Hadi, Lc., S.Ag., CHNCO., CHCO., CNLPCO_Al-Qur'an/ Diniyah/ Arabic")</f>
        <v>Al-Wildan 3 BSD City_Lalu Nuzul Ilham Hadi, Lc., S.Ag., CHNCO., CHCO., CNLPCO_Al-Qur'an/ Diniyah/ Arabic</v>
      </c>
      <c r="AP908" s="1" t="s">
        <v>14372</v>
      </c>
    </row>
    <row r="909">
      <c r="A909" s="6">
        <v>45409.32990652778</v>
      </c>
      <c r="B909" s="7" t="s">
        <v>14373</v>
      </c>
      <c r="C909" s="8" t="s">
        <v>14374</v>
      </c>
      <c r="D909" s="1" t="s">
        <v>14375</v>
      </c>
      <c r="E909" s="9" t="s">
        <v>14376</v>
      </c>
      <c r="F909" s="1" t="s">
        <v>14377</v>
      </c>
      <c r="G909" s="1" t="s">
        <v>14378</v>
      </c>
      <c r="H909" s="1" t="s">
        <v>14379</v>
      </c>
      <c r="I909" s="9" t="s">
        <v>14380</v>
      </c>
      <c r="J909" s="1" t="s">
        <v>14381</v>
      </c>
      <c r="K909" s="1" t="s">
        <v>102</v>
      </c>
      <c r="L909" s="1" t="s">
        <v>256</v>
      </c>
      <c r="M909" s="1" t="s">
        <v>104</v>
      </c>
      <c r="N909" s="1" t="s">
        <v>552</v>
      </c>
      <c r="O909" s="1" t="s">
        <v>127</v>
      </c>
      <c r="P909" s="1" t="s">
        <v>7991</v>
      </c>
      <c r="Q909" s="1" t="s">
        <v>5611</v>
      </c>
      <c r="R909" s="1" t="s">
        <v>552</v>
      </c>
      <c r="S909" s="1">
        <v>2.96</v>
      </c>
      <c r="Z909" s="1" t="s">
        <v>5479</v>
      </c>
      <c r="AA909" s="10">
        <v>7000000.0</v>
      </c>
      <c r="AB909" s="1" t="s">
        <v>14382</v>
      </c>
      <c r="AC909" s="10">
        <v>7000000.0</v>
      </c>
      <c r="AF909" s="10">
        <v>7000000.0</v>
      </c>
      <c r="AH909" s="1">
        <v>6.050230226E9</v>
      </c>
      <c r="AI909" s="1" t="s">
        <v>222</v>
      </c>
      <c r="AJ909" s="1">
        <v>152.0</v>
      </c>
      <c r="AK909" s="1">
        <v>60.0</v>
      </c>
      <c r="AL909" s="1" t="s">
        <v>14383</v>
      </c>
      <c r="AM909" s="1" t="s">
        <v>14384</v>
      </c>
      <c r="AN909" s="7" t="s">
        <v>14385</v>
      </c>
      <c r="AO909" s="8" t="str">
        <f>HYPERLINK("https://docs.google.com/document/d/133PVBXeEbfRlef3zqaIeNYBBj5uxwLXQkmXc2FzG4IY/edit?usp=drivesdk","Al-Wildan 12 Bulak Kapal, Bekasi_Ratna Sari Dewi S.Si_Fisika")</f>
        <v>Al-Wildan 12 Bulak Kapal, Bekasi_Ratna Sari Dewi S.Si_Fisika</v>
      </c>
      <c r="AP909" s="1" t="s">
        <v>14386</v>
      </c>
    </row>
    <row r="910">
      <c r="A910" s="6">
        <v>45409.37458231482</v>
      </c>
      <c r="B910" s="7" t="s">
        <v>14387</v>
      </c>
      <c r="C910" s="8" t="s">
        <v>14388</v>
      </c>
      <c r="D910" s="1" t="s">
        <v>14389</v>
      </c>
      <c r="E910" s="9" t="s">
        <v>14390</v>
      </c>
      <c r="F910" s="1" t="s">
        <v>14391</v>
      </c>
      <c r="G910" s="1" t="s">
        <v>14392</v>
      </c>
      <c r="H910" s="1" t="s">
        <v>14393</v>
      </c>
      <c r="I910" s="9" t="s">
        <v>14394</v>
      </c>
      <c r="J910" s="1" t="s">
        <v>273</v>
      </c>
      <c r="K910" s="1" t="s">
        <v>151</v>
      </c>
      <c r="L910" s="1" t="s">
        <v>256</v>
      </c>
      <c r="M910" s="1" t="s">
        <v>104</v>
      </c>
      <c r="N910" s="1" t="s">
        <v>4332</v>
      </c>
      <c r="O910" s="1" t="s">
        <v>127</v>
      </c>
      <c r="P910" s="1" t="s">
        <v>14395</v>
      </c>
      <c r="Q910" s="1" t="s">
        <v>7857</v>
      </c>
      <c r="R910" s="1" t="s">
        <v>394</v>
      </c>
      <c r="Z910" s="1" t="s">
        <v>14396</v>
      </c>
      <c r="AA910" s="10">
        <v>2000000.0</v>
      </c>
      <c r="AF910" s="10">
        <v>5000000.0</v>
      </c>
      <c r="AG910" s="1">
        <v>7.131938165E9</v>
      </c>
      <c r="AI910" s="1" t="s">
        <v>5113</v>
      </c>
      <c r="AJ910" s="1">
        <v>135.0</v>
      </c>
      <c r="AK910" s="1">
        <v>55.0</v>
      </c>
      <c r="AL910" s="1" t="s">
        <v>14397</v>
      </c>
      <c r="AM910" s="1" t="s">
        <v>14398</v>
      </c>
      <c r="AN910" s="7" t="s">
        <v>14399</v>
      </c>
      <c r="AO910" s="8" t="str">
        <f>HYPERLINK("https://docs.google.com/document/d/1OK3CmWf05frxIiBOkK3lnzPFj0NFpa26crh4XaolpqY/edit?usp=drivesdk","Al-Wildam 20 Mataram_Aisyah Nanda Hafsuna S.Pd_arabic")</f>
        <v>Al-Wildam 20 Mataram_Aisyah Nanda Hafsuna S.Pd_arabic</v>
      </c>
      <c r="AP910" s="1" t="s">
        <v>14400</v>
      </c>
    </row>
    <row r="911">
      <c r="A911" s="6">
        <v>45409.45883628472</v>
      </c>
      <c r="B911" s="7" t="s">
        <v>14401</v>
      </c>
      <c r="C911" s="8" t="s">
        <v>14402</v>
      </c>
      <c r="D911" s="1" t="s">
        <v>14403</v>
      </c>
      <c r="E911" s="9" t="s">
        <v>14404</v>
      </c>
      <c r="F911" s="1" t="s">
        <v>14405</v>
      </c>
      <c r="G911" s="1" t="s">
        <v>14406</v>
      </c>
      <c r="H911" s="1" t="s">
        <v>169</v>
      </c>
      <c r="I911" s="9" t="s">
        <v>14407</v>
      </c>
      <c r="J911" s="1" t="s">
        <v>346</v>
      </c>
      <c r="K911" s="1" t="s">
        <v>151</v>
      </c>
      <c r="L911" s="1" t="s">
        <v>103</v>
      </c>
      <c r="M911" s="1" t="s">
        <v>104</v>
      </c>
      <c r="N911" s="1" t="s">
        <v>552</v>
      </c>
      <c r="O911" s="1" t="s">
        <v>236</v>
      </c>
      <c r="P911" s="1" t="s">
        <v>107</v>
      </c>
      <c r="Q911" s="1" t="s">
        <v>108</v>
      </c>
      <c r="R911" s="1" t="s">
        <v>410</v>
      </c>
      <c r="S911" s="1" t="s">
        <v>5590</v>
      </c>
      <c r="Z911" s="1" t="s">
        <v>14408</v>
      </c>
      <c r="AA911" s="10">
        <v>5800000.0</v>
      </c>
      <c r="AB911" s="1" t="s">
        <v>14409</v>
      </c>
      <c r="AC911" s="10">
        <v>3000000.0</v>
      </c>
      <c r="AF911" s="10">
        <v>7000000.0</v>
      </c>
      <c r="AH911" s="1">
        <v>1.170007486756E12</v>
      </c>
      <c r="AI911" s="1" t="s">
        <v>2119</v>
      </c>
      <c r="AJ911" s="1">
        <v>170.0</v>
      </c>
      <c r="AK911" s="1">
        <v>68.0</v>
      </c>
      <c r="AL911" s="1" t="s">
        <v>14410</v>
      </c>
      <c r="AM911" s="1" t="s">
        <v>14411</v>
      </c>
      <c r="AN911" s="7" t="s">
        <v>14412</v>
      </c>
      <c r="AO911" s="8" t="str">
        <f>HYPERLINK("https://docs.google.com/document/d/1XxUWSaNusUyBjc80NxiQssHc5s82ifEiY2k60SlLNqI/edit?usp=drivesdk","Al-Wildan 1 Gading Serpong_Fiqh Hakim Al Fatih, S.Pd_Fisika")</f>
        <v>Al-Wildan 1 Gading Serpong_Fiqh Hakim Al Fatih, S.Pd_Fisika</v>
      </c>
      <c r="AP911" s="1" t="s">
        <v>14413</v>
      </c>
    </row>
    <row r="912">
      <c r="A912" s="6">
        <v>45409.564903645834</v>
      </c>
      <c r="B912" s="7" t="s">
        <v>14414</v>
      </c>
      <c r="C912" s="8" t="s">
        <v>14415</v>
      </c>
      <c r="D912" s="1" t="s">
        <v>14416</v>
      </c>
      <c r="E912" s="9" t="s">
        <v>14417</v>
      </c>
      <c r="F912" s="1" t="s">
        <v>14418</v>
      </c>
      <c r="G912" s="1" t="s">
        <v>14419</v>
      </c>
      <c r="H912" s="1" t="s">
        <v>14420</v>
      </c>
      <c r="I912" s="9" t="s">
        <v>14421</v>
      </c>
      <c r="J912" s="1" t="s">
        <v>234</v>
      </c>
      <c r="K912" s="1" t="s">
        <v>151</v>
      </c>
      <c r="L912" s="1" t="s">
        <v>256</v>
      </c>
      <c r="M912" s="1" t="s">
        <v>104</v>
      </c>
      <c r="N912" s="1" t="s">
        <v>14422</v>
      </c>
      <c r="O912" s="1" t="s">
        <v>236</v>
      </c>
      <c r="P912" s="1" t="s">
        <v>5712</v>
      </c>
      <c r="Q912" s="1" t="s">
        <v>14423</v>
      </c>
      <c r="R912" s="1" t="s">
        <v>1521</v>
      </c>
      <c r="S912" s="1" t="s">
        <v>6418</v>
      </c>
      <c r="T912" s="1" t="s">
        <v>153</v>
      </c>
      <c r="U912" s="1" t="s">
        <v>11083</v>
      </c>
      <c r="V912" s="1" t="s">
        <v>134</v>
      </c>
      <c r="Z912" s="1" t="s">
        <v>14424</v>
      </c>
      <c r="AA912" s="10">
        <v>5000000.0</v>
      </c>
      <c r="AB912" s="1" t="s">
        <v>14425</v>
      </c>
      <c r="AC912" s="10">
        <v>3000000.0</v>
      </c>
      <c r="AD912" s="1" t="s">
        <v>10335</v>
      </c>
      <c r="AE912" s="10">
        <v>2500000.0</v>
      </c>
      <c r="AF912" s="10">
        <v>9000000.0</v>
      </c>
      <c r="AH912" s="1">
        <v>1.320027897025E12</v>
      </c>
      <c r="AI912" s="1" t="s">
        <v>14426</v>
      </c>
      <c r="AJ912" s="1">
        <v>160.0</v>
      </c>
      <c r="AK912" s="1">
        <v>55.0</v>
      </c>
      <c r="AL912" s="1" t="s">
        <v>14427</v>
      </c>
      <c r="AM912" s="1" t="s">
        <v>14428</v>
      </c>
      <c r="AN912" s="7" t="s">
        <v>14429</v>
      </c>
      <c r="AO912" s="8" t="str">
        <f>HYPERLINK("https://docs.google.com/document/d/1lh2u7co7J44jKnxr6-LAY_ZMhwDZ5APV8arqTaWSeTQ/edit?usp=drivesdk","Al-Wildan 3 BSD City_Amsal Alhayat, M.Pd_Kimia/Chemistry (Cambridge Curriculum)")</f>
        <v>Al-Wildan 3 BSD City_Amsal Alhayat, M.Pd_Kimia/Chemistry (Cambridge Curriculum)</v>
      </c>
      <c r="AP912" s="1" t="s">
        <v>14430</v>
      </c>
    </row>
    <row r="913">
      <c r="A913" s="6">
        <v>45409.596876435186</v>
      </c>
      <c r="B913" s="7" t="s">
        <v>14431</v>
      </c>
      <c r="C913" s="8" t="s">
        <v>14432</v>
      </c>
      <c r="D913" s="1" t="s">
        <v>14433</v>
      </c>
      <c r="E913" s="9" t="s">
        <v>14434</v>
      </c>
      <c r="F913" s="1" t="s">
        <v>14435</v>
      </c>
      <c r="G913" s="1" t="s">
        <v>14436</v>
      </c>
      <c r="H913" s="1" t="s">
        <v>9779</v>
      </c>
      <c r="I913" s="9" t="s">
        <v>14437</v>
      </c>
      <c r="J913" s="1" t="s">
        <v>2651</v>
      </c>
      <c r="K913" s="1" t="s">
        <v>102</v>
      </c>
      <c r="L913" s="1" t="s">
        <v>103</v>
      </c>
      <c r="M913" s="1" t="s">
        <v>104</v>
      </c>
      <c r="N913" s="1" t="s">
        <v>14438</v>
      </c>
      <c r="O913" s="1" t="s">
        <v>9794</v>
      </c>
      <c r="P913" s="1" t="s">
        <v>14439</v>
      </c>
      <c r="Q913" s="1" t="s">
        <v>14440</v>
      </c>
      <c r="R913" s="1" t="s">
        <v>1083</v>
      </c>
      <c r="S913" s="1" t="s">
        <v>14441</v>
      </c>
      <c r="T913" s="1" t="s">
        <v>14442</v>
      </c>
      <c r="U913" s="1" t="s">
        <v>259</v>
      </c>
      <c r="Z913" s="1" t="s">
        <v>14443</v>
      </c>
      <c r="AA913" s="10">
        <v>2000000.0</v>
      </c>
      <c r="AB913" s="1" t="s">
        <v>14444</v>
      </c>
      <c r="AC913" s="10">
        <v>5300000.0</v>
      </c>
      <c r="AD913" s="1" t="s">
        <v>14445</v>
      </c>
      <c r="AE913" s="1" t="s">
        <v>14446</v>
      </c>
      <c r="AF913" s="10">
        <v>7500000.0</v>
      </c>
      <c r="AG913" s="1">
        <v>4.65998496E9</v>
      </c>
      <c r="AJ913" s="1">
        <v>165.0</v>
      </c>
      <c r="AK913" s="1">
        <v>73.0</v>
      </c>
      <c r="AL913" s="1" t="s">
        <v>14447</v>
      </c>
      <c r="AM913" s="1" t="s">
        <v>14448</v>
      </c>
      <c r="AN913" s="7" t="s">
        <v>14449</v>
      </c>
      <c r="AO913" s="8" t="str">
        <f>HYPERLINK("https://docs.google.com/document/d/1pYEaGWkKZY1GWJ0cyANc8FwXaf5mH4xKRptEVcNTz2k/edit?usp=drivesdk","Al-Wildan 22 Makassar_Achmad Fawwas Gibran, Lc_Al-Qur'an Diniyyah Arabic")</f>
        <v>Al-Wildan 22 Makassar_Achmad Fawwas Gibran, Lc_Al-Qur'an Diniyyah Arabic</v>
      </c>
      <c r="AP913" s="1" t="s">
        <v>14450</v>
      </c>
    </row>
    <row r="914">
      <c r="A914" s="6">
        <v>45409.62710385417</v>
      </c>
      <c r="B914" s="7" t="s">
        <v>14451</v>
      </c>
      <c r="C914" s="8" t="s">
        <v>14452</v>
      </c>
      <c r="D914" s="1" t="s">
        <v>14453</v>
      </c>
      <c r="E914" s="9" t="s">
        <v>14454</v>
      </c>
      <c r="F914" s="1" t="s">
        <v>14455</v>
      </c>
      <c r="G914" s="1" t="s">
        <v>14456</v>
      </c>
      <c r="H914" s="1" t="s">
        <v>390</v>
      </c>
      <c r="I914" s="9" t="s">
        <v>14457</v>
      </c>
      <c r="J914" s="1" t="s">
        <v>4279</v>
      </c>
      <c r="K914" s="1" t="s">
        <v>151</v>
      </c>
      <c r="L914" s="1" t="s">
        <v>256</v>
      </c>
      <c r="M914" s="1" t="s">
        <v>104</v>
      </c>
      <c r="N914" s="1" t="s">
        <v>14458</v>
      </c>
      <c r="O914" s="1" t="s">
        <v>127</v>
      </c>
      <c r="P914" s="1" t="s">
        <v>6091</v>
      </c>
      <c r="Q914" s="1" t="s">
        <v>153</v>
      </c>
      <c r="R914" s="1" t="s">
        <v>989</v>
      </c>
      <c r="S914" s="1" t="s">
        <v>2465</v>
      </c>
      <c r="Z914" s="1" t="s">
        <v>14459</v>
      </c>
      <c r="AA914" s="10">
        <v>6300000.0</v>
      </c>
      <c r="AF914" s="10">
        <v>8000000.0</v>
      </c>
      <c r="AG914" s="1">
        <v>7.122235496E9</v>
      </c>
      <c r="AJ914" s="1">
        <v>153.0</v>
      </c>
      <c r="AK914" s="1">
        <v>43.0</v>
      </c>
      <c r="AL914" s="1" t="s">
        <v>14460</v>
      </c>
      <c r="AM914" s="1" t="s">
        <v>14461</v>
      </c>
      <c r="AN914" s="7" t="s">
        <v>14462</v>
      </c>
      <c r="AO914" s="8" t="str">
        <f>HYPERLINK("https://docs.google.com/document/d/1GBLT1OXYBLlPCZhlzyRmVy6_Tr9cqx6A764lfw7xr5s/edit?usp=drivesdk","Al-Wildan 10 Cipinang, Jakarta Timur_Yuni Hoeruni, S.Pd._Guru Biologi")</f>
        <v>Al-Wildan 10 Cipinang, Jakarta Timur_Yuni Hoeruni, S.Pd._Guru Biologi</v>
      </c>
      <c r="AP914" s="1" t="s">
        <v>14463</v>
      </c>
    </row>
    <row r="915">
      <c r="A915" s="6">
        <v>45409.69696552084</v>
      </c>
      <c r="B915" s="7" t="s">
        <v>14464</v>
      </c>
      <c r="C915" s="8" t="s">
        <v>14465</v>
      </c>
      <c r="D915" s="1" t="s">
        <v>14466</v>
      </c>
      <c r="E915" s="9" t="s">
        <v>14467</v>
      </c>
      <c r="F915" s="1" t="s">
        <v>14468</v>
      </c>
      <c r="G915" s="1" t="s">
        <v>14469</v>
      </c>
      <c r="H915" s="1" t="s">
        <v>169</v>
      </c>
      <c r="I915" s="9" t="s">
        <v>14470</v>
      </c>
      <c r="J915" s="1" t="s">
        <v>14471</v>
      </c>
      <c r="K915" s="1" t="s">
        <v>102</v>
      </c>
      <c r="L915" s="1" t="s">
        <v>827</v>
      </c>
      <c r="M915" s="1" t="s">
        <v>104</v>
      </c>
      <c r="N915" s="1" t="s">
        <v>1275</v>
      </c>
      <c r="O915" s="1" t="s">
        <v>236</v>
      </c>
      <c r="P915" s="1" t="s">
        <v>11207</v>
      </c>
      <c r="Q915" s="1" t="s">
        <v>108</v>
      </c>
      <c r="R915" s="1" t="s">
        <v>989</v>
      </c>
      <c r="S915" s="1" t="s">
        <v>426</v>
      </c>
      <c r="T915" s="1" t="s">
        <v>217</v>
      </c>
      <c r="U915" s="1" t="s">
        <v>217</v>
      </c>
      <c r="V915" s="1" t="s">
        <v>217</v>
      </c>
      <c r="W915" s="1" t="s">
        <v>217</v>
      </c>
      <c r="X915" s="1" t="s">
        <v>217</v>
      </c>
      <c r="Y915" s="1">
        <v>0.0</v>
      </c>
      <c r="Z915" s="1" t="s">
        <v>104</v>
      </c>
      <c r="AA915" s="10">
        <v>1500000.0</v>
      </c>
      <c r="AB915" s="1" t="s">
        <v>14472</v>
      </c>
      <c r="AC915" s="10">
        <v>3500000.0</v>
      </c>
      <c r="AD915" s="1" t="s">
        <v>7465</v>
      </c>
      <c r="AE915" s="10">
        <v>450000.0</v>
      </c>
      <c r="AF915" s="10">
        <v>6000000.0</v>
      </c>
      <c r="AG915" s="1">
        <v>7.65823468E9</v>
      </c>
      <c r="AH915" s="1">
        <v>0.0</v>
      </c>
      <c r="AI915" s="1" t="s">
        <v>217</v>
      </c>
      <c r="AJ915" s="1">
        <v>158.0</v>
      </c>
      <c r="AK915" s="1">
        <v>78.0</v>
      </c>
      <c r="AL915" s="1" t="s">
        <v>14473</v>
      </c>
      <c r="AM915" s="1" t="s">
        <v>14474</v>
      </c>
      <c r="AN915" s="7" t="s">
        <v>14475</v>
      </c>
      <c r="AO915" s="8" t="str">
        <f>HYPERLINK("https://docs.google.com/document/d/1R2rLdyuRQHWq0MkS4R3NzsSPi8fJLCxvAtLmYqZywQo/edit?usp=drivesdk","Al-Wildan 16 Ciledug_Assyifa Al Khansa, S.Pd, Gr_Biologi")</f>
        <v>Al-Wildan 16 Ciledug_Assyifa Al Khansa, S.Pd, Gr_Biologi</v>
      </c>
      <c r="AP915" s="1" t="s">
        <v>14476</v>
      </c>
    </row>
    <row r="916">
      <c r="A916" s="6">
        <v>45409.75785663194</v>
      </c>
      <c r="B916" s="7" t="s">
        <v>14477</v>
      </c>
      <c r="C916" s="8" t="s">
        <v>14478</v>
      </c>
      <c r="D916" s="1" t="s">
        <v>14479</v>
      </c>
      <c r="E916" s="9" t="s">
        <v>14480</v>
      </c>
      <c r="F916" s="1" t="s">
        <v>14481</v>
      </c>
      <c r="G916" s="1" t="s">
        <v>14482</v>
      </c>
      <c r="H916" s="1" t="s">
        <v>169</v>
      </c>
      <c r="I916" s="9" t="s">
        <v>14483</v>
      </c>
      <c r="J916" s="1" t="s">
        <v>9896</v>
      </c>
      <c r="K916" s="1" t="s">
        <v>151</v>
      </c>
      <c r="L916" s="1" t="s">
        <v>103</v>
      </c>
      <c r="M916" s="1" t="s">
        <v>104</v>
      </c>
      <c r="N916" s="1" t="s">
        <v>105</v>
      </c>
      <c r="O916" s="1" t="s">
        <v>127</v>
      </c>
      <c r="P916" s="1" t="s">
        <v>11207</v>
      </c>
      <c r="Q916" s="1" t="s">
        <v>108</v>
      </c>
      <c r="R916" s="1" t="s">
        <v>109</v>
      </c>
      <c r="S916" s="1" t="s">
        <v>7926</v>
      </c>
      <c r="Z916" s="1" t="s">
        <v>14484</v>
      </c>
      <c r="AA916" s="1" t="s">
        <v>14485</v>
      </c>
      <c r="AB916" s="1" t="s">
        <v>14486</v>
      </c>
      <c r="AC916" s="10">
        <v>1000000.0</v>
      </c>
      <c r="AD916" s="1" t="s">
        <v>14487</v>
      </c>
      <c r="AE916" s="10">
        <v>600000.0</v>
      </c>
      <c r="AF916" s="1" t="s">
        <v>14488</v>
      </c>
      <c r="AH916" s="1">
        <v>1.550011352575E12</v>
      </c>
      <c r="AI916" s="1" t="s">
        <v>4483</v>
      </c>
      <c r="AJ916" s="1">
        <v>160.0</v>
      </c>
      <c r="AK916" s="1">
        <v>53.0</v>
      </c>
      <c r="AL916" s="1" t="s">
        <v>14489</v>
      </c>
      <c r="AM916" s="1" t="s">
        <v>14490</v>
      </c>
      <c r="AN916" s="7" t="s">
        <v>14491</v>
      </c>
      <c r="AO916" s="8" t="str">
        <f>HYPERLINK("https://docs.google.com/document/d/11OL4LdgTt0KIzRawd-vgQKLHOEmPqQjQiOSMZuJzmzg/edit?usp=drivesdk","Al-Wildan 16 Ciledug_Alya Vinnisya, S.Pd._Bahasa Indonesia")</f>
        <v>Al-Wildan 16 Ciledug_Alya Vinnisya, S.Pd._Bahasa Indonesia</v>
      </c>
      <c r="AP916" s="1" t="s">
        <v>14492</v>
      </c>
    </row>
    <row r="917">
      <c r="A917" s="6">
        <v>45409.75978247685</v>
      </c>
      <c r="B917" s="7" t="s">
        <v>14493</v>
      </c>
      <c r="C917" s="8" t="s">
        <v>14494</v>
      </c>
      <c r="D917" s="1" t="s">
        <v>14495</v>
      </c>
      <c r="E917" s="9" t="s">
        <v>14496</v>
      </c>
      <c r="F917" s="1" t="s">
        <v>14497</v>
      </c>
      <c r="G917" s="1" t="s">
        <v>14498</v>
      </c>
      <c r="H917" s="1" t="s">
        <v>99</v>
      </c>
      <c r="I917" s="9" t="s">
        <v>14499</v>
      </c>
      <c r="J917" s="1" t="s">
        <v>5573</v>
      </c>
      <c r="K917" s="1" t="s">
        <v>102</v>
      </c>
      <c r="L917" s="1" t="s">
        <v>103</v>
      </c>
      <c r="M917" s="1" t="s">
        <v>104</v>
      </c>
      <c r="N917" s="1" t="s">
        <v>152</v>
      </c>
      <c r="O917" s="1" t="s">
        <v>127</v>
      </c>
      <c r="P917" s="1" t="s">
        <v>107</v>
      </c>
      <c r="Q917" s="1" t="s">
        <v>153</v>
      </c>
      <c r="R917" s="1" t="s">
        <v>172</v>
      </c>
      <c r="S917" s="1" t="s">
        <v>7392</v>
      </c>
      <c r="T917" s="1" t="s">
        <v>275</v>
      </c>
      <c r="U917" s="1" t="s">
        <v>14500</v>
      </c>
      <c r="V917" s="1" t="s">
        <v>537</v>
      </c>
      <c r="W917" s="1" t="s">
        <v>217</v>
      </c>
      <c r="X917" s="1" t="s">
        <v>217</v>
      </c>
      <c r="Y917" s="1">
        <v>0.0</v>
      </c>
      <c r="Z917" s="1" t="s">
        <v>14501</v>
      </c>
      <c r="AA917" s="10">
        <v>3000000.0</v>
      </c>
      <c r="AB917" s="1" t="s">
        <v>14502</v>
      </c>
      <c r="AC917" s="10">
        <v>6500000.0</v>
      </c>
      <c r="AD917" s="1" t="s">
        <v>14503</v>
      </c>
      <c r="AE917" s="10">
        <v>5500000.0</v>
      </c>
      <c r="AF917" s="10">
        <v>7000000.0</v>
      </c>
      <c r="AG917" s="1">
        <v>7.105649759E9</v>
      </c>
      <c r="AH917" s="1">
        <v>7.295187409E9</v>
      </c>
      <c r="AI917" s="1" t="s">
        <v>222</v>
      </c>
      <c r="AJ917" s="1">
        <v>160.0</v>
      </c>
      <c r="AK917" s="1">
        <v>50.0</v>
      </c>
      <c r="AL917" s="1" t="s">
        <v>14504</v>
      </c>
      <c r="AM917" s="1" t="s">
        <v>14505</v>
      </c>
      <c r="AN917" s="7" t="s">
        <v>14506</v>
      </c>
      <c r="AO917" s="8" t="str">
        <f>HYPERLINK("https://docs.google.com/document/d/1STjkL8jF0WmcgwribqXhY2oav2bJ4SCT6S_6iIn7nRI/edit?usp=drivesdk","Al-Wildan 1 Gading Serpong_Widyantika Afiatna Maharani, S.Pd., M. Hum_Bahasa Inggris")</f>
        <v>Al-Wildan 1 Gading Serpong_Widyantika Afiatna Maharani, S.Pd., M. Hum_Bahasa Inggris</v>
      </c>
      <c r="AP917" s="1" t="s">
        <v>14507</v>
      </c>
    </row>
    <row r="918">
      <c r="A918" s="6">
        <v>45409.891393125</v>
      </c>
      <c r="B918" s="7" t="s">
        <v>14508</v>
      </c>
      <c r="C918" s="8" t="s">
        <v>14509</v>
      </c>
      <c r="D918" s="1" t="s">
        <v>14510</v>
      </c>
      <c r="E918" s="9" t="s">
        <v>14511</v>
      </c>
      <c r="F918" s="1" t="s">
        <v>14512</v>
      </c>
      <c r="G918" s="1" t="s">
        <v>14513</v>
      </c>
      <c r="H918" s="1" t="s">
        <v>14514</v>
      </c>
      <c r="I918" s="9" t="s">
        <v>13669</v>
      </c>
      <c r="J918" s="1" t="s">
        <v>14515</v>
      </c>
      <c r="K918" s="1" t="s">
        <v>151</v>
      </c>
      <c r="L918" s="1" t="s">
        <v>103</v>
      </c>
      <c r="M918" s="1" t="s">
        <v>104</v>
      </c>
      <c r="N918" s="1" t="s">
        <v>1275</v>
      </c>
      <c r="O918" s="1" t="s">
        <v>236</v>
      </c>
      <c r="P918" s="1" t="s">
        <v>107</v>
      </c>
      <c r="Q918" s="1" t="s">
        <v>988</v>
      </c>
      <c r="R918" s="1" t="s">
        <v>989</v>
      </c>
      <c r="S918" s="1">
        <v>3.58</v>
      </c>
      <c r="T918" s="1" t="s">
        <v>153</v>
      </c>
      <c r="U918" s="1" t="s">
        <v>14516</v>
      </c>
      <c r="V918" s="1">
        <v>3.81</v>
      </c>
      <c r="Z918" s="1" t="s">
        <v>14517</v>
      </c>
      <c r="AA918" s="10">
        <v>1500000.0</v>
      </c>
      <c r="AB918" s="1" t="s">
        <v>14518</v>
      </c>
      <c r="AC918" s="10">
        <v>2000000.0</v>
      </c>
      <c r="AD918" s="1" t="s">
        <v>988</v>
      </c>
      <c r="AE918" s="10">
        <v>1000000.0</v>
      </c>
      <c r="AF918" s="10">
        <v>1.0E7</v>
      </c>
      <c r="AH918" s="9" t="s">
        <v>14519</v>
      </c>
      <c r="AI918" s="1" t="s">
        <v>2407</v>
      </c>
      <c r="AJ918" s="1">
        <v>165.0</v>
      </c>
      <c r="AK918" s="1">
        <v>40.0</v>
      </c>
      <c r="AL918" s="1" t="s">
        <v>14520</v>
      </c>
      <c r="AM918" s="1" t="s">
        <v>14521</v>
      </c>
      <c r="AN918" s="7" t="s">
        <v>14522</v>
      </c>
      <c r="AO918" s="8" t="str">
        <f>HYPERLINK("https://docs.google.com/document/d/1TdkTmMzDzjwt8ymorMaPO85aisworoWOJ2vy3htBn3I/edit?usp=drivesdk","Al-Wildan 1 Gading Serpong_Nurul Farach, M.Pd._Biologi")</f>
        <v>Al-Wildan 1 Gading Serpong_Nurul Farach, M.Pd._Biologi</v>
      </c>
      <c r="AP918" s="1" t="s">
        <v>14523</v>
      </c>
    </row>
    <row r="919">
      <c r="A919" s="6">
        <v>45409.960945949075</v>
      </c>
      <c r="B919" s="7" t="s">
        <v>14524</v>
      </c>
      <c r="C919" s="8" t="s">
        <v>14525</v>
      </c>
      <c r="D919" s="1" t="s">
        <v>14526</v>
      </c>
      <c r="E919" s="9" t="s">
        <v>14527</v>
      </c>
      <c r="F919" s="1" t="s">
        <v>14528</v>
      </c>
      <c r="G919" s="1" t="s">
        <v>14529</v>
      </c>
      <c r="H919" s="1" t="s">
        <v>1358</v>
      </c>
      <c r="I919" s="9" t="s">
        <v>14530</v>
      </c>
      <c r="J919" s="1">
        <v>27.0</v>
      </c>
      <c r="K919" s="1" t="s">
        <v>102</v>
      </c>
      <c r="L919" s="1" t="s">
        <v>103</v>
      </c>
      <c r="M919" s="1" t="s">
        <v>104</v>
      </c>
      <c r="N919" s="1" t="s">
        <v>274</v>
      </c>
      <c r="O919" s="1" t="s">
        <v>127</v>
      </c>
      <c r="P919" s="1" t="s">
        <v>6187</v>
      </c>
      <c r="Q919" s="1" t="s">
        <v>14531</v>
      </c>
      <c r="R919" s="1" t="s">
        <v>14532</v>
      </c>
      <c r="S919" s="1" t="s">
        <v>14533</v>
      </c>
      <c r="Z919" s="1" t="s">
        <v>14534</v>
      </c>
      <c r="AA919" s="10">
        <v>3000000.0</v>
      </c>
      <c r="AF919" s="10">
        <v>5000000.0</v>
      </c>
      <c r="AG919" s="1">
        <v>6.95761098E9</v>
      </c>
      <c r="AJ919" s="1">
        <v>167.0</v>
      </c>
      <c r="AK919" s="1">
        <v>60.0</v>
      </c>
      <c r="AL919" s="1" t="s">
        <v>14535</v>
      </c>
      <c r="AM919" s="1" t="s">
        <v>14536</v>
      </c>
      <c r="AN919" s="7" t="s">
        <v>14537</v>
      </c>
      <c r="AO919" s="8" t="str">
        <f>HYPERLINK("https://docs.google.com/document/d/16j5lSl2woT7MVDRJL4LAOgBxqO4zRoNXbYaxCkpItMA/edit?usp=drivesdk","Al-Wildan 14 Bumi Mutiara, Bogor_Gatayu Alrian Nurfalah, B.BA, S.Pd_Diniyyah")</f>
        <v>Al-Wildan 14 Bumi Mutiara, Bogor_Gatayu Alrian Nurfalah, B.BA, S.Pd_Diniyyah</v>
      </c>
      <c r="AP919" s="1" t="s">
        <v>14538</v>
      </c>
    </row>
    <row r="920">
      <c r="A920" s="6">
        <v>45410.21662393519</v>
      </c>
      <c r="B920" s="7" t="s">
        <v>14539</v>
      </c>
      <c r="C920" s="8" t="s">
        <v>14540</v>
      </c>
      <c r="D920" s="1" t="s">
        <v>14541</v>
      </c>
      <c r="E920" s="9" t="s">
        <v>14542</v>
      </c>
      <c r="F920" s="1" t="s">
        <v>14543</v>
      </c>
      <c r="G920" s="1" t="s">
        <v>14544</v>
      </c>
      <c r="H920" s="1" t="s">
        <v>14545</v>
      </c>
      <c r="I920" s="9" t="s">
        <v>14546</v>
      </c>
      <c r="J920" s="1" t="s">
        <v>4279</v>
      </c>
      <c r="K920" s="1" t="s">
        <v>102</v>
      </c>
      <c r="L920" s="1" t="s">
        <v>827</v>
      </c>
      <c r="M920" s="1" t="s">
        <v>104</v>
      </c>
      <c r="N920" s="1" t="s">
        <v>14547</v>
      </c>
      <c r="O920" s="1" t="s">
        <v>127</v>
      </c>
      <c r="P920" s="1" t="s">
        <v>237</v>
      </c>
      <c r="Q920" s="1" t="s">
        <v>4511</v>
      </c>
      <c r="R920" s="1" t="s">
        <v>14548</v>
      </c>
      <c r="S920" s="1" t="s">
        <v>2369</v>
      </c>
      <c r="T920" s="1" t="s">
        <v>217</v>
      </c>
      <c r="U920" s="1" t="s">
        <v>217</v>
      </c>
      <c r="V920" s="1" t="s">
        <v>217</v>
      </c>
      <c r="W920" s="1" t="s">
        <v>217</v>
      </c>
      <c r="X920" s="1" t="s">
        <v>217</v>
      </c>
      <c r="Y920" s="1">
        <v>0.0</v>
      </c>
      <c r="Z920" s="1" t="s">
        <v>14549</v>
      </c>
      <c r="AA920" s="10">
        <v>1400000.0</v>
      </c>
      <c r="AB920" s="1" t="s">
        <v>217</v>
      </c>
      <c r="AC920" s="1" t="s">
        <v>217</v>
      </c>
      <c r="AD920" s="1" t="s">
        <v>217</v>
      </c>
      <c r="AE920" s="1" t="s">
        <v>217</v>
      </c>
      <c r="AF920" s="10">
        <v>5000000.0</v>
      </c>
      <c r="AG920" s="1">
        <v>0.0</v>
      </c>
      <c r="AH920" s="9" t="s">
        <v>14550</v>
      </c>
      <c r="AI920" s="1" t="s">
        <v>14551</v>
      </c>
      <c r="AJ920" s="1">
        <v>155.0</v>
      </c>
      <c r="AK920" s="1">
        <v>66.0</v>
      </c>
      <c r="AL920" s="1" t="s">
        <v>14552</v>
      </c>
      <c r="AM920" s="1" t="s">
        <v>14553</v>
      </c>
      <c r="AN920" s="7" t="s">
        <v>14554</v>
      </c>
      <c r="AO920" s="8" t="str">
        <f>HYPERLINK("https://docs.google.com/document/d/1RLBQCa1otM_ZFvUpKsKZOgY3t5RFb1pz9HHbRhOTrvk/edit?usp=drivesdk","Al-Wildan 4 Lebak Bulus_Fera Ningsih, S.Pd_Pendidikan Kewarganegaraan (PKN)")</f>
        <v>Al-Wildan 4 Lebak Bulus_Fera Ningsih, S.Pd_Pendidikan Kewarganegaraan (PKN)</v>
      </c>
      <c r="AP920" s="1" t="s">
        <v>14555</v>
      </c>
    </row>
    <row r="921">
      <c r="A921" s="6">
        <v>45410.227833125</v>
      </c>
      <c r="B921" s="7" t="s">
        <v>14556</v>
      </c>
      <c r="C921" s="8" t="s">
        <v>14557</v>
      </c>
      <c r="D921" s="1" t="s">
        <v>14558</v>
      </c>
      <c r="E921" s="9" t="s">
        <v>14559</v>
      </c>
      <c r="F921" s="1" t="s">
        <v>14560</v>
      </c>
      <c r="G921" s="1" t="s">
        <v>14561</v>
      </c>
      <c r="H921" s="1" t="s">
        <v>2076</v>
      </c>
      <c r="I921" s="9" t="s">
        <v>14562</v>
      </c>
      <c r="J921" s="1" t="s">
        <v>4279</v>
      </c>
      <c r="K921" s="1" t="s">
        <v>151</v>
      </c>
      <c r="L921" s="1" t="s">
        <v>103</v>
      </c>
      <c r="M921" s="1" t="s">
        <v>104</v>
      </c>
      <c r="N921" s="1" t="s">
        <v>105</v>
      </c>
      <c r="O921" s="1" t="s">
        <v>127</v>
      </c>
      <c r="P921" s="1" t="s">
        <v>14395</v>
      </c>
      <c r="Q921" s="1" t="s">
        <v>590</v>
      </c>
      <c r="R921" s="1" t="s">
        <v>14563</v>
      </c>
      <c r="S921" s="1" t="s">
        <v>1668</v>
      </c>
      <c r="Z921" s="1" t="s">
        <v>14564</v>
      </c>
      <c r="AA921" s="10">
        <v>3700000.0</v>
      </c>
      <c r="AB921" s="1" t="s">
        <v>14565</v>
      </c>
      <c r="AC921" s="10">
        <v>1000000.0</v>
      </c>
      <c r="AD921" s="1" t="s">
        <v>14566</v>
      </c>
      <c r="AE921" s="10">
        <v>6500000.0</v>
      </c>
      <c r="AF921" s="10">
        <v>4500000.0</v>
      </c>
      <c r="AH921" s="1">
        <v>3.49501025171531E14</v>
      </c>
      <c r="AI921" s="1" t="s">
        <v>2407</v>
      </c>
      <c r="AJ921" s="1">
        <v>165.0</v>
      </c>
      <c r="AK921" s="1">
        <v>52.0</v>
      </c>
      <c r="AL921" s="1" t="s">
        <v>14567</v>
      </c>
      <c r="AM921" s="1" t="s">
        <v>14568</v>
      </c>
      <c r="AN921" s="7" t="s">
        <v>14569</v>
      </c>
      <c r="AO921" s="8" t="str">
        <f>HYPERLINK("https://docs.google.com/document/d/18ohcEx_B87_xp47ZbRZ2R7TP51xWB3Gp04e4GlVOtLg/edit?usp=drivesdk","Al-Wildam 20 Mataram_Siti Zulfa Husna, S.Pd._Bahasa Indonesia")</f>
        <v>Al-Wildam 20 Mataram_Siti Zulfa Husna, S.Pd._Bahasa Indonesia</v>
      </c>
      <c r="AP921" s="1" t="s">
        <v>14570</v>
      </c>
    </row>
    <row r="922">
      <c r="A922" s="6">
        <v>45410.249069375</v>
      </c>
      <c r="B922" s="7" t="s">
        <v>14571</v>
      </c>
      <c r="C922" s="8" t="s">
        <v>14572</v>
      </c>
      <c r="D922" s="1" t="s">
        <v>14573</v>
      </c>
      <c r="E922" s="9" t="s">
        <v>14574</v>
      </c>
      <c r="F922" s="1" t="s">
        <v>14575</v>
      </c>
      <c r="G922" s="1" t="s">
        <v>2076</v>
      </c>
      <c r="H922" s="1" t="s">
        <v>944</v>
      </c>
      <c r="I922" s="9" t="s">
        <v>14576</v>
      </c>
      <c r="J922" s="1" t="s">
        <v>14577</v>
      </c>
      <c r="K922" s="1" t="s">
        <v>151</v>
      </c>
      <c r="L922" s="1" t="s">
        <v>103</v>
      </c>
      <c r="M922" s="1" t="s">
        <v>104</v>
      </c>
      <c r="N922" s="1" t="s">
        <v>10004</v>
      </c>
      <c r="O922" s="1" t="s">
        <v>127</v>
      </c>
      <c r="P922" s="1" t="s">
        <v>14395</v>
      </c>
      <c r="Q922" s="1" t="s">
        <v>590</v>
      </c>
      <c r="R922" s="1" t="s">
        <v>172</v>
      </c>
      <c r="S922" s="1" t="s">
        <v>1060</v>
      </c>
      <c r="T922" s="1" t="s">
        <v>14578</v>
      </c>
      <c r="U922" s="1" t="s">
        <v>14579</v>
      </c>
      <c r="V922" s="1" t="s">
        <v>134</v>
      </c>
      <c r="Z922" s="1" t="s">
        <v>3410</v>
      </c>
      <c r="AA922" s="10">
        <v>2100000.0</v>
      </c>
      <c r="AF922" s="10">
        <v>5200000.0</v>
      </c>
      <c r="AH922" s="1">
        <v>1.610010948896E12</v>
      </c>
      <c r="AI922" s="1" t="s">
        <v>2119</v>
      </c>
      <c r="AJ922" s="1">
        <v>170.0</v>
      </c>
      <c r="AK922" s="1">
        <v>61.0</v>
      </c>
      <c r="AL922" s="1" t="s">
        <v>14580</v>
      </c>
      <c r="AM922" s="1" t="s">
        <v>14581</v>
      </c>
      <c r="AN922" s="7" t="s">
        <v>14582</v>
      </c>
      <c r="AO922" s="8" t="str">
        <f>HYPERLINK("https://docs.google.com/document/d/1uHRdyFbv2nVxxBzLScMFf9fsNZnDzpGbACp3J-MnJlY/edit?usp=drivesdk","Al-Wildam 20 Mataram_Muhammad Yani, M.Ed._Bahasa Inggris ")</f>
        <v>Al-Wildam 20 Mataram_Muhammad Yani, M.Ed._Bahasa Inggris </v>
      </c>
      <c r="AP922" s="1" t="s">
        <v>14583</v>
      </c>
    </row>
    <row r="923">
      <c r="A923" s="6">
        <v>45410.359393391205</v>
      </c>
      <c r="B923" s="7" t="s">
        <v>14584</v>
      </c>
      <c r="C923" s="8" t="s">
        <v>14585</v>
      </c>
      <c r="D923" s="1" t="s">
        <v>14586</v>
      </c>
      <c r="E923" s="9" t="s">
        <v>14587</v>
      </c>
      <c r="F923" s="1" t="s">
        <v>14588</v>
      </c>
      <c r="G923" s="1" t="s">
        <v>14589</v>
      </c>
      <c r="H923" s="1" t="s">
        <v>13236</v>
      </c>
      <c r="I923" s="9" t="s">
        <v>14590</v>
      </c>
      <c r="J923" s="1" t="s">
        <v>14591</v>
      </c>
      <c r="K923" s="1" t="s">
        <v>102</v>
      </c>
      <c r="L923" s="1" t="s">
        <v>103</v>
      </c>
      <c r="M923" s="1" t="s">
        <v>104</v>
      </c>
      <c r="N923" s="1" t="s">
        <v>6624</v>
      </c>
      <c r="O923" s="1" t="s">
        <v>127</v>
      </c>
      <c r="P923" s="1" t="s">
        <v>11168</v>
      </c>
      <c r="Q923" s="1" t="s">
        <v>1362</v>
      </c>
      <c r="R923" s="1" t="s">
        <v>14592</v>
      </c>
      <c r="S923" s="1" t="s">
        <v>14593</v>
      </c>
      <c r="T923" s="1" t="s">
        <v>11240</v>
      </c>
      <c r="U923" s="1" t="s">
        <v>14594</v>
      </c>
      <c r="V923" s="1" t="s">
        <v>1366</v>
      </c>
      <c r="Z923" s="1" t="s">
        <v>14595</v>
      </c>
      <c r="AA923" s="10">
        <v>6100000.0</v>
      </c>
      <c r="AB923" s="1" t="s">
        <v>14596</v>
      </c>
      <c r="AC923" s="10">
        <v>5200000.0</v>
      </c>
      <c r="AD923" s="1" t="s">
        <v>4313</v>
      </c>
      <c r="AE923" s="1" t="s">
        <v>14597</v>
      </c>
      <c r="AF923" s="10">
        <v>9500000.0</v>
      </c>
      <c r="AG923" s="1">
        <v>7.211792005E9</v>
      </c>
      <c r="AH923" s="1">
        <v>1.280098060202E12</v>
      </c>
      <c r="AI923" s="1" t="s">
        <v>2119</v>
      </c>
      <c r="AJ923" s="1">
        <v>175.0</v>
      </c>
      <c r="AK923" s="1">
        <v>90.0</v>
      </c>
      <c r="AL923" s="1" t="s">
        <v>14598</v>
      </c>
      <c r="AM923" s="1" t="s">
        <v>14599</v>
      </c>
      <c r="AN923" s="7" t="s">
        <v>14600</v>
      </c>
      <c r="AO923" s="8" t="str">
        <f>HYPERLINK("https://docs.google.com/document/d/11qGWf9I5us347AV6PQJ1eaF5G5qCHOaiNWmHM4oEffQ/edit?usp=drivesdk","Al-Wildan 8 Parung_Rachman Syuhada_Math Cambridge")</f>
        <v>Al-Wildan 8 Parung_Rachman Syuhada_Math Cambridge</v>
      </c>
      <c r="AP923" s="1" t="s">
        <v>14601</v>
      </c>
    </row>
    <row r="924">
      <c r="A924" s="6">
        <v>45410.42990179398</v>
      </c>
      <c r="B924" s="7" t="s">
        <v>14602</v>
      </c>
      <c r="C924" s="8" t="s">
        <v>14603</v>
      </c>
      <c r="D924" s="1" t="s">
        <v>14604</v>
      </c>
      <c r="E924" s="9" t="s">
        <v>14605</v>
      </c>
      <c r="F924" s="1" t="s">
        <v>14606</v>
      </c>
      <c r="G924" s="1" t="s">
        <v>14607</v>
      </c>
      <c r="H924" s="1" t="s">
        <v>14608</v>
      </c>
      <c r="I924" s="9" t="s">
        <v>3017</v>
      </c>
      <c r="J924" s="1" t="s">
        <v>4279</v>
      </c>
      <c r="K924" s="1" t="s">
        <v>151</v>
      </c>
      <c r="L924" s="1" t="s">
        <v>103</v>
      </c>
      <c r="M924" s="1" t="s">
        <v>104</v>
      </c>
      <c r="N924" s="1" t="s">
        <v>552</v>
      </c>
      <c r="O924" s="1" t="s">
        <v>236</v>
      </c>
      <c r="P924" s="1" t="s">
        <v>6091</v>
      </c>
      <c r="Q924" s="1" t="s">
        <v>14609</v>
      </c>
      <c r="R924" s="1" t="s">
        <v>14610</v>
      </c>
      <c r="S924" s="1" t="s">
        <v>292</v>
      </c>
      <c r="T924" s="1" t="s">
        <v>14611</v>
      </c>
      <c r="U924" s="1" t="s">
        <v>14612</v>
      </c>
      <c r="V924" s="1" t="s">
        <v>4892</v>
      </c>
      <c r="Z924" s="1" t="s">
        <v>14613</v>
      </c>
      <c r="AA924" s="10">
        <v>3500000.0</v>
      </c>
      <c r="AB924" s="1" t="s">
        <v>14614</v>
      </c>
      <c r="AC924" s="10">
        <v>4500000.0</v>
      </c>
      <c r="AD924" s="1" t="s">
        <v>14615</v>
      </c>
      <c r="AE924" s="10">
        <v>2500000.0</v>
      </c>
      <c r="AF924" s="10">
        <v>6500000.0</v>
      </c>
      <c r="AG924" s="1">
        <v>7.145301887E9</v>
      </c>
      <c r="AJ924" s="1">
        <v>165.0</v>
      </c>
      <c r="AK924" s="1">
        <v>65.0</v>
      </c>
      <c r="AL924" s="1" t="s">
        <v>14616</v>
      </c>
      <c r="AM924" s="1" t="s">
        <v>14617</v>
      </c>
      <c r="AN924" s="7" t="s">
        <v>14618</v>
      </c>
      <c r="AO924" s="8" t="str">
        <f>HYPERLINK("https://docs.google.com/document/d/1Up5ZkFxKtC6H31WaVnP8G7OaAJB8UMYAhAWZgWriz-w/edit?usp=drivesdk","Al-Wildan 10 Cipinang, Jakarta Timur_Nurin Amalina Widityani, S.Si., M.T._Fisika")</f>
        <v>Al-Wildan 10 Cipinang, Jakarta Timur_Nurin Amalina Widityani, S.Si., M.T._Fisika</v>
      </c>
      <c r="AP924" s="1" t="s">
        <v>14619</v>
      </c>
    </row>
    <row r="925">
      <c r="A925" s="6">
        <v>45410.43565693287</v>
      </c>
      <c r="B925" s="7" t="s">
        <v>14620</v>
      </c>
      <c r="C925" s="8" t="s">
        <v>14621</v>
      </c>
      <c r="D925" s="1" t="s">
        <v>14622</v>
      </c>
      <c r="E925" s="9" t="s">
        <v>14623</v>
      </c>
      <c r="F925" s="1" t="s">
        <v>14624</v>
      </c>
      <c r="G925" s="1" t="s">
        <v>14625</v>
      </c>
      <c r="H925" s="1" t="s">
        <v>14626</v>
      </c>
      <c r="I925" s="9" t="s">
        <v>14627</v>
      </c>
      <c r="J925" s="1" t="s">
        <v>7681</v>
      </c>
      <c r="K925" s="1" t="s">
        <v>102</v>
      </c>
      <c r="L925" s="1" t="s">
        <v>103</v>
      </c>
      <c r="M925" s="1" t="s">
        <v>104</v>
      </c>
      <c r="N925" s="1" t="s">
        <v>439</v>
      </c>
      <c r="O925" s="1" t="s">
        <v>236</v>
      </c>
      <c r="P925" s="1" t="s">
        <v>11168</v>
      </c>
      <c r="Q925" s="1" t="s">
        <v>108</v>
      </c>
      <c r="R925" s="1" t="s">
        <v>441</v>
      </c>
      <c r="S925" s="1" t="s">
        <v>9882</v>
      </c>
      <c r="Z925" s="1" t="s">
        <v>14628</v>
      </c>
      <c r="AA925" s="10">
        <v>4500000.0</v>
      </c>
      <c r="AB925" s="1" t="s">
        <v>14629</v>
      </c>
      <c r="AC925" s="1" t="s">
        <v>14630</v>
      </c>
      <c r="AD925" s="1" t="s">
        <v>14631</v>
      </c>
      <c r="AE925" s="10">
        <v>2700000.0</v>
      </c>
      <c r="AF925" s="1" t="s">
        <v>14632</v>
      </c>
      <c r="AG925" s="1">
        <v>7.221946116E9</v>
      </c>
      <c r="AJ925" s="1">
        <v>150.0</v>
      </c>
      <c r="AK925" s="1">
        <v>65.0</v>
      </c>
      <c r="AL925" s="1" t="s">
        <v>14633</v>
      </c>
      <c r="AM925" s="1" t="s">
        <v>14634</v>
      </c>
      <c r="AN925" s="7" t="s">
        <v>14635</v>
      </c>
      <c r="AO925" s="8" t="str">
        <f>HYPERLINK("https://docs.google.com/document/d/1E8rHgaceL43h4pnQbnR-Vwiv30JdpHrl3Ibgabv7TYU/edit?usp=drivesdk","Al-Wildan 8 Parung_Zafira Andini Muzzamil, S.Pd_Sosiologi")</f>
        <v>Al-Wildan 8 Parung_Zafira Andini Muzzamil, S.Pd_Sosiologi</v>
      </c>
      <c r="AP925" s="1" t="s">
        <v>14636</v>
      </c>
    </row>
    <row r="926">
      <c r="A926" s="6">
        <v>45410.69801584491</v>
      </c>
      <c r="B926" s="7" t="s">
        <v>14637</v>
      </c>
      <c r="C926" s="8" t="s">
        <v>14638</v>
      </c>
      <c r="D926" s="1" t="s">
        <v>14639</v>
      </c>
      <c r="E926" s="9" t="s">
        <v>14640</v>
      </c>
      <c r="F926" s="1" t="s">
        <v>14641</v>
      </c>
      <c r="G926" s="1" t="s">
        <v>14642</v>
      </c>
      <c r="H926" s="1" t="s">
        <v>13458</v>
      </c>
      <c r="I926" s="9" t="s">
        <v>14643</v>
      </c>
      <c r="J926" s="1" t="s">
        <v>2306</v>
      </c>
      <c r="K926" s="1" t="s">
        <v>151</v>
      </c>
      <c r="L926" s="1" t="s">
        <v>329</v>
      </c>
      <c r="M926" s="1" t="s">
        <v>104</v>
      </c>
      <c r="N926" s="1" t="s">
        <v>1275</v>
      </c>
      <c r="O926" s="1" t="s">
        <v>236</v>
      </c>
      <c r="P926" s="1" t="s">
        <v>6044</v>
      </c>
      <c r="Q926" s="1" t="s">
        <v>14644</v>
      </c>
      <c r="R926" s="1" t="s">
        <v>989</v>
      </c>
      <c r="S926" s="1" t="s">
        <v>14645</v>
      </c>
      <c r="T926" s="1" t="s">
        <v>217</v>
      </c>
      <c r="U926" s="1" t="s">
        <v>217</v>
      </c>
      <c r="V926" s="1" t="s">
        <v>217</v>
      </c>
      <c r="W926" s="1" t="s">
        <v>217</v>
      </c>
      <c r="X926" s="1" t="s">
        <v>217</v>
      </c>
      <c r="Z926" s="1" t="s">
        <v>14646</v>
      </c>
      <c r="AA926" s="10">
        <v>1650000.0</v>
      </c>
      <c r="AB926" s="1" t="s">
        <v>14647</v>
      </c>
      <c r="AC926" s="10">
        <v>4365000.0</v>
      </c>
      <c r="AD926" s="1" t="s">
        <v>217</v>
      </c>
      <c r="AE926" s="1" t="s">
        <v>217</v>
      </c>
      <c r="AF926" s="10">
        <v>8000000.0</v>
      </c>
      <c r="AH926" s="1">
        <v>3.71601012993532E14</v>
      </c>
      <c r="AI926" s="1" t="s">
        <v>6124</v>
      </c>
      <c r="AJ926" s="1">
        <v>168.0</v>
      </c>
      <c r="AK926" s="1">
        <v>76.0</v>
      </c>
      <c r="AL926" s="1" t="s">
        <v>14648</v>
      </c>
      <c r="AM926" s="1" t="s">
        <v>14649</v>
      </c>
      <c r="AN926" s="7" t="s">
        <v>14650</v>
      </c>
      <c r="AO926" s="8" t="str">
        <f>HYPERLINK("https://docs.google.com/document/d/1EMZoQJohcgV0jwdkCIPzZB22WQsWarlgnBHrQZLwlYk/edit?usp=drivesdk","Al-Wildan Holding_Andrei Suprayogi, S.Pd._Biologi")</f>
        <v>Al-Wildan Holding_Andrei Suprayogi, S.Pd._Biologi</v>
      </c>
      <c r="AP926" s="1" t="s">
        <v>14651</v>
      </c>
    </row>
    <row r="927">
      <c r="A927" s="6">
        <v>45410.72268525463</v>
      </c>
      <c r="B927" s="7" t="s">
        <v>14652</v>
      </c>
      <c r="C927" s="8" t="s">
        <v>14653</v>
      </c>
      <c r="D927" s="1" t="s">
        <v>14654</v>
      </c>
      <c r="E927" s="9" t="s">
        <v>14655</v>
      </c>
      <c r="F927" s="1" t="s">
        <v>14656</v>
      </c>
      <c r="G927" s="1" t="s">
        <v>14657</v>
      </c>
      <c r="H927" s="1" t="s">
        <v>14658</v>
      </c>
      <c r="I927" s="9" t="s">
        <v>14659</v>
      </c>
      <c r="J927" s="1" t="s">
        <v>724</v>
      </c>
      <c r="K927" s="1" t="s">
        <v>151</v>
      </c>
      <c r="L927" s="1" t="s">
        <v>256</v>
      </c>
      <c r="M927" s="1" t="s">
        <v>104</v>
      </c>
      <c r="N927" s="1" t="s">
        <v>14660</v>
      </c>
      <c r="O927" s="1" t="s">
        <v>312</v>
      </c>
      <c r="P927" s="1" t="s">
        <v>237</v>
      </c>
      <c r="Q927" s="1" t="s">
        <v>6011</v>
      </c>
      <c r="R927" s="1" t="s">
        <v>14661</v>
      </c>
      <c r="S927" s="1">
        <v>3.65</v>
      </c>
      <c r="Z927" s="1" t="s">
        <v>14662</v>
      </c>
      <c r="AA927" s="10">
        <v>4000000.0</v>
      </c>
      <c r="AB927" s="1" t="s">
        <v>14663</v>
      </c>
      <c r="AC927" s="10">
        <v>2500000.0</v>
      </c>
      <c r="AF927" s="1" t="s">
        <v>14664</v>
      </c>
      <c r="AG927" s="1">
        <v>7.165809445E9</v>
      </c>
      <c r="AJ927" s="1">
        <v>147.0</v>
      </c>
      <c r="AK927" s="1">
        <v>43.0</v>
      </c>
      <c r="AL927" s="1" t="s">
        <v>14665</v>
      </c>
      <c r="AM927" s="1" t="s">
        <v>14666</v>
      </c>
      <c r="AN927" s="7" t="s">
        <v>14667</v>
      </c>
      <c r="AO927" s="8" t="str">
        <f>HYPERLINK("https://docs.google.com/document/d/1rMDoCghsKI0GRwp7EOHflbj8S0HGMEFelWM3XKAKxzw/edit?usp=drivesdk","Al-Wildan 4 Lebak Bulus_Ainun Trie Wulandari, S. Pd._SEM SD")</f>
        <v>Al-Wildan 4 Lebak Bulus_Ainun Trie Wulandari, S. Pd._SEM SD</v>
      </c>
      <c r="AP927" s="1" t="s">
        <v>14668</v>
      </c>
    </row>
    <row r="928">
      <c r="A928" s="6">
        <v>45410.734135810184</v>
      </c>
      <c r="B928" s="7" t="s">
        <v>14669</v>
      </c>
      <c r="C928" s="8" t="s">
        <v>14670</v>
      </c>
      <c r="D928" s="1" t="s">
        <v>14671</v>
      </c>
      <c r="E928" s="9" t="s">
        <v>14672</v>
      </c>
      <c r="F928" s="1" t="s">
        <v>14673</v>
      </c>
      <c r="G928" s="1" t="s">
        <v>14674</v>
      </c>
      <c r="H928" s="1" t="s">
        <v>169</v>
      </c>
      <c r="I928" s="9" t="s">
        <v>14675</v>
      </c>
      <c r="J928" s="1" t="s">
        <v>14676</v>
      </c>
      <c r="K928" s="1" t="s">
        <v>151</v>
      </c>
      <c r="L928" s="1" t="s">
        <v>103</v>
      </c>
      <c r="M928" s="1" t="s">
        <v>104</v>
      </c>
      <c r="N928" s="1" t="s">
        <v>1523</v>
      </c>
      <c r="O928" s="1" t="s">
        <v>236</v>
      </c>
      <c r="P928" s="1" t="s">
        <v>11207</v>
      </c>
      <c r="Q928" s="1" t="s">
        <v>108</v>
      </c>
      <c r="R928" s="1" t="s">
        <v>1521</v>
      </c>
      <c r="S928" s="1" t="s">
        <v>1279</v>
      </c>
      <c r="Z928" s="1" t="s">
        <v>14677</v>
      </c>
      <c r="AA928" s="1" t="s">
        <v>14678</v>
      </c>
      <c r="AB928" s="1" t="s">
        <v>14679</v>
      </c>
      <c r="AC928" s="10">
        <v>1500000.0</v>
      </c>
      <c r="AF928" s="10">
        <v>5000000.0</v>
      </c>
      <c r="AH928" s="9" t="s">
        <v>14680</v>
      </c>
      <c r="AI928" s="1" t="s">
        <v>2407</v>
      </c>
      <c r="AJ928" s="1">
        <v>152.0</v>
      </c>
      <c r="AK928" s="1">
        <v>65.0</v>
      </c>
      <c r="AL928" s="1" t="s">
        <v>14681</v>
      </c>
      <c r="AM928" s="1" t="s">
        <v>14682</v>
      </c>
      <c r="AN928" s="7" t="s">
        <v>14683</v>
      </c>
      <c r="AO928" s="8" t="str">
        <f>HYPERLINK("https://docs.google.com/document/d/1J9Ic3E9CNmD7u1QsLXc3-sJNq3YptrJ3OC2sDNz1vI0/edit?usp=drivesdk","Al-Wildan 16 Ciledug_Muhibah Awaliyah, S.Pd._Kimia")</f>
        <v>Al-Wildan 16 Ciledug_Muhibah Awaliyah, S.Pd._Kimia</v>
      </c>
      <c r="AP928" s="1" t="s">
        <v>14684</v>
      </c>
    </row>
    <row r="929">
      <c r="A929" s="6">
        <v>45411.27092672454</v>
      </c>
      <c r="B929" s="7" t="s">
        <v>14685</v>
      </c>
      <c r="C929" s="8" t="s">
        <v>14686</v>
      </c>
      <c r="D929" s="1" t="s">
        <v>14687</v>
      </c>
      <c r="E929" s="9" t="s">
        <v>14688</v>
      </c>
      <c r="F929" s="1" t="s">
        <v>14689</v>
      </c>
      <c r="G929" s="1" t="s">
        <v>14690</v>
      </c>
      <c r="H929" s="1" t="s">
        <v>148</v>
      </c>
      <c r="I929" s="9" t="s">
        <v>14691</v>
      </c>
      <c r="J929" s="1" t="s">
        <v>3942</v>
      </c>
      <c r="K929" s="1" t="s">
        <v>151</v>
      </c>
      <c r="L929" s="1" t="s">
        <v>103</v>
      </c>
      <c r="M929" s="1" t="s">
        <v>104</v>
      </c>
      <c r="N929" s="1" t="s">
        <v>14692</v>
      </c>
      <c r="O929" s="1" t="s">
        <v>127</v>
      </c>
      <c r="P929" s="1" t="s">
        <v>6659</v>
      </c>
      <c r="Q929" s="1" t="s">
        <v>14693</v>
      </c>
      <c r="R929" s="1" t="s">
        <v>12915</v>
      </c>
      <c r="S929" s="1" t="s">
        <v>426</v>
      </c>
      <c r="Z929" s="1" t="s">
        <v>14694</v>
      </c>
      <c r="AA929" s="10">
        <v>300000.0</v>
      </c>
      <c r="AF929" s="10">
        <v>5200000.0</v>
      </c>
      <c r="AG929" s="1">
        <v>7.176575551E9</v>
      </c>
      <c r="AI929" s="1" t="s">
        <v>5113</v>
      </c>
      <c r="AJ929" s="1">
        <v>170.0</v>
      </c>
      <c r="AK929" s="1" t="s">
        <v>14695</v>
      </c>
      <c r="AL929" s="1" t="s">
        <v>14696</v>
      </c>
      <c r="AM929" s="1" t="s">
        <v>14697</v>
      </c>
      <c r="AN929" s="7" t="s">
        <v>14698</v>
      </c>
      <c r="AO929" s="8" t="str">
        <f>HYPERLINK("https://docs.google.com/document/d/1vLIhxBGki5GHZLkBDr76C8o9BDN37rT0ARdQCRDZb4s/edit?usp=drivesdk","Al-Wildan 15 Kompas Indah, Tambun Bekasi._Muhammad Jaki Farhansyah. S.H._Al-qur’an, Diniyyah, Arabic")</f>
        <v>Al-Wildan 15 Kompas Indah, Tambun Bekasi._Muhammad Jaki Farhansyah. S.H._Al-qur’an, Diniyyah, Arabic</v>
      </c>
      <c r="AP929" s="1" t="s">
        <v>14699</v>
      </c>
    </row>
    <row r="930">
      <c r="A930" s="6">
        <v>45411.35942320601</v>
      </c>
      <c r="B930" s="7" t="s">
        <v>14700</v>
      </c>
      <c r="C930" s="8" t="s">
        <v>14701</v>
      </c>
      <c r="D930" s="1" t="s">
        <v>14702</v>
      </c>
      <c r="E930" s="9" t="s">
        <v>14703</v>
      </c>
      <c r="F930" s="1" t="s">
        <v>14704</v>
      </c>
      <c r="G930" s="1" t="s">
        <v>14705</v>
      </c>
      <c r="H930" s="1" t="s">
        <v>99</v>
      </c>
      <c r="I930" s="9" t="s">
        <v>14706</v>
      </c>
      <c r="J930" s="1">
        <v>28.0</v>
      </c>
      <c r="K930" s="1" t="s">
        <v>151</v>
      </c>
      <c r="L930" s="1" t="s">
        <v>103</v>
      </c>
      <c r="M930" s="1" t="s">
        <v>104</v>
      </c>
      <c r="N930" s="1" t="s">
        <v>14707</v>
      </c>
      <c r="O930" s="1" t="s">
        <v>127</v>
      </c>
      <c r="P930" s="1" t="s">
        <v>107</v>
      </c>
      <c r="Q930" s="1" t="s">
        <v>811</v>
      </c>
      <c r="R930" s="1" t="s">
        <v>7389</v>
      </c>
      <c r="S930" s="1" t="s">
        <v>14708</v>
      </c>
      <c r="Z930" s="1" t="s">
        <v>14709</v>
      </c>
      <c r="AA930" s="10">
        <v>5000000.0</v>
      </c>
      <c r="AB930" s="1" t="s">
        <v>14709</v>
      </c>
      <c r="AC930" s="10">
        <v>5000000.0</v>
      </c>
      <c r="AD930" s="1" t="s">
        <v>14709</v>
      </c>
      <c r="AE930" s="10">
        <v>5000000.0</v>
      </c>
      <c r="AF930" s="10">
        <v>5500000.0</v>
      </c>
      <c r="AG930" s="1">
        <v>4.89579657E9</v>
      </c>
      <c r="AI930" s="1" t="s">
        <v>5113</v>
      </c>
      <c r="AJ930" s="1">
        <v>165.0</v>
      </c>
      <c r="AK930" s="1">
        <v>80.0</v>
      </c>
      <c r="AL930" s="1" t="s">
        <v>14710</v>
      </c>
      <c r="AM930" s="1" t="s">
        <v>14711</v>
      </c>
      <c r="AN930" s="7" t="s">
        <v>14712</v>
      </c>
      <c r="AO930" s="8" t="str">
        <f>HYPERLINK("https://docs.google.com/document/d/1SjrsQTV_IVSDWlB7rTqA9Og5bfJC-DFVmsOFTf-Pg3M/edit?usp=drivesdk","Al-Wildan 1 Gading Serpong_FAJAR ANGGA RIZKY.Lc_bahasa arab")</f>
        <v>Al-Wildan 1 Gading Serpong_FAJAR ANGGA RIZKY.Lc_bahasa arab</v>
      </c>
      <c r="AP930" s="1" t="s">
        <v>14713</v>
      </c>
    </row>
    <row r="931">
      <c r="A931" s="6">
        <v>45411.44500064815</v>
      </c>
      <c r="B931" s="7" t="s">
        <v>14714</v>
      </c>
      <c r="C931" s="8" t="s">
        <v>14715</v>
      </c>
      <c r="D931" s="1" t="s">
        <v>14716</v>
      </c>
      <c r="E931" s="9" t="s">
        <v>14717</v>
      </c>
      <c r="F931" s="1" t="s">
        <v>14718</v>
      </c>
      <c r="G931" s="1" t="s">
        <v>14719</v>
      </c>
      <c r="H931" s="1" t="s">
        <v>14720</v>
      </c>
      <c r="I931" s="1">
        <v>1.611199E7</v>
      </c>
      <c r="J931" s="1" t="s">
        <v>14721</v>
      </c>
      <c r="K931" s="1" t="s">
        <v>102</v>
      </c>
      <c r="L931" s="1" t="s">
        <v>103</v>
      </c>
      <c r="M931" s="1" t="s">
        <v>104</v>
      </c>
      <c r="N931" s="1" t="s">
        <v>152</v>
      </c>
      <c r="O931" s="1" t="s">
        <v>9794</v>
      </c>
      <c r="P931" s="1" t="s">
        <v>6187</v>
      </c>
      <c r="Q931" s="1" t="s">
        <v>14722</v>
      </c>
      <c r="R931" s="1" t="s">
        <v>172</v>
      </c>
      <c r="S931" s="1">
        <v>3.03</v>
      </c>
      <c r="Z931" s="1" t="s">
        <v>14723</v>
      </c>
      <c r="AA931" s="10">
        <v>3950000.0</v>
      </c>
      <c r="AF931" s="10">
        <v>5000000.0</v>
      </c>
      <c r="AG931" s="1">
        <v>7.149953021E9</v>
      </c>
      <c r="AH931" s="9" t="s">
        <v>14724</v>
      </c>
      <c r="AI931" s="1" t="s">
        <v>14725</v>
      </c>
      <c r="AJ931" s="1">
        <v>164.0</v>
      </c>
      <c r="AK931" s="1">
        <v>84.0</v>
      </c>
      <c r="AL931" s="1" t="s">
        <v>14726</v>
      </c>
      <c r="AM931" s="1" t="s">
        <v>14727</v>
      </c>
      <c r="AN931" s="7" t="s">
        <v>14728</v>
      </c>
      <c r="AO931" s="8" t="str">
        <f>HYPERLINK("https://docs.google.com/document/d/1mzTekkgYhQGWLp2Io60kvILZSxo2BznS5rC77Ip5PpU/edit?usp=drivesdk","Al-Wildan 14 Bumi Mutiara, Bogor_Reza Tri Nugroho, S.Pd_Bahasa Inggris")</f>
        <v>Al-Wildan 14 Bumi Mutiara, Bogor_Reza Tri Nugroho, S.Pd_Bahasa Inggris</v>
      </c>
      <c r="AP931" s="1" t="s">
        <v>14729</v>
      </c>
    </row>
    <row r="932">
      <c r="A932" s="6">
        <v>45412.360159351854</v>
      </c>
      <c r="B932" s="7" t="s">
        <v>14730</v>
      </c>
      <c r="C932" s="8" t="s">
        <v>14731</v>
      </c>
      <c r="D932" s="1" t="s">
        <v>14732</v>
      </c>
      <c r="E932" s="9" t="s">
        <v>14733</v>
      </c>
      <c r="F932" s="1" t="s">
        <v>14734</v>
      </c>
      <c r="G932" s="1" t="s">
        <v>14735</v>
      </c>
      <c r="H932" s="1" t="s">
        <v>944</v>
      </c>
      <c r="I932" s="9" t="s">
        <v>14736</v>
      </c>
      <c r="J932" s="1" t="s">
        <v>14737</v>
      </c>
      <c r="K932" s="1" t="s">
        <v>102</v>
      </c>
      <c r="L932" s="1" t="s">
        <v>256</v>
      </c>
      <c r="M932" s="1" t="s">
        <v>5710</v>
      </c>
      <c r="O932" s="1" t="s">
        <v>5711</v>
      </c>
      <c r="P932" s="1" t="s">
        <v>5712</v>
      </c>
      <c r="Q932" s="1" t="s">
        <v>14738</v>
      </c>
      <c r="R932" s="1" t="s">
        <v>14739</v>
      </c>
      <c r="S932" s="1" t="s">
        <v>12407</v>
      </c>
      <c r="Z932" s="1" t="s">
        <v>14740</v>
      </c>
      <c r="AA932" s="10">
        <v>135000.0</v>
      </c>
      <c r="AF932" s="10">
        <v>5000000.0</v>
      </c>
      <c r="AH932" s="1">
        <v>1.61001223238E12</v>
      </c>
      <c r="AI932" s="1" t="s">
        <v>2119</v>
      </c>
      <c r="AJ932" s="1">
        <v>175.0</v>
      </c>
      <c r="AK932" s="1">
        <v>56.0</v>
      </c>
      <c r="AL932" s="1" t="s">
        <v>14741</v>
      </c>
      <c r="AM932" s="1" t="s">
        <v>14742</v>
      </c>
      <c r="AN932" s="7" t="s">
        <v>14743</v>
      </c>
      <c r="AO932" s="8" t="str">
        <f>HYPERLINK("https://docs.google.com/document/d/1Wbx7EBSswCa930iqAWeNItTA0G7Vo6RxYKaoUXjJbiA/edit?usp=drivesdk","Al-Wildan 3 BSD City_Furqan S.Kep.,NERS_")</f>
        <v>Al-Wildan 3 BSD City_Furqan S.Kep.,NERS_</v>
      </c>
      <c r="AP932" s="1" t="s">
        <v>14744</v>
      </c>
    </row>
    <row r="933">
      <c r="A933" s="6">
        <v>45429.33374696759</v>
      </c>
      <c r="B933" s="7" t="s">
        <v>14745</v>
      </c>
      <c r="C933" s="8" t="s">
        <v>14746</v>
      </c>
      <c r="D933" s="1" t="s">
        <v>14747</v>
      </c>
      <c r="E933" s="9" t="s">
        <v>14748</v>
      </c>
      <c r="F933" s="1" t="s">
        <v>14749</v>
      </c>
      <c r="G933" s="1" t="s">
        <v>14750</v>
      </c>
      <c r="H933" s="1" t="s">
        <v>1464</v>
      </c>
      <c r="I933" s="9" t="s">
        <v>14751</v>
      </c>
      <c r="J933" s="1" t="s">
        <v>1035</v>
      </c>
      <c r="K933" s="1" t="s">
        <v>102</v>
      </c>
      <c r="L933" s="1" t="s">
        <v>103</v>
      </c>
      <c r="M933" s="1" t="s">
        <v>104</v>
      </c>
      <c r="N933" s="1" t="s">
        <v>14752</v>
      </c>
      <c r="O933" s="1" t="s">
        <v>236</v>
      </c>
      <c r="P933" s="1" t="s">
        <v>14395</v>
      </c>
      <c r="Q933" s="1" t="s">
        <v>5126</v>
      </c>
      <c r="R933" s="1" t="s">
        <v>499</v>
      </c>
      <c r="S933" s="1" t="s">
        <v>9749</v>
      </c>
      <c r="Z933" s="1" t="s">
        <v>14753</v>
      </c>
      <c r="AA933" s="10">
        <v>4350000.0</v>
      </c>
      <c r="AB933" s="1" t="s">
        <v>14754</v>
      </c>
      <c r="AC933" s="10">
        <v>3000000.0</v>
      </c>
      <c r="AF933" s="10">
        <v>5000000.0</v>
      </c>
      <c r="AH933" s="9" t="s">
        <v>14755</v>
      </c>
      <c r="AI933" s="1" t="s">
        <v>222</v>
      </c>
      <c r="AJ933" s="1">
        <v>169.0</v>
      </c>
      <c r="AK933" s="1">
        <v>95.0</v>
      </c>
      <c r="AL933" s="1" t="s">
        <v>14756</v>
      </c>
      <c r="AM933" s="1" t="s">
        <v>14757</v>
      </c>
      <c r="AN933" s="7" t="s">
        <v>14758</v>
      </c>
      <c r="AO933" s="8" t="str">
        <f>HYPERLINK("https://docs.google.com/document/d/1I1jQsh2ZojosFSOzWTS6pEUudkKUqqsXMHRSiREoMF4/edit?usp=drivesdk","Al-Wildam 20 Mataram_Ammar Abdurrahman_Diniyah (Mushtholah Hadits, ushul fiqih, Aqidah, Adab Akhlak, Siroh dll) dan Bahasa Arab")</f>
        <v>Al-Wildam 20 Mataram_Ammar Abdurrahman_Diniyah (Mushtholah Hadits, ushul fiqih, Aqidah, Adab Akhlak, Siroh dll) dan Bahasa Arab</v>
      </c>
      <c r="AP933" s="1" t="s">
        <v>14759</v>
      </c>
    </row>
    <row r="934">
      <c r="A934" s="6">
        <v>45430.32278859954</v>
      </c>
      <c r="B934" s="7" t="s">
        <v>14760</v>
      </c>
      <c r="C934" s="8" t="s">
        <v>14761</v>
      </c>
      <c r="D934" s="1" t="s">
        <v>14762</v>
      </c>
      <c r="E934" s="9" t="s">
        <v>14763</v>
      </c>
      <c r="F934" s="1" t="s">
        <v>14764</v>
      </c>
      <c r="G934" s="1" t="s">
        <v>14765</v>
      </c>
      <c r="H934" s="1" t="s">
        <v>11017</v>
      </c>
      <c r="I934" s="9" t="s">
        <v>14766</v>
      </c>
      <c r="J934" s="1" t="s">
        <v>14767</v>
      </c>
      <c r="K934" s="1" t="s">
        <v>151</v>
      </c>
      <c r="L934" s="1" t="s">
        <v>103</v>
      </c>
      <c r="M934" s="1" t="s">
        <v>104</v>
      </c>
      <c r="N934" s="1" t="s">
        <v>12615</v>
      </c>
      <c r="O934" s="1" t="s">
        <v>106</v>
      </c>
      <c r="P934" s="1" t="s">
        <v>14395</v>
      </c>
      <c r="Q934" s="1" t="s">
        <v>14768</v>
      </c>
      <c r="R934" s="1" t="s">
        <v>193</v>
      </c>
      <c r="S934" s="1" t="s">
        <v>14769</v>
      </c>
      <c r="Z934" s="1" t="s">
        <v>14770</v>
      </c>
      <c r="AA934" s="10">
        <v>2700000.0</v>
      </c>
      <c r="AF934" s="10">
        <v>3000000.0</v>
      </c>
      <c r="AG934" s="1">
        <v>6.13882497E9</v>
      </c>
      <c r="AJ934" s="1">
        <v>169.0</v>
      </c>
      <c r="AK934" s="1">
        <v>58.0</v>
      </c>
      <c r="AL934" s="1" t="s">
        <v>14771</v>
      </c>
      <c r="AM934" s="1" t="s">
        <v>14772</v>
      </c>
      <c r="AN934" s="7" t="s">
        <v>14773</v>
      </c>
      <c r="AO934" s="8" t="str">
        <f>HYPERLINK("https://docs.google.com/document/d/1u2a7EfXTmbDQzhEuLo4xKXb2xz1gjZTVJhCP5B96zI4/edit?usp=drivesdk","Al-Wildam 20 Mataram_Putri ilham Alkhatib, Lc._Diniyah ")</f>
        <v>Al-Wildam 20 Mataram_Putri ilham Alkhatib, Lc._Diniyah </v>
      </c>
      <c r="AP934" s="1" t="s">
        <v>14774</v>
      </c>
    </row>
    <row r="935">
      <c r="A935" s="6">
        <v>45430.32754453704</v>
      </c>
      <c r="B935" s="7" t="s">
        <v>14775</v>
      </c>
      <c r="C935" s="8" t="s">
        <v>14776</v>
      </c>
      <c r="D935" s="1" t="s">
        <v>14777</v>
      </c>
      <c r="E935" s="9" t="s">
        <v>14778</v>
      </c>
      <c r="F935" s="1" t="s">
        <v>14779</v>
      </c>
      <c r="G935" s="1" t="s">
        <v>14780</v>
      </c>
      <c r="H935" s="1" t="s">
        <v>14781</v>
      </c>
      <c r="I935" s="9" t="s">
        <v>14782</v>
      </c>
      <c r="J935" s="1" t="s">
        <v>14783</v>
      </c>
      <c r="K935" s="1" t="s">
        <v>151</v>
      </c>
      <c r="L935" s="1" t="s">
        <v>103</v>
      </c>
      <c r="M935" s="1" t="s">
        <v>104</v>
      </c>
      <c r="N935" s="1" t="s">
        <v>14784</v>
      </c>
      <c r="O935" s="1" t="s">
        <v>312</v>
      </c>
      <c r="P935" s="1" t="s">
        <v>14395</v>
      </c>
      <c r="Q935" s="1" t="s">
        <v>192</v>
      </c>
      <c r="R935" s="1" t="s">
        <v>867</v>
      </c>
      <c r="S935" s="1" t="s">
        <v>14785</v>
      </c>
      <c r="Z935" s="1" t="s">
        <v>14786</v>
      </c>
      <c r="AA935" s="10">
        <v>700000.0</v>
      </c>
      <c r="AB935" s="1" t="s">
        <v>14787</v>
      </c>
      <c r="AC935" s="10">
        <v>1200000.0</v>
      </c>
      <c r="AD935" s="1" t="s">
        <v>14788</v>
      </c>
      <c r="AE935" s="1" t="s">
        <v>14789</v>
      </c>
      <c r="AF935" s="10">
        <v>3000000.0</v>
      </c>
      <c r="AG935" s="1">
        <v>6.13881641E9</v>
      </c>
      <c r="AJ935" s="1">
        <v>158.0</v>
      </c>
      <c r="AK935" s="1">
        <v>68.0</v>
      </c>
      <c r="AL935" s="1" t="s">
        <v>14790</v>
      </c>
      <c r="AM935" s="1" t="s">
        <v>14791</v>
      </c>
      <c r="AN935" s="7" t="s">
        <v>14792</v>
      </c>
      <c r="AO935" s="8" t="str">
        <f>HYPERLINK("https://docs.google.com/document/d/1gltkem-IBXw3YKtbspbAC7UEBzMlu8ZxenBFwDnGlpU/edit?usp=drivesdk","Al-Wildam 20 Mataram_TRI ANDINI SEPTIANINGSIH,Lc._DINIYYAH")</f>
        <v>Al-Wildam 20 Mataram_TRI ANDINI SEPTIANINGSIH,Lc._DINIYYAH</v>
      </c>
      <c r="AP935" s="1" t="s">
        <v>14793</v>
      </c>
    </row>
    <row r="936">
      <c r="A936" s="6">
        <v>45433.37840785879</v>
      </c>
      <c r="B936" s="7" t="s">
        <v>14794</v>
      </c>
      <c r="C936" s="8" t="s">
        <v>14795</v>
      </c>
      <c r="D936" s="1" t="s">
        <v>14796</v>
      </c>
      <c r="E936" s="9" t="s">
        <v>14797</v>
      </c>
      <c r="F936" s="1">
        <v>1.40502151199001E15</v>
      </c>
      <c r="G936" s="1" t="s">
        <v>14798</v>
      </c>
      <c r="H936" s="1" t="s">
        <v>14799</v>
      </c>
      <c r="I936" s="9" t="s">
        <v>14800</v>
      </c>
      <c r="J936" s="1" t="s">
        <v>7941</v>
      </c>
      <c r="K936" s="1" t="s">
        <v>151</v>
      </c>
      <c r="L936" s="1" t="s">
        <v>103</v>
      </c>
      <c r="M936" s="1" t="s">
        <v>104</v>
      </c>
      <c r="N936" s="1" t="s">
        <v>14801</v>
      </c>
      <c r="O936" s="1" t="s">
        <v>106</v>
      </c>
      <c r="P936" s="1" t="s">
        <v>237</v>
      </c>
      <c r="Q936" s="1" t="s">
        <v>14802</v>
      </c>
      <c r="R936" s="1" t="s">
        <v>235</v>
      </c>
      <c r="S936" s="1" t="s">
        <v>14803</v>
      </c>
      <c r="Z936" s="1" t="s">
        <v>14804</v>
      </c>
      <c r="AA936" s="10">
        <v>2000000.0</v>
      </c>
      <c r="AB936" s="1" t="s">
        <v>14805</v>
      </c>
      <c r="AC936" s="10">
        <v>1500000.0</v>
      </c>
      <c r="AF936" s="10">
        <v>7500000.0</v>
      </c>
      <c r="AG936" s="1">
        <v>8.61192827E9</v>
      </c>
      <c r="AJ936" s="1">
        <v>163.0</v>
      </c>
      <c r="AK936" s="1">
        <v>64.0</v>
      </c>
      <c r="AL936" s="1" t="s">
        <v>14806</v>
      </c>
      <c r="AM936" s="1" t="s">
        <v>14807</v>
      </c>
      <c r="AN936" s="7" t="s">
        <v>14808</v>
      </c>
      <c r="AO936" s="8" t="str">
        <f>HYPERLINK("https://docs.google.com/document/d/1POqBQm94N-g9El3DZZ4r-GguXod17VsbFgRwD9yEBiY/edit?usp=drivesdk","Al-Wildan 4 Lebak Bulus_Dimas Andika Fadhillah_Arabic Diniyah Al quran")</f>
        <v>Al-Wildan 4 Lebak Bulus_Dimas Andika Fadhillah_Arabic Diniyah Al quran</v>
      </c>
      <c r="AP936" s="1" t="s">
        <v>14809</v>
      </c>
    </row>
    <row r="937">
      <c r="A937" s="6">
        <v>45433.39932016203</v>
      </c>
      <c r="B937" s="7" t="s">
        <v>14810</v>
      </c>
      <c r="C937" s="8" t="s">
        <v>14811</v>
      </c>
      <c r="D937" s="1" t="s">
        <v>14812</v>
      </c>
      <c r="E937" s="9" t="s">
        <v>14813</v>
      </c>
      <c r="F937" s="1" t="s">
        <v>14814</v>
      </c>
      <c r="G937" s="1" t="s">
        <v>14815</v>
      </c>
      <c r="H937" s="1" t="s">
        <v>14816</v>
      </c>
      <c r="I937" s="9" t="s">
        <v>14817</v>
      </c>
      <c r="J937" s="1" t="s">
        <v>6623</v>
      </c>
      <c r="K937" s="1" t="s">
        <v>151</v>
      </c>
      <c r="L937" s="1" t="s">
        <v>256</v>
      </c>
      <c r="M937" s="1" t="s">
        <v>104</v>
      </c>
      <c r="N937" s="1" t="s">
        <v>14818</v>
      </c>
      <c r="O937" s="1" t="s">
        <v>9794</v>
      </c>
      <c r="P937" s="1" t="s">
        <v>237</v>
      </c>
      <c r="Q937" s="1" t="s">
        <v>14819</v>
      </c>
      <c r="R937" s="1" t="s">
        <v>2355</v>
      </c>
      <c r="S937" s="1">
        <v>3.22</v>
      </c>
      <c r="Z937" s="1" t="s">
        <v>14820</v>
      </c>
      <c r="AA937" s="10">
        <v>1000000.0</v>
      </c>
      <c r="AB937" s="1" t="s">
        <v>14821</v>
      </c>
      <c r="AC937" s="10">
        <v>1000000.0</v>
      </c>
      <c r="AD937" s="1" t="s">
        <v>14822</v>
      </c>
      <c r="AE937" s="10">
        <v>500000.0</v>
      </c>
      <c r="AF937" s="1" t="s">
        <v>14823</v>
      </c>
      <c r="AG937" s="1">
        <v>7.131937916E9</v>
      </c>
      <c r="AJ937" s="1">
        <v>150.0</v>
      </c>
      <c r="AK937" s="1">
        <v>40.0</v>
      </c>
      <c r="AL937" s="1" t="s">
        <v>14824</v>
      </c>
      <c r="AM937" s="1" t="s">
        <v>14825</v>
      </c>
      <c r="AN937" s="7" t="s">
        <v>14826</v>
      </c>
      <c r="AO937" s="8" t="str">
        <f>HYPERLINK("https://docs.google.com/document/d/1DmH7fr_XumEVyVARP7NrH0EntvdgEdlOU-t4FiYL5l8/edit?usp=drivesdk","Al-Wildan 4 Lebak Bulus_Danesya Rindang S.Pd_Arabic Diniyah Al Qur'an ")</f>
        <v>Al-Wildan 4 Lebak Bulus_Danesya Rindang S.Pd_Arabic Diniyah Al Qur'an </v>
      </c>
      <c r="AP937" s="1" t="s">
        <v>14827</v>
      </c>
    </row>
    <row r="938">
      <c r="A938" s="6">
        <v>45433.41463604166</v>
      </c>
      <c r="B938" s="7" t="s">
        <v>14828</v>
      </c>
      <c r="C938" s="8" t="s">
        <v>14829</v>
      </c>
      <c r="D938" s="1" t="s">
        <v>14830</v>
      </c>
      <c r="E938" s="9" t="s">
        <v>14831</v>
      </c>
      <c r="F938" s="1" t="s">
        <v>14832</v>
      </c>
      <c r="G938" s="1" t="s">
        <v>14833</v>
      </c>
      <c r="H938" s="1" t="s">
        <v>14834</v>
      </c>
      <c r="I938" s="9" t="s">
        <v>14835</v>
      </c>
      <c r="J938" s="1" t="s">
        <v>14836</v>
      </c>
      <c r="K938" s="1" t="s">
        <v>102</v>
      </c>
      <c r="L938" s="1" t="s">
        <v>103</v>
      </c>
      <c r="M938" s="1" t="s">
        <v>14837</v>
      </c>
      <c r="N938" s="1" t="s">
        <v>14838</v>
      </c>
      <c r="O938" s="1" t="s">
        <v>9794</v>
      </c>
      <c r="P938" s="1" t="s">
        <v>7991</v>
      </c>
      <c r="Q938" s="1" t="s">
        <v>1694</v>
      </c>
      <c r="R938" s="1" t="s">
        <v>3835</v>
      </c>
      <c r="S938" s="9" t="s">
        <v>14839</v>
      </c>
      <c r="T938" s="1" t="s">
        <v>217</v>
      </c>
      <c r="Z938" s="1" t="s">
        <v>14840</v>
      </c>
      <c r="AA938" s="10">
        <v>1.1E7</v>
      </c>
      <c r="AB938" s="1" t="s">
        <v>14841</v>
      </c>
      <c r="AC938" s="10">
        <v>8000000.0</v>
      </c>
      <c r="AF938" s="1" t="s">
        <v>14842</v>
      </c>
      <c r="AG938" s="1">
        <v>6.13218967E9</v>
      </c>
      <c r="AJ938" s="1">
        <v>155.0</v>
      </c>
      <c r="AK938" s="1">
        <v>51.0</v>
      </c>
      <c r="AL938" s="1" t="s">
        <v>14843</v>
      </c>
      <c r="AM938" s="1" t="s">
        <v>14844</v>
      </c>
      <c r="AN938" s="7" t="s">
        <v>14845</v>
      </c>
      <c r="AO938" s="8" t="str">
        <f>HYPERLINK("https://docs.google.com/document/d/1FbSjxR0UM8OGLJd8Y4TgzvaR-81efRv2rxgcK5ISnHg/edit?usp=drivesdk","Al-Wildan 12 Bulak Kapal, Bekasi_Majdiahtul Akmah,SH_Bahasa Inggris di Al Wildan 12 atau 15 atau 13 Bekasi. ")</f>
        <v>Al-Wildan 12 Bulak Kapal, Bekasi_Majdiahtul Akmah,SH_Bahasa Inggris di Al Wildan 12 atau 15 atau 13 Bekasi. </v>
      </c>
      <c r="AP938" s="1" t="s">
        <v>14846</v>
      </c>
    </row>
    <row r="939">
      <c r="A939" s="6">
        <v>45433.416325439815</v>
      </c>
      <c r="B939" s="7" t="s">
        <v>14847</v>
      </c>
      <c r="C939" s="8" t="s">
        <v>14848</v>
      </c>
      <c r="D939" s="1" t="s">
        <v>14849</v>
      </c>
      <c r="E939" s="9" t="s">
        <v>14850</v>
      </c>
      <c r="F939" s="1">
        <v>3.17506581096001E15</v>
      </c>
      <c r="G939" s="1" t="s">
        <v>14851</v>
      </c>
      <c r="H939" s="1" t="s">
        <v>169</v>
      </c>
      <c r="I939" s="9" t="s">
        <v>14852</v>
      </c>
      <c r="J939" s="1" t="s">
        <v>14853</v>
      </c>
      <c r="K939" s="1" t="s">
        <v>102</v>
      </c>
      <c r="L939" s="1" t="s">
        <v>103</v>
      </c>
      <c r="M939" s="1" t="s">
        <v>104</v>
      </c>
      <c r="N939" s="1" t="s">
        <v>10332</v>
      </c>
      <c r="O939" s="1" t="s">
        <v>312</v>
      </c>
      <c r="P939" s="1" t="s">
        <v>11168</v>
      </c>
      <c r="Q939" s="1" t="s">
        <v>3090</v>
      </c>
      <c r="R939" s="1" t="s">
        <v>14854</v>
      </c>
      <c r="S939" s="1">
        <v>3.66</v>
      </c>
      <c r="Z939" s="1" t="s">
        <v>14855</v>
      </c>
      <c r="AA939" s="10">
        <v>4500000.0</v>
      </c>
      <c r="AF939" s="1" t="s">
        <v>891</v>
      </c>
      <c r="AG939" s="1">
        <v>8.41111307E9</v>
      </c>
      <c r="AH939" s="1">
        <v>1.810141057E9</v>
      </c>
      <c r="AI939" s="1" t="s">
        <v>159</v>
      </c>
      <c r="AJ939" s="1">
        <v>159.0</v>
      </c>
      <c r="AK939" s="1">
        <v>59.0</v>
      </c>
      <c r="AL939" s="1" t="s">
        <v>14856</v>
      </c>
      <c r="AM939" s="1" t="s">
        <v>14857</v>
      </c>
      <c r="AN939" s="7" t="s">
        <v>14858</v>
      </c>
      <c r="AO939" s="8" t="str">
        <f>HYPERLINK("https://docs.google.com/document/d/1kE89ydJvk83GajKjBlFNIElLkIzWBGiYRDC87v-jPow/edit?usp=drivesdk","Al-Wildan 8 Parung_Miftachul Jannah, S.Hum, S.Pd_Science/Math/English")</f>
        <v>Al-Wildan 8 Parung_Miftachul Jannah, S.Hum, S.Pd_Science/Math/English</v>
      </c>
      <c r="AP939" s="1" t="s">
        <v>14846</v>
      </c>
    </row>
    <row r="940">
      <c r="A940" s="6">
        <v>45433.42641202547</v>
      </c>
      <c r="B940" s="7" t="s">
        <v>14859</v>
      </c>
      <c r="C940" s="8" t="s">
        <v>14860</v>
      </c>
      <c r="D940" s="1" t="s">
        <v>14861</v>
      </c>
      <c r="E940" s="9" t="s">
        <v>14862</v>
      </c>
      <c r="F940" s="1" t="s">
        <v>14863</v>
      </c>
      <c r="G940" s="1" t="s">
        <v>14864</v>
      </c>
      <c r="H940" s="1" t="s">
        <v>169</v>
      </c>
      <c r="I940" s="9" t="s">
        <v>14865</v>
      </c>
      <c r="J940" s="1" t="s">
        <v>14866</v>
      </c>
      <c r="K940" s="1" t="s">
        <v>151</v>
      </c>
      <c r="L940" s="1" t="s">
        <v>256</v>
      </c>
      <c r="M940" s="1" t="s">
        <v>14867</v>
      </c>
      <c r="N940" s="1" t="s">
        <v>14868</v>
      </c>
      <c r="O940" s="1" t="s">
        <v>9794</v>
      </c>
      <c r="P940" s="1" t="s">
        <v>6187</v>
      </c>
      <c r="Q940" s="1" t="s">
        <v>14869</v>
      </c>
      <c r="R940" s="1" t="s">
        <v>14870</v>
      </c>
      <c r="S940" s="1" t="s">
        <v>1668</v>
      </c>
      <c r="Z940" s="1" t="s">
        <v>14871</v>
      </c>
      <c r="AA940" s="1" t="s">
        <v>14872</v>
      </c>
      <c r="AB940" s="1" t="s">
        <v>14873</v>
      </c>
      <c r="AC940" s="1" t="s">
        <v>14874</v>
      </c>
      <c r="AD940" s="1" t="s">
        <v>14875</v>
      </c>
      <c r="AE940" s="1" t="s">
        <v>14876</v>
      </c>
      <c r="AF940" s="1" t="s">
        <v>14877</v>
      </c>
      <c r="AG940" s="1">
        <v>7.220331118E9</v>
      </c>
      <c r="AJ940" s="1">
        <v>160.0</v>
      </c>
      <c r="AK940" s="1">
        <v>52.0</v>
      </c>
      <c r="AL940" s="1" t="s">
        <v>14878</v>
      </c>
      <c r="AM940" s="1" t="s">
        <v>14879</v>
      </c>
      <c r="AN940" s="7" t="s">
        <v>14880</v>
      </c>
      <c r="AO940" s="8" t="str">
        <f>HYPERLINK("https://docs.google.com/document/d/1spAohZSVro7RHj3C_WSNezx8yOHegFsul62r_Kh0t3A/edit?usp=drivesdk","Al-Wildan 14 Bumi Mutiara, Bogor_Dyah Prasti, S.H._Bahasa Inggris,PPKN,Sejarah")</f>
        <v>Al-Wildan 14 Bumi Mutiara, Bogor_Dyah Prasti, S.H._Bahasa Inggris,PPKN,Sejarah</v>
      </c>
      <c r="AP940" s="1" t="s">
        <v>14881</v>
      </c>
    </row>
    <row r="941">
      <c r="A941" s="6">
        <v>45433.52883988426</v>
      </c>
      <c r="B941" s="7" t="s">
        <v>14882</v>
      </c>
      <c r="C941" s="8" t="s">
        <v>14883</v>
      </c>
      <c r="D941" s="1" t="s">
        <v>14884</v>
      </c>
      <c r="E941" s="9" t="s">
        <v>14885</v>
      </c>
      <c r="F941" s="1" t="s">
        <v>14886</v>
      </c>
      <c r="G941" s="1" t="s">
        <v>14887</v>
      </c>
      <c r="H941" s="1" t="s">
        <v>2458</v>
      </c>
      <c r="I941" s="9" t="s">
        <v>14888</v>
      </c>
      <c r="J941" s="1" t="s">
        <v>724</v>
      </c>
      <c r="K941" s="1" t="s">
        <v>102</v>
      </c>
      <c r="L941" s="1" t="s">
        <v>103</v>
      </c>
      <c r="M941" s="1" t="s">
        <v>104</v>
      </c>
      <c r="N941" s="1" t="s">
        <v>14889</v>
      </c>
      <c r="O941" s="1" t="s">
        <v>9794</v>
      </c>
      <c r="P941" s="1" t="s">
        <v>237</v>
      </c>
      <c r="Q941" s="1" t="s">
        <v>192</v>
      </c>
      <c r="R941" s="1" t="s">
        <v>193</v>
      </c>
      <c r="S941" s="1" t="s">
        <v>14890</v>
      </c>
      <c r="Z941" s="1" t="s">
        <v>14891</v>
      </c>
      <c r="AA941" s="1" t="s">
        <v>14892</v>
      </c>
      <c r="AB941" s="1" t="s">
        <v>14893</v>
      </c>
      <c r="AC941" s="1" t="s">
        <v>14894</v>
      </c>
      <c r="AF941" s="1" t="s">
        <v>176</v>
      </c>
      <c r="AG941" s="1">
        <v>4.58003136E9</v>
      </c>
      <c r="AJ941" s="1">
        <v>164.0</v>
      </c>
      <c r="AK941" s="1">
        <v>50.0</v>
      </c>
      <c r="AL941" s="1" t="s">
        <v>14895</v>
      </c>
      <c r="AM941" s="1" t="s">
        <v>14896</v>
      </c>
      <c r="AN941" s="7" t="s">
        <v>14897</v>
      </c>
      <c r="AO941" s="8" t="str">
        <f>HYPERLINK("https://docs.google.com/document/d/1qENV5AxP2EGAHUgaJT5BYTxtoYts7QIBJ1C4aYOvrzk/edit?usp=drivesdk","Al-Wildan 4 Lebak Bulus_muhammad aribath Lc._Diniyah, Al Quran, bahasa arab")</f>
        <v>Al-Wildan 4 Lebak Bulus_muhammad aribath Lc._Diniyah, Al Quran, bahasa arab</v>
      </c>
      <c r="AP941" s="1" t="s">
        <v>14898</v>
      </c>
    </row>
    <row r="942">
      <c r="A942" s="6">
        <v>45434.3902330787</v>
      </c>
      <c r="B942" s="7" t="s">
        <v>14899</v>
      </c>
      <c r="C942" s="8" t="s">
        <v>14900</v>
      </c>
      <c r="D942" s="1" t="s">
        <v>14901</v>
      </c>
      <c r="E942" s="9" t="s">
        <v>14902</v>
      </c>
      <c r="F942" s="1" t="s">
        <v>14903</v>
      </c>
      <c r="G942" s="1" t="s">
        <v>14904</v>
      </c>
      <c r="H942" s="1" t="s">
        <v>14905</v>
      </c>
      <c r="I942" s="1">
        <v>1.2012001E7</v>
      </c>
      <c r="J942" s="1" t="s">
        <v>4777</v>
      </c>
      <c r="K942" s="1" t="s">
        <v>151</v>
      </c>
      <c r="L942" s="1" t="s">
        <v>103</v>
      </c>
      <c r="M942" s="1" t="s">
        <v>104</v>
      </c>
      <c r="N942" s="1" t="s">
        <v>152</v>
      </c>
      <c r="O942" s="1" t="s">
        <v>9794</v>
      </c>
      <c r="P942" s="1" t="s">
        <v>14439</v>
      </c>
      <c r="Q942" s="1" t="s">
        <v>1678</v>
      </c>
      <c r="R942" s="1" t="s">
        <v>172</v>
      </c>
      <c r="S942" s="1" t="s">
        <v>908</v>
      </c>
      <c r="Z942" s="1" t="s">
        <v>14906</v>
      </c>
      <c r="AA942" s="1" t="s">
        <v>14907</v>
      </c>
      <c r="AB942" s="1" t="s">
        <v>14908</v>
      </c>
      <c r="AC942" s="1" t="s">
        <v>14909</v>
      </c>
      <c r="AF942" s="1" t="s">
        <v>14910</v>
      </c>
      <c r="AH942" s="9" t="s">
        <v>14911</v>
      </c>
      <c r="AI942" s="1" t="s">
        <v>14912</v>
      </c>
      <c r="AJ942" s="1">
        <v>168.0</v>
      </c>
      <c r="AK942" s="1">
        <v>70.0</v>
      </c>
      <c r="AL942" s="1" t="s">
        <v>14913</v>
      </c>
      <c r="AM942" s="1" t="s">
        <v>14914</v>
      </c>
      <c r="AN942" s="7" t="s">
        <v>14915</v>
      </c>
      <c r="AO942" s="8" t="str">
        <f>HYPERLINK("https://docs.google.com/document/d/1itZUmV3x9QJnGdC3L6EYP4i1YgM1OgoT96YOt5SiSJE/edit?usp=drivesdk","Al-Wildan 22 Makassar_Nur Fadhilah Wardana, S.Pd._Bahasa Inggris")</f>
        <v>Al-Wildan 22 Makassar_Nur Fadhilah Wardana, S.Pd._Bahasa Inggris</v>
      </c>
      <c r="AP942" s="1" t="s">
        <v>14916</v>
      </c>
    </row>
    <row r="943">
      <c r="A943" s="6">
        <v>45434.454929722226</v>
      </c>
      <c r="B943" s="7" t="s">
        <v>14917</v>
      </c>
      <c r="C943" s="8" t="s">
        <v>14918</v>
      </c>
      <c r="D943" s="1" t="s">
        <v>14919</v>
      </c>
      <c r="E943" s="9" t="s">
        <v>14920</v>
      </c>
      <c r="F943" s="1" t="s">
        <v>14921</v>
      </c>
      <c r="G943" s="1" t="s">
        <v>14922</v>
      </c>
      <c r="H943" s="1" t="s">
        <v>14923</v>
      </c>
      <c r="I943" s="9" t="s">
        <v>14924</v>
      </c>
      <c r="J943" s="1" t="s">
        <v>14925</v>
      </c>
      <c r="K943" s="1" t="s">
        <v>102</v>
      </c>
      <c r="L943" s="1" t="s">
        <v>103</v>
      </c>
      <c r="M943" s="1" t="s">
        <v>104</v>
      </c>
      <c r="N943" s="1" t="s">
        <v>14926</v>
      </c>
      <c r="O943" s="1" t="s">
        <v>236</v>
      </c>
      <c r="P943" s="1" t="s">
        <v>6659</v>
      </c>
      <c r="Q943" s="1" t="s">
        <v>8688</v>
      </c>
      <c r="R943" s="1" t="s">
        <v>552</v>
      </c>
      <c r="S943" s="1" t="s">
        <v>1087</v>
      </c>
      <c r="T943" s="1" t="s">
        <v>14927</v>
      </c>
      <c r="U943" s="1" t="s">
        <v>552</v>
      </c>
      <c r="V943" s="1" t="s">
        <v>479</v>
      </c>
      <c r="W943" s="1" t="s">
        <v>217</v>
      </c>
      <c r="X943" s="1" t="s">
        <v>217</v>
      </c>
      <c r="Z943" s="1" t="s">
        <v>14928</v>
      </c>
      <c r="AA943" s="10">
        <v>8800000.0</v>
      </c>
      <c r="AB943" s="1" t="s">
        <v>14929</v>
      </c>
      <c r="AC943" s="10">
        <v>4500000.0</v>
      </c>
      <c r="AD943" s="1" t="s">
        <v>14930</v>
      </c>
      <c r="AE943" s="10">
        <v>7000000.0</v>
      </c>
      <c r="AF943" s="10">
        <v>1.0E7</v>
      </c>
      <c r="AH943" s="9" t="s">
        <v>14931</v>
      </c>
      <c r="AI943" s="1" t="s">
        <v>159</v>
      </c>
      <c r="AJ943" s="1">
        <v>150.0</v>
      </c>
      <c r="AK943" s="1">
        <v>60.0</v>
      </c>
      <c r="AL943" s="1" t="s">
        <v>14932</v>
      </c>
      <c r="AM943" s="1" t="s">
        <v>14933</v>
      </c>
      <c r="AN943" s="7" t="s">
        <v>14934</v>
      </c>
      <c r="AO943" s="8" t="str">
        <f>HYPERLINK("https://docs.google.com/document/d/1ogxhxA-zpuP3BNxVEvKB_g23FFl6JDQX-kVbG13TKP8/edit?usp=drivesdk","Al-Wildan 15 Kompas Indah, Tambun Bekasi._Yeti Rafitasari, S.Si., M.Si._Guru Fisika/Fisika Cambridge")</f>
        <v>Al-Wildan 15 Kompas Indah, Tambun Bekasi._Yeti Rafitasari, S.Si., M.Si._Guru Fisika/Fisika Cambridge</v>
      </c>
      <c r="AP943" s="1" t="s">
        <v>14935</v>
      </c>
    </row>
    <row r="944">
      <c r="A944" s="6">
        <v>45434.67935471065</v>
      </c>
      <c r="B944" s="7" t="s">
        <v>14936</v>
      </c>
      <c r="C944" s="8" t="s">
        <v>14937</v>
      </c>
      <c r="D944" s="1" t="s">
        <v>14938</v>
      </c>
      <c r="E944" s="9" t="s">
        <v>14939</v>
      </c>
      <c r="F944" s="1" t="s">
        <v>14940</v>
      </c>
      <c r="G944" s="1" t="s">
        <v>14941</v>
      </c>
      <c r="H944" s="1" t="s">
        <v>1555</v>
      </c>
      <c r="I944" s="9" t="s">
        <v>14942</v>
      </c>
      <c r="J944" s="1" t="s">
        <v>9808</v>
      </c>
      <c r="K944" s="1" t="s">
        <v>102</v>
      </c>
      <c r="L944" s="1" t="s">
        <v>103</v>
      </c>
      <c r="M944" s="1" t="s">
        <v>104</v>
      </c>
      <c r="N944" s="1" t="s">
        <v>14943</v>
      </c>
      <c r="O944" s="1" t="s">
        <v>127</v>
      </c>
      <c r="P944" s="1" t="s">
        <v>11207</v>
      </c>
      <c r="Q944" s="1" t="s">
        <v>14944</v>
      </c>
      <c r="R944" s="1" t="s">
        <v>14945</v>
      </c>
      <c r="S944" s="1" t="s">
        <v>14946</v>
      </c>
      <c r="Z944" s="1" t="s">
        <v>14947</v>
      </c>
      <c r="AA944" s="10">
        <v>6500000.0</v>
      </c>
      <c r="AB944" s="1" t="s">
        <v>14948</v>
      </c>
      <c r="AC944" s="1" t="s">
        <v>14949</v>
      </c>
      <c r="AF944" s="1" t="s">
        <v>14950</v>
      </c>
      <c r="AG944" s="1">
        <v>1.118194712E9</v>
      </c>
      <c r="AJ944" s="1">
        <v>160.0</v>
      </c>
      <c r="AK944" s="1">
        <v>67.0</v>
      </c>
      <c r="AL944" s="1" t="s">
        <v>14951</v>
      </c>
      <c r="AM944" s="1" t="s">
        <v>14952</v>
      </c>
      <c r="AN944" s="7" t="s">
        <v>14953</v>
      </c>
      <c r="AO944" s="8" t="str">
        <f>HYPERLINK("https://docs.google.com/document/d/1IxIql9xR-FoC3rQHkRP5TU_r0kFmHWhMBr_F4P3aLjQ/edit?usp=drivesdk","Al-Wildan 16 Ciledug_Hidayat Abdul Aziz_Bahasa Arab fiqih aqidah hadits")</f>
        <v>Al-Wildan 16 Ciledug_Hidayat Abdul Aziz_Bahasa Arab fiqih aqidah hadits</v>
      </c>
      <c r="AP944" s="1" t="s">
        <v>14954</v>
      </c>
    </row>
    <row r="945">
      <c r="A945" s="6">
        <v>45435.2536527662</v>
      </c>
      <c r="B945" s="7" t="s">
        <v>14955</v>
      </c>
      <c r="C945" s="8" t="s">
        <v>14956</v>
      </c>
      <c r="D945" s="1" t="s">
        <v>14957</v>
      </c>
      <c r="E945" s="9" t="s">
        <v>14958</v>
      </c>
      <c r="F945" s="1" t="s">
        <v>14959</v>
      </c>
      <c r="G945" s="1" t="s">
        <v>14960</v>
      </c>
      <c r="H945" s="1" t="s">
        <v>14961</v>
      </c>
      <c r="I945" s="9" t="s">
        <v>14962</v>
      </c>
      <c r="J945" s="1" t="s">
        <v>14963</v>
      </c>
      <c r="K945" s="1" t="s">
        <v>151</v>
      </c>
      <c r="L945" s="1" t="s">
        <v>103</v>
      </c>
      <c r="M945" s="1" t="s">
        <v>104</v>
      </c>
      <c r="N945" s="1" t="s">
        <v>10004</v>
      </c>
      <c r="O945" s="1" t="s">
        <v>9794</v>
      </c>
      <c r="P945" s="1" t="s">
        <v>7162</v>
      </c>
      <c r="Q945" s="1" t="s">
        <v>14964</v>
      </c>
      <c r="R945" s="1" t="s">
        <v>2584</v>
      </c>
      <c r="S945" s="1">
        <v>3.75</v>
      </c>
      <c r="Z945" s="1" t="s">
        <v>14965</v>
      </c>
      <c r="AA945" s="10">
        <v>650000.0</v>
      </c>
      <c r="AB945" s="1" t="s">
        <v>14966</v>
      </c>
      <c r="AC945" s="10">
        <v>1000000.0</v>
      </c>
      <c r="AD945" s="1" t="s">
        <v>14967</v>
      </c>
      <c r="AE945" s="10">
        <v>500000.0</v>
      </c>
      <c r="AF945" s="1" t="s">
        <v>4810</v>
      </c>
      <c r="AG945" s="1">
        <v>7.196911736E9</v>
      </c>
      <c r="AJ945" s="1">
        <v>170.0</v>
      </c>
      <c r="AK945" s="1">
        <v>55.0</v>
      </c>
      <c r="AL945" s="1" t="s">
        <v>14968</v>
      </c>
      <c r="AM945" s="1" t="s">
        <v>14969</v>
      </c>
      <c r="AN945" s="7" t="s">
        <v>14970</v>
      </c>
      <c r="AO945" s="8" t="str">
        <f>HYPERLINK("https://docs.google.com/document/d/1KTwiA53PeM6KqiyEfeSjZLqbeg3vi4mng6nS2lw9nuA/edit?usp=drivesdk","Al-Wildan 7 Serang_Ulhiyati, S.Pd._Bahasa Inggris ")</f>
        <v>Al-Wildan 7 Serang_Ulhiyati, S.Pd._Bahasa Inggris </v>
      </c>
      <c r="AP945" s="1" t="s">
        <v>14971</v>
      </c>
    </row>
    <row r="946">
      <c r="A946" s="6">
        <v>45436.43210875</v>
      </c>
      <c r="B946" s="7" t="s">
        <v>14972</v>
      </c>
      <c r="C946" s="8" t="s">
        <v>14973</v>
      </c>
      <c r="D946" s="1" t="s">
        <v>14974</v>
      </c>
      <c r="E946" s="9" t="s">
        <v>14975</v>
      </c>
      <c r="F946" s="1" t="s">
        <v>14976</v>
      </c>
      <c r="G946" s="1" t="s">
        <v>14977</v>
      </c>
      <c r="H946" s="1" t="s">
        <v>7510</v>
      </c>
      <c r="I946" s="9" t="s">
        <v>14978</v>
      </c>
      <c r="J946" s="1" t="s">
        <v>14979</v>
      </c>
      <c r="K946" s="1" t="s">
        <v>151</v>
      </c>
      <c r="L946" s="1" t="s">
        <v>256</v>
      </c>
      <c r="M946" s="1" t="s">
        <v>104</v>
      </c>
      <c r="N946" s="1" t="s">
        <v>14980</v>
      </c>
      <c r="O946" s="1" t="s">
        <v>127</v>
      </c>
      <c r="P946" s="1" t="s">
        <v>237</v>
      </c>
      <c r="Q946" s="1" t="s">
        <v>14981</v>
      </c>
      <c r="R946" s="1" t="s">
        <v>235</v>
      </c>
      <c r="S946" s="1" t="s">
        <v>14982</v>
      </c>
      <c r="Z946" s="1" t="s">
        <v>14983</v>
      </c>
      <c r="AA946" s="10">
        <v>1500000.0</v>
      </c>
      <c r="AB946" s="1" t="s">
        <v>14984</v>
      </c>
      <c r="AC946" s="10">
        <v>1500000.0</v>
      </c>
      <c r="AG946" s="1">
        <v>8.114179E9</v>
      </c>
      <c r="AJ946" s="1">
        <v>160.0</v>
      </c>
      <c r="AK946" s="1">
        <v>70.0</v>
      </c>
      <c r="AL946" s="1" t="s">
        <v>14985</v>
      </c>
      <c r="AM946" s="1" t="s">
        <v>14986</v>
      </c>
      <c r="AN946" s="7" t="s">
        <v>14987</v>
      </c>
      <c r="AO946" s="8" t="str">
        <f>HYPERLINK("https://docs.google.com/document/d/1a6P3IwY8Y6t9a1N38c_C2uuz-QZFODB2gzOkOo9oByg/edit?usp=drivesdk","Al-Wildan 4 Lebak Bulus_Erma Yunita, B.A_Bahasa Arab,Diniyyah dan tahfidz")</f>
        <v>Al-Wildan 4 Lebak Bulus_Erma Yunita, B.A_Bahasa Arab,Diniyyah dan tahfidz</v>
      </c>
      <c r="AP946" s="1" t="s">
        <v>14988</v>
      </c>
    </row>
    <row r="947">
      <c r="A947" s="6">
        <v>45440.46117214121</v>
      </c>
      <c r="B947" s="7" t="s">
        <v>14989</v>
      </c>
      <c r="C947" s="8" t="s">
        <v>14990</v>
      </c>
      <c r="D947" s="1" t="s">
        <v>14991</v>
      </c>
      <c r="E947" s="1" t="s">
        <v>14992</v>
      </c>
      <c r="F947" s="1" t="s">
        <v>14993</v>
      </c>
      <c r="G947" s="1" t="s">
        <v>288</v>
      </c>
      <c r="H947" s="1" t="s">
        <v>288</v>
      </c>
      <c r="I947" s="9" t="s">
        <v>14994</v>
      </c>
      <c r="J947" s="1" t="s">
        <v>1519</v>
      </c>
      <c r="K947" s="1" t="s">
        <v>102</v>
      </c>
      <c r="L947" s="1" t="s">
        <v>103</v>
      </c>
      <c r="M947" s="1" t="s">
        <v>104</v>
      </c>
      <c r="N947" s="1" t="s">
        <v>14995</v>
      </c>
      <c r="O947" s="1" t="s">
        <v>236</v>
      </c>
      <c r="P947" s="1" t="s">
        <v>7162</v>
      </c>
      <c r="Q947" s="1" t="s">
        <v>14996</v>
      </c>
      <c r="R947" s="1" t="s">
        <v>193</v>
      </c>
      <c r="S947" s="1" t="s">
        <v>14997</v>
      </c>
      <c r="Z947" s="1" t="s">
        <v>14998</v>
      </c>
      <c r="AA947" s="10">
        <v>9000000.0</v>
      </c>
      <c r="AB947" s="1" t="s">
        <v>14999</v>
      </c>
      <c r="AC947" s="10">
        <v>7000000.0</v>
      </c>
      <c r="AD947" s="1" t="s">
        <v>15000</v>
      </c>
      <c r="AE947" s="10">
        <v>4000000.0</v>
      </c>
      <c r="AF947" s="1" t="s">
        <v>176</v>
      </c>
      <c r="AG947" s="1">
        <v>7.138991738E9</v>
      </c>
      <c r="AI947" s="1" t="s">
        <v>15001</v>
      </c>
      <c r="AJ947" s="1">
        <v>160.0</v>
      </c>
      <c r="AK947" s="1">
        <v>60.0</v>
      </c>
      <c r="AL947" s="1" t="s">
        <v>15002</v>
      </c>
      <c r="AM947" s="1" t="s">
        <v>15003</v>
      </c>
      <c r="AN947" s="7" t="s">
        <v>15004</v>
      </c>
      <c r="AO947" s="8" t="str">
        <f>HYPERLINK("https://docs.google.com/document/d/1wWLpcR_SKQMVPMnSoT-p68vbEbSRZy0EIipcU1tm2vU/edit?usp=drivesdk","Al-Wildan 7 Serang_Rojul fayad, Lc_Aqidah, fiqih, hadis, mustolah hadist, faraid ")</f>
        <v>Al-Wildan 7 Serang_Rojul fayad, Lc_Aqidah, fiqih, hadis, mustolah hadist, faraid </v>
      </c>
      <c r="AP947" s="1" t="s">
        <v>15005</v>
      </c>
    </row>
    <row r="948">
      <c r="A948" s="6">
        <v>45440.56220137731</v>
      </c>
      <c r="B948" s="7" t="s">
        <v>15006</v>
      </c>
      <c r="C948" s="8" t="s">
        <v>15007</v>
      </c>
      <c r="D948" s="1" t="s">
        <v>15008</v>
      </c>
      <c r="E948" s="9" t="s">
        <v>15009</v>
      </c>
      <c r="F948" s="1" t="s">
        <v>15010</v>
      </c>
      <c r="G948" s="1" t="s">
        <v>15011</v>
      </c>
      <c r="H948" s="1" t="s">
        <v>15012</v>
      </c>
      <c r="I948" s="9" t="s">
        <v>15013</v>
      </c>
      <c r="J948" s="1" t="s">
        <v>2851</v>
      </c>
      <c r="K948" s="1" t="s">
        <v>151</v>
      </c>
      <c r="L948" s="1" t="s">
        <v>329</v>
      </c>
      <c r="M948" s="1" t="s">
        <v>104</v>
      </c>
      <c r="N948" s="1" t="s">
        <v>15014</v>
      </c>
      <c r="O948" s="1" t="s">
        <v>9794</v>
      </c>
      <c r="P948" s="1" t="s">
        <v>11207</v>
      </c>
      <c r="Q948" s="1" t="s">
        <v>1022</v>
      </c>
      <c r="R948" s="1" t="s">
        <v>15015</v>
      </c>
      <c r="S948" s="1" t="s">
        <v>12235</v>
      </c>
      <c r="T948" s="1" t="s">
        <v>217</v>
      </c>
      <c r="U948" s="1" t="s">
        <v>217</v>
      </c>
      <c r="V948" s="1" t="s">
        <v>217</v>
      </c>
      <c r="W948" s="1" t="s">
        <v>217</v>
      </c>
      <c r="X948" s="1" t="s">
        <v>217</v>
      </c>
      <c r="Z948" s="1" t="s">
        <v>15016</v>
      </c>
      <c r="AA948" s="10">
        <v>2600000.0</v>
      </c>
      <c r="AB948" s="1" t="s">
        <v>217</v>
      </c>
      <c r="AC948" s="1" t="s">
        <v>217</v>
      </c>
      <c r="AD948" s="1" t="s">
        <v>217</v>
      </c>
      <c r="AE948" s="1" t="s">
        <v>217</v>
      </c>
      <c r="AF948" s="1" t="s">
        <v>15017</v>
      </c>
      <c r="AG948" s="1">
        <v>4.29267673E9</v>
      </c>
      <c r="AJ948" s="1">
        <v>156.0</v>
      </c>
      <c r="AK948" s="1">
        <v>48.0</v>
      </c>
      <c r="AL948" s="1" t="s">
        <v>15018</v>
      </c>
      <c r="AM948" s="1" t="s">
        <v>15019</v>
      </c>
      <c r="AN948" s="7" t="s">
        <v>15020</v>
      </c>
      <c r="AO948" s="8" t="str">
        <f>HYPERLINK("https://docs.google.com/document/d/1AEXyTNUck5Nn8EFDa2_MRbeq4WKhkdzIw5xv-lWyvKQ/edit?usp=drivesdk","Al-Wildan 16 Ciledug_Ayati Dewi Nur, B.sh_Diniyyah (A.D.A)")</f>
        <v>Al-Wildan 16 Ciledug_Ayati Dewi Nur, B.sh_Diniyyah (A.D.A)</v>
      </c>
      <c r="AP948" s="1" t="s">
        <v>15021</v>
      </c>
    </row>
    <row r="949">
      <c r="A949" s="6">
        <v>45440.595232314816</v>
      </c>
      <c r="B949" s="7" t="s">
        <v>15022</v>
      </c>
      <c r="C949" s="8" t="s">
        <v>15023</v>
      </c>
      <c r="D949" s="1" t="s">
        <v>15024</v>
      </c>
      <c r="E949" s="9" t="s">
        <v>15025</v>
      </c>
      <c r="F949" s="1" t="s">
        <v>15026</v>
      </c>
      <c r="G949" s="1" t="s">
        <v>15027</v>
      </c>
      <c r="H949" s="1" t="s">
        <v>6169</v>
      </c>
      <c r="I949" s="9" t="s">
        <v>1019</v>
      </c>
      <c r="J949" s="1" t="s">
        <v>13729</v>
      </c>
      <c r="K949" s="1" t="s">
        <v>102</v>
      </c>
      <c r="L949" s="1" t="s">
        <v>103</v>
      </c>
      <c r="M949" s="1" t="s">
        <v>104</v>
      </c>
      <c r="N949" s="1" t="s">
        <v>15028</v>
      </c>
      <c r="O949" s="1" t="s">
        <v>127</v>
      </c>
      <c r="P949" s="1" t="s">
        <v>7991</v>
      </c>
      <c r="Q949" s="1" t="s">
        <v>15029</v>
      </c>
      <c r="R949" s="1" t="s">
        <v>15030</v>
      </c>
      <c r="S949" s="1" t="s">
        <v>15031</v>
      </c>
      <c r="T949" s="1" t="s">
        <v>15029</v>
      </c>
      <c r="U949" s="1" t="s">
        <v>15032</v>
      </c>
      <c r="V949" s="1" t="s">
        <v>15033</v>
      </c>
      <c r="Z949" s="1" t="s">
        <v>15034</v>
      </c>
      <c r="AA949" s="10">
        <v>1000000.0</v>
      </c>
      <c r="AB949" s="1" t="s">
        <v>15035</v>
      </c>
      <c r="AD949" s="1" t="s">
        <v>15036</v>
      </c>
      <c r="AE949" s="1" t="s">
        <v>15037</v>
      </c>
      <c r="AF949" s="1" t="s">
        <v>15038</v>
      </c>
      <c r="AG949" s="1">
        <v>5.67295523E9</v>
      </c>
      <c r="AJ949" s="1">
        <v>173.0</v>
      </c>
      <c r="AK949" s="1">
        <v>90.0</v>
      </c>
      <c r="AL949" s="1" t="s">
        <v>15039</v>
      </c>
      <c r="AM949" s="1" t="s">
        <v>15040</v>
      </c>
      <c r="AN949" s="7" t="s">
        <v>15041</v>
      </c>
      <c r="AO949" s="8" t="str">
        <f>HYPERLINK("https://docs.google.com/document/d/1D5vw0rvG_23m9eH6zYCl897-XlXC-8DRIBNmuafXZAk/edit?usp=drivesdk","Al-Wildan 12 Bulak Kapal, Bekasi_Muhammad Azzam Mukarram BA._semua pelajaran diniyyah agama &amp; bahasa arab")</f>
        <v>Al-Wildan 12 Bulak Kapal, Bekasi_Muhammad Azzam Mukarram BA._semua pelajaran diniyyah agama &amp; bahasa arab</v>
      </c>
      <c r="AP949" s="1" t="s">
        <v>15042</v>
      </c>
    </row>
    <row r="950">
      <c r="A950" s="6">
        <v>45440.71569135417</v>
      </c>
      <c r="B950" s="7" t="s">
        <v>15043</v>
      </c>
      <c r="C950" s="8" t="s">
        <v>15044</v>
      </c>
      <c r="D950" s="1" t="s">
        <v>15045</v>
      </c>
      <c r="E950" s="9" t="s">
        <v>15046</v>
      </c>
      <c r="F950" s="1" t="s">
        <v>15047</v>
      </c>
      <c r="G950" s="1" t="s">
        <v>15048</v>
      </c>
      <c r="H950" s="1" t="s">
        <v>169</v>
      </c>
      <c r="I950" s="9" t="s">
        <v>15049</v>
      </c>
      <c r="J950" s="1">
        <v>33.0</v>
      </c>
      <c r="K950" s="1" t="s">
        <v>102</v>
      </c>
      <c r="L950" s="1" t="s">
        <v>103</v>
      </c>
      <c r="M950" s="1" t="s">
        <v>104</v>
      </c>
      <c r="N950" s="1" t="s">
        <v>15050</v>
      </c>
      <c r="O950" s="1" t="s">
        <v>9794</v>
      </c>
      <c r="P950" s="1" t="s">
        <v>5712</v>
      </c>
      <c r="Q950" s="1" t="s">
        <v>15051</v>
      </c>
      <c r="R950" s="1" t="s">
        <v>193</v>
      </c>
      <c r="S950" s="1" t="s">
        <v>15052</v>
      </c>
      <c r="T950" s="1" t="s">
        <v>15051</v>
      </c>
      <c r="U950" s="1" t="s">
        <v>9966</v>
      </c>
      <c r="V950" s="1" t="s">
        <v>15053</v>
      </c>
      <c r="Z950" s="1" t="s">
        <v>15054</v>
      </c>
      <c r="AA950" s="10">
        <v>500000.0</v>
      </c>
      <c r="AB950" s="1" t="s">
        <v>15055</v>
      </c>
      <c r="AC950" s="10">
        <v>2000000.0</v>
      </c>
      <c r="AD950" s="1" t="s">
        <v>15056</v>
      </c>
      <c r="AE950" s="10">
        <v>3500000.0</v>
      </c>
      <c r="AF950" s="10">
        <v>5000000.0</v>
      </c>
      <c r="AG950" s="1">
        <v>7.261602193E9</v>
      </c>
      <c r="AH950" s="9" t="s">
        <v>15057</v>
      </c>
      <c r="AI950" s="1" t="s">
        <v>159</v>
      </c>
      <c r="AJ950" s="1">
        <v>169.0</v>
      </c>
      <c r="AK950" s="1">
        <v>68.0</v>
      </c>
      <c r="AL950" s="1" t="s">
        <v>15058</v>
      </c>
      <c r="AM950" s="1" t="s">
        <v>15059</v>
      </c>
      <c r="AN950" s="7" t="s">
        <v>15060</v>
      </c>
      <c r="AO950" s="8" t="str">
        <f>HYPERLINK("https://docs.google.com/document/d/19jpjEZIgodiSmgn49nA9bxVSfdx84xKsyFJTAxB1k_o/edit?usp=drivesdk","Al-Wildan 3 BSD City_Muhammad Iqbal, B.A, M.A_ulum syar'ie")</f>
        <v>Al-Wildan 3 BSD City_Muhammad Iqbal, B.A, M.A_ulum syar'ie</v>
      </c>
      <c r="AP950" s="1" t="s">
        <v>15061</v>
      </c>
    </row>
    <row r="951">
      <c r="A951" s="6">
        <v>45440.75843425926</v>
      </c>
      <c r="B951" s="7" t="s">
        <v>15062</v>
      </c>
      <c r="C951" s="8" t="s">
        <v>15063</v>
      </c>
      <c r="D951" s="1" t="s">
        <v>15064</v>
      </c>
      <c r="E951" s="9" t="s">
        <v>15065</v>
      </c>
      <c r="F951" s="1" t="s">
        <v>15066</v>
      </c>
      <c r="G951" s="1" t="s">
        <v>15067</v>
      </c>
      <c r="H951" s="1" t="s">
        <v>15068</v>
      </c>
      <c r="I951" s="9" t="s">
        <v>15069</v>
      </c>
      <c r="J951" s="1" t="s">
        <v>9763</v>
      </c>
      <c r="K951" s="1" t="s">
        <v>102</v>
      </c>
      <c r="L951" s="1" t="s">
        <v>310</v>
      </c>
      <c r="M951" s="1" t="s">
        <v>104</v>
      </c>
      <c r="N951" s="1" t="s">
        <v>152</v>
      </c>
      <c r="O951" s="1" t="s">
        <v>127</v>
      </c>
      <c r="P951" s="1" t="s">
        <v>7162</v>
      </c>
      <c r="Q951" s="1" t="s">
        <v>15070</v>
      </c>
      <c r="R951" s="1" t="s">
        <v>15071</v>
      </c>
      <c r="S951" s="1" t="s">
        <v>1680</v>
      </c>
      <c r="T951" s="1" t="s">
        <v>2583</v>
      </c>
      <c r="U951" s="1" t="s">
        <v>172</v>
      </c>
      <c r="V951" s="1" t="s">
        <v>1087</v>
      </c>
      <c r="W951" s="1" t="s">
        <v>217</v>
      </c>
      <c r="X951" s="1" t="s">
        <v>217</v>
      </c>
      <c r="Y951" s="1">
        <v>0.0</v>
      </c>
      <c r="Z951" s="1" t="s">
        <v>15072</v>
      </c>
      <c r="AA951" s="10">
        <v>1800000.0</v>
      </c>
      <c r="AB951" s="1" t="s">
        <v>15073</v>
      </c>
      <c r="AC951" s="10">
        <v>5700000.0</v>
      </c>
      <c r="AD951" s="1" t="s">
        <v>15074</v>
      </c>
      <c r="AE951" s="10">
        <v>5500000.0</v>
      </c>
      <c r="AF951" s="1" t="s">
        <v>15075</v>
      </c>
      <c r="AG951" s="1">
        <v>7.134920728E9</v>
      </c>
      <c r="AH951" s="1">
        <v>0.0</v>
      </c>
      <c r="AI951" s="1" t="s">
        <v>5113</v>
      </c>
      <c r="AJ951" s="1">
        <v>163.0</v>
      </c>
      <c r="AK951" s="1">
        <v>70.0</v>
      </c>
      <c r="AL951" s="1" t="s">
        <v>15076</v>
      </c>
      <c r="AM951" s="1" t="s">
        <v>15077</v>
      </c>
      <c r="AN951" s="7" t="s">
        <v>15078</v>
      </c>
      <c r="AO951" s="8" t="str">
        <f>HYPERLINK("https://docs.google.com/document/d/1ITj_faROMME7bBBVjiKqO3Ddj7J2voWGdXaY_U24UhA/edit?usp=drivesdk","Al-Wildan 7 Serang_Ahmad Muzakkir Mahbub, S.Pd.I., M.Pd_Bahasa Inggris")</f>
        <v>Al-Wildan 7 Serang_Ahmad Muzakkir Mahbub, S.Pd.I., M.Pd_Bahasa Inggris</v>
      </c>
      <c r="AP951" s="1" t="s">
        <v>15079</v>
      </c>
    </row>
    <row r="952">
      <c r="A952" s="6">
        <v>45442.45871502315</v>
      </c>
      <c r="B952" s="7" t="s">
        <v>15080</v>
      </c>
      <c r="C952" s="8" t="s">
        <v>15081</v>
      </c>
      <c r="D952" s="1" t="s">
        <v>15082</v>
      </c>
      <c r="E952" s="9" t="s">
        <v>15083</v>
      </c>
      <c r="F952" s="1" t="s">
        <v>15084</v>
      </c>
      <c r="G952" s="1" t="s">
        <v>15085</v>
      </c>
      <c r="H952" s="1" t="s">
        <v>15086</v>
      </c>
      <c r="I952" s="9" t="s">
        <v>15087</v>
      </c>
      <c r="J952" s="1" t="s">
        <v>3221</v>
      </c>
      <c r="K952" s="1" t="s">
        <v>102</v>
      </c>
      <c r="L952" s="1" t="s">
        <v>103</v>
      </c>
      <c r="M952" s="1" t="s">
        <v>104</v>
      </c>
      <c r="N952" s="1" t="s">
        <v>11418</v>
      </c>
      <c r="O952" s="1" t="s">
        <v>127</v>
      </c>
      <c r="P952" s="1" t="s">
        <v>7162</v>
      </c>
      <c r="Q952" s="1" t="s">
        <v>15088</v>
      </c>
      <c r="R952" s="1" t="s">
        <v>15089</v>
      </c>
      <c r="S952" s="1">
        <v>3.37</v>
      </c>
      <c r="Z952" s="1" t="s">
        <v>15090</v>
      </c>
      <c r="AA952" s="10">
        <v>4500000.0</v>
      </c>
      <c r="AB952" s="1" t="s">
        <v>15091</v>
      </c>
      <c r="AC952" s="10">
        <v>1850000.0</v>
      </c>
      <c r="AF952" s="10">
        <v>4500000.0</v>
      </c>
      <c r="AG952" s="1">
        <v>7.142434983E9</v>
      </c>
      <c r="AJ952" s="1">
        <v>167.0</v>
      </c>
      <c r="AK952" s="1">
        <v>54.0</v>
      </c>
      <c r="AL952" s="1" t="s">
        <v>15092</v>
      </c>
      <c r="AM952" s="1" t="s">
        <v>15093</v>
      </c>
      <c r="AN952" s="7" t="s">
        <v>15094</v>
      </c>
      <c r="AO952" s="8" t="str">
        <f>HYPERLINK("https://docs.google.com/document/d/188WeZbHKD0PrxZ5VEh8p0wK34VAnZ73-cUifzzVneig/edit?usp=drivesdk","Al-Wildan 7 Serang_Ramadhan Rachman Rachim, S.Pd_Bahasa arab")</f>
        <v>Al-Wildan 7 Serang_Ramadhan Rachman Rachim, S.Pd_Bahasa arab</v>
      </c>
      <c r="AP952" s="1" t="s">
        <v>15095</v>
      </c>
    </row>
    <row r="953">
      <c r="A953" s="6">
        <v>45444.94772626157</v>
      </c>
      <c r="B953" s="7" t="s">
        <v>15096</v>
      </c>
      <c r="C953" s="8" t="s">
        <v>15097</v>
      </c>
      <c r="D953" s="1" t="s">
        <v>15098</v>
      </c>
      <c r="E953" s="9" t="s">
        <v>15099</v>
      </c>
      <c r="F953" s="1" t="s">
        <v>14993</v>
      </c>
      <c r="G953" s="1" t="s">
        <v>288</v>
      </c>
      <c r="H953" s="1" t="s">
        <v>288</v>
      </c>
      <c r="I953" s="9" t="s">
        <v>14994</v>
      </c>
      <c r="J953" s="1" t="s">
        <v>15100</v>
      </c>
      <c r="K953" s="1" t="s">
        <v>102</v>
      </c>
      <c r="L953" s="1" t="s">
        <v>103</v>
      </c>
      <c r="M953" s="1" t="s">
        <v>104</v>
      </c>
      <c r="N953" s="1" t="s">
        <v>15101</v>
      </c>
      <c r="O953" s="1" t="s">
        <v>236</v>
      </c>
      <c r="P953" s="1" t="s">
        <v>7162</v>
      </c>
      <c r="Q953" s="1" t="s">
        <v>10481</v>
      </c>
      <c r="R953" s="1" t="s">
        <v>193</v>
      </c>
      <c r="S953" s="1" t="s">
        <v>15102</v>
      </c>
      <c r="Z953" s="1" t="s">
        <v>15103</v>
      </c>
      <c r="AA953" s="10">
        <v>9000000.0</v>
      </c>
      <c r="AB953" s="1" t="s">
        <v>15104</v>
      </c>
      <c r="AC953" s="10">
        <v>7000000.0</v>
      </c>
      <c r="AD953" s="1" t="s">
        <v>15105</v>
      </c>
      <c r="AE953" s="10">
        <v>4000000.0</v>
      </c>
      <c r="AF953" s="1" t="s">
        <v>176</v>
      </c>
      <c r="AG953" s="1">
        <v>7.138991738E9</v>
      </c>
      <c r="AI953" s="1" t="s">
        <v>5113</v>
      </c>
      <c r="AJ953" s="1">
        <v>160.0</v>
      </c>
      <c r="AK953" s="1">
        <v>60.0</v>
      </c>
      <c r="AL953" s="1" t="s">
        <v>15002</v>
      </c>
      <c r="AM953" s="1" t="s">
        <v>15106</v>
      </c>
      <c r="AN953" s="7" t="s">
        <v>15107</v>
      </c>
      <c r="AO953" s="8" t="str">
        <f>HYPERLINK("https://docs.google.com/document/d/1H4SoG3VI0NTdjP8kVdy0OgJ8uGUBFXjt0vd1gxXgv3Y/edit?usp=drivesdk","Al-Wildan 7 Serang_Rojul fayad,Lc_Fiqih, aqidah")</f>
        <v>Al-Wildan 7 Serang_Rojul fayad,Lc_Fiqih, aqidah</v>
      </c>
      <c r="AP953" s="1" t="s">
        <v>15108</v>
      </c>
    </row>
    <row r="954">
      <c r="A954" s="6">
        <v>45445.21872884259</v>
      </c>
      <c r="B954" s="7" t="s">
        <v>15109</v>
      </c>
      <c r="C954" s="8" t="s">
        <v>15110</v>
      </c>
      <c r="D954" s="1" t="s">
        <v>15111</v>
      </c>
      <c r="E954" s="9" t="s">
        <v>15112</v>
      </c>
      <c r="F954" s="1" t="s">
        <v>15113</v>
      </c>
      <c r="G954" s="1" t="s">
        <v>15114</v>
      </c>
      <c r="H954" s="1" t="s">
        <v>15115</v>
      </c>
      <c r="I954" s="9" t="s">
        <v>666</v>
      </c>
      <c r="J954" s="1">
        <v>28.0</v>
      </c>
      <c r="K954" s="1" t="s">
        <v>102</v>
      </c>
      <c r="L954" s="1" t="s">
        <v>103</v>
      </c>
      <c r="M954" s="1" t="s">
        <v>104</v>
      </c>
      <c r="N954" s="1" t="s">
        <v>15116</v>
      </c>
      <c r="O954" s="1" t="s">
        <v>236</v>
      </c>
      <c r="P954" s="1" t="s">
        <v>14395</v>
      </c>
      <c r="Q954" s="1" t="s">
        <v>1505</v>
      </c>
      <c r="R954" s="1" t="s">
        <v>193</v>
      </c>
      <c r="S954" s="1">
        <v>4.75</v>
      </c>
      <c r="Z954" s="1" t="s">
        <v>15117</v>
      </c>
      <c r="AA954" s="10">
        <v>3500000.0</v>
      </c>
      <c r="AB954" s="1" t="s">
        <v>15118</v>
      </c>
      <c r="AC954" s="10">
        <v>2500000.0</v>
      </c>
      <c r="AD954" s="1" t="s">
        <v>15119</v>
      </c>
      <c r="AE954" s="10">
        <v>1750000.0</v>
      </c>
      <c r="AF954" s="10">
        <v>7000000.0</v>
      </c>
      <c r="AG954" s="1">
        <v>5.27734783E9</v>
      </c>
      <c r="AH954" s="1">
        <v>5.27734783E9</v>
      </c>
      <c r="AI954" s="1" t="s">
        <v>4856</v>
      </c>
      <c r="AJ954" s="1">
        <v>160.0</v>
      </c>
      <c r="AK954" s="1">
        <v>60.0</v>
      </c>
      <c r="AL954" s="1" t="s">
        <v>15120</v>
      </c>
      <c r="AM954" s="1" t="s">
        <v>15121</v>
      </c>
      <c r="AN954" s="7" t="s">
        <v>15122</v>
      </c>
      <c r="AO954" s="8" t="str">
        <f>HYPERLINK("https://docs.google.com/document/d/1HmVLEE6uvijRhjg7tgZzeKInJwuoUI-xwgW8qSXWZDM/edit?usp=drivesdk","Al-Wildam 20 Mataram_Erna Kamelia, B. Sh. _Agama dan Bahasa Arab")</f>
        <v>Al-Wildam 20 Mataram_Erna Kamelia, B. Sh. _Agama dan Bahasa Arab</v>
      </c>
      <c r="AP954" s="1" t="s">
        <v>15123</v>
      </c>
    </row>
    <row r="955">
      <c r="A955" s="6">
        <v>45446.45261584491</v>
      </c>
      <c r="B955" s="7" t="s">
        <v>15124</v>
      </c>
      <c r="C955" s="8" t="s">
        <v>15125</v>
      </c>
      <c r="D955" s="1" t="s">
        <v>15126</v>
      </c>
      <c r="E955" s="9" t="s">
        <v>3030</v>
      </c>
      <c r="F955" s="1" t="s">
        <v>3031</v>
      </c>
      <c r="G955" s="1" t="s">
        <v>15127</v>
      </c>
      <c r="H955" s="1" t="s">
        <v>3033</v>
      </c>
      <c r="I955" s="9" t="s">
        <v>15128</v>
      </c>
      <c r="J955" s="1" t="s">
        <v>4834</v>
      </c>
      <c r="K955" s="1" t="s">
        <v>151</v>
      </c>
      <c r="L955" s="1" t="s">
        <v>496</v>
      </c>
      <c r="M955" s="1" t="s">
        <v>15129</v>
      </c>
      <c r="O955" s="1" t="s">
        <v>127</v>
      </c>
      <c r="P955" s="1" t="s">
        <v>5712</v>
      </c>
      <c r="Q955" s="1" t="s">
        <v>15130</v>
      </c>
      <c r="R955" s="1" t="s">
        <v>15131</v>
      </c>
      <c r="S955" s="1">
        <v>3.76</v>
      </c>
      <c r="Z955" s="1" t="s">
        <v>15132</v>
      </c>
      <c r="AA955" s="10">
        <v>2000000.0</v>
      </c>
      <c r="AF955" s="10">
        <v>4500000.0</v>
      </c>
      <c r="AG955" s="1">
        <v>9.05623177E9</v>
      </c>
      <c r="AJ955" s="1">
        <v>182.0</v>
      </c>
      <c r="AK955" s="1">
        <v>79.0</v>
      </c>
      <c r="AL955" s="1" t="s">
        <v>15133</v>
      </c>
      <c r="AM955" s="1" t="s">
        <v>15134</v>
      </c>
      <c r="AN955" s="7" t="s">
        <v>15135</v>
      </c>
      <c r="AO955" s="8" t="str">
        <f>HYPERLINK("https://docs.google.com/document/d/1fdVZmFA_k-nXaBf2ABb76pVkqF_BRET7W7KPlHoC86g/edit?usp=drivesdk","Al-Wildan 3 BSD City_MUHAMMAD IHSAN ZAKKY ALMUBARAK, S.Ag_")</f>
        <v>Al-Wildan 3 BSD City_MUHAMMAD IHSAN ZAKKY ALMUBARAK, S.Ag_</v>
      </c>
      <c r="AP955" s="1" t="s">
        <v>15136</v>
      </c>
    </row>
    <row r="956">
      <c r="A956" s="6">
        <v>45446.45369689815</v>
      </c>
      <c r="B956" s="7" t="s">
        <v>15137</v>
      </c>
      <c r="C956" s="8" t="s">
        <v>15138</v>
      </c>
      <c r="D956" s="1" t="s">
        <v>15139</v>
      </c>
      <c r="E956" s="9" t="s">
        <v>15099</v>
      </c>
      <c r="F956" s="1" t="s">
        <v>14993</v>
      </c>
      <c r="G956" s="1" t="s">
        <v>288</v>
      </c>
      <c r="H956" s="1" t="s">
        <v>288</v>
      </c>
      <c r="I956" s="9" t="s">
        <v>14994</v>
      </c>
      <c r="J956" s="1" t="s">
        <v>15140</v>
      </c>
      <c r="K956" s="1" t="s">
        <v>102</v>
      </c>
      <c r="L956" s="1" t="s">
        <v>103</v>
      </c>
      <c r="M956" s="1" t="s">
        <v>104</v>
      </c>
      <c r="N956" s="1" t="s">
        <v>15141</v>
      </c>
      <c r="O956" s="1" t="s">
        <v>236</v>
      </c>
      <c r="P956" s="1" t="s">
        <v>7162</v>
      </c>
      <c r="Q956" s="1" t="s">
        <v>10481</v>
      </c>
      <c r="R956" s="1" t="s">
        <v>193</v>
      </c>
      <c r="S956" s="1" t="s">
        <v>15142</v>
      </c>
      <c r="Z956" s="1" t="s">
        <v>15143</v>
      </c>
      <c r="AA956" s="10">
        <v>9000000.0</v>
      </c>
      <c r="AB956" s="1" t="s">
        <v>14999</v>
      </c>
      <c r="AC956" s="10">
        <v>7000000.0</v>
      </c>
      <c r="AD956" s="1" t="s">
        <v>15144</v>
      </c>
      <c r="AE956" s="10">
        <v>4000000.0</v>
      </c>
      <c r="AF956" s="1" t="s">
        <v>15145</v>
      </c>
      <c r="AG956" s="1">
        <v>7.138991738E9</v>
      </c>
      <c r="AI956" s="1" t="s">
        <v>5113</v>
      </c>
      <c r="AJ956" s="1">
        <v>160.0</v>
      </c>
      <c r="AK956" s="1">
        <v>60.0</v>
      </c>
      <c r="AL956" s="1" t="s">
        <v>15002</v>
      </c>
      <c r="AM956" s="1" t="s">
        <v>15146</v>
      </c>
      <c r="AN956" s="7" t="s">
        <v>15147</v>
      </c>
      <c r="AO956" s="8" t="str">
        <f>HYPERLINK("https://docs.google.com/document/d/1OaBXFq4xGDx1nADm1dhvvGYhxbhJhxX5_LdbX8xj47c/edit?usp=drivesdk","Al-Wildan 7 Serang_Rojul Fayad, Lc_Aqidah, Akhlak, Usul fiqh")</f>
        <v>Al-Wildan 7 Serang_Rojul Fayad, Lc_Aqidah, Akhlak, Usul fiqh</v>
      </c>
      <c r="AP956" s="1" t="s">
        <v>15148</v>
      </c>
    </row>
    <row r="957">
      <c r="A957" s="6">
        <v>45447.64693011574</v>
      </c>
      <c r="B957" s="7" t="s">
        <v>15149</v>
      </c>
      <c r="C957" s="8" t="s">
        <v>15150</v>
      </c>
      <c r="D957" s="1" t="s">
        <v>15151</v>
      </c>
      <c r="E957" s="9" t="s">
        <v>15152</v>
      </c>
      <c r="F957" s="1" t="s">
        <v>15153</v>
      </c>
      <c r="G957" s="1" t="s">
        <v>15154</v>
      </c>
      <c r="H957" s="1" t="s">
        <v>169</v>
      </c>
      <c r="I957" s="9" t="s">
        <v>15155</v>
      </c>
      <c r="J957" s="1" t="s">
        <v>15156</v>
      </c>
      <c r="K957" s="1" t="s">
        <v>102</v>
      </c>
      <c r="L957" s="1" t="s">
        <v>103</v>
      </c>
      <c r="M957" s="1" t="s">
        <v>13917</v>
      </c>
      <c r="N957" s="1" t="s">
        <v>15157</v>
      </c>
      <c r="O957" s="1" t="s">
        <v>106</v>
      </c>
      <c r="P957" s="1" t="s">
        <v>5712</v>
      </c>
      <c r="Q957" s="1" t="s">
        <v>108</v>
      </c>
      <c r="R957" s="1" t="s">
        <v>15158</v>
      </c>
      <c r="S957" s="1">
        <v>3.38</v>
      </c>
      <c r="Z957" s="1" t="s">
        <v>15159</v>
      </c>
      <c r="AA957" s="1" t="s">
        <v>15160</v>
      </c>
      <c r="AF957" s="1" t="s">
        <v>15161</v>
      </c>
      <c r="AH957" s="9" t="s">
        <v>15162</v>
      </c>
      <c r="AI957" s="1" t="s">
        <v>222</v>
      </c>
      <c r="AJ957" s="1">
        <v>180.0</v>
      </c>
      <c r="AK957" s="1">
        <v>95.0</v>
      </c>
      <c r="AL957" s="1" t="s">
        <v>15163</v>
      </c>
      <c r="AM957" s="1" t="s">
        <v>15164</v>
      </c>
      <c r="AN957" s="7" t="s">
        <v>15165</v>
      </c>
      <c r="AO957" s="8" t="str">
        <f>HYPERLINK("https://docs.google.com/document/d/1C43zNGF7VQQIjzz-iId4BLx-qB8zyo46oDDec2IB5mw/edit?usp=drivesdk","Al-Wildan 3 BSD City_Nugraha Sabilly , S.Or_Pendidikan Jasmani Olahraga Kesehatan")</f>
        <v>Al-Wildan 3 BSD City_Nugraha Sabilly , S.Or_Pendidikan Jasmani Olahraga Kesehatan</v>
      </c>
      <c r="AP957" s="1" t="s">
        <v>15166</v>
      </c>
    </row>
    <row r="958">
      <c r="A958" s="6">
        <v>45450.68559396991</v>
      </c>
      <c r="B958" s="7" t="s">
        <v>15167</v>
      </c>
      <c r="C958" s="8" t="s">
        <v>15168</v>
      </c>
      <c r="D958" s="1" t="s">
        <v>15169</v>
      </c>
      <c r="E958" s="9" t="s">
        <v>15170</v>
      </c>
      <c r="F958" s="1" t="s">
        <v>15171</v>
      </c>
      <c r="G958" s="1" t="s">
        <v>15172</v>
      </c>
      <c r="H958" s="1" t="s">
        <v>15173</v>
      </c>
      <c r="I958" s="9" t="s">
        <v>15174</v>
      </c>
      <c r="J958" s="1" t="s">
        <v>15175</v>
      </c>
      <c r="K958" s="1" t="s">
        <v>102</v>
      </c>
      <c r="L958" s="1" t="s">
        <v>103</v>
      </c>
      <c r="M958" s="1" t="s">
        <v>104</v>
      </c>
      <c r="N958" s="1" t="s">
        <v>15176</v>
      </c>
      <c r="O958" s="1" t="s">
        <v>312</v>
      </c>
      <c r="P958" s="1" t="s">
        <v>107</v>
      </c>
      <c r="Q958" s="1" t="s">
        <v>15177</v>
      </c>
      <c r="R958" s="1" t="s">
        <v>8140</v>
      </c>
      <c r="S958" s="1" t="s">
        <v>110</v>
      </c>
      <c r="Z958" s="1" t="s">
        <v>15178</v>
      </c>
      <c r="AA958" s="1" t="s">
        <v>15179</v>
      </c>
      <c r="AB958" s="1" t="s">
        <v>15180</v>
      </c>
      <c r="AC958" s="10">
        <v>2000000.0</v>
      </c>
      <c r="AD958" s="1" t="s">
        <v>15181</v>
      </c>
      <c r="AE958" s="10">
        <v>3000000.0</v>
      </c>
      <c r="AF958" s="10">
        <v>6000000.0</v>
      </c>
      <c r="AG958" s="1">
        <v>7.258973188E9</v>
      </c>
      <c r="AJ958" s="1">
        <v>158.0</v>
      </c>
      <c r="AK958" s="1">
        <v>60.0</v>
      </c>
      <c r="AL958" s="1" t="s">
        <v>15182</v>
      </c>
      <c r="AM958" s="1" t="s">
        <v>15183</v>
      </c>
      <c r="AN958" s="7" t="s">
        <v>15184</v>
      </c>
      <c r="AO958" s="8" t="str">
        <f>HYPERLINK("https://docs.google.com/document/d/1L1SjPzIw1fLHvKslrir-v8S4NIcEFhJxruGI5Tuvq6U/edit?usp=drivesdk","Al-Wildan 1 Gading Serpong_Rifa'iy Karsayuda, S.Pd._ADA")</f>
        <v>Al-Wildan 1 Gading Serpong_Rifa'iy Karsayuda, S.Pd._ADA</v>
      </c>
      <c r="AP958" s="1" t="s">
        <v>15185</v>
      </c>
    </row>
    <row r="959">
      <c r="A959" s="6">
        <v>45453.45674090278</v>
      </c>
      <c r="B959" s="7" t="s">
        <v>15186</v>
      </c>
      <c r="C959" s="8" t="s">
        <v>15187</v>
      </c>
      <c r="D959" s="1" t="s">
        <v>15188</v>
      </c>
      <c r="E959" s="9" t="s">
        <v>15189</v>
      </c>
      <c r="F959" s="1" t="s">
        <v>15190</v>
      </c>
      <c r="G959" s="1" t="s">
        <v>15191</v>
      </c>
      <c r="H959" s="1" t="s">
        <v>99</v>
      </c>
      <c r="I959" s="9" t="s">
        <v>15192</v>
      </c>
      <c r="J959" s="1" t="s">
        <v>7269</v>
      </c>
      <c r="K959" s="1" t="s">
        <v>151</v>
      </c>
      <c r="L959" s="1" t="s">
        <v>329</v>
      </c>
      <c r="M959" s="1" t="s">
        <v>13917</v>
      </c>
      <c r="N959" s="1" t="s">
        <v>15193</v>
      </c>
      <c r="O959" s="1" t="s">
        <v>312</v>
      </c>
      <c r="P959" s="1" t="s">
        <v>107</v>
      </c>
      <c r="Q959" s="1" t="s">
        <v>15194</v>
      </c>
      <c r="R959" s="1" t="s">
        <v>15193</v>
      </c>
      <c r="S959" s="1" t="s">
        <v>3719</v>
      </c>
      <c r="Z959" s="1" t="s">
        <v>15195</v>
      </c>
      <c r="AA959" s="10">
        <v>700000.0</v>
      </c>
      <c r="AB959" s="1" t="s">
        <v>15195</v>
      </c>
      <c r="AC959" s="10">
        <v>300000.0</v>
      </c>
      <c r="AD959" s="1" t="s">
        <v>15195</v>
      </c>
      <c r="AE959" s="10">
        <v>4000000.0</v>
      </c>
      <c r="AF959" s="10">
        <v>5500000.0</v>
      </c>
      <c r="AG959" s="1">
        <v>7.222441239E9</v>
      </c>
      <c r="AJ959" s="1">
        <v>180.0</v>
      </c>
      <c r="AK959" s="1">
        <v>75.0</v>
      </c>
      <c r="AL959" s="1" t="s">
        <v>15196</v>
      </c>
      <c r="AM959" s="1" t="s">
        <v>15197</v>
      </c>
      <c r="AN959" s="7" t="s">
        <v>15198</v>
      </c>
      <c r="AO959" s="8" t="str">
        <f>HYPERLINK("https://docs.google.com/document/d/1aNdAxKOXhSMRFtyFcg2LHxK1OGsyk6ckTe--BVBTKaw/edit?usp=drivesdk","Al-Wildan 1 Gading Serpong_Satria Nugraha Fikriansyah, S.Pd._Pendidikan Jasmani, Olahraga, dan Kesehatan")</f>
        <v>Al-Wildan 1 Gading Serpong_Satria Nugraha Fikriansyah, S.Pd._Pendidikan Jasmani, Olahraga, dan Kesehatan</v>
      </c>
      <c r="AP959" s="1" t="s">
        <v>15199</v>
      </c>
    </row>
    <row r="960">
      <c r="A960" s="6">
        <v>45453.47077600694</v>
      </c>
      <c r="B960" s="7" t="s">
        <v>15200</v>
      </c>
      <c r="C960" s="8" t="s">
        <v>15201</v>
      </c>
      <c r="D960" s="1" t="s">
        <v>15202</v>
      </c>
      <c r="E960" s="9" t="s">
        <v>15203</v>
      </c>
      <c r="F960" s="1" t="s">
        <v>15204</v>
      </c>
      <c r="G960" s="1" t="s">
        <v>15205</v>
      </c>
      <c r="H960" s="1" t="s">
        <v>15206</v>
      </c>
      <c r="I960" s="1" t="s">
        <v>15207</v>
      </c>
      <c r="J960" s="1" t="s">
        <v>15208</v>
      </c>
      <c r="K960" s="1" t="s">
        <v>151</v>
      </c>
      <c r="L960" s="1" t="s">
        <v>256</v>
      </c>
      <c r="M960" s="1" t="s">
        <v>104</v>
      </c>
      <c r="N960" s="1" t="s">
        <v>15209</v>
      </c>
      <c r="O960" s="1" t="s">
        <v>9794</v>
      </c>
      <c r="P960" s="1" t="s">
        <v>14335</v>
      </c>
      <c r="Q960" s="1" t="s">
        <v>192</v>
      </c>
      <c r="R960" s="1" t="s">
        <v>235</v>
      </c>
      <c r="S960" s="1" t="s">
        <v>15210</v>
      </c>
      <c r="Z960" s="1" t="s">
        <v>15211</v>
      </c>
      <c r="AA960" s="10">
        <v>1500000.0</v>
      </c>
      <c r="AG960" s="1">
        <v>1.190544943E9</v>
      </c>
      <c r="AJ960" s="1">
        <v>155.0</v>
      </c>
      <c r="AK960" s="1">
        <v>65.0</v>
      </c>
      <c r="AL960" s="1" t="s">
        <v>15212</v>
      </c>
      <c r="AM960" s="1" t="s">
        <v>15213</v>
      </c>
      <c r="AN960" s="7" t="s">
        <v>15214</v>
      </c>
      <c r="AO960" s="8" t="str">
        <f>HYPERLINK("https://docs.google.com/document/d/1-x502pesFhsny9FdHtAi9FhGsPbcUsh0Mgkq9kLqqA4/edit?usp=drivesdk","Al-Wildan 13 Tembalang, Bekasi_Robi Atul,Lc_Diniyyah Arabic (ADA) ")</f>
        <v>Al-Wildan 13 Tembalang, Bekasi_Robi Atul,Lc_Diniyyah Arabic (ADA) </v>
      </c>
      <c r="AP960" s="1" t="s">
        <v>15215</v>
      </c>
    </row>
    <row r="961">
      <c r="A961" s="6">
        <v>45453.48611434028</v>
      </c>
      <c r="B961" s="7" t="s">
        <v>15216</v>
      </c>
      <c r="C961" s="8" t="s">
        <v>15217</v>
      </c>
      <c r="D961" s="1" t="s">
        <v>15218</v>
      </c>
      <c r="E961" s="9" t="s">
        <v>15219</v>
      </c>
      <c r="F961" s="1" t="s">
        <v>15220</v>
      </c>
      <c r="G961" s="1" t="s">
        <v>15221</v>
      </c>
      <c r="H961" s="1" t="s">
        <v>15222</v>
      </c>
      <c r="I961" s="9" t="s">
        <v>15223</v>
      </c>
      <c r="J961" s="1" t="s">
        <v>15224</v>
      </c>
      <c r="K961" s="1" t="s">
        <v>151</v>
      </c>
      <c r="L961" s="1" t="s">
        <v>103</v>
      </c>
      <c r="M961" s="1" t="s">
        <v>104</v>
      </c>
      <c r="N961" s="1" t="s">
        <v>1634</v>
      </c>
      <c r="O961" s="1" t="s">
        <v>9794</v>
      </c>
      <c r="P961" s="1" t="s">
        <v>6659</v>
      </c>
      <c r="Q961" s="1" t="s">
        <v>3237</v>
      </c>
      <c r="R961" s="1" t="s">
        <v>15225</v>
      </c>
      <c r="S961" s="1" t="s">
        <v>537</v>
      </c>
      <c r="Z961" s="1" t="s">
        <v>15226</v>
      </c>
      <c r="AA961" s="10">
        <v>3000000.0</v>
      </c>
      <c r="AF961" s="10">
        <v>5000000.0</v>
      </c>
      <c r="AG961" s="1">
        <v>7.206313468E9</v>
      </c>
      <c r="AI961" s="1" t="s">
        <v>5113</v>
      </c>
      <c r="AJ961" s="1">
        <v>161.0</v>
      </c>
      <c r="AK961" s="1">
        <v>65.0</v>
      </c>
      <c r="AL961" s="1" t="s">
        <v>15227</v>
      </c>
      <c r="AM961" s="1" t="s">
        <v>15228</v>
      </c>
      <c r="AN961" s="7" t="s">
        <v>15229</v>
      </c>
      <c r="AO961" s="8" t="str">
        <f>HYPERLINK("https://docs.google.com/document/d/1MMyAnyebpBQOMAz7durFz7nw2Lr2hiHsJBiXezjMXgQ/edit?usp=drivesdk","Al-Wildan 15 Kompas Indah, Tambun Bekasi._Annisa Rahmatia, S.Sos_Diniyah")</f>
        <v>Al-Wildan 15 Kompas Indah, Tambun Bekasi._Annisa Rahmatia, S.Sos_Diniyah</v>
      </c>
      <c r="AP961" s="1" t="s">
        <v>15230</v>
      </c>
    </row>
    <row r="962">
      <c r="A962" s="6">
        <v>45453.557027303235</v>
      </c>
      <c r="B962" s="7" t="s">
        <v>15231</v>
      </c>
      <c r="C962" s="8" t="s">
        <v>15232</v>
      </c>
      <c r="D962" s="1" t="s">
        <v>10854</v>
      </c>
      <c r="E962" s="9" t="s">
        <v>10855</v>
      </c>
      <c r="F962" s="1" t="s">
        <v>10856</v>
      </c>
      <c r="G962" s="1" t="s">
        <v>15233</v>
      </c>
      <c r="H962" s="1" t="s">
        <v>15234</v>
      </c>
      <c r="I962" s="9" t="s">
        <v>15235</v>
      </c>
      <c r="J962" s="1" t="s">
        <v>10813</v>
      </c>
      <c r="K962" s="1" t="s">
        <v>102</v>
      </c>
      <c r="L962" s="1" t="s">
        <v>103</v>
      </c>
      <c r="M962" s="1" t="s">
        <v>104</v>
      </c>
      <c r="N962" s="1" t="s">
        <v>1275</v>
      </c>
      <c r="O962" s="1" t="s">
        <v>236</v>
      </c>
      <c r="P962" s="1" t="s">
        <v>6659</v>
      </c>
      <c r="Q962" s="1" t="s">
        <v>5414</v>
      </c>
      <c r="R962" s="1" t="s">
        <v>1275</v>
      </c>
      <c r="Z962" s="1" t="s">
        <v>15236</v>
      </c>
      <c r="AA962" s="1">
        <v>4500000.0</v>
      </c>
      <c r="AB962" s="1" t="s">
        <v>15237</v>
      </c>
      <c r="AC962" s="1">
        <v>5500000.0</v>
      </c>
      <c r="AD962" s="1" t="s">
        <v>15238</v>
      </c>
      <c r="AE962" s="1" t="s">
        <v>15239</v>
      </c>
      <c r="AF962" s="1" t="s">
        <v>15240</v>
      </c>
      <c r="AG962" s="1">
        <v>7.116389228E9</v>
      </c>
      <c r="AI962" s="1" t="s">
        <v>4856</v>
      </c>
      <c r="AJ962" s="1">
        <v>165.0</v>
      </c>
      <c r="AK962" s="1">
        <v>53.0</v>
      </c>
      <c r="AL962" s="1" t="s">
        <v>15241</v>
      </c>
      <c r="AM962" s="1" t="s">
        <v>15242</v>
      </c>
      <c r="AN962" s="7" t="s">
        <v>15243</v>
      </c>
      <c r="AO962" s="8" t="str">
        <f>HYPERLINK("https://docs.google.com/document/d/1Qwogk02WKnz5fFRJghMP6-JTolmrW8sAUg0z7deAC8E/edit?usp=drivesdk","Al-Wildan 15 Kompas Indah, Tambun Bekasi._Dahniar Saraswati, S.Si_Biologi")</f>
        <v>Al-Wildan 15 Kompas Indah, Tambun Bekasi._Dahniar Saraswati, S.Si_Biologi</v>
      </c>
      <c r="AP962" s="1" t="s">
        <v>15244</v>
      </c>
    </row>
    <row r="963">
      <c r="A963" s="6">
        <v>45453.55946114584</v>
      </c>
      <c r="B963" s="7" t="s">
        <v>15245</v>
      </c>
      <c r="C963" s="8" t="s">
        <v>15246</v>
      </c>
      <c r="D963" s="1" t="s">
        <v>15247</v>
      </c>
      <c r="E963" s="9" t="s">
        <v>15248</v>
      </c>
      <c r="F963" s="1" t="s">
        <v>15249</v>
      </c>
      <c r="G963" s="1" t="s">
        <v>15250</v>
      </c>
      <c r="H963" s="1" t="s">
        <v>685</v>
      </c>
      <c r="I963" s="9" t="s">
        <v>15251</v>
      </c>
      <c r="J963" s="1" t="s">
        <v>15252</v>
      </c>
      <c r="K963" s="1" t="s">
        <v>151</v>
      </c>
      <c r="L963" s="1" t="s">
        <v>256</v>
      </c>
      <c r="M963" s="1" t="s">
        <v>104</v>
      </c>
      <c r="N963" s="1" t="s">
        <v>235</v>
      </c>
      <c r="O963" s="1" t="s">
        <v>9794</v>
      </c>
      <c r="P963" s="1" t="s">
        <v>6187</v>
      </c>
      <c r="Q963" s="1" t="s">
        <v>3237</v>
      </c>
      <c r="R963" s="1" t="s">
        <v>7391</v>
      </c>
      <c r="S963" s="1" t="s">
        <v>753</v>
      </c>
      <c r="Z963" s="1" t="s">
        <v>15253</v>
      </c>
      <c r="AA963" s="10">
        <v>200000.0</v>
      </c>
      <c r="AB963" s="1" t="s">
        <v>15254</v>
      </c>
      <c r="AC963" s="10">
        <v>200000.0</v>
      </c>
      <c r="AF963" s="10">
        <v>5000000.0</v>
      </c>
      <c r="AG963" s="1">
        <v>7.131871408E9</v>
      </c>
      <c r="AJ963" s="1">
        <v>155.0</v>
      </c>
      <c r="AK963" s="1">
        <v>57.0</v>
      </c>
      <c r="AL963" s="1" t="s">
        <v>15255</v>
      </c>
      <c r="AM963" s="1" t="s">
        <v>15256</v>
      </c>
      <c r="AN963" s="7" t="s">
        <v>15257</v>
      </c>
      <c r="AO963" s="8" t="str">
        <f>HYPERLINK("https://docs.google.com/document/d/1AuIwa9s-ilj2a_y1GAQ0KExdbohzQ4tngK83jRk7Sk0/edit?usp=drivesdk","Al-Wildan 14 Bumi Mutiara, Bogor_Syaira Avilla Qurrata'aini S.Pd_Bahasa Arab")</f>
        <v>Al-Wildan 14 Bumi Mutiara, Bogor_Syaira Avilla Qurrata'aini S.Pd_Bahasa Arab</v>
      </c>
      <c r="AP963" s="1" t="s">
        <v>15258</v>
      </c>
    </row>
    <row r="964">
      <c r="A964" s="6">
        <v>45453.56391653935</v>
      </c>
      <c r="B964" s="7" t="s">
        <v>15259</v>
      </c>
      <c r="C964" s="8" t="s">
        <v>15260</v>
      </c>
      <c r="D964" s="1" t="s">
        <v>15261</v>
      </c>
      <c r="E964" s="9" t="s">
        <v>15262</v>
      </c>
      <c r="F964" s="1" t="s">
        <v>15263</v>
      </c>
      <c r="G964" s="1" t="s">
        <v>15264</v>
      </c>
      <c r="H964" s="1" t="s">
        <v>15264</v>
      </c>
      <c r="I964" s="9" t="s">
        <v>15265</v>
      </c>
      <c r="J964" s="1" t="s">
        <v>9274</v>
      </c>
      <c r="K964" s="1" t="s">
        <v>151</v>
      </c>
      <c r="L964" s="1" t="s">
        <v>103</v>
      </c>
      <c r="M964" s="1" t="s">
        <v>104</v>
      </c>
      <c r="N964" s="1" t="s">
        <v>1275</v>
      </c>
      <c r="O964" s="1" t="s">
        <v>236</v>
      </c>
      <c r="P964" s="1" t="s">
        <v>6187</v>
      </c>
      <c r="Q964" s="1" t="s">
        <v>1344</v>
      </c>
      <c r="R964" s="1" t="s">
        <v>989</v>
      </c>
      <c r="S964" s="1" t="s">
        <v>3719</v>
      </c>
      <c r="T964" s="1" t="s">
        <v>10945</v>
      </c>
      <c r="U964" s="1" t="s">
        <v>1275</v>
      </c>
      <c r="V964" s="1" t="s">
        <v>155</v>
      </c>
      <c r="Z964" s="1" t="s">
        <v>14458</v>
      </c>
      <c r="AA964" s="10">
        <v>2000000.0</v>
      </c>
      <c r="AB964" s="1" t="s">
        <v>15266</v>
      </c>
      <c r="AC964" s="10">
        <v>3000000.0</v>
      </c>
      <c r="AF964" s="10">
        <v>7000000.0</v>
      </c>
      <c r="AG964" s="1">
        <v>9.11013084E9</v>
      </c>
      <c r="AJ964" s="1">
        <v>161.0</v>
      </c>
      <c r="AK964" s="1">
        <v>64.0</v>
      </c>
      <c r="AL964" s="1" t="s">
        <v>15267</v>
      </c>
      <c r="AM964" s="1" t="s">
        <v>15268</v>
      </c>
      <c r="AN964" s="7" t="s">
        <v>15269</v>
      </c>
      <c r="AO964" s="8" t="str">
        <f>HYPERLINK("https://docs.google.com/document/d/1-h4xH5v7vBmxsV9bvUTXw4V6Sg0qZOmjw_I6LdvBjq4/edit?usp=drivesdk","Al-Wildan 14 Bumi Mutiara, Bogor_Illona Megatywie, S.Pd., M.Sc_Biologi")</f>
        <v>Al-Wildan 14 Bumi Mutiara, Bogor_Illona Megatywie, S.Pd., M.Sc_Biologi</v>
      </c>
      <c r="AP964" s="1" t="s">
        <v>15270</v>
      </c>
    </row>
    <row r="965">
      <c r="A965" s="6">
        <v>45453.64430372685</v>
      </c>
      <c r="B965" s="7" t="s">
        <v>15271</v>
      </c>
      <c r="C965" s="8" t="s">
        <v>15272</v>
      </c>
      <c r="D965" s="1" t="s">
        <v>15273</v>
      </c>
      <c r="E965" s="9" t="s">
        <v>15274</v>
      </c>
      <c r="F965" s="1" t="s">
        <v>15275</v>
      </c>
      <c r="G965" s="1" t="s">
        <v>15276</v>
      </c>
      <c r="H965" s="1" t="s">
        <v>9779</v>
      </c>
      <c r="I965" s="9" t="s">
        <v>15277</v>
      </c>
      <c r="J965" s="1" t="s">
        <v>15278</v>
      </c>
      <c r="K965" s="1" t="s">
        <v>151</v>
      </c>
      <c r="L965" s="1" t="s">
        <v>329</v>
      </c>
      <c r="M965" s="1" t="s">
        <v>104</v>
      </c>
      <c r="N965" s="1" t="s">
        <v>15279</v>
      </c>
      <c r="O965" s="1" t="s">
        <v>9794</v>
      </c>
      <c r="P965" s="1" t="s">
        <v>6659</v>
      </c>
      <c r="Q965" s="1" t="s">
        <v>15280</v>
      </c>
      <c r="R965" s="1" t="s">
        <v>15281</v>
      </c>
      <c r="S965" s="1" t="s">
        <v>14769</v>
      </c>
      <c r="T965" s="1" t="s">
        <v>217</v>
      </c>
      <c r="U965" s="1" t="s">
        <v>217</v>
      </c>
      <c r="V965" s="1" t="s">
        <v>217</v>
      </c>
      <c r="W965" s="1" t="s">
        <v>217</v>
      </c>
      <c r="X965" s="1" t="s">
        <v>217</v>
      </c>
      <c r="Y965" s="1">
        <v>0.0</v>
      </c>
      <c r="Z965" s="1" t="s">
        <v>15282</v>
      </c>
      <c r="AA965" s="10">
        <v>3000000.0</v>
      </c>
      <c r="AB965" s="1" t="s">
        <v>217</v>
      </c>
      <c r="AC965" s="1" t="s">
        <v>217</v>
      </c>
      <c r="AD965" s="1" t="s">
        <v>217</v>
      </c>
      <c r="AE965" s="1" t="s">
        <v>217</v>
      </c>
      <c r="AF965" s="1" t="s">
        <v>15283</v>
      </c>
      <c r="AG965" s="1">
        <v>7.212142818E9</v>
      </c>
      <c r="AH965" s="1">
        <v>0.0</v>
      </c>
      <c r="AI965" s="1" t="s">
        <v>217</v>
      </c>
      <c r="AJ965" s="1">
        <v>162.0</v>
      </c>
      <c r="AK965" s="1">
        <v>90.0</v>
      </c>
      <c r="AL965" s="1" t="s">
        <v>15284</v>
      </c>
      <c r="AM965" s="1" t="s">
        <v>15285</v>
      </c>
      <c r="AN965" s="7" t="s">
        <v>15286</v>
      </c>
      <c r="AO965" s="8" t="str">
        <f>HYPERLINK("https://docs.google.com/document/d/1eyjpkLEab96BgXgrw-FvK3U5gJ-7Ew_JXomDUn89Gks/edit?usp=drivesdk","Al-Wildan 15 Kompas Indah, Tambun Bekasi._Winona Alifia Safran, B.A_Arabiyah dan Diniyah")</f>
        <v>Al-Wildan 15 Kompas Indah, Tambun Bekasi._Winona Alifia Safran, B.A_Arabiyah dan Diniyah</v>
      </c>
      <c r="AP965" s="1" t="s">
        <v>15287</v>
      </c>
    </row>
    <row r="966">
      <c r="A966" s="6">
        <v>45453.7175337963</v>
      </c>
      <c r="B966" s="7" t="s">
        <v>15288</v>
      </c>
      <c r="C966" s="8" t="s">
        <v>15289</v>
      </c>
      <c r="D966" s="1" t="s">
        <v>15290</v>
      </c>
      <c r="E966" s="9" t="s">
        <v>15291</v>
      </c>
      <c r="F966" s="1" t="s">
        <v>15292</v>
      </c>
      <c r="G966" s="1" t="s">
        <v>15293</v>
      </c>
      <c r="H966" s="1" t="s">
        <v>4493</v>
      </c>
      <c r="I966" s="9" t="s">
        <v>15294</v>
      </c>
      <c r="J966" s="1" t="s">
        <v>15295</v>
      </c>
      <c r="K966" s="1" t="s">
        <v>102</v>
      </c>
      <c r="L966" s="1" t="s">
        <v>310</v>
      </c>
      <c r="M966" s="1" t="s">
        <v>104</v>
      </c>
      <c r="N966" s="1" t="s">
        <v>15296</v>
      </c>
      <c r="O966" s="1" t="s">
        <v>127</v>
      </c>
      <c r="P966" s="1" t="s">
        <v>5712</v>
      </c>
      <c r="Q966" s="1" t="s">
        <v>15297</v>
      </c>
      <c r="R966" s="1" t="s">
        <v>2355</v>
      </c>
      <c r="S966" s="1" t="s">
        <v>1997</v>
      </c>
      <c r="Z966" s="1" t="s">
        <v>15298</v>
      </c>
      <c r="AA966" s="10">
        <v>6000000.0</v>
      </c>
      <c r="AB966" s="1" t="s">
        <v>15299</v>
      </c>
      <c r="AC966" s="10">
        <v>5500000.0</v>
      </c>
      <c r="AD966" s="1" t="s">
        <v>15300</v>
      </c>
      <c r="AE966" s="10">
        <v>5000000.0</v>
      </c>
      <c r="AF966" s="10">
        <v>5500000.0</v>
      </c>
      <c r="AG966" s="1">
        <v>7.26141415E9</v>
      </c>
      <c r="AJ966" s="1">
        <v>165.0</v>
      </c>
      <c r="AK966" s="1">
        <v>86.0</v>
      </c>
      <c r="AL966" s="1" t="s">
        <v>15301</v>
      </c>
      <c r="AM966" s="1" t="s">
        <v>15302</v>
      </c>
      <c r="AN966" s="7" t="s">
        <v>15303</v>
      </c>
      <c r="AO966" s="8" t="str">
        <f>HYPERLINK("https://docs.google.com/document/d/1RGrKFesJj2Adnc1MPq7JOg7lzGQO_Y2EjvFOUt2YsiU/edit?usp=drivesdk","Al-Wildan 3 BSD City_Salman Al Hafidz, S.Pd._Al Quran, B.Arab, Mapel Diniyah")</f>
        <v>Al-Wildan 3 BSD City_Salman Al Hafidz, S.Pd._Al Quran, B.Arab, Mapel Diniyah</v>
      </c>
      <c r="AP966" s="1" t="s">
        <v>15304</v>
      </c>
    </row>
    <row r="967">
      <c r="A967" s="6">
        <v>45453.94156381945</v>
      </c>
      <c r="B967" s="7" t="s">
        <v>15305</v>
      </c>
      <c r="C967" s="8" t="s">
        <v>15306</v>
      </c>
      <c r="D967" s="1" t="s">
        <v>15307</v>
      </c>
      <c r="E967" s="9" t="s">
        <v>15308</v>
      </c>
      <c r="F967" s="1" t="s">
        <v>15309</v>
      </c>
      <c r="G967" s="1" t="s">
        <v>15310</v>
      </c>
      <c r="H967" s="1" t="s">
        <v>722</v>
      </c>
      <c r="I967" s="9" t="s">
        <v>15311</v>
      </c>
      <c r="J967" s="1" t="s">
        <v>13556</v>
      </c>
      <c r="K967" s="1" t="s">
        <v>151</v>
      </c>
      <c r="L967" s="1" t="s">
        <v>103</v>
      </c>
      <c r="M967" s="1" t="s">
        <v>13917</v>
      </c>
      <c r="N967" s="1" t="s">
        <v>15312</v>
      </c>
      <c r="O967" s="1" t="s">
        <v>9794</v>
      </c>
      <c r="P967" s="1" t="s">
        <v>6659</v>
      </c>
      <c r="Q967" s="1" t="s">
        <v>7410</v>
      </c>
      <c r="R967" s="1" t="s">
        <v>15313</v>
      </c>
      <c r="S967" s="1" t="s">
        <v>753</v>
      </c>
      <c r="Z967" s="1" t="s">
        <v>15314</v>
      </c>
      <c r="AA967" s="10">
        <v>3674120.0</v>
      </c>
      <c r="AF967" s="10">
        <v>5000000.0</v>
      </c>
      <c r="AH967" s="1">
        <v>1.438235348E9</v>
      </c>
      <c r="AI967" s="1" t="s">
        <v>15315</v>
      </c>
      <c r="AJ967" s="1">
        <v>156.0</v>
      </c>
      <c r="AK967" s="1">
        <v>53.0</v>
      </c>
      <c r="AL967" s="1" t="s">
        <v>15316</v>
      </c>
      <c r="AM967" s="1" t="s">
        <v>15317</v>
      </c>
      <c r="AN967" s="7" t="s">
        <v>15318</v>
      </c>
      <c r="AO967" s="8" t="str">
        <f>HYPERLINK("https://docs.google.com/document/d/15uhn2dZuQdKkdnlTet0Y9tYjI9fpRpJtryn1LzdJcKs/edit?usp=drivesdk","Al-Wildan 15 Kompas Indah, Tambun Bekasi._Lusiana Rosyadi, S.Pd._Pendidikan Jasmani Olahraga dan Kesehatan")</f>
        <v>Al-Wildan 15 Kompas Indah, Tambun Bekasi._Lusiana Rosyadi, S.Pd._Pendidikan Jasmani Olahraga dan Kesehatan</v>
      </c>
      <c r="AP967" s="1" t="s">
        <v>15319</v>
      </c>
    </row>
    <row r="968">
      <c r="A968" s="6">
        <v>45454.30432011574</v>
      </c>
      <c r="B968" s="7" t="s">
        <v>15320</v>
      </c>
      <c r="C968" s="8" t="s">
        <v>15321</v>
      </c>
      <c r="D968" s="1" t="s">
        <v>15322</v>
      </c>
      <c r="E968" s="9" t="s">
        <v>15323</v>
      </c>
      <c r="F968" s="1" t="s">
        <v>15324</v>
      </c>
      <c r="G968" s="1" t="s">
        <v>327</v>
      </c>
      <c r="H968" s="1" t="s">
        <v>327</v>
      </c>
      <c r="I968" s="9" t="s">
        <v>15325</v>
      </c>
      <c r="J968" s="1" t="s">
        <v>15326</v>
      </c>
      <c r="K968" s="1" t="s">
        <v>151</v>
      </c>
      <c r="L968" s="1" t="s">
        <v>496</v>
      </c>
      <c r="M968" s="1" t="s">
        <v>8769</v>
      </c>
      <c r="N968" s="1" t="s">
        <v>217</v>
      </c>
      <c r="O968" s="1" t="s">
        <v>127</v>
      </c>
      <c r="P968" s="1" t="s">
        <v>14395</v>
      </c>
      <c r="Q968" s="1" t="s">
        <v>7082</v>
      </c>
      <c r="R968" s="1" t="s">
        <v>15327</v>
      </c>
      <c r="S968" s="9" t="s">
        <v>2804</v>
      </c>
      <c r="T968" s="1" t="s">
        <v>217</v>
      </c>
      <c r="U968" s="1" t="s">
        <v>217</v>
      </c>
      <c r="V968" s="1" t="s">
        <v>217</v>
      </c>
      <c r="W968" s="1" t="s">
        <v>217</v>
      </c>
      <c r="X968" s="1" t="s">
        <v>1450</v>
      </c>
      <c r="Y968" s="1">
        <v>0.0</v>
      </c>
      <c r="Z968" s="1" t="s">
        <v>15328</v>
      </c>
      <c r="AA968" s="10">
        <v>1780000.0</v>
      </c>
      <c r="AB968" s="1" t="s">
        <v>217</v>
      </c>
      <c r="AC968" s="1" t="s">
        <v>217</v>
      </c>
      <c r="AD968" s="1" t="s">
        <v>217</v>
      </c>
      <c r="AE968" s="1" t="s">
        <v>217</v>
      </c>
      <c r="AF968" s="1" t="s">
        <v>15329</v>
      </c>
      <c r="AG968" s="1">
        <v>7.218898437E9</v>
      </c>
      <c r="AI968" s="1" t="s">
        <v>5113</v>
      </c>
      <c r="AJ968" s="1">
        <v>156.0</v>
      </c>
      <c r="AK968" s="1">
        <v>45.0</v>
      </c>
      <c r="AL968" s="1" t="s">
        <v>15330</v>
      </c>
      <c r="AM968" s="1" t="s">
        <v>15331</v>
      </c>
      <c r="AN968" s="7" t="s">
        <v>15332</v>
      </c>
      <c r="AO968" s="8" t="str">
        <f>HYPERLINK("https://docs.google.com/document/d/1Zs-HUsh7whnXZV3RqNytz_sgS4kbMs2mpevyJprTg3I/edit?usp=drivesdk","Al-Wildam 20 Mataram_Zulaiha S.Ag_-")</f>
        <v>Al-Wildam 20 Mataram_Zulaiha S.Ag_-</v>
      </c>
      <c r="AP968" s="1" t="s">
        <v>15333</v>
      </c>
    </row>
    <row r="969">
      <c r="A969" s="6">
        <v>45454.31297755787</v>
      </c>
      <c r="B969" s="7" t="s">
        <v>15334</v>
      </c>
      <c r="C969" s="8" t="s">
        <v>15335</v>
      </c>
      <c r="D969" s="1" t="s">
        <v>15336</v>
      </c>
      <c r="E969" s="9" t="s">
        <v>15337</v>
      </c>
      <c r="F969" s="1" t="s">
        <v>15338</v>
      </c>
      <c r="G969" s="1" t="s">
        <v>15339</v>
      </c>
      <c r="H969" s="1" t="s">
        <v>169</v>
      </c>
      <c r="I969" s="9" t="s">
        <v>15340</v>
      </c>
      <c r="J969" s="1" t="s">
        <v>13528</v>
      </c>
      <c r="K969" s="1" t="s">
        <v>151</v>
      </c>
      <c r="L969" s="1" t="s">
        <v>103</v>
      </c>
      <c r="M969" s="1" t="s">
        <v>104</v>
      </c>
      <c r="N969" s="1" t="s">
        <v>152</v>
      </c>
      <c r="O969" s="1" t="s">
        <v>9794</v>
      </c>
      <c r="P969" s="1" t="s">
        <v>6659</v>
      </c>
      <c r="Q969" s="1" t="s">
        <v>7463</v>
      </c>
      <c r="R969" s="1" t="s">
        <v>172</v>
      </c>
      <c r="S969" s="1" t="s">
        <v>8998</v>
      </c>
      <c r="T969" s="1" t="s">
        <v>217</v>
      </c>
      <c r="U969" s="1" t="s">
        <v>217</v>
      </c>
      <c r="V969" s="1" t="s">
        <v>217</v>
      </c>
      <c r="W969" s="1" t="s">
        <v>217</v>
      </c>
      <c r="X969" s="1" t="s">
        <v>217</v>
      </c>
      <c r="Z969" s="1" t="s">
        <v>15341</v>
      </c>
      <c r="AA969" s="10">
        <v>4000000.0</v>
      </c>
      <c r="AB969" s="1" t="s">
        <v>15342</v>
      </c>
      <c r="AC969" s="10">
        <v>3500000.0</v>
      </c>
      <c r="AD969" s="1" t="s">
        <v>15343</v>
      </c>
      <c r="AE969" s="10">
        <v>2000000.0</v>
      </c>
      <c r="AF969" s="1" t="s">
        <v>891</v>
      </c>
      <c r="AG969" s="1">
        <v>8.42963746E9</v>
      </c>
      <c r="AJ969" s="1">
        <v>140.0</v>
      </c>
      <c r="AK969" s="1">
        <v>40.0</v>
      </c>
      <c r="AL969" s="1" t="s">
        <v>15344</v>
      </c>
      <c r="AM969" s="1" t="s">
        <v>15345</v>
      </c>
      <c r="AN969" s="7" t="s">
        <v>15346</v>
      </c>
      <c r="AO969" s="8" t="str">
        <f>HYPERLINK("https://docs.google.com/document/d/18avO51D3iJ6NuWyBRtE_h7nQg8_jva0dMRiV1hNZtmg/edit?usp=drivesdk","Al-Wildan 15 Kompas Indah, Tambun Bekasi._Shendy Oktaviani, S. Pd._Bahasa Inggris")</f>
        <v>Al-Wildan 15 Kompas Indah, Tambun Bekasi._Shendy Oktaviani, S. Pd._Bahasa Inggris</v>
      </c>
      <c r="AP969" s="1" t="s">
        <v>15347</v>
      </c>
    </row>
    <row r="970">
      <c r="A970" s="6">
        <v>45454.6201615162</v>
      </c>
      <c r="B970" s="7" t="s">
        <v>15348</v>
      </c>
      <c r="C970" s="8" t="s">
        <v>15349</v>
      </c>
      <c r="D970" s="1" t="s">
        <v>8442</v>
      </c>
      <c r="E970" s="9" t="s">
        <v>8443</v>
      </c>
      <c r="F970" s="1" t="s">
        <v>8444</v>
      </c>
      <c r="G970" s="1" t="s">
        <v>15350</v>
      </c>
      <c r="H970" s="1" t="s">
        <v>1018</v>
      </c>
      <c r="I970" s="9" t="s">
        <v>15351</v>
      </c>
      <c r="J970" s="1" t="s">
        <v>8629</v>
      </c>
      <c r="K970" s="1" t="s">
        <v>102</v>
      </c>
      <c r="L970" s="1" t="s">
        <v>103</v>
      </c>
      <c r="M970" s="1" t="s">
        <v>15352</v>
      </c>
      <c r="O970" s="1" t="s">
        <v>14262</v>
      </c>
      <c r="P970" s="1" t="s">
        <v>5712</v>
      </c>
      <c r="Q970" s="1" t="s">
        <v>15353</v>
      </c>
      <c r="R970" s="1" t="s">
        <v>259</v>
      </c>
      <c r="S970" s="1" t="s">
        <v>363</v>
      </c>
      <c r="T970" s="1" t="s">
        <v>15354</v>
      </c>
      <c r="U970" s="1" t="s">
        <v>15355</v>
      </c>
      <c r="V970" s="1" t="s">
        <v>740</v>
      </c>
      <c r="W970" s="1" t="s">
        <v>12837</v>
      </c>
      <c r="X970" s="1" t="s">
        <v>15356</v>
      </c>
      <c r="Y970" s="1" t="s">
        <v>8452</v>
      </c>
      <c r="Z970" s="1" t="s">
        <v>15357</v>
      </c>
      <c r="AA970" s="10">
        <v>1.5E7</v>
      </c>
      <c r="AG970" s="1">
        <v>4.50673563E9</v>
      </c>
      <c r="AJ970" s="1">
        <v>167.0</v>
      </c>
      <c r="AK970" s="1">
        <v>85.0</v>
      </c>
      <c r="AL970" s="1" t="s">
        <v>8456</v>
      </c>
      <c r="AM970" s="1" t="s">
        <v>15358</v>
      </c>
      <c r="AN970" s="7" t="s">
        <v>15359</v>
      </c>
      <c r="AO970" s="8" t="str">
        <f>HYPERLINK("https://docs.google.com/document/d/1E8bWMc4OvuqhHpoOKYepO4Z1vB_br4L_Cu1gntm7www/edit?usp=drivesdk","Al-Wildan 3 BSD City_Dr. Ibnu Awwaliansyah, M. Ag_")</f>
        <v>Al-Wildan 3 BSD City_Dr. Ibnu Awwaliansyah, M. Ag_</v>
      </c>
      <c r="AP970" s="1" t="s">
        <v>15360</v>
      </c>
    </row>
    <row r="971">
      <c r="A971" s="6">
        <v>45454.79673119213</v>
      </c>
      <c r="B971" s="7" t="s">
        <v>15361</v>
      </c>
      <c r="C971" s="8" t="s">
        <v>15362</v>
      </c>
      <c r="D971" s="1" t="s">
        <v>15363</v>
      </c>
      <c r="E971" s="9" t="s">
        <v>15364</v>
      </c>
      <c r="F971" s="1" t="s">
        <v>15365</v>
      </c>
      <c r="G971" s="1" t="s">
        <v>15366</v>
      </c>
      <c r="H971" s="1" t="s">
        <v>99</v>
      </c>
      <c r="I971" s="9" t="s">
        <v>7737</v>
      </c>
      <c r="J971" s="1" t="s">
        <v>9274</v>
      </c>
      <c r="K971" s="1" t="s">
        <v>151</v>
      </c>
      <c r="L971" s="1" t="s">
        <v>496</v>
      </c>
      <c r="M971" s="1" t="s">
        <v>8769</v>
      </c>
      <c r="O971" s="1" t="s">
        <v>127</v>
      </c>
      <c r="P971" s="1" t="s">
        <v>6659</v>
      </c>
      <c r="Q971" s="1" t="s">
        <v>15367</v>
      </c>
      <c r="R971" s="1" t="s">
        <v>15368</v>
      </c>
      <c r="S971" s="1" t="s">
        <v>7252</v>
      </c>
      <c r="Z971" s="1" t="s">
        <v>15369</v>
      </c>
      <c r="AA971" s="10">
        <v>4250000.0</v>
      </c>
      <c r="AB971" s="1" t="s">
        <v>15370</v>
      </c>
      <c r="AC971" s="10">
        <v>2000000.0</v>
      </c>
      <c r="AD971" s="1" t="s">
        <v>15371</v>
      </c>
      <c r="AE971" s="10">
        <v>1500000.0</v>
      </c>
      <c r="AF971" s="1" t="s">
        <v>15372</v>
      </c>
      <c r="AG971" s="1">
        <v>3.88935895E9</v>
      </c>
      <c r="AJ971" s="1">
        <v>154.0</v>
      </c>
      <c r="AK971" s="1">
        <v>55.0</v>
      </c>
      <c r="AL971" s="1" t="s">
        <v>15373</v>
      </c>
      <c r="AM971" s="1" t="s">
        <v>15374</v>
      </c>
      <c r="AN971" s="7" t="s">
        <v>15375</v>
      </c>
      <c r="AO971" s="8" t="str">
        <f>HYPERLINK("https://docs.google.com/document/d/1Nn2TOwn7j8FIBUpaf7KR1_0vow7fZo1tfMJPNpd7fxA/edit?usp=drivesdk","Al-Wildan 15 Kompas Indah, Tambun Bekasi._Qonita Nurshabrina, S.Ag_")</f>
        <v>Al-Wildan 15 Kompas Indah, Tambun Bekasi._Qonita Nurshabrina, S.Ag_</v>
      </c>
      <c r="AP971" s="1" t="s">
        <v>15376</v>
      </c>
    </row>
    <row r="972">
      <c r="A972" s="6">
        <v>45454.82173268519</v>
      </c>
      <c r="B972" s="7" t="s">
        <v>15377</v>
      </c>
      <c r="C972" s="8" t="s">
        <v>15378</v>
      </c>
      <c r="D972" s="1" t="s">
        <v>15379</v>
      </c>
      <c r="E972" s="9" t="s">
        <v>15380</v>
      </c>
      <c r="F972" s="1" t="s">
        <v>15381</v>
      </c>
      <c r="G972" s="1" t="s">
        <v>15382</v>
      </c>
      <c r="H972" s="1" t="s">
        <v>15383</v>
      </c>
      <c r="I972" s="9" t="s">
        <v>15384</v>
      </c>
      <c r="J972" s="1" t="s">
        <v>15385</v>
      </c>
      <c r="K972" s="1" t="s">
        <v>102</v>
      </c>
      <c r="L972" s="1" t="s">
        <v>256</v>
      </c>
      <c r="M972" s="1" t="s">
        <v>6186</v>
      </c>
      <c r="O972" s="1" t="s">
        <v>14334</v>
      </c>
      <c r="P972" s="1" t="s">
        <v>14335</v>
      </c>
      <c r="Q972" s="1" t="s">
        <v>15386</v>
      </c>
      <c r="R972" s="1" t="s">
        <v>3005</v>
      </c>
      <c r="S972" s="1">
        <v>3.17</v>
      </c>
      <c r="Z972" s="1" t="s">
        <v>15387</v>
      </c>
      <c r="AA972" s="10">
        <v>5000000.0</v>
      </c>
      <c r="AB972" s="1" t="s">
        <v>15388</v>
      </c>
      <c r="AC972" s="10">
        <v>2700000.0</v>
      </c>
      <c r="AD972" s="1" t="s">
        <v>15386</v>
      </c>
      <c r="AE972" s="10">
        <v>2500000.0</v>
      </c>
      <c r="AF972" s="1" t="s">
        <v>15389</v>
      </c>
      <c r="AH972" s="9" t="s">
        <v>15390</v>
      </c>
      <c r="AI972" s="1" t="s">
        <v>15391</v>
      </c>
      <c r="AJ972" s="1">
        <v>154.0</v>
      </c>
      <c r="AK972" s="1">
        <v>63.0</v>
      </c>
      <c r="AL972" s="1" t="s">
        <v>15392</v>
      </c>
      <c r="AM972" s="1" t="s">
        <v>15393</v>
      </c>
      <c r="AN972" s="7" t="s">
        <v>15394</v>
      </c>
      <c r="AO972" s="8" t="str">
        <f>HYPERLINK("https://docs.google.com/document/d/1yrNdasFggbKCndqQyUFn_80cwMXfkY7dtj-w61lIoJg/edit?usp=drivesdk","Al-Wildan 13 Tembalang, Bekasi_Rosa Pramedyawati, S.Kom._")</f>
        <v>Al-Wildan 13 Tembalang, Bekasi_Rosa Pramedyawati, S.Kom._</v>
      </c>
      <c r="AP972" s="1" t="s">
        <v>15395</v>
      </c>
    </row>
    <row r="973">
      <c r="A973" s="6">
        <v>45455.486219687504</v>
      </c>
      <c r="B973" s="7" t="s">
        <v>15396</v>
      </c>
      <c r="C973" s="8" t="s">
        <v>15397</v>
      </c>
      <c r="D973" s="1" t="s">
        <v>15398</v>
      </c>
      <c r="E973" s="9" t="s">
        <v>15399</v>
      </c>
      <c r="F973" s="1" t="s">
        <v>15400</v>
      </c>
      <c r="G973" s="1" t="s">
        <v>15401</v>
      </c>
      <c r="H973" s="1" t="s">
        <v>169</v>
      </c>
      <c r="I973" s="9" t="s">
        <v>15402</v>
      </c>
      <c r="J973" s="1" t="s">
        <v>1994</v>
      </c>
      <c r="K973" s="1" t="s">
        <v>102</v>
      </c>
      <c r="L973" s="1" t="s">
        <v>329</v>
      </c>
      <c r="M973" s="1" t="s">
        <v>104</v>
      </c>
      <c r="N973" s="1" t="s">
        <v>4312</v>
      </c>
      <c r="O973" s="1" t="s">
        <v>312</v>
      </c>
      <c r="P973" s="1" t="s">
        <v>6187</v>
      </c>
      <c r="T973" s="1" t="s">
        <v>15403</v>
      </c>
      <c r="U973" s="1" t="s">
        <v>15404</v>
      </c>
      <c r="V973" s="1" t="s">
        <v>1730</v>
      </c>
      <c r="Z973" s="1" t="s">
        <v>15405</v>
      </c>
      <c r="AA973" s="10">
        <v>1.0E7</v>
      </c>
      <c r="AB973" s="1" t="s">
        <v>15406</v>
      </c>
      <c r="AC973" s="10">
        <v>9000000.0</v>
      </c>
      <c r="AF973" s="10">
        <v>7000000.0</v>
      </c>
      <c r="AH973" s="1">
        <v>1.211649142E9</v>
      </c>
      <c r="AI973" s="1" t="s">
        <v>159</v>
      </c>
      <c r="AJ973" s="1">
        <v>153.0</v>
      </c>
      <c r="AK973" s="1">
        <v>50.0</v>
      </c>
      <c r="AL973" s="1" t="s">
        <v>15407</v>
      </c>
      <c r="AM973" s="1" t="s">
        <v>15408</v>
      </c>
      <c r="AN973" s="7" t="s">
        <v>15409</v>
      </c>
      <c r="AO973" s="8" t="str">
        <f>HYPERLINK("https://docs.google.com/document/d/1bN9CSNbqXIJP01tD2hgUsE57TKUyAaQ2AnMk6hs2ok8/edit?usp=drivesdk","Al-Wildan 14 Bumi Mutiara, Bogor_Haka Fajriana Febda Kurnia, B.Sc, M.Sc_Science")</f>
        <v>Al-Wildan 14 Bumi Mutiara, Bogor_Haka Fajriana Febda Kurnia, B.Sc, M.Sc_Science</v>
      </c>
      <c r="AP973" s="1" t="s">
        <v>15410</v>
      </c>
    </row>
    <row r="974">
      <c r="A974" s="6">
        <v>45455.50783163194</v>
      </c>
      <c r="B974" s="7" t="s">
        <v>15411</v>
      </c>
      <c r="C974" s="8" t="s">
        <v>15412</v>
      </c>
      <c r="D974" s="1" t="s">
        <v>15413</v>
      </c>
      <c r="E974" s="9" t="s">
        <v>15414</v>
      </c>
      <c r="F974" s="1" t="s">
        <v>15415</v>
      </c>
      <c r="G974" s="1" t="s">
        <v>15416</v>
      </c>
      <c r="H974" s="1" t="s">
        <v>15417</v>
      </c>
      <c r="I974" s="9" t="s">
        <v>15418</v>
      </c>
      <c r="J974" s="1" t="s">
        <v>15419</v>
      </c>
      <c r="K974" s="1" t="s">
        <v>151</v>
      </c>
      <c r="L974" s="1" t="s">
        <v>496</v>
      </c>
      <c r="M974" s="1" t="s">
        <v>8769</v>
      </c>
      <c r="N974" s="1" t="s">
        <v>217</v>
      </c>
      <c r="O974" s="1" t="s">
        <v>106</v>
      </c>
      <c r="P974" s="1" t="s">
        <v>6659</v>
      </c>
      <c r="Q974" s="1" t="s">
        <v>15420</v>
      </c>
      <c r="R974" s="1" t="s">
        <v>15421</v>
      </c>
      <c r="Z974" s="1" t="s">
        <v>15422</v>
      </c>
      <c r="AA974" s="10">
        <v>2800000.0</v>
      </c>
      <c r="AB974" s="1" t="s">
        <v>15423</v>
      </c>
      <c r="AC974" s="10">
        <v>2315000.0</v>
      </c>
      <c r="AD974" s="1" t="s">
        <v>1575</v>
      </c>
      <c r="AE974" s="10">
        <v>3400000.0</v>
      </c>
      <c r="AF974" s="10">
        <v>4500000.0</v>
      </c>
      <c r="AG974" s="1">
        <v>7.152494372E9</v>
      </c>
      <c r="AI974" s="1" t="s">
        <v>4856</v>
      </c>
      <c r="AJ974" s="1">
        <v>159.0</v>
      </c>
      <c r="AK974" s="1">
        <v>53.0</v>
      </c>
      <c r="AL974" s="1" t="s">
        <v>15424</v>
      </c>
      <c r="AM974" s="1" t="s">
        <v>15425</v>
      </c>
      <c r="AN974" s="7" t="s">
        <v>15426</v>
      </c>
      <c r="AO974" s="8" t="str">
        <f>HYPERLINK("https://docs.google.com/document/d/1HfqVU_l3852W0Kss3CxNhcy2Yc6sYH9Tm0224jhfQ90/edit?usp=drivesdk","Al-Wildan 15 Kompas Indah, Tambun Bekasi._Normayunita, S.Sos_-")</f>
        <v>Al-Wildan 15 Kompas Indah, Tambun Bekasi._Normayunita, S.Sos_-</v>
      </c>
      <c r="AP974" s="1" t="s">
        <v>15427</v>
      </c>
    </row>
    <row r="975">
      <c r="A975" s="6">
        <v>45455.514613946754</v>
      </c>
      <c r="B975" s="7" t="s">
        <v>15428</v>
      </c>
      <c r="C975" s="8" t="s">
        <v>15429</v>
      </c>
      <c r="D975" s="1" t="s">
        <v>15430</v>
      </c>
      <c r="E975" s="9" t="s">
        <v>15431</v>
      </c>
      <c r="F975" s="1" t="s">
        <v>15432</v>
      </c>
      <c r="G975" s="1" t="s">
        <v>15433</v>
      </c>
      <c r="H975" s="1" t="s">
        <v>11017</v>
      </c>
      <c r="I975" s="9" t="s">
        <v>15434</v>
      </c>
      <c r="J975" s="1" t="s">
        <v>15435</v>
      </c>
      <c r="K975" s="1" t="s">
        <v>102</v>
      </c>
      <c r="L975" s="1" t="s">
        <v>310</v>
      </c>
      <c r="M975" s="1" t="s">
        <v>104</v>
      </c>
      <c r="O975" s="1" t="s">
        <v>127</v>
      </c>
      <c r="P975" s="1" t="s">
        <v>14395</v>
      </c>
      <c r="Q975" s="1" t="s">
        <v>1022</v>
      </c>
      <c r="R975" s="1" t="s">
        <v>193</v>
      </c>
      <c r="S975" s="1">
        <v>3.1</v>
      </c>
      <c r="Z975" s="1" t="s">
        <v>2232</v>
      </c>
      <c r="AF975" s="10">
        <v>6000000.0</v>
      </c>
      <c r="AJ975" s="1">
        <v>173.0</v>
      </c>
      <c r="AK975" s="1">
        <v>85.0</v>
      </c>
      <c r="AL975" s="1" t="s">
        <v>15436</v>
      </c>
      <c r="AM975" s="1" t="s">
        <v>15437</v>
      </c>
      <c r="AN975" s="7" t="s">
        <v>15438</v>
      </c>
      <c r="AO975" s="8" t="str">
        <f>HYPERLINK("https://docs.google.com/document/d/1tohkmtAbArteXOqUopCrn7Dz8NSuxjJHZjrqxr_CRi4/edit?usp=drivesdk","Al-Wildam 20 Mataram_Hasbi Assyiddiqi, Lc., M.H._")</f>
        <v>Al-Wildam 20 Mataram_Hasbi Assyiddiqi, Lc., M.H._</v>
      </c>
      <c r="AP975" s="1" t="s">
        <v>15439</v>
      </c>
    </row>
    <row r="976">
      <c r="A976" s="6">
        <v>45455.52305524306</v>
      </c>
      <c r="B976" s="7" t="s">
        <v>15440</v>
      </c>
      <c r="C976" s="8" t="s">
        <v>15441</v>
      </c>
      <c r="D976" s="1" t="s">
        <v>15442</v>
      </c>
      <c r="E976" s="9" t="s">
        <v>15443</v>
      </c>
      <c r="F976" s="1" t="s">
        <v>15444</v>
      </c>
      <c r="G976" s="1" t="s">
        <v>15445</v>
      </c>
      <c r="H976" s="1" t="s">
        <v>12672</v>
      </c>
      <c r="I976" s="9" t="s">
        <v>15446</v>
      </c>
      <c r="J976" s="1" t="s">
        <v>423</v>
      </c>
      <c r="K976" s="1" t="s">
        <v>151</v>
      </c>
      <c r="L976" s="1" t="s">
        <v>496</v>
      </c>
      <c r="M976" s="1" t="s">
        <v>8769</v>
      </c>
      <c r="O976" s="1" t="s">
        <v>127</v>
      </c>
      <c r="P976" s="1" t="s">
        <v>6659</v>
      </c>
      <c r="Q976" s="1" t="s">
        <v>15447</v>
      </c>
      <c r="R976" s="1" t="s">
        <v>1623</v>
      </c>
      <c r="S976" s="1" t="s">
        <v>3719</v>
      </c>
      <c r="Z976" s="1" t="s">
        <v>15448</v>
      </c>
      <c r="AA976" s="10">
        <v>950000.0</v>
      </c>
      <c r="AB976" s="1" t="s">
        <v>15449</v>
      </c>
      <c r="AC976" s="10">
        <v>1200000.0</v>
      </c>
      <c r="AF976" s="10">
        <v>3500000.0</v>
      </c>
      <c r="AG976" s="1">
        <v>7.242000492E9</v>
      </c>
      <c r="AI976" s="1" t="s">
        <v>5113</v>
      </c>
      <c r="AJ976" s="1">
        <v>165.0</v>
      </c>
      <c r="AK976" s="1">
        <v>80.0</v>
      </c>
      <c r="AL976" s="1" t="s">
        <v>15450</v>
      </c>
      <c r="AM976" s="1" t="s">
        <v>15451</v>
      </c>
      <c r="AN976" s="7" t="s">
        <v>15452</v>
      </c>
      <c r="AO976" s="8" t="str">
        <f>HYPERLINK("https://docs.google.com/document/d/1eXzbrDS81fg8bcLykM9-j9FlJ4vuxghxDJYsbYzOW_0/edit?usp=drivesdk","Al-Wildan 15 Kompas Indah, Tambun Bekasi._Nur Asiyah Jamila, S.Pd._")</f>
        <v>Al-Wildan 15 Kompas Indah, Tambun Bekasi._Nur Asiyah Jamila, S.Pd._</v>
      </c>
      <c r="AP976" s="1" t="s">
        <v>15453</v>
      </c>
    </row>
    <row r="977">
      <c r="A977" s="6">
        <v>45455.54836289352</v>
      </c>
      <c r="B977" s="7" t="s">
        <v>15454</v>
      </c>
      <c r="C977" s="8" t="s">
        <v>15455</v>
      </c>
      <c r="D977" s="1" t="s">
        <v>15456</v>
      </c>
      <c r="E977" s="9" t="s">
        <v>15457</v>
      </c>
      <c r="F977" s="1" t="s">
        <v>15458</v>
      </c>
      <c r="G977" s="1" t="s">
        <v>15459</v>
      </c>
      <c r="H977" s="1" t="s">
        <v>2244</v>
      </c>
      <c r="I977" s="9" t="s">
        <v>15460</v>
      </c>
      <c r="J977" s="1" t="s">
        <v>11606</v>
      </c>
      <c r="K977" s="1" t="s">
        <v>151</v>
      </c>
      <c r="L977" s="1" t="s">
        <v>256</v>
      </c>
      <c r="M977" s="1" t="s">
        <v>104</v>
      </c>
      <c r="N977" s="1" t="s">
        <v>15461</v>
      </c>
      <c r="O977" s="1" t="s">
        <v>236</v>
      </c>
      <c r="P977" s="1" t="s">
        <v>6659</v>
      </c>
      <c r="Q977" s="1" t="s">
        <v>3145</v>
      </c>
      <c r="R977" s="1" t="s">
        <v>459</v>
      </c>
      <c r="S977" s="1" t="s">
        <v>2582</v>
      </c>
      <c r="Z977" s="1" t="s">
        <v>15462</v>
      </c>
      <c r="AA977" s="10">
        <v>3000000.0</v>
      </c>
      <c r="AB977" s="1" t="s">
        <v>15463</v>
      </c>
      <c r="AC977" s="10">
        <v>3000000.0</v>
      </c>
      <c r="AD977" s="1" t="s">
        <v>15464</v>
      </c>
      <c r="AE977" s="10">
        <v>5000000.0</v>
      </c>
      <c r="AF977" s="10">
        <v>5500000.0</v>
      </c>
      <c r="AG977" s="1">
        <v>8.66154343E9</v>
      </c>
      <c r="AJ977" s="1">
        <v>145.0</v>
      </c>
      <c r="AK977" s="1">
        <v>39.0</v>
      </c>
      <c r="AL977" s="1" t="s">
        <v>15465</v>
      </c>
      <c r="AM977" s="1" t="s">
        <v>15466</v>
      </c>
      <c r="AN977" s="7" t="s">
        <v>15467</v>
      </c>
      <c r="AO977" s="8" t="str">
        <f>HYPERLINK("https://docs.google.com/document/d/1FnrvOp9GS6WBoVVM0ZAUh7UsYIvaqugdB0fs9mL6Jdc/edit?usp=drivesdk","Al-Wildan 15 Kompas Indah, Tambun Bekasi._Sarah Sakinah, S.Pd_Guru Ekonomi")</f>
        <v>Al-Wildan 15 Kompas Indah, Tambun Bekasi._Sarah Sakinah, S.Pd_Guru Ekonomi</v>
      </c>
      <c r="AP977" s="1" t="s">
        <v>15468</v>
      </c>
    </row>
    <row r="978">
      <c r="A978" s="6">
        <v>45455.57725451389</v>
      </c>
      <c r="B978" s="7" t="s">
        <v>15469</v>
      </c>
      <c r="C978" s="8" t="s">
        <v>15470</v>
      </c>
      <c r="D978" s="1" t="s">
        <v>15471</v>
      </c>
      <c r="E978" s="9" t="s">
        <v>15431</v>
      </c>
      <c r="F978" s="1" t="s">
        <v>15432</v>
      </c>
      <c r="G978" s="1" t="s">
        <v>15472</v>
      </c>
      <c r="H978" s="1" t="s">
        <v>11017</v>
      </c>
      <c r="I978" s="9" t="s">
        <v>15473</v>
      </c>
      <c r="J978" s="1" t="s">
        <v>15474</v>
      </c>
      <c r="K978" s="1" t="s">
        <v>102</v>
      </c>
      <c r="L978" s="1" t="s">
        <v>310</v>
      </c>
      <c r="M978" s="1" t="s">
        <v>104</v>
      </c>
      <c r="N978" s="1" t="s">
        <v>1634</v>
      </c>
      <c r="O978" s="1" t="s">
        <v>127</v>
      </c>
      <c r="P978" s="1" t="s">
        <v>14395</v>
      </c>
      <c r="Q978" s="1" t="s">
        <v>15475</v>
      </c>
      <c r="R978" s="1" t="s">
        <v>193</v>
      </c>
      <c r="S978" s="1">
        <v>3.1</v>
      </c>
      <c r="T978" s="1" t="s">
        <v>15476</v>
      </c>
      <c r="U978" s="1" t="s">
        <v>15477</v>
      </c>
      <c r="V978" s="1">
        <v>3.52</v>
      </c>
      <c r="Z978" s="1" t="s">
        <v>15478</v>
      </c>
      <c r="AA978" s="1" t="s">
        <v>217</v>
      </c>
      <c r="AF978" s="10">
        <v>5000000.0</v>
      </c>
      <c r="AJ978" s="1">
        <v>174.0</v>
      </c>
      <c r="AK978" s="1">
        <v>85.0</v>
      </c>
      <c r="AL978" s="1" t="s">
        <v>15436</v>
      </c>
      <c r="AM978" s="1" t="s">
        <v>15479</v>
      </c>
      <c r="AN978" s="7" t="s">
        <v>15480</v>
      </c>
      <c r="AO978" s="8" t="str">
        <f>HYPERLINK("https://docs.google.com/document/d/1XQEwh6s6KMhiCNHFOkitC5ZMEwrY1dv1wNOeQLO1Xqs/edit?usp=drivesdk","Al-Wildam 20 Mataram_Hasbi assyiddiqi, Lc,. M.H._Diniyah")</f>
        <v>Al-Wildam 20 Mataram_Hasbi assyiddiqi, Lc,. M.H._Diniyah</v>
      </c>
      <c r="AP978" s="1" t="s">
        <v>15481</v>
      </c>
    </row>
    <row r="979">
      <c r="A979" s="6">
        <v>45455.65010626157</v>
      </c>
      <c r="B979" s="7" t="s">
        <v>15482</v>
      </c>
      <c r="C979" s="8" t="s">
        <v>15483</v>
      </c>
      <c r="D979" s="1" t="s">
        <v>15484</v>
      </c>
      <c r="E979" s="9" t="s">
        <v>15485</v>
      </c>
      <c r="F979" s="1" t="s">
        <v>15486</v>
      </c>
      <c r="G979" s="1" t="s">
        <v>2689</v>
      </c>
      <c r="H979" s="1" t="s">
        <v>8097</v>
      </c>
      <c r="I979" s="9" t="s">
        <v>15487</v>
      </c>
      <c r="J979" s="1" t="s">
        <v>1020</v>
      </c>
      <c r="K979" s="1" t="s">
        <v>151</v>
      </c>
      <c r="L979" s="1" t="s">
        <v>256</v>
      </c>
      <c r="M979" s="1" t="s">
        <v>104</v>
      </c>
      <c r="N979" s="1" t="s">
        <v>15488</v>
      </c>
      <c r="O979" s="1" t="s">
        <v>106</v>
      </c>
      <c r="P979" s="1" t="s">
        <v>6659</v>
      </c>
      <c r="Q979" s="1" t="s">
        <v>1022</v>
      </c>
      <c r="R979" s="1" t="s">
        <v>15489</v>
      </c>
      <c r="S979" s="1" t="s">
        <v>15490</v>
      </c>
      <c r="AF979" s="1" t="s">
        <v>15491</v>
      </c>
      <c r="AG979" s="1">
        <v>7.90900328E9</v>
      </c>
      <c r="AJ979" s="1">
        <v>155.0</v>
      </c>
      <c r="AK979" s="1">
        <v>53.0</v>
      </c>
      <c r="AL979" s="1" t="s">
        <v>15492</v>
      </c>
      <c r="AM979" s="1" t="s">
        <v>15493</v>
      </c>
      <c r="AN979" s="7" t="s">
        <v>15494</v>
      </c>
      <c r="AO979" s="8" t="str">
        <f>HYPERLINK("https://docs.google.com/document/d/1kg1g9JUM8G4POkwYUvmaDp9-ZzkzNgGNx6lieg0rPKY/edit?usp=drivesdk","Al-Wildan 15 Kompas Indah, Tambun Bekasi._Aynul Husna, B.B.A._Arabic &amp; Diniyah")</f>
        <v>Al-Wildan 15 Kompas Indah, Tambun Bekasi._Aynul Husna, B.B.A._Arabic &amp; Diniyah</v>
      </c>
      <c r="AP979" s="1" t="s">
        <v>15495</v>
      </c>
    </row>
    <row r="980">
      <c r="A980" s="6">
        <v>45455.73384887732</v>
      </c>
      <c r="B980" s="7" t="s">
        <v>15496</v>
      </c>
      <c r="C980" s="8" t="s">
        <v>15497</v>
      </c>
      <c r="D980" s="1" t="s">
        <v>15498</v>
      </c>
      <c r="E980" s="9" t="s">
        <v>15499</v>
      </c>
      <c r="F980" s="1" t="s">
        <v>15500</v>
      </c>
      <c r="G980" s="1" t="s">
        <v>148</v>
      </c>
      <c r="H980" s="1" t="s">
        <v>1555</v>
      </c>
      <c r="I980" s="1" t="s">
        <v>15501</v>
      </c>
      <c r="J980" s="1" t="s">
        <v>12931</v>
      </c>
      <c r="K980" s="1" t="s">
        <v>151</v>
      </c>
      <c r="L980" s="1" t="s">
        <v>329</v>
      </c>
      <c r="M980" s="1" t="s">
        <v>8769</v>
      </c>
      <c r="N980" s="1" t="s">
        <v>2197</v>
      </c>
      <c r="O980" s="1" t="s">
        <v>106</v>
      </c>
      <c r="P980" s="1" t="s">
        <v>14335</v>
      </c>
      <c r="Z980" s="1" t="s">
        <v>15502</v>
      </c>
      <c r="AA980" s="1" t="s">
        <v>15503</v>
      </c>
      <c r="AB980" s="1" t="s">
        <v>15504</v>
      </c>
      <c r="AC980" s="1" t="s">
        <v>15505</v>
      </c>
      <c r="AD980" s="1" t="s">
        <v>15506</v>
      </c>
      <c r="AE980" s="1" t="s">
        <v>15507</v>
      </c>
      <c r="AF980" s="1" t="s">
        <v>15508</v>
      </c>
      <c r="AG980" s="1">
        <v>7.241464697E9</v>
      </c>
      <c r="AJ980" s="1">
        <v>158.0</v>
      </c>
      <c r="AK980" s="1">
        <v>75.0</v>
      </c>
      <c r="AL980" s="1" t="s">
        <v>15509</v>
      </c>
      <c r="AM980" s="1" t="s">
        <v>15510</v>
      </c>
      <c r="AN980" s="7" t="s">
        <v>15511</v>
      </c>
      <c r="AO980" s="8" t="str">
        <f>HYPERLINK("https://docs.google.com/document/d/1j1oD7WAlh4rK7pPTB1PDdpV_vWLeZWOK-VsAQyjLQS4/edit?usp=drivesdk","Al-Wildan 13 Tembalang, Bekasi_Rin Rin Rinjani Marijan_Al-Qur'an")</f>
        <v>Al-Wildan 13 Tembalang, Bekasi_Rin Rin Rinjani Marijan_Al-Qur'an</v>
      </c>
      <c r="AP980" s="1" t="s">
        <v>15512</v>
      </c>
    </row>
    <row r="981">
      <c r="A981" s="6">
        <v>45455.82438658565</v>
      </c>
      <c r="B981" s="7" t="s">
        <v>15513</v>
      </c>
      <c r="C981" s="8" t="s">
        <v>15514</v>
      </c>
      <c r="D981" s="1" t="s">
        <v>15515</v>
      </c>
      <c r="E981" s="9" t="s">
        <v>15516</v>
      </c>
      <c r="F981" s="1" t="s">
        <v>15517</v>
      </c>
      <c r="G981" s="1" t="s">
        <v>15518</v>
      </c>
      <c r="H981" s="1" t="s">
        <v>148</v>
      </c>
      <c r="I981" s="9" t="s">
        <v>15519</v>
      </c>
      <c r="J981" s="1" t="s">
        <v>1020</v>
      </c>
      <c r="K981" s="1" t="s">
        <v>151</v>
      </c>
      <c r="L981" s="1" t="s">
        <v>103</v>
      </c>
      <c r="M981" s="1" t="s">
        <v>424</v>
      </c>
      <c r="O981" s="1" t="s">
        <v>106</v>
      </c>
      <c r="P981" s="1" t="s">
        <v>6187</v>
      </c>
      <c r="Q981" s="1" t="s">
        <v>15520</v>
      </c>
      <c r="R981" s="1" t="s">
        <v>1057</v>
      </c>
      <c r="S981" s="1">
        <v>3.62</v>
      </c>
      <c r="Z981" s="1" t="s">
        <v>15521</v>
      </c>
      <c r="AA981" s="10">
        <v>4000000.0</v>
      </c>
      <c r="AF981" s="10">
        <v>4000000.0</v>
      </c>
      <c r="AH981" s="1">
        <v>1.438388769E9</v>
      </c>
      <c r="AI981" s="1" t="s">
        <v>159</v>
      </c>
      <c r="AJ981" s="1">
        <v>160.0</v>
      </c>
      <c r="AK981" s="1">
        <v>60.0</v>
      </c>
      <c r="AL981" s="1" t="s">
        <v>15522</v>
      </c>
      <c r="AM981" s="1" t="s">
        <v>15523</v>
      </c>
      <c r="AN981" s="7" t="s">
        <v>15524</v>
      </c>
      <c r="AO981" s="8" t="str">
        <f>HYPERLINK("https://docs.google.com/document/d/111pjnnMAF0QoSc6crNGE14rjNCbKHa1VUAgmVQJTITI/edit?usp=drivesdk","Al-Wildan 14 Bumi Mutiara, Bogor_Nanda Ghitha Audriani, S.Psi_")</f>
        <v>Al-Wildan 14 Bumi Mutiara, Bogor_Nanda Ghitha Audriani, S.Psi_</v>
      </c>
      <c r="AP981" s="1" t="s">
        <v>15525</v>
      </c>
    </row>
    <row r="982">
      <c r="A982" s="6">
        <v>45455.85960542824</v>
      </c>
      <c r="B982" s="7" t="s">
        <v>15526</v>
      </c>
      <c r="C982" s="8" t="s">
        <v>15527</v>
      </c>
      <c r="D982" s="1" t="s">
        <v>15528</v>
      </c>
      <c r="E982" s="9" t="s">
        <v>15529</v>
      </c>
      <c r="F982" s="1" t="s">
        <v>15530</v>
      </c>
      <c r="G982" s="1" t="s">
        <v>15531</v>
      </c>
      <c r="H982" s="1" t="s">
        <v>169</v>
      </c>
      <c r="I982" s="9" t="s">
        <v>15532</v>
      </c>
      <c r="J982" s="1" t="s">
        <v>3221</v>
      </c>
      <c r="K982" s="1" t="s">
        <v>151</v>
      </c>
      <c r="L982" s="1" t="s">
        <v>256</v>
      </c>
      <c r="M982" s="1" t="s">
        <v>104</v>
      </c>
      <c r="N982" s="1" t="s">
        <v>15533</v>
      </c>
      <c r="O982" s="1" t="s">
        <v>9794</v>
      </c>
      <c r="P982" s="1" t="s">
        <v>6187</v>
      </c>
      <c r="Q982" s="1" t="s">
        <v>1022</v>
      </c>
      <c r="R982" s="1" t="s">
        <v>193</v>
      </c>
      <c r="S982" s="1" t="s">
        <v>110</v>
      </c>
      <c r="Z982" s="1" t="s">
        <v>15534</v>
      </c>
      <c r="AA982" s="10">
        <v>3700000.0</v>
      </c>
      <c r="AB982" s="1" t="s">
        <v>15535</v>
      </c>
      <c r="AC982" s="1" t="s">
        <v>15536</v>
      </c>
      <c r="AF982" s="10">
        <v>5.0E7</v>
      </c>
      <c r="AG982" s="1">
        <v>4.30710942E9</v>
      </c>
      <c r="AI982" s="1" t="s">
        <v>5113</v>
      </c>
      <c r="AJ982" s="1">
        <v>155.0</v>
      </c>
      <c r="AK982" s="1">
        <v>47.0</v>
      </c>
      <c r="AL982" s="1" t="s">
        <v>15537</v>
      </c>
      <c r="AM982" s="1" t="s">
        <v>15538</v>
      </c>
      <c r="AN982" s="7" t="s">
        <v>15539</v>
      </c>
      <c r="AO982" s="8" t="str">
        <f>HYPERLINK("https://docs.google.com/document/d/1myGMbqdktfSrOn9GZ35Dn_LybIUd9Y6W64rk0DVlavM/edit?usp=drivesdk","Al-Wildan 14 Bumi Mutiara, Bogor_Nurul Fauziyyah Fajri, B.Sh._Arabic/Diniyyah")</f>
        <v>Al-Wildan 14 Bumi Mutiara, Bogor_Nurul Fauziyyah Fajri, B.Sh._Arabic/Diniyyah</v>
      </c>
      <c r="AP982" s="1" t="s">
        <v>15540</v>
      </c>
    </row>
    <row r="983">
      <c r="A983" s="6">
        <v>45456.49086460649</v>
      </c>
      <c r="B983" s="7" t="s">
        <v>15541</v>
      </c>
      <c r="C983" s="8" t="s">
        <v>15542</v>
      </c>
      <c r="D983" s="1" t="s">
        <v>15543</v>
      </c>
      <c r="E983" s="9" t="s">
        <v>15544</v>
      </c>
      <c r="F983" s="1" t="s">
        <v>15545</v>
      </c>
      <c r="G983" s="1" t="s">
        <v>15546</v>
      </c>
      <c r="H983" s="1" t="s">
        <v>359</v>
      </c>
      <c r="I983" s="9" t="s">
        <v>15547</v>
      </c>
      <c r="J983" s="1" t="s">
        <v>7477</v>
      </c>
      <c r="K983" s="1" t="s">
        <v>102</v>
      </c>
      <c r="L983" s="1" t="s">
        <v>103</v>
      </c>
      <c r="M983" s="1" t="s">
        <v>104</v>
      </c>
      <c r="N983" s="1" t="s">
        <v>552</v>
      </c>
      <c r="O983" s="1" t="s">
        <v>236</v>
      </c>
      <c r="P983" s="1" t="s">
        <v>237</v>
      </c>
      <c r="Q983" s="1" t="s">
        <v>15548</v>
      </c>
      <c r="R983" s="1" t="s">
        <v>552</v>
      </c>
      <c r="S983" s="1" t="s">
        <v>9749</v>
      </c>
      <c r="T983" s="1" t="s">
        <v>15549</v>
      </c>
      <c r="U983" s="1" t="s">
        <v>552</v>
      </c>
      <c r="V983" s="1" t="s">
        <v>1087</v>
      </c>
      <c r="Z983" s="1" t="s">
        <v>15550</v>
      </c>
      <c r="AA983" s="10">
        <v>5000000.0</v>
      </c>
      <c r="AB983" s="1" t="s">
        <v>15551</v>
      </c>
      <c r="AC983" s="10">
        <v>7350000.0</v>
      </c>
      <c r="AF983" s="10">
        <v>1.0E7</v>
      </c>
      <c r="AG983" s="1">
        <v>7.49778739E9</v>
      </c>
      <c r="AJ983" s="1">
        <v>153.0</v>
      </c>
      <c r="AK983" s="1">
        <v>51.0</v>
      </c>
      <c r="AL983" s="1" t="s">
        <v>15552</v>
      </c>
      <c r="AM983" s="1" t="s">
        <v>15553</v>
      </c>
      <c r="AN983" s="7" t="s">
        <v>15554</v>
      </c>
      <c r="AO983" s="8" t="str">
        <f>HYPERLINK("https://docs.google.com/document/d/1OCnxJEx2YC63z9uwSi_Lc9uYfkq87oCOwrNuQpn7gEk/edit?usp=drivesdk","Al-Wildan 4 Lebak Bulus_Irmaniar, S.Si., M.Si._Fisika")</f>
        <v>Al-Wildan 4 Lebak Bulus_Irmaniar, S.Si., M.Si._Fisika</v>
      </c>
      <c r="AP983" s="1" t="s">
        <v>15555</v>
      </c>
    </row>
    <row r="984">
      <c r="A984" s="6">
        <v>45456.72704961806</v>
      </c>
      <c r="B984" s="7" t="s">
        <v>15556</v>
      </c>
      <c r="C984" s="8" t="s">
        <v>15557</v>
      </c>
      <c r="D984" s="1" t="s">
        <v>15558</v>
      </c>
      <c r="E984" s="9" t="s">
        <v>15559</v>
      </c>
      <c r="F984" s="1" t="s">
        <v>15560</v>
      </c>
      <c r="G984" s="1" t="s">
        <v>15561</v>
      </c>
      <c r="H984" s="1" t="s">
        <v>169</v>
      </c>
      <c r="I984" s="9" t="s">
        <v>6397</v>
      </c>
      <c r="J984" s="1" t="s">
        <v>12233</v>
      </c>
      <c r="K984" s="1" t="s">
        <v>151</v>
      </c>
      <c r="L984" s="1" t="s">
        <v>103</v>
      </c>
      <c r="M984" s="1" t="s">
        <v>424</v>
      </c>
      <c r="O984" s="1" t="s">
        <v>236</v>
      </c>
      <c r="P984" s="1" t="s">
        <v>5712</v>
      </c>
      <c r="Q984" s="1" t="s">
        <v>108</v>
      </c>
      <c r="R984" s="1" t="s">
        <v>425</v>
      </c>
      <c r="S984" s="1" t="s">
        <v>2032</v>
      </c>
      <c r="Z984" s="1" t="s">
        <v>15562</v>
      </c>
      <c r="AA984" s="10">
        <v>6000000.0</v>
      </c>
      <c r="AF984" s="10">
        <v>7000000.0</v>
      </c>
      <c r="AH984" s="1">
        <v>1.290011518939E12</v>
      </c>
      <c r="AI984" s="1" t="s">
        <v>2119</v>
      </c>
      <c r="AJ984" s="1">
        <v>168.0</v>
      </c>
      <c r="AK984" s="1">
        <v>66.0</v>
      </c>
      <c r="AL984" s="1" t="s">
        <v>15563</v>
      </c>
      <c r="AM984" s="1" t="s">
        <v>15564</v>
      </c>
      <c r="AN984" s="7" t="s">
        <v>15565</v>
      </c>
      <c r="AO984" s="8" t="str">
        <f>HYPERLINK("https://docs.google.com/document/d/1-X4ozo_frdTYkoIJavwU9nA-BgGuWwaoiTlqyMvg0Ww/edit?usp=drivesdk","Al-Wildan 3 BSD City_Fakhri Surya Mahardika, S.Pd_")</f>
        <v>Al-Wildan 3 BSD City_Fakhri Surya Mahardika, S.Pd_</v>
      </c>
      <c r="AP984" s="1" t="s">
        <v>15566</v>
      </c>
    </row>
    <row r="985">
      <c r="A985" s="6">
        <v>45458.44541759259</v>
      </c>
      <c r="B985" s="7" t="s">
        <v>15567</v>
      </c>
      <c r="C985" s="8" t="s">
        <v>15568</v>
      </c>
      <c r="D985" s="1" t="s">
        <v>15569</v>
      </c>
      <c r="E985" s="9" t="s">
        <v>15570</v>
      </c>
      <c r="F985" s="1" t="s">
        <v>15571</v>
      </c>
      <c r="G985" s="1" t="s">
        <v>15572</v>
      </c>
      <c r="H985" s="1" t="s">
        <v>2176</v>
      </c>
      <c r="I985" s="9" t="s">
        <v>15573</v>
      </c>
      <c r="J985" s="1" t="s">
        <v>9896</v>
      </c>
      <c r="K985" s="1" t="s">
        <v>151</v>
      </c>
      <c r="L985" s="1" t="s">
        <v>103</v>
      </c>
      <c r="M985" s="1" t="s">
        <v>104</v>
      </c>
      <c r="N985" s="1" t="s">
        <v>15574</v>
      </c>
      <c r="O985" s="1" t="s">
        <v>312</v>
      </c>
      <c r="P985" s="1" t="s">
        <v>237</v>
      </c>
      <c r="Q985" s="1" t="s">
        <v>1022</v>
      </c>
      <c r="R985" s="1" t="s">
        <v>15575</v>
      </c>
      <c r="S985" s="1">
        <v>4.87</v>
      </c>
      <c r="Z985" s="1" t="s">
        <v>15576</v>
      </c>
      <c r="AA985" s="10">
        <v>3000000.0</v>
      </c>
      <c r="AB985" s="1" t="s">
        <v>15577</v>
      </c>
      <c r="AC985" s="10">
        <v>1000000.0</v>
      </c>
      <c r="AD985" s="1" t="s">
        <v>15578</v>
      </c>
      <c r="AE985" s="10">
        <v>500000.0</v>
      </c>
      <c r="AF985" s="10">
        <v>4700000.0</v>
      </c>
      <c r="AG985" s="1">
        <v>1.116561425E9</v>
      </c>
      <c r="AJ985" s="1">
        <v>155.0</v>
      </c>
      <c r="AK985" s="1">
        <v>55.0</v>
      </c>
      <c r="AL985" s="1" t="s">
        <v>15579</v>
      </c>
      <c r="AM985" s="1" t="s">
        <v>15580</v>
      </c>
      <c r="AN985" s="7" t="s">
        <v>15581</v>
      </c>
      <c r="AO985" s="8" t="str">
        <f>HYPERLINK("https://docs.google.com/document/d/1OR3xhF_zm9LoX9I741dlmNYt7qm2QMm5lerkBuUFAM4/edit?usp=drivesdk","Al-Wildan 4 Lebak Bulus_Wheta Mayank Ika Kurnia B.B.A_Quran, Arabic,Diniyah")</f>
        <v>Al-Wildan 4 Lebak Bulus_Wheta Mayank Ika Kurnia B.B.A_Quran, Arabic,Diniyah</v>
      </c>
      <c r="AP985" s="1" t="s">
        <v>15582</v>
      </c>
    </row>
    <row r="986">
      <c r="A986" s="6">
        <v>45458.543507662034</v>
      </c>
      <c r="B986" s="7" t="s">
        <v>15583</v>
      </c>
      <c r="C986" s="8" t="s">
        <v>15584</v>
      </c>
      <c r="D986" s="1" t="s">
        <v>15585</v>
      </c>
      <c r="E986" s="9" t="s">
        <v>15586</v>
      </c>
      <c r="F986" s="1" t="s">
        <v>15587</v>
      </c>
      <c r="G986" s="1" t="s">
        <v>15588</v>
      </c>
      <c r="H986" s="1" t="s">
        <v>169</v>
      </c>
      <c r="I986" s="9" t="s">
        <v>15589</v>
      </c>
      <c r="J986" s="1" t="s">
        <v>15590</v>
      </c>
      <c r="K986" s="1" t="s">
        <v>102</v>
      </c>
      <c r="L986" s="1" t="s">
        <v>103</v>
      </c>
      <c r="M986" s="1" t="s">
        <v>104</v>
      </c>
      <c r="N986" s="1" t="s">
        <v>15591</v>
      </c>
      <c r="O986" s="1" t="s">
        <v>312</v>
      </c>
      <c r="P986" s="1" t="s">
        <v>237</v>
      </c>
      <c r="Q986" s="1" t="s">
        <v>15592</v>
      </c>
      <c r="R986" s="1" t="s">
        <v>7309</v>
      </c>
      <c r="S986" s="1">
        <v>3.83</v>
      </c>
      <c r="Z986" s="1" t="s">
        <v>15593</v>
      </c>
      <c r="AA986" s="10">
        <v>750000.0</v>
      </c>
      <c r="AB986" s="1" t="s">
        <v>15594</v>
      </c>
      <c r="AC986" s="10">
        <v>800000.0</v>
      </c>
      <c r="AD986" s="1" t="s">
        <v>15595</v>
      </c>
      <c r="AE986" s="10">
        <v>350000.0</v>
      </c>
      <c r="AF986" s="10">
        <v>5500000.0</v>
      </c>
      <c r="AG986" s="1">
        <v>7.58686019E9</v>
      </c>
      <c r="AJ986" s="1">
        <v>177.0</v>
      </c>
      <c r="AK986" s="1">
        <v>95.0</v>
      </c>
      <c r="AL986" s="1" t="s">
        <v>15596</v>
      </c>
      <c r="AM986" s="1" t="s">
        <v>15597</v>
      </c>
      <c r="AN986" s="7" t="s">
        <v>15598</v>
      </c>
      <c r="AO986" s="8" t="str">
        <f>HYPERLINK("https://docs.google.com/document/d/1ia1sgM4775rxFlhsUS7Kf9ZvEw_LPIreN6C2pflUKQc/edit?usp=drivesdk","Al-Wildan 4 Lebak Bulus_Muhammad Gemilang Muttaqien, S.Ag._Quran")</f>
        <v>Al-Wildan 4 Lebak Bulus_Muhammad Gemilang Muttaqien, S.Ag._Quran</v>
      </c>
      <c r="AP986" s="1" t="s">
        <v>15599</v>
      </c>
    </row>
    <row r="987">
      <c r="A987" s="6">
        <v>45458.78143847222</v>
      </c>
      <c r="B987" s="7" t="s">
        <v>15600</v>
      </c>
      <c r="C987" s="8" t="s">
        <v>15601</v>
      </c>
      <c r="D987" s="1" t="s">
        <v>15585</v>
      </c>
      <c r="E987" s="9" t="s">
        <v>15586</v>
      </c>
      <c r="F987" s="1" t="s">
        <v>15587</v>
      </c>
      <c r="G987" s="1" t="s">
        <v>15602</v>
      </c>
      <c r="H987" s="1" t="s">
        <v>169</v>
      </c>
      <c r="I987" s="9" t="s">
        <v>15603</v>
      </c>
      <c r="J987" s="1" t="s">
        <v>15590</v>
      </c>
      <c r="K987" s="1" t="s">
        <v>102</v>
      </c>
      <c r="L987" s="1" t="s">
        <v>103</v>
      </c>
      <c r="M987" s="1" t="s">
        <v>104</v>
      </c>
      <c r="N987" s="1" t="s">
        <v>15591</v>
      </c>
      <c r="O987" s="1" t="s">
        <v>312</v>
      </c>
      <c r="P987" s="1" t="s">
        <v>237</v>
      </c>
      <c r="Q987" s="1" t="s">
        <v>15592</v>
      </c>
      <c r="R987" s="1" t="s">
        <v>15368</v>
      </c>
      <c r="S987" s="1">
        <v>3.83</v>
      </c>
      <c r="Z987" s="1" t="s">
        <v>15604</v>
      </c>
      <c r="AA987" s="10">
        <v>750000.0</v>
      </c>
      <c r="AB987" s="1" t="s">
        <v>15605</v>
      </c>
      <c r="AC987" s="10">
        <v>800000.0</v>
      </c>
      <c r="AD987" s="1" t="s">
        <v>15595</v>
      </c>
      <c r="AE987" s="10">
        <v>350000.0</v>
      </c>
      <c r="AF987" s="10">
        <v>5500000.0</v>
      </c>
      <c r="AG987" s="1">
        <v>7.58686019E9</v>
      </c>
      <c r="AJ987" s="1">
        <v>177.0</v>
      </c>
      <c r="AK987" s="1">
        <v>95.0</v>
      </c>
      <c r="AL987" s="1" t="s">
        <v>15596</v>
      </c>
      <c r="AM987" s="1" t="s">
        <v>15606</v>
      </c>
      <c r="AN987" s="7" t="s">
        <v>15607</v>
      </c>
      <c r="AO987" s="8" t="str">
        <f>HYPERLINK("https://docs.google.com/document/d/1KnrgFvbub3PLFWmVBmTTZ_fMXN4YMnqr6C0aqvoXAHY/edit?usp=drivesdk","Al-Wildan 4 Lebak Bulus_Muhammad Gemilang Muttaqien, S.Ag._Quran")</f>
        <v>Al-Wildan 4 Lebak Bulus_Muhammad Gemilang Muttaqien, S.Ag._Quran</v>
      </c>
      <c r="AP987" s="1" t="s">
        <v>15608</v>
      </c>
    </row>
    <row r="988">
      <c r="A988" s="6">
        <v>45458.800387870375</v>
      </c>
      <c r="B988" s="7" t="s">
        <v>15609</v>
      </c>
      <c r="C988" s="8" t="s">
        <v>15610</v>
      </c>
      <c r="D988" s="1" t="s">
        <v>15611</v>
      </c>
      <c r="E988" s="9" t="s">
        <v>15612</v>
      </c>
      <c r="F988" s="1" t="s">
        <v>15613</v>
      </c>
      <c r="G988" s="1" t="s">
        <v>15614</v>
      </c>
      <c r="H988" s="1" t="s">
        <v>1555</v>
      </c>
      <c r="I988" s="9" t="s">
        <v>15615</v>
      </c>
      <c r="J988" s="1" t="s">
        <v>15616</v>
      </c>
      <c r="K988" s="1" t="s">
        <v>102</v>
      </c>
      <c r="L988" s="1" t="s">
        <v>103</v>
      </c>
      <c r="M988" s="1" t="s">
        <v>104</v>
      </c>
      <c r="N988" s="1" t="s">
        <v>15617</v>
      </c>
      <c r="O988" s="1" t="s">
        <v>312</v>
      </c>
      <c r="P988" s="1" t="s">
        <v>237</v>
      </c>
      <c r="Q988" s="1" t="s">
        <v>535</v>
      </c>
      <c r="R988" s="1" t="s">
        <v>15618</v>
      </c>
      <c r="S988" s="1" t="s">
        <v>277</v>
      </c>
      <c r="Z988" s="1" t="s">
        <v>15619</v>
      </c>
      <c r="AA988" s="10">
        <v>3000000.0</v>
      </c>
      <c r="AB988" s="1" t="s">
        <v>15619</v>
      </c>
      <c r="AC988" s="10">
        <v>4500000.0</v>
      </c>
      <c r="AF988" s="10">
        <v>6000000.0</v>
      </c>
      <c r="AG988" s="1">
        <v>7.100756198E9</v>
      </c>
      <c r="AJ988" s="1">
        <v>168.0</v>
      </c>
      <c r="AK988" s="1">
        <v>72.0</v>
      </c>
      <c r="AL988" s="1" t="s">
        <v>15620</v>
      </c>
      <c r="AM988" s="1" t="s">
        <v>15621</v>
      </c>
      <c r="AN988" s="7" t="s">
        <v>15622</v>
      </c>
      <c r="AO988" s="8" t="str">
        <f>HYPERLINK("https://docs.google.com/document/d/1ih5N5dKnaENeBcA39175j2Pf5yTqmhPd2x2tgqNvx1s/edit?usp=drivesdk","Al-Wildan 4 Lebak Bulus_ABDUL ROUP, S.Pd._Tematik PGSD")</f>
        <v>Al-Wildan 4 Lebak Bulus_ABDUL ROUP, S.Pd._Tematik PGSD</v>
      </c>
      <c r="AP988" s="1" t="s">
        <v>15623</v>
      </c>
    </row>
    <row r="989">
      <c r="A989" s="6">
        <v>45459.6301971412</v>
      </c>
      <c r="B989" s="7" t="s">
        <v>15624</v>
      </c>
      <c r="C989" s="8" t="s">
        <v>15625</v>
      </c>
      <c r="D989" s="1" t="s">
        <v>15626</v>
      </c>
      <c r="E989" s="9" t="s">
        <v>15627</v>
      </c>
      <c r="F989" s="1" t="s">
        <v>15628</v>
      </c>
      <c r="G989" s="1" t="s">
        <v>15629</v>
      </c>
      <c r="H989" s="1" t="s">
        <v>1411</v>
      </c>
      <c r="I989" s="9" t="s">
        <v>15630</v>
      </c>
      <c r="J989" s="1" t="s">
        <v>12233</v>
      </c>
      <c r="K989" s="1" t="s">
        <v>151</v>
      </c>
      <c r="L989" s="1" t="s">
        <v>256</v>
      </c>
      <c r="M989" s="1" t="s">
        <v>104</v>
      </c>
      <c r="N989" s="1" t="s">
        <v>15631</v>
      </c>
      <c r="O989" s="1" t="s">
        <v>312</v>
      </c>
      <c r="P989" s="1" t="s">
        <v>6533</v>
      </c>
      <c r="Q989" s="1" t="s">
        <v>15632</v>
      </c>
      <c r="R989" s="1" t="s">
        <v>8140</v>
      </c>
      <c r="S989" s="1" t="s">
        <v>1364</v>
      </c>
      <c r="T989" s="1" t="s">
        <v>15633</v>
      </c>
      <c r="U989" s="1" t="s">
        <v>8140</v>
      </c>
      <c r="V989" s="1" t="s">
        <v>14645</v>
      </c>
      <c r="Z989" s="1" t="s">
        <v>15634</v>
      </c>
      <c r="AA989" s="10">
        <v>4000000.0</v>
      </c>
      <c r="AF989" s="10">
        <v>6500000.0</v>
      </c>
      <c r="AG989" s="1">
        <v>7.169552848E9</v>
      </c>
      <c r="AJ989" s="1">
        <v>162.0</v>
      </c>
      <c r="AK989" s="1">
        <v>55.0</v>
      </c>
      <c r="AL989" s="1" t="s">
        <v>15635</v>
      </c>
      <c r="AM989" s="1" t="s">
        <v>15636</v>
      </c>
      <c r="AN989" s="7" t="s">
        <v>15637</v>
      </c>
      <c r="AO989" s="8" t="str">
        <f>HYPERLINK("https://docs.google.com/document/d/1xfmNXO2qYJAxKZsuNoRa6CC0lZ7sJ5T0uxHFmx18JbY/edit?usp=drivesdk","Al-Wildan 5 Benhil_Aini Nur Sholehah, M.Pd._A.D.A")</f>
        <v>Al-Wildan 5 Benhil_Aini Nur Sholehah, M.Pd._A.D.A</v>
      </c>
      <c r="AP989" s="1" t="s">
        <v>15638</v>
      </c>
    </row>
    <row r="990">
      <c r="A990" s="6">
        <v>45461.74016554398</v>
      </c>
      <c r="B990" s="7" t="s">
        <v>15639</v>
      </c>
      <c r="C990" s="8" t="s">
        <v>15640</v>
      </c>
      <c r="D990" s="1" t="s">
        <v>15641</v>
      </c>
      <c r="E990" s="9" t="s">
        <v>15642</v>
      </c>
      <c r="F990" s="1" t="s">
        <v>15643</v>
      </c>
      <c r="G990" s="1" t="s">
        <v>14780</v>
      </c>
      <c r="H990" s="1" t="s">
        <v>15644</v>
      </c>
      <c r="I990" s="9" t="s">
        <v>15645</v>
      </c>
      <c r="J990" s="1" t="s">
        <v>628</v>
      </c>
      <c r="K990" s="1" t="s">
        <v>151</v>
      </c>
      <c r="L990" s="1" t="s">
        <v>329</v>
      </c>
      <c r="M990" s="1" t="s">
        <v>13917</v>
      </c>
      <c r="N990" s="1" t="s">
        <v>15646</v>
      </c>
      <c r="O990" s="1" t="s">
        <v>9794</v>
      </c>
      <c r="P990" s="1" t="s">
        <v>237</v>
      </c>
      <c r="Q990" s="1" t="s">
        <v>15647</v>
      </c>
      <c r="R990" s="1" t="s">
        <v>15648</v>
      </c>
      <c r="S990" s="1" t="s">
        <v>5590</v>
      </c>
      <c r="Z990" s="1" t="s">
        <v>15649</v>
      </c>
      <c r="AA990" s="10">
        <v>1040000.0</v>
      </c>
      <c r="AF990" s="10">
        <v>5000000.0</v>
      </c>
      <c r="AG990" s="1">
        <v>7.221244367E9</v>
      </c>
      <c r="AI990" s="1" t="s">
        <v>4856</v>
      </c>
      <c r="AJ990" s="1">
        <v>167.0</v>
      </c>
      <c r="AK990" s="1">
        <v>67.0</v>
      </c>
      <c r="AL990" s="1" t="s">
        <v>15650</v>
      </c>
      <c r="AM990" s="1" t="s">
        <v>15651</v>
      </c>
      <c r="AN990" s="7" t="s">
        <v>15652</v>
      </c>
      <c r="AO990" s="8" t="str">
        <f>HYPERLINK("https://docs.google.com/document/d/1w20Yd6Y71n9feh5OGAUWj82OPDOoUJRiYrfEssp7L_U/edit?usp=drivesdk","Al-Wildan 4 Lebak Bulus_M SYARIF HIDAYATULLAH_Guru Olahraga/ Penjaskes")</f>
        <v>Al-Wildan 4 Lebak Bulus_M SYARIF HIDAYATULLAH_Guru Olahraga/ Penjaskes</v>
      </c>
      <c r="AP990" s="1" t="s">
        <v>15653</v>
      </c>
    </row>
    <row r="991">
      <c r="A991" s="6">
        <v>45462.47201008102</v>
      </c>
      <c r="B991" s="7" t="s">
        <v>15654</v>
      </c>
      <c r="C991" s="8" t="s">
        <v>15655</v>
      </c>
      <c r="D991" s="1" t="s">
        <v>15656</v>
      </c>
      <c r="E991" s="9" t="s">
        <v>15657</v>
      </c>
      <c r="F991" s="1" t="s">
        <v>15658</v>
      </c>
      <c r="G991" s="1" t="s">
        <v>15659</v>
      </c>
      <c r="H991" s="1" t="s">
        <v>15660</v>
      </c>
      <c r="I991" s="9" t="s">
        <v>15661</v>
      </c>
      <c r="J991" s="1" t="s">
        <v>15662</v>
      </c>
      <c r="K991" s="1" t="s">
        <v>151</v>
      </c>
      <c r="L991" s="1" t="s">
        <v>103</v>
      </c>
      <c r="M991" s="1" t="s">
        <v>424</v>
      </c>
      <c r="N991" s="1" t="s">
        <v>6106</v>
      </c>
      <c r="O991" s="1" t="s">
        <v>127</v>
      </c>
      <c r="P991" s="1" t="s">
        <v>107</v>
      </c>
      <c r="Q991" s="1" t="s">
        <v>15663</v>
      </c>
      <c r="R991" s="1" t="s">
        <v>10055</v>
      </c>
      <c r="S991" s="1" t="s">
        <v>12407</v>
      </c>
      <c r="Z991" s="1" t="s">
        <v>15664</v>
      </c>
      <c r="AA991" s="10">
        <v>500000.0</v>
      </c>
      <c r="AF991" s="10">
        <v>5000000.0</v>
      </c>
      <c r="AH991" s="1">
        <v>1.785783909E9</v>
      </c>
      <c r="AI991" s="1" t="s">
        <v>445</v>
      </c>
      <c r="AJ991" s="1">
        <v>158.0</v>
      </c>
      <c r="AK991" s="1">
        <v>65.0</v>
      </c>
      <c r="AL991" s="1" t="s">
        <v>15665</v>
      </c>
      <c r="AM991" s="1" t="s">
        <v>15666</v>
      </c>
      <c r="AN991" s="7" t="s">
        <v>15667</v>
      </c>
      <c r="AO991" s="8" t="str">
        <f>HYPERLINK("https://docs.google.com/document/d/1IXHVY7dK-8QvAqiQOida2kUgqr-bApQiLU0LXLLbSuY/edit?usp=drivesdk","Al-Wildan 1 Gading Serpong_Elsa Utari Febriani, S.Psi_Bimbingan Konseling")</f>
        <v>Al-Wildan 1 Gading Serpong_Elsa Utari Febriani, S.Psi_Bimbingan Konseling</v>
      </c>
      <c r="AP991" s="1" t="s">
        <v>15668</v>
      </c>
    </row>
    <row r="992">
      <c r="A992" s="6">
        <v>45463.63600909722</v>
      </c>
      <c r="B992" s="7" t="s">
        <v>15669</v>
      </c>
      <c r="C992" s="8" t="s">
        <v>15670</v>
      </c>
      <c r="D992" s="1" t="s">
        <v>15671</v>
      </c>
      <c r="E992" s="9" t="s">
        <v>15672</v>
      </c>
      <c r="F992" s="1" t="s">
        <v>15673</v>
      </c>
      <c r="G992" s="1" t="s">
        <v>15674</v>
      </c>
      <c r="H992" s="1" t="s">
        <v>685</v>
      </c>
      <c r="I992" s="9" t="s">
        <v>15675</v>
      </c>
      <c r="J992" s="1" t="s">
        <v>15676</v>
      </c>
      <c r="K992" s="1" t="s">
        <v>102</v>
      </c>
      <c r="L992" s="1" t="s">
        <v>103</v>
      </c>
      <c r="M992" s="1" t="s">
        <v>13917</v>
      </c>
      <c r="N992" s="1" t="s">
        <v>15677</v>
      </c>
      <c r="O992" s="1" t="s">
        <v>312</v>
      </c>
      <c r="P992" s="1" t="s">
        <v>237</v>
      </c>
      <c r="Q992" s="1" t="s">
        <v>440</v>
      </c>
      <c r="R992" s="1" t="s">
        <v>15678</v>
      </c>
      <c r="S992" s="1" t="s">
        <v>1060</v>
      </c>
      <c r="Z992" s="1" t="s">
        <v>15679</v>
      </c>
      <c r="AA992" s="1" t="s">
        <v>15680</v>
      </c>
      <c r="AF992" s="1" t="s">
        <v>15681</v>
      </c>
      <c r="AG992" s="1">
        <v>7.179487815E9</v>
      </c>
      <c r="AJ992" s="1">
        <v>166.0</v>
      </c>
      <c r="AK992" s="1">
        <v>65.0</v>
      </c>
      <c r="AL992" s="1" t="s">
        <v>15682</v>
      </c>
      <c r="AM992" s="1" t="s">
        <v>15683</v>
      </c>
      <c r="AN992" s="7" t="s">
        <v>15684</v>
      </c>
      <c r="AO992" s="8" t="str">
        <f>HYPERLINK("https://docs.google.com/document/d/1-NvdE5bnZe10MtS5vHpYcgbiRD2HMzk08MnxOoIc0Cw/edit?usp=drivesdk","Al-Wildan 4 Lebak Bulus_Nabila Ayuningtyas,S.Or_Guru PJOK")</f>
        <v>Al-Wildan 4 Lebak Bulus_Nabila Ayuningtyas,S.Or_Guru PJOK</v>
      </c>
      <c r="AP992" s="1" t="s">
        <v>15685</v>
      </c>
    </row>
    <row r="993">
      <c r="A993" s="6">
        <v>45463.702791724536</v>
      </c>
      <c r="B993" s="7" t="s">
        <v>15686</v>
      </c>
      <c r="C993" s="8" t="s">
        <v>15687</v>
      </c>
      <c r="D993" s="1" t="s">
        <v>15688</v>
      </c>
      <c r="E993" s="9" t="s">
        <v>15689</v>
      </c>
      <c r="F993" s="1" t="s">
        <v>15690</v>
      </c>
      <c r="G993" s="1" t="s">
        <v>15691</v>
      </c>
      <c r="H993" s="1" t="s">
        <v>169</v>
      </c>
      <c r="I993" s="9" t="s">
        <v>15692</v>
      </c>
      <c r="J993" s="1" t="s">
        <v>15693</v>
      </c>
      <c r="K993" s="1" t="s">
        <v>151</v>
      </c>
      <c r="L993" s="1" t="s">
        <v>103</v>
      </c>
      <c r="M993" s="1" t="s">
        <v>104</v>
      </c>
      <c r="N993" s="1" t="s">
        <v>2883</v>
      </c>
      <c r="O993" s="1" t="s">
        <v>312</v>
      </c>
      <c r="P993" s="1" t="s">
        <v>237</v>
      </c>
      <c r="Q993" s="1" t="s">
        <v>15694</v>
      </c>
      <c r="R993" s="1" t="s">
        <v>126</v>
      </c>
      <c r="S993" s="1" t="s">
        <v>753</v>
      </c>
      <c r="Z993" s="1" t="s">
        <v>15695</v>
      </c>
      <c r="AA993" s="1" t="s">
        <v>15696</v>
      </c>
      <c r="AF993" s="10">
        <v>5100000.0</v>
      </c>
      <c r="AH993" s="9" t="s">
        <v>15697</v>
      </c>
      <c r="AI993" s="1" t="s">
        <v>159</v>
      </c>
      <c r="AJ993" s="1">
        <v>161.0</v>
      </c>
      <c r="AK993" s="1">
        <v>51.0</v>
      </c>
      <c r="AL993" s="1" t="s">
        <v>15698</v>
      </c>
      <c r="AM993" s="1" t="s">
        <v>15699</v>
      </c>
      <c r="AN993" s="7" t="s">
        <v>15700</v>
      </c>
      <c r="AO993" s="8" t="str">
        <f>HYPERLINK("https://docs.google.com/document/d/1ws7ZQvbCKq_8c8re33K1JZWkqpGoGQkwG5fqqiyjvPk/edit?usp=drivesdk","Al-Wildan 4 Lebak Bulus_Ratna Nur Aini Kamilia, S. Mat_Math")</f>
        <v>Al-Wildan 4 Lebak Bulus_Ratna Nur Aini Kamilia, S. Mat_Math</v>
      </c>
      <c r="AP993" s="1" t="s">
        <v>15701</v>
      </c>
    </row>
    <row r="994">
      <c r="A994" s="6">
        <v>45465.70096773148</v>
      </c>
      <c r="B994" s="7" t="s">
        <v>15702</v>
      </c>
      <c r="C994" s="8" t="s">
        <v>15703</v>
      </c>
      <c r="D994" s="1" t="s">
        <v>15704</v>
      </c>
      <c r="E994" s="9" t="s">
        <v>15705</v>
      </c>
      <c r="F994" s="1" t="s">
        <v>15706</v>
      </c>
      <c r="G994" s="1" t="s">
        <v>15707</v>
      </c>
      <c r="H994" s="1" t="s">
        <v>288</v>
      </c>
      <c r="I994" s="9" t="s">
        <v>15708</v>
      </c>
      <c r="J994" s="1" t="s">
        <v>15709</v>
      </c>
      <c r="K994" s="1" t="s">
        <v>102</v>
      </c>
      <c r="L994" s="1" t="s">
        <v>103</v>
      </c>
      <c r="M994" s="1" t="s">
        <v>104</v>
      </c>
      <c r="N994" s="1" t="s">
        <v>15710</v>
      </c>
      <c r="O994" s="1" t="s">
        <v>127</v>
      </c>
      <c r="P994" s="1" t="s">
        <v>7162</v>
      </c>
      <c r="Q994" s="1" t="s">
        <v>11883</v>
      </c>
      <c r="R994" s="1" t="s">
        <v>8140</v>
      </c>
      <c r="S994" s="1">
        <v>3.92</v>
      </c>
      <c r="Z994" s="1" t="s">
        <v>15711</v>
      </c>
      <c r="AA994" s="10">
        <v>7000000.0</v>
      </c>
      <c r="AB994" s="1" t="s">
        <v>15712</v>
      </c>
      <c r="AC994" s="10">
        <v>6000000.0</v>
      </c>
      <c r="AD994" s="1" t="s">
        <v>15713</v>
      </c>
      <c r="AE994" s="10">
        <v>3500000.0</v>
      </c>
      <c r="AF994" s="10">
        <v>6500000.0</v>
      </c>
      <c r="AH994" s="1">
        <v>1.560015528609E12</v>
      </c>
      <c r="AI994" s="1" t="s">
        <v>2119</v>
      </c>
      <c r="AJ994" s="1">
        <v>165.0</v>
      </c>
      <c r="AK994" s="1">
        <v>72.0</v>
      </c>
      <c r="AL994" s="1" t="s">
        <v>15714</v>
      </c>
      <c r="AM994" s="1" t="s">
        <v>15715</v>
      </c>
      <c r="AN994" s="7" t="s">
        <v>15716</v>
      </c>
      <c r="AO994" s="8" t="str">
        <f>HYPERLINK("https://docs.google.com/document/d/1d29k_fi_vBYN_Xm91JTqm_Irv5A6OPI0UPuXXtU66-g/edit?usp=drivesdk","Al-Wildan 7 Serang_Damanhuri S.Pd_Arabic / Diniyyah")</f>
        <v>Al-Wildan 7 Serang_Damanhuri S.Pd_Arabic / Diniyyah</v>
      </c>
      <c r="AP994" s="1" t="s">
        <v>15717</v>
      </c>
    </row>
    <row r="995">
      <c r="A995" s="6">
        <v>45465.86942809028</v>
      </c>
      <c r="B995" s="7" t="s">
        <v>15718</v>
      </c>
      <c r="C995" s="8" t="s">
        <v>15719</v>
      </c>
      <c r="D995" s="1" t="s">
        <v>15498</v>
      </c>
      <c r="E995" s="9" t="s">
        <v>15499</v>
      </c>
      <c r="F995" s="1" t="s">
        <v>15500</v>
      </c>
      <c r="G995" s="1" t="s">
        <v>148</v>
      </c>
      <c r="H995" s="1" t="s">
        <v>1555</v>
      </c>
      <c r="I995" s="1" t="s">
        <v>15501</v>
      </c>
      <c r="J995" s="1" t="s">
        <v>15720</v>
      </c>
      <c r="K995" s="1" t="s">
        <v>151</v>
      </c>
      <c r="L995" s="1" t="s">
        <v>329</v>
      </c>
      <c r="M995" s="1" t="s">
        <v>8769</v>
      </c>
      <c r="N995" s="1" t="s">
        <v>311</v>
      </c>
      <c r="O995" s="1" t="s">
        <v>106</v>
      </c>
      <c r="P995" s="1" t="s">
        <v>6659</v>
      </c>
      <c r="Q995" s="1" t="s">
        <v>217</v>
      </c>
      <c r="R995" s="1" t="s">
        <v>217</v>
      </c>
      <c r="Z995" s="1" t="s">
        <v>15721</v>
      </c>
      <c r="AA995" s="1" t="s">
        <v>15503</v>
      </c>
      <c r="AB995" s="1" t="s">
        <v>15722</v>
      </c>
      <c r="AC995" s="1" t="s">
        <v>15505</v>
      </c>
      <c r="AD995" s="1" t="s">
        <v>15723</v>
      </c>
      <c r="AE995" s="1" t="s">
        <v>15507</v>
      </c>
      <c r="AF995" s="1" t="s">
        <v>15724</v>
      </c>
      <c r="AG995" s="1">
        <v>7.241464697E9</v>
      </c>
      <c r="AI995" s="1" t="s">
        <v>10433</v>
      </c>
      <c r="AJ995" s="1">
        <v>158.0</v>
      </c>
      <c r="AK995" s="1">
        <v>75.0</v>
      </c>
      <c r="AL995" s="1" t="s">
        <v>15509</v>
      </c>
      <c r="AM995" s="1" t="s">
        <v>15725</v>
      </c>
      <c r="AN995" s="7" t="s">
        <v>15726</v>
      </c>
      <c r="AO995" s="8" t="str">
        <f>HYPERLINK("https://docs.google.com/document/d/1sPrBpheKjlo4rtEgqy6jxE4OT7S_QI1081M8Ll_5pTs/edit?usp=drivesdk","Al-Wildan 15 Kompas Indah, Tambun Bekasi._Rin Rin Rinjani Marijan_Al Qur'an")</f>
        <v>Al-Wildan 15 Kompas Indah, Tambun Bekasi._Rin Rin Rinjani Marijan_Al Qur'an</v>
      </c>
      <c r="AP995" s="1" t="s">
        <v>15727</v>
      </c>
    </row>
    <row r="996">
      <c r="A996" s="6">
        <v>45465.964251655096</v>
      </c>
      <c r="B996" s="7" t="s">
        <v>15728</v>
      </c>
      <c r="C996" s="8" t="s">
        <v>15729</v>
      </c>
      <c r="D996" s="1" t="s">
        <v>15730</v>
      </c>
      <c r="E996" s="9" t="s">
        <v>15731</v>
      </c>
      <c r="F996" s="1" t="s">
        <v>15732</v>
      </c>
      <c r="G996" s="1" t="s">
        <v>15733</v>
      </c>
      <c r="H996" s="1" t="s">
        <v>99</v>
      </c>
      <c r="I996" s="9" t="s">
        <v>15734</v>
      </c>
      <c r="J996" s="1" t="s">
        <v>13442</v>
      </c>
      <c r="K996" s="1" t="s">
        <v>151</v>
      </c>
      <c r="L996" s="1" t="s">
        <v>103</v>
      </c>
      <c r="M996" s="1" t="s">
        <v>104</v>
      </c>
      <c r="N996" s="1" t="s">
        <v>4332</v>
      </c>
      <c r="O996" s="1" t="s">
        <v>127</v>
      </c>
      <c r="P996" s="1" t="s">
        <v>7162</v>
      </c>
      <c r="Q996" s="1" t="s">
        <v>1022</v>
      </c>
      <c r="R996" s="1" t="s">
        <v>2249</v>
      </c>
      <c r="S996" s="1" t="s">
        <v>7842</v>
      </c>
      <c r="AF996" s="10">
        <v>6200000.0</v>
      </c>
      <c r="AG996" s="1">
        <v>7.78624388E9</v>
      </c>
      <c r="AJ996" s="1">
        <v>176.0</v>
      </c>
      <c r="AK996" s="1">
        <v>97.0</v>
      </c>
      <c r="AL996" s="1" t="s">
        <v>15735</v>
      </c>
      <c r="AM996" s="1" t="s">
        <v>15736</v>
      </c>
      <c r="AN996" s="7" t="s">
        <v>15737</v>
      </c>
      <c r="AO996" s="8" t="str">
        <f>HYPERLINK("https://docs.google.com/document/d/1d0Jkqtjy9KmjLfu6bbMC9SyLsHOyMQ6Cq5KZKUFZLtM/edit?usp=drivesdk","Al-Wildan 7 Serang_Idham Arkan Ramadhan, B.A._arabic")</f>
        <v>Al-Wildan 7 Serang_Idham Arkan Ramadhan, B.A._arabic</v>
      </c>
      <c r="AP996" s="1" t="s">
        <v>15738</v>
      </c>
    </row>
    <row r="997">
      <c r="A997" s="6">
        <v>45466.625449513886</v>
      </c>
      <c r="B997" s="7" t="s">
        <v>15739</v>
      </c>
      <c r="C997" s="8" t="s">
        <v>15740</v>
      </c>
      <c r="D997" s="1" t="s">
        <v>15741</v>
      </c>
      <c r="E997" s="9" t="s">
        <v>15742</v>
      </c>
      <c r="F997" s="1" t="s">
        <v>15743</v>
      </c>
      <c r="G997" s="1" t="s">
        <v>15744</v>
      </c>
      <c r="H997" s="1" t="s">
        <v>2076</v>
      </c>
      <c r="I997" s="9" t="s">
        <v>15745</v>
      </c>
      <c r="J997" s="1" t="s">
        <v>15746</v>
      </c>
      <c r="K997" s="1" t="s">
        <v>102</v>
      </c>
      <c r="L997" s="1" t="s">
        <v>103</v>
      </c>
      <c r="M997" s="1" t="s">
        <v>6060</v>
      </c>
      <c r="O997" s="1" t="s">
        <v>312</v>
      </c>
      <c r="P997" s="1" t="s">
        <v>6659</v>
      </c>
      <c r="Q997" s="1" t="s">
        <v>15747</v>
      </c>
      <c r="R997" s="1" t="s">
        <v>15748</v>
      </c>
      <c r="S997" s="1">
        <v>2.82</v>
      </c>
      <c r="Z997" s="1" t="s">
        <v>15749</v>
      </c>
      <c r="AA997" s="1" t="s">
        <v>15750</v>
      </c>
      <c r="AF997" s="1" t="s">
        <v>15751</v>
      </c>
      <c r="AH997" s="1">
        <v>1.560004152106E12</v>
      </c>
      <c r="AI997" s="1" t="s">
        <v>4483</v>
      </c>
      <c r="AJ997" s="1">
        <v>165.0</v>
      </c>
      <c r="AK997" s="1">
        <v>98.0</v>
      </c>
      <c r="AL997" s="1" t="s">
        <v>15752</v>
      </c>
      <c r="AM997" s="1" t="s">
        <v>15753</v>
      </c>
      <c r="AN997" s="7" t="s">
        <v>15754</v>
      </c>
      <c r="AO997" s="8" t="str">
        <f>HYPERLINK("https://docs.google.com/document/d/1hYCec-bOS8VuTN5OKBCUJz3YY45Hy7w9FSnZL4j0pyg/edit?usp=drivesdk","Al-Wildan 15 Kompas Indah, Tambun Bekasi._Fernando Rizky Suryo Mataram, S.Kom_")</f>
        <v>Al-Wildan 15 Kompas Indah, Tambun Bekasi._Fernando Rizky Suryo Mataram, S.Kom_</v>
      </c>
      <c r="AP997" s="1" t="s">
        <v>15755</v>
      </c>
    </row>
    <row r="998">
      <c r="A998" s="6">
        <v>45467.007477638894</v>
      </c>
      <c r="B998" s="7" t="s">
        <v>15756</v>
      </c>
      <c r="C998" s="8" t="s">
        <v>15757</v>
      </c>
      <c r="D998" s="1" t="s">
        <v>15758</v>
      </c>
      <c r="E998" s="9" t="s">
        <v>15759</v>
      </c>
      <c r="F998" s="1" t="s">
        <v>15760</v>
      </c>
      <c r="G998" s="1" t="s">
        <v>15761</v>
      </c>
      <c r="H998" s="1" t="s">
        <v>169</v>
      </c>
      <c r="I998" s="9" t="s">
        <v>15762</v>
      </c>
      <c r="J998" s="1" t="s">
        <v>8497</v>
      </c>
      <c r="K998" s="1" t="s">
        <v>151</v>
      </c>
      <c r="L998" s="1" t="s">
        <v>496</v>
      </c>
      <c r="M998" s="1" t="s">
        <v>104</v>
      </c>
      <c r="N998" s="1" t="s">
        <v>13408</v>
      </c>
      <c r="O998" s="1" t="s">
        <v>236</v>
      </c>
      <c r="P998" s="1" t="s">
        <v>11207</v>
      </c>
      <c r="Q998" s="1" t="s">
        <v>275</v>
      </c>
      <c r="R998" s="1" t="s">
        <v>12564</v>
      </c>
      <c r="S998" s="1" t="s">
        <v>3093</v>
      </c>
      <c r="Z998" s="1" t="s">
        <v>15763</v>
      </c>
      <c r="AA998" s="10">
        <v>5200000.0</v>
      </c>
      <c r="AF998" s="10">
        <v>5500000.0</v>
      </c>
      <c r="AG998" s="1">
        <v>7.187740047E9</v>
      </c>
      <c r="AI998" s="1" t="s">
        <v>5561</v>
      </c>
      <c r="AJ998" s="1">
        <v>157.0</v>
      </c>
      <c r="AK998" s="1">
        <v>53.0</v>
      </c>
      <c r="AL998" s="1" t="s">
        <v>15764</v>
      </c>
      <c r="AM998" s="1" t="s">
        <v>15765</v>
      </c>
      <c r="AN998" s="7" t="s">
        <v>15766</v>
      </c>
      <c r="AO998" s="8" t="str">
        <f>HYPERLINK("https://docs.google.com/document/d/1GFnpAxy3162oOLv_LzD6JrTsDPvbcA26bPj8aCuqG3g/edit?usp=drivesdk","Al-Wildan 16 Ciledug_Putri Amanda Zumayah, S.Hum._IPS")</f>
        <v>Al-Wildan 16 Ciledug_Putri Amanda Zumayah, S.Hum._IPS</v>
      </c>
      <c r="AP998" s="1" t="s">
        <v>15767</v>
      </c>
    </row>
    <row r="999">
      <c r="A999" s="6">
        <v>45467.223411342595</v>
      </c>
      <c r="B999" s="7" t="s">
        <v>15768</v>
      </c>
      <c r="C999" s="8" t="s">
        <v>15769</v>
      </c>
      <c r="D999" s="1" t="s">
        <v>15770</v>
      </c>
      <c r="E999" s="9" t="s">
        <v>15771</v>
      </c>
      <c r="F999" s="1" t="s">
        <v>15772</v>
      </c>
      <c r="G999" s="1" t="s">
        <v>15773</v>
      </c>
      <c r="H999" s="1" t="s">
        <v>751</v>
      </c>
      <c r="I999" s="9" t="s">
        <v>15774</v>
      </c>
      <c r="J999" s="1" t="s">
        <v>6917</v>
      </c>
      <c r="K999" s="1" t="s">
        <v>151</v>
      </c>
      <c r="L999" s="1" t="s">
        <v>103</v>
      </c>
      <c r="M999" s="1" t="s">
        <v>104</v>
      </c>
      <c r="N999" s="1" t="s">
        <v>552</v>
      </c>
      <c r="O999" s="1" t="s">
        <v>236</v>
      </c>
      <c r="P999" s="1" t="s">
        <v>237</v>
      </c>
      <c r="Q999" s="1" t="s">
        <v>153</v>
      </c>
      <c r="R999" s="1" t="s">
        <v>410</v>
      </c>
      <c r="S999" s="1">
        <v>3.24</v>
      </c>
      <c r="Z999" s="1" t="s">
        <v>15775</v>
      </c>
      <c r="AA999" s="1" t="s">
        <v>15776</v>
      </c>
      <c r="AF999" s="10">
        <v>5500000.0</v>
      </c>
      <c r="AG999" s="1">
        <v>7.220279612E9</v>
      </c>
      <c r="AJ999" s="1">
        <v>166.0</v>
      </c>
      <c r="AK999" s="1">
        <v>62.0</v>
      </c>
      <c r="AL999" s="1" t="s">
        <v>15777</v>
      </c>
      <c r="AM999" s="1" t="s">
        <v>15778</v>
      </c>
      <c r="AN999" s="7" t="s">
        <v>15779</v>
      </c>
      <c r="AO999" s="8" t="str">
        <f>HYPERLINK("https://docs.google.com/document/d/16cfxf7_mPM07oqpeSVwtiSqBe5jCdVOFiIV3zuLE9QE/edit?usp=drivesdk","Al-Wildan 4 Lebak Bulus_Arief Mufadhdhol, S.Pd_Fisika")</f>
        <v>Al-Wildan 4 Lebak Bulus_Arief Mufadhdhol, S.Pd_Fisika</v>
      </c>
      <c r="AP999" s="1" t="s">
        <v>15780</v>
      </c>
    </row>
    <row r="1000">
      <c r="A1000" s="6">
        <v>45467.46895412037</v>
      </c>
      <c r="B1000" s="7" t="s">
        <v>15781</v>
      </c>
      <c r="C1000" s="8" t="s">
        <v>15782</v>
      </c>
      <c r="D1000" s="1" t="s">
        <v>15783</v>
      </c>
      <c r="E1000" s="9" t="s">
        <v>15784</v>
      </c>
      <c r="F1000" s="1" t="s">
        <v>15785</v>
      </c>
      <c r="G1000" s="1" t="s">
        <v>15786</v>
      </c>
      <c r="H1000" s="1" t="s">
        <v>169</v>
      </c>
      <c r="I1000" s="9" t="s">
        <v>15787</v>
      </c>
      <c r="J1000" s="1" t="s">
        <v>2306</v>
      </c>
      <c r="K1000" s="1" t="s">
        <v>151</v>
      </c>
      <c r="L1000" s="1" t="s">
        <v>256</v>
      </c>
      <c r="M1000" s="1" t="s">
        <v>104</v>
      </c>
      <c r="N1000" s="1" t="s">
        <v>152</v>
      </c>
      <c r="O1000" s="1" t="s">
        <v>9794</v>
      </c>
      <c r="P1000" s="1" t="s">
        <v>7991</v>
      </c>
      <c r="Q1000" s="1" t="s">
        <v>7410</v>
      </c>
      <c r="R1000" s="1" t="s">
        <v>172</v>
      </c>
      <c r="S1000" s="1" t="s">
        <v>426</v>
      </c>
      <c r="Z1000" s="1" t="s">
        <v>15788</v>
      </c>
      <c r="AA1000" s="10">
        <v>2000000.0</v>
      </c>
      <c r="AF1000" s="10">
        <v>5300000.0</v>
      </c>
      <c r="AH1000" s="1">
        <v>2.0907365E9</v>
      </c>
      <c r="AI1000" s="1" t="s">
        <v>222</v>
      </c>
      <c r="AJ1000" s="1">
        <v>169.0</v>
      </c>
      <c r="AK1000" s="1">
        <v>64.0</v>
      </c>
      <c r="AL1000" s="1" t="s">
        <v>15789</v>
      </c>
      <c r="AM1000" s="1" t="s">
        <v>15790</v>
      </c>
      <c r="AN1000" s="7" t="s">
        <v>15791</v>
      </c>
      <c r="AO1000" s="8" t="str">
        <f>HYPERLINK("https://docs.google.com/document/d/1EluECZ8rUr012HFoDO4qXS9Q81MMR0zm5eYCeRIpLyU/edit?usp=drivesdk","Al-Wildan 12 Bulak Kapal, Bekasi_Wibi Simka S.Pd_Bahasa Inggris")</f>
        <v>Al-Wildan 12 Bulak Kapal, Bekasi_Wibi Simka S.Pd_Bahasa Inggris</v>
      </c>
      <c r="AP1000" s="1" t="s">
        <v>15792</v>
      </c>
    </row>
    <row r="1001">
      <c r="A1001" s="6">
        <v>45467.53019773148</v>
      </c>
      <c r="B1001" s="7" t="s">
        <v>15793</v>
      </c>
      <c r="C1001" s="8" t="s">
        <v>15794</v>
      </c>
      <c r="D1001" s="1" t="s">
        <v>15795</v>
      </c>
      <c r="E1001" s="9" t="s">
        <v>15796</v>
      </c>
      <c r="F1001" s="1" t="s">
        <v>15797</v>
      </c>
      <c r="G1001" s="1" t="s">
        <v>15798</v>
      </c>
      <c r="H1001" s="1" t="s">
        <v>169</v>
      </c>
      <c r="I1001" s="9" t="s">
        <v>15799</v>
      </c>
      <c r="J1001" s="1" t="s">
        <v>15800</v>
      </c>
      <c r="K1001" s="1" t="s">
        <v>151</v>
      </c>
      <c r="L1001" s="1" t="s">
        <v>496</v>
      </c>
      <c r="M1001" s="1" t="s">
        <v>8769</v>
      </c>
      <c r="N1001" s="1" t="s">
        <v>217</v>
      </c>
      <c r="O1001" s="1" t="s">
        <v>127</v>
      </c>
      <c r="P1001" s="1" t="s">
        <v>6659</v>
      </c>
      <c r="Q1001" s="1" t="s">
        <v>15801</v>
      </c>
      <c r="R1001" s="1" t="s">
        <v>5384</v>
      </c>
      <c r="S1001" s="1" t="s">
        <v>217</v>
      </c>
      <c r="T1001" s="1" t="s">
        <v>217</v>
      </c>
      <c r="U1001" s="1" t="s">
        <v>217</v>
      </c>
      <c r="V1001" s="1" t="s">
        <v>217</v>
      </c>
      <c r="W1001" s="1" t="s">
        <v>217</v>
      </c>
      <c r="X1001" s="1" t="s">
        <v>217</v>
      </c>
      <c r="Z1001" s="1" t="s">
        <v>15802</v>
      </c>
      <c r="AA1001" s="10">
        <v>2400000.0</v>
      </c>
      <c r="AB1001" s="1" t="s">
        <v>217</v>
      </c>
      <c r="AC1001" s="1" t="s">
        <v>217</v>
      </c>
      <c r="AD1001" s="1" t="s">
        <v>217</v>
      </c>
      <c r="AE1001" s="1" t="s">
        <v>217</v>
      </c>
      <c r="AF1001" s="1" t="s">
        <v>15803</v>
      </c>
      <c r="AG1001" s="1">
        <v>7.244059508E9</v>
      </c>
      <c r="AI1001" s="1" t="s">
        <v>5131</v>
      </c>
      <c r="AJ1001" s="1">
        <v>160.0</v>
      </c>
      <c r="AK1001" s="1">
        <v>47.0</v>
      </c>
      <c r="AL1001" s="1" t="s">
        <v>15804</v>
      </c>
      <c r="AM1001" s="1" t="s">
        <v>15805</v>
      </c>
      <c r="AN1001" s="7" t="s">
        <v>15806</v>
      </c>
      <c r="AO1001" s="8" t="str">
        <f>HYPERLINK("https://docs.google.com/document/d/1UI0aUhbG8bKrU_M81vOHzPamHJ-CA_8AlOK3Kf5N_oQ/edit?usp=drivesdk","Al-Wildan 15 Kompas Indah, Tambun Bekasi._Najwa Nada Nabiela_-")</f>
        <v>Al-Wildan 15 Kompas Indah, Tambun Bekasi._Najwa Nada Nabiela_-</v>
      </c>
      <c r="AP1001" s="1" t="s">
        <v>15807</v>
      </c>
    </row>
    <row r="1002">
      <c r="A1002" s="6">
        <v>45467.55775324074</v>
      </c>
      <c r="B1002" s="7" t="s">
        <v>15808</v>
      </c>
      <c r="C1002" s="8" t="s">
        <v>15809</v>
      </c>
      <c r="D1002" s="1" t="s">
        <v>15741</v>
      </c>
      <c r="E1002" s="9" t="s">
        <v>15742</v>
      </c>
      <c r="F1002" s="1" t="s">
        <v>15743</v>
      </c>
      <c r="G1002" s="1" t="s">
        <v>15810</v>
      </c>
      <c r="H1002" s="1" t="s">
        <v>15811</v>
      </c>
      <c r="I1002" s="9" t="s">
        <v>15745</v>
      </c>
      <c r="J1002" s="1" t="s">
        <v>15812</v>
      </c>
      <c r="K1002" s="1" t="s">
        <v>102</v>
      </c>
      <c r="L1002" s="1" t="s">
        <v>103</v>
      </c>
      <c r="M1002" s="1" t="s">
        <v>6060</v>
      </c>
      <c r="O1002" s="1" t="s">
        <v>127</v>
      </c>
      <c r="P1002" s="1" t="s">
        <v>6659</v>
      </c>
      <c r="Q1002" s="1" t="s">
        <v>15747</v>
      </c>
      <c r="R1002" s="1" t="s">
        <v>15748</v>
      </c>
      <c r="S1002" s="1" t="s">
        <v>15813</v>
      </c>
      <c r="Z1002" s="1" t="s">
        <v>15814</v>
      </c>
      <c r="AA1002" s="1" t="s">
        <v>15750</v>
      </c>
      <c r="AF1002" s="1" t="s">
        <v>15751</v>
      </c>
      <c r="AH1002" s="1">
        <v>1.560004152106E12</v>
      </c>
      <c r="AI1002" s="1" t="s">
        <v>15815</v>
      </c>
      <c r="AJ1002" s="1">
        <v>165.0</v>
      </c>
      <c r="AK1002" s="1">
        <v>98.0</v>
      </c>
      <c r="AL1002" s="1" t="s">
        <v>15752</v>
      </c>
      <c r="AM1002" s="1" t="s">
        <v>15816</v>
      </c>
      <c r="AN1002" s="7" t="s">
        <v>15817</v>
      </c>
      <c r="AO1002" s="8" t="str">
        <f>HYPERLINK("https://docs.google.com/document/d/1HVHU56xw7dGQ1APuwfxATUjHajUd1uWTxyzztPpCUIQ/edit?usp=drivesdk","Al-Wildan 15 Kompas Indah, Tambun Bekasi._Fernando Rizky Suryo Mataram, S.Kom_")</f>
        <v>Al-Wildan 15 Kompas Indah, Tambun Bekasi._Fernando Rizky Suryo Mataram, S.Kom_</v>
      </c>
      <c r="AP1002" s="1" t="s">
        <v>15818</v>
      </c>
    </row>
    <row r="1003">
      <c r="A1003" s="6">
        <v>45467.56886540509</v>
      </c>
      <c r="B1003" s="7" t="s">
        <v>15819</v>
      </c>
      <c r="C1003" s="8" t="s">
        <v>15820</v>
      </c>
      <c r="D1003" s="1" t="s">
        <v>15821</v>
      </c>
      <c r="E1003" s="9" t="s">
        <v>15822</v>
      </c>
      <c r="F1003" s="1" t="s">
        <v>15823</v>
      </c>
      <c r="G1003" s="1" t="s">
        <v>15824</v>
      </c>
      <c r="H1003" s="1" t="s">
        <v>12865</v>
      </c>
      <c r="I1003" s="9" t="s">
        <v>15825</v>
      </c>
      <c r="J1003" s="1" t="s">
        <v>533</v>
      </c>
      <c r="K1003" s="1" t="s">
        <v>151</v>
      </c>
      <c r="L1003" s="1" t="s">
        <v>103</v>
      </c>
      <c r="M1003" s="1" t="s">
        <v>424</v>
      </c>
      <c r="N1003" s="1" t="s">
        <v>6106</v>
      </c>
      <c r="O1003" s="1" t="s">
        <v>236</v>
      </c>
      <c r="P1003" s="1" t="s">
        <v>6187</v>
      </c>
      <c r="Q1003" s="1" t="s">
        <v>15826</v>
      </c>
      <c r="R1003" s="1" t="s">
        <v>11140</v>
      </c>
      <c r="S1003" s="1">
        <v>3.55</v>
      </c>
      <c r="Z1003" s="1" t="s">
        <v>15827</v>
      </c>
      <c r="AA1003" s="10">
        <v>3000000.0</v>
      </c>
      <c r="AB1003" s="1" t="s">
        <v>15828</v>
      </c>
      <c r="AC1003" s="10">
        <v>4500000.0</v>
      </c>
      <c r="AD1003" s="1" t="s">
        <v>15829</v>
      </c>
      <c r="AE1003" s="10">
        <v>2000000.0</v>
      </c>
      <c r="AF1003" s="10">
        <v>4000000.0</v>
      </c>
      <c r="AH1003" s="9" t="s">
        <v>15830</v>
      </c>
      <c r="AI1003" s="1" t="s">
        <v>8293</v>
      </c>
      <c r="AJ1003" s="1">
        <v>157.0</v>
      </c>
      <c r="AK1003" s="1">
        <v>70.0</v>
      </c>
      <c r="AL1003" s="1" t="s">
        <v>15831</v>
      </c>
      <c r="AM1003" s="1" t="s">
        <v>15832</v>
      </c>
      <c r="AN1003" s="7" t="s">
        <v>15833</v>
      </c>
      <c r="AO1003" s="8" t="str">
        <f>HYPERLINK("https://docs.google.com/document/d/1IkejEWDe0CnvlfDgFqxiGBkX3lFetmaOJDncR4bjZuA/edit?usp=drivesdk","Al-Wildan 14 Bumi Mutiara, Bogor_Rika Meirika, S. Sos_Bimbingan Konseling")</f>
        <v>Al-Wildan 14 Bumi Mutiara, Bogor_Rika Meirika, S. Sos_Bimbingan Konseling</v>
      </c>
      <c r="AP1003" s="1" t="s">
        <v>15834</v>
      </c>
    </row>
    <row r="1004">
      <c r="A1004" s="6">
        <v>45468.54233818287</v>
      </c>
      <c r="B1004" s="7" t="s">
        <v>15835</v>
      </c>
      <c r="C1004" s="8" t="s">
        <v>15836</v>
      </c>
      <c r="D1004" s="1" t="s">
        <v>15837</v>
      </c>
      <c r="E1004" s="9" t="s">
        <v>15838</v>
      </c>
      <c r="F1004" s="1" t="s">
        <v>15839</v>
      </c>
      <c r="G1004" s="1" t="s">
        <v>15840</v>
      </c>
      <c r="H1004" s="1" t="s">
        <v>4905</v>
      </c>
      <c r="I1004" s="9" t="s">
        <v>15841</v>
      </c>
      <c r="J1004" s="1" t="s">
        <v>4542</v>
      </c>
      <c r="K1004" s="1" t="s">
        <v>151</v>
      </c>
      <c r="L1004" s="1" t="s">
        <v>329</v>
      </c>
      <c r="M1004" s="1" t="s">
        <v>104</v>
      </c>
      <c r="N1004" s="1" t="s">
        <v>126</v>
      </c>
      <c r="O1004" s="1" t="s">
        <v>312</v>
      </c>
      <c r="P1004" s="1" t="s">
        <v>11207</v>
      </c>
      <c r="Q1004" s="1" t="s">
        <v>15842</v>
      </c>
      <c r="R1004" s="1" t="s">
        <v>930</v>
      </c>
      <c r="S1004" s="1" t="s">
        <v>1023</v>
      </c>
      <c r="Z1004" s="1" t="s">
        <v>15843</v>
      </c>
      <c r="AA1004" s="10">
        <v>6500000.0</v>
      </c>
      <c r="AB1004" s="1" t="s">
        <v>15844</v>
      </c>
      <c r="AC1004" s="10">
        <v>1500000.0</v>
      </c>
      <c r="AD1004" s="1" t="s">
        <v>15845</v>
      </c>
      <c r="AE1004" s="10">
        <v>500000.0</v>
      </c>
      <c r="AF1004" s="10">
        <v>5000000.0</v>
      </c>
      <c r="AG1004" s="1">
        <v>7.132109413E9</v>
      </c>
      <c r="AJ1004" s="1">
        <v>170.0</v>
      </c>
      <c r="AK1004" s="1">
        <v>57.0</v>
      </c>
      <c r="AL1004" s="1" t="s">
        <v>15846</v>
      </c>
      <c r="AM1004" s="1" t="s">
        <v>15847</v>
      </c>
      <c r="AN1004" s="7" t="s">
        <v>15848</v>
      </c>
      <c r="AO1004" s="8" t="str">
        <f>HYPERLINK("https://docs.google.com/document/d/1YsfSQSyohDBjnlfaiOgFECYa4UCu5YfoaSd2A1N0hyo/edit?usp=drivesdk","Al-Wildan 16 Ciledug_Muhamad Roofi Zul Qois, S.T._Matematika")</f>
        <v>Al-Wildan 16 Ciledug_Muhamad Roofi Zul Qois, S.T._Matematika</v>
      </c>
      <c r="AP1004" s="1" t="s">
        <v>15849</v>
      </c>
    </row>
    <row r="1005">
      <c r="A1005" s="6">
        <v>45469.85392489583</v>
      </c>
      <c r="B1005" s="7" t="s">
        <v>15850</v>
      </c>
      <c r="C1005" s="8" t="s">
        <v>15851</v>
      </c>
      <c r="D1005" s="1" t="s">
        <v>15852</v>
      </c>
      <c r="E1005" s="9" t="s">
        <v>15853</v>
      </c>
      <c r="F1005" s="1" t="s">
        <v>15854</v>
      </c>
      <c r="G1005" s="1" t="s">
        <v>15855</v>
      </c>
      <c r="H1005" s="1" t="s">
        <v>148</v>
      </c>
      <c r="I1005" s="9" t="s">
        <v>15856</v>
      </c>
      <c r="J1005" s="1" t="s">
        <v>8497</v>
      </c>
      <c r="K1005" s="1" t="s">
        <v>151</v>
      </c>
      <c r="L1005" s="1" t="s">
        <v>103</v>
      </c>
      <c r="M1005" s="1" t="s">
        <v>104</v>
      </c>
      <c r="N1005" s="1" t="s">
        <v>2883</v>
      </c>
      <c r="O1005" s="1" t="s">
        <v>236</v>
      </c>
      <c r="P1005" s="1" t="s">
        <v>237</v>
      </c>
      <c r="Q1005" s="1" t="s">
        <v>2927</v>
      </c>
      <c r="R1005" s="1" t="s">
        <v>126</v>
      </c>
      <c r="S1005" s="9" t="s">
        <v>5613</v>
      </c>
      <c r="Z1005" s="1" t="s">
        <v>15857</v>
      </c>
      <c r="AA1005" s="10">
        <v>1500000.0</v>
      </c>
      <c r="AB1005" s="1" t="s">
        <v>15858</v>
      </c>
      <c r="AC1005" s="1" t="s">
        <v>15696</v>
      </c>
      <c r="AF1005" s="10">
        <v>5500000.0</v>
      </c>
      <c r="AH1005" s="9" t="s">
        <v>15859</v>
      </c>
      <c r="AI1005" s="1" t="s">
        <v>4929</v>
      </c>
      <c r="AJ1005" s="1">
        <v>174.0</v>
      </c>
      <c r="AK1005" s="1">
        <v>68.0</v>
      </c>
      <c r="AL1005" s="1" t="s">
        <v>15860</v>
      </c>
      <c r="AM1005" s="1" t="s">
        <v>15861</v>
      </c>
      <c r="AN1005" s="7" t="s">
        <v>15862</v>
      </c>
      <c r="AO1005" s="8" t="str">
        <f>HYPERLINK("https://docs.google.com/document/d/1kMGLF2iVY39PtZ147XipNEamx3RRoe-s6PH1c-qMdkg/edit?usp=drivesdk","Al-Wildan 4 Lebak Bulus_Aditya Alhadi Ramadhani, S.Si._Math")</f>
        <v>Al-Wildan 4 Lebak Bulus_Aditya Alhadi Ramadhani, S.Si._Math</v>
      </c>
      <c r="AP1005" s="1" t="s">
        <v>15863</v>
      </c>
    </row>
    <row r="1006">
      <c r="A1006" s="6">
        <v>45469.89311737269</v>
      </c>
      <c r="B1006" s="7" t="s">
        <v>15864</v>
      </c>
      <c r="C1006" s="8" t="s">
        <v>15865</v>
      </c>
      <c r="D1006" s="1" t="s">
        <v>15866</v>
      </c>
      <c r="E1006" s="9" t="s">
        <v>15867</v>
      </c>
      <c r="F1006" s="1" t="s">
        <v>15868</v>
      </c>
      <c r="G1006" s="1" t="s">
        <v>15869</v>
      </c>
      <c r="H1006" s="1" t="s">
        <v>99</v>
      </c>
      <c r="I1006" s="9" t="s">
        <v>15870</v>
      </c>
      <c r="J1006" s="1" t="s">
        <v>1005</v>
      </c>
      <c r="K1006" s="1" t="s">
        <v>151</v>
      </c>
      <c r="L1006" s="1" t="s">
        <v>496</v>
      </c>
      <c r="M1006" s="1" t="s">
        <v>5671</v>
      </c>
      <c r="O1006" s="1" t="s">
        <v>127</v>
      </c>
      <c r="P1006" s="1" t="s">
        <v>5712</v>
      </c>
      <c r="Q1006" s="1" t="s">
        <v>15871</v>
      </c>
      <c r="R1006" s="1" t="s">
        <v>15872</v>
      </c>
      <c r="Z1006" s="1" t="s">
        <v>2162</v>
      </c>
      <c r="AF1006" s="10">
        <v>2600000.0</v>
      </c>
      <c r="AG1006" s="1">
        <v>7.263785047E9</v>
      </c>
      <c r="AJ1006" s="1">
        <v>165.0</v>
      </c>
      <c r="AK1006" s="1">
        <v>65.0</v>
      </c>
      <c r="AL1006" s="1" t="s">
        <v>15873</v>
      </c>
      <c r="AM1006" s="1" t="s">
        <v>15874</v>
      </c>
      <c r="AN1006" s="7" t="s">
        <v>15875</v>
      </c>
      <c r="AO1006" s="8" t="str">
        <f>HYPERLINK("https://docs.google.com/document/d/1d5MHqn6jtK3ayZ0qAOIZ4AGEuYlpBoNDEXXl2MmPYpU/edit?usp=drivesdk","Al-Wildan 3 BSD City_Umar Zain Sarlata_")</f>
        <v>Al-Wildan 3 BSD City_Umar Zain Sarlata_</v>
      </c>
      <c r="AP1006" s="1" t="s">
        <v>15876</v>
      </c>
    </row>
    <row r="1007">
      <c r="A1007" s="6">
        <v>45470.42121053241</v>
      </c>
      <c r="B1007" s="7" t="s">
        <v>15877</v>
      </c>
      <c r="C1007" s="8" t="s">
        <v>15878</v>
      </c>
      <c r="D1007" s="1" t="s">
        <v>15879</v>
      </c>
      <c r="E1007" s="9" t="s">
        <v>15880</v>
      </c>
      <c r="F1007" s="1" t="s">
        <v>15881</v>
      </c>
      <c r="G1007" s="1" t="s">
        <v>15882</v>
      </c>
      <c r="H1007" s="1" t="s">
        <v>169</v>
      </c>
      <c r="I1007" s="9" t="s">
        <v>15883</v>
      </c>
      <c r="J1007" s="1" t="s">
        <v>10083</v>
      </c>
      <c r="K1007" s="1" t="s">
        <v>151</v>
      </c>
      <c r="L1007" s="1" t="s">
        <v>103</v>
      </c>
      <c r="M1007" s="1" t="s">
        <v>104</v>
      </c>
      <c r="N1007" s="1" t="s">
        <v>15884</v>
      </c>
      <c r="O1007" s="1" t="s">
        <v>127</v>
      </c>
      <c r="P1007" s="1" t="s">
        <v>11207</v>
      </c>
      <c r="Q1007" s="1" t="s">
        <v>108</v>
      </c>
      <c r="R1007" s="1" t="s">
        <v>130</v>
      </c>
      <c r="S1007" s="1" t="s">
        <v>4479</v>
      </c>
      <c r="T1007" s="1" t="s">
        <v>6011</v>
      </c>
      <c r="U1007" s="1" t="s">
        <v>130</v>
      </c>
      <c r="V1007" s="1" t="s">
        <v>5523</v>
      </c>
      <c r="Z1007" s="1" t="s">
        <v>15885</v>
      </c>
      <c r="AA1007" s="10">
        <v>6800000.0</v>
      </c>
      <c r="AB1007" s="1" t="s">
        <v>15886</v>
      </c>
      <c r="AF1007" s="10">
        <v>9000000.0</v>
      </c>
      <c r="AG1007" s="1">
        <v>8.67922779E9</v>
      </c>
      <c r="AJ1007" s="1">
        <v>160.0</v>
      </c>
      <c r="AK1007" s="1">
        <v>44.0</v>
      </c>
      <c r="AL1007" s="1" t="s">
        <v>15887</v>
      </c>
      <c r="AM1007" s="1" t="s">
        <v>15888</v>
      </c>
      <c r="AN1007" s="7" t="s">
        <v>15889</v>
      </c>
      <c r="AO1007" s="8" t="str">
        <f>HYPERLINK("https://docs.google.com/document/d/1BT_P3IO8Drk-Xqy2uZL50deTYQe1EmxMEfqRHkKohT4/edit?usp=drivesdk","Al-Wildan 16 Ciledug_YUSRINA WARDANI, M.Pd., Gr._Mathematics Cambridge")</f>
        <v>Al-Wildan 16 Ciledug_YUSRINA WARDANI, M.Pd., Gr._Mathematics Cambridge</v>
      </c>
      <c r="AP1007" s="1" t="s">
        <v>15890</v>
      </c>
    </row>
    <row r="1008">
      <c r="A1008" s="6">
        <v>45470.8791190162</v>
      </c>
      <c r="B1008" s="7" t="s">
        <v>15891</v>
      </c>
      <c r="C1008" s="8" t="s">
        <v>15892</v>
      </c>
      <c r="D1008" s="1" t="s">
        <v>15893</v>
      </c>
      <c r="E1008" s="9" t="s">
        <v>15894</v>
      </c>
      <c r="F1008" s="1" t="s">
        <v>15895</v>
      </c>
      <c r="G1008" s="1" t="s">
        <v>15896</v>
      </c>
      <c r="H1008" s="1" t="s">
        <v>15897</v>
      </c>
      <c r="I1008" s="9" t="s">
        <v>15898</v>
      </c>
      <c r="J1008" s="1" t="s">
        <v>15899</v>
      </c>
      <c r="K1008" s="1" t="s">
        <v>102</v>
      </c>
      <c r="L1008" s="1" t="s">
        <v>103</v>
      </c>
      <c r="M1008" s="1" t="s">
        <v>6026</v>
      </c>
      <c r="O1008" s="1" t="s">
        <v>6027</v>
      </c>
      <c r="P1008" s="1" t="s">
        <v>107</v>
      </c>
      <c r="Z1008" s="1" t="s">
        <v>15900</v>
      </c>
      <c r="AA1008" s="10">
        <v>5000000.0</v>
      </c>
      <c r="AB1008" s="1" t="s">
        <v>15901</v>
      </c>
      <c r="AC1008" s="10">
        <v>8000000.0</v>
      </c>
      <c r="AD1008" s="1" t="s">
        <v>15902</v>
      </c>
      <c r="AE1008" s="10">
        <v>9960000.0</v>
      </c>
      <c r="AF1008" s="10">
        <v>4600000.0</v>
      </c>
      <c r="AG1008" s="1">
        <v>0.0</v>
      </c>
      <c r="AH1008" s="1">
        <v>4.105986764E9</v>
      </c>
      <c r="AI1008" s="1" t="s">
        <v>15903</v>
      </c>
      <c r="AJ1008" s="1">
        <v>168.0</v>
      </c>
      <c r="AK1008" s="1">
        <v>80.0</v>
      </c>
      <c r="AL1008" s="1" t="s">
        <v>15904</v>
      </c>
      <c r="AM1008" s="1" t="s">
        <v>15905</v>
      </c>
      <c r="AN1008" s="7" t="s">
        <v>15906</v>
      </c>
      <c r="AO1008" s="8" t="str">
        <f>HYPERLINK("https://docs.google.com/document/d/1OJDWJuQnOQgOKlqEZOefgvGGwn0PNcCddY7kDJUm340/edit?usp=drivesdk","Al-Wildan 1 Gading Serpong_Farah Riana_")</f>
        <v>Al-Wildan 1 Gading Serpong_Farah Riana_</v>
      </c>
      <c r="AP1008" s="1" t="s">
        <v>15907</v>
      </c>
    </row>
    <row r="1009">
      <c r="A1009" s="6">
        <v>45470.952352141205</v>
      </c>
      <c r="B1009" s="7" t="s">
        <v>15908</v>
      </c>
      <c r="C1009" s="8" t="s">
        <v>15909</v>
      </c>
      <c r="D1009" s="1" t="s">
        <v>15379</v>
      </c>
      <c r="E1009" s="9" t="s">
        <v>15380</v>
      </c>
      <c r="F1009" s="1" t="s">
        <v>15381</v>
      </c>
      <c r="G1009" s="1" t="s">
        <v>15910</v>
      </c>
      <c r="H1009" s="1" t="s">
        <v>1664</v>
      </c>
      <c r="I1009" s="9" t="s">
        <v>15911</v>
      </c>
      <c r="J1009" s="1" t="s">
        <v>13491</v>
      </c>
      <c r="K1009" s="1" t="s">
        <v>102</v>
      </c>
      <c r="L1009" s="1" t="s">
        <v>256</v>
      </c>
      <c r="M1009" s="1" t="s">
        <v>6186</v>
      </c>
      <c r="N1009" s="1" t="s">
        <v>217</v>
      </c>
      <c r="O1009" s="1" t="s">
        <v>14334</v>
      </c>
      <c r="P1009" s="1" t="s">
        <v>14335</v>
      </c>
      <c r="Q1009" s="1" t="s">
        <v>15386</v>
      </c>
      <c r="R1009" s="1" t="s">
        <v>15912</v>
      </c>
      <c r="S1009" s="1" t="s">
        <v>9391</v>
      </c>
      <c r="Z1009" s="1" t="s">
        <v>15913</v>
      </c>
      <c r="AA1009" s="10">
        <v>5000000.0</v>
      </c>
      <c r="AB1009" s="1" t="s">
        <v>15914</v>
      </c>
      <c r="AC1009" s="10">
        <v>2500000.0</v>
      </c>
      <c r="AD1009" s="1" t="s">
        <v>15915</v>
      </c>
      <c r="AE1009" s="10">
        <v>2500000.0</v>
      </c>
      <c r="AF1009" s="1" t="s">
        <v>15916</v>
      </c>
      <c r="AG1009" s="1">
        <v>7.111765728E9</v>
      </c>
      <c r="AJ1009" s="1">
        <v>154.0</v>
      </c>
      <c r="AK1009" s="1">
        <v>60.0</v>
      </c>
      <c r="AL1009" s="1" t="s">
        <v>15392</v>
      </c>
      <c r="AM1009" s="1" t="s">
        <v>15917</v>
      </c>
      <c r="AN1009" s="7" t="s">
        <v>15918</v>
      </c>
      <c r="AO1009" s="8" t="str">
        <f>HYPERLINK("https://docs.google.com/document/d/14vdOCodPu6inh94T9pZMp9XI52J9K9w0d29UrK2fhiM/edit?usp=drivesdk","Al-Wildan 13 Tembalang, Bekasi_Rosa Pramedyawati, S.Kom._-")</f>
        <v>Al-Wildan 13 Tembalang, Bekasi_Rosa Pramedyawati, S.Kom._-</v>
      </c>
      <c r="AP1009" s="1" t="s">
        <v>15919</v>
      </c>
    </row>
    <row r="1010">
      <c r="A1010" s="6">
        <v>45471.510220868055</v>
      </c>
      <c r="B1010" s="7" t="s">
        <v>15920</v>
      </c>
      <c r="C1010" s="8" t="s">
        <v>15921</v>
      </c>
      <c r="D1010" s="1" t="s">
        <v>15922</v>
      </c>
      <c r="E1010" s="9" t="s">
        <v>15923</v>
      </c>
      <c r="F1010" s="1" t="s">
        <v>15924</v>
      </c>
      <c r="G1010" s="1" t="s">
        <v>15925</v>
      </c>
      <c r="H1010" s="1" t="s">
        <v>169</v>
      </c>
      <c r="I1010" s="9" t="s">
        <v>15926</v>
      </c>
      <c r="J1010" s="1" t="s">
        <v>15927</v>
      </c>
      <c r="K1010" s="1" t="s">
        <v>151</v>
      </c>
      <c r="L1010" s="1" t="s">
        <v>103</v>
      </c>
      <c r="M1010" s="1" t="s">
        <v>11988</v>
      </c>
      <c r="O1010" s="1" t="s">
        <v>6027</v>
      </c>
      <c r="P1010" s="1" t="s">
        <v>107</v>
      </c>
      <c r="Q1010" s="1" t="s">
        <v>13688</v>
      </c>
      <c r="R1010" s="1" t="s">
        <v>11912</v>
      </c>
      <c r="S1010" s="1">
        <v>3.5</v>
      </c>
      <c r="Z1010" s="1" t="s">
        <v>15928</v>
      </c>
      <c r="AA1010" s="10">
        <v>5500000.0</v>
      </c>
      <c r="AB1010" s="1" t="s">
        <v>15929</v>
      </c>
      <c r="AC1010" s="10">
        <v>6500000.0</v>
      </c>
      <c r="AF1010" s="10">
        <v>4600000.0</v>
      </c>
      <c r="AH1010" s="1">
        <v>8.831891416E9</v>
      </c>
      <c r="AI1010" s="1" t="s">
        <v>222</v>
      </c>
      <c r="AJ1010" s="1">
        <v>167.0</v>
      </c>
      <c r="AK1010" s="1">
        <v>75.0</v>
      </c>
      <c r="AL1010" s="1" t="s">
        <v>15930</v>
      </c>
      <c r="AM1010" s="1" t="s">
        <v>15931</v>
      </c>
      <c r="AN1010" s="7" t="s">
        <v>15932</v>
      </c>
      <c r="AO1010" s="8" t="str">
        <f>HYPERLINK("https://docs.google.com/document/d/1iVPU1rNWW5e4o_JjYDapKh1WfLXmKQf3wTG3vH-NE5o/edit?usp=drivesdk","Al-Wildan 1 Gading Serpong_Fariza Indrapuri Si.p_")</f>
        <v>Al-Wildan 1 Gading Serpong_Fariza Indrapuri Si.p_</v>
      </c>
      <c r="AP1010" s="1" t="s">
        <v>15933</v>
      </c>
    </row>
    <row r="1011">
      <c r="A1011" s="6">
        <v>45471.62937221065</v>
      </c>
      <c r="B1011" s="7" t="s">
        <v>15934</v>
      </c>
      <c r="C1011" s="8" t="s">
        <v>15935</v>
      </c>
      <c r="D1011" s="1" t="s">
        <v>15936</v>
      </c>
      <c r="E1011" s="9" t="s">
        <v>15937</v>
      </c>
      <c r="F1011" s="1" t="s">
        <v>15938</v>
      </c>
      <c r="G1011" s="1" t="s">
        <v>15939</v>
      </c>
      <c r="H1011" s="1" t="s">
        <v>169</v>
      </c>
      <c r="I1011" s="9" t="s">
        <v>15940</v>
      </c>
      <c r="J1011" s="1" t="s">
        <v>15941</v>
      </c>
      <c r="K1011" s="1" t="s">
        <v>102</v>
      </c>
      <c r="L1011" s="1" t="s">
        <v>103</v>
      </c>
      <c r="M1011" s="1" t="s">
        <v>6060</v>
      </c>
      <c r="O1011" s="1" t="s">
        <v>9794</v>
      </c>
      <c r="P1011" s="1" t="s">
        <v>7991</v>
      </c>
      <c r="Q1011" s="1" t="s">
        <v>15942</v>
      </c>
      <c r="R1011" s="1" t="s">
        <v>15943</v>
      </c>
      <c r="S1011" s="1" t="s">
        <v>11038</v>
      </c>
      <c r="Z1011" s="1" t="s">
        <v>15944</v>
      </c>
      <c r="AA1011" s="1">
        <v>4000000.0</v>
      </c>
      <c r="AF1011" s="10">
        <v>7000000.0</v>
      </c>
      <c r="AG1011" s="1">
        <v>7.22923723E9</v>
      </c>
      <c r="AJ1011" s="1">
        <v>163.0</v>
      </c>
      <c r="AK1011" s="1">
        <v>62.0</v>
      </c>
      <c r="AL1011" s="1" t="s">
        <v>15945</v>
      </c>
      <c r="AM1011" s="1" t="s">
        <v>15946</v>
      </c>
      <c r="AN1011" s="7" t="s">
        <v>15947</v>
      </c>
      <c r="AO1011" s="8" t="str">
        <f>HYPERLINK("https://docs.google.com/document/d/1ZzVE9oeKvuKIIe5V7mTyWGSr05eYJ5k7HE67XD7nyAw/edit?usp=drivesdk","Al-Wildan 12 Bulak Kapal, Bekasi_Ricky Andriansyah, ST_")</f>
        <v>Al-Wildan 12 Bulak Kapal, Bekasi_Ricky Andriansyah, ST_</v>
      </c>
      <c r="AP1011" s="1" t="s">
        <v>15948</v>
      </c>
    </row>
    <row r="1012">
      <c r="A1012" s="6">
        <v>45471.74639951389</v>
      </c>
      <c r="B1012" s="7" t="s">
        <v>15949</v>
      </c>
      <c r="C1012" s="8" t="s">
        <v>15950</v>
      </c>
      <c r="D1012" s="1" t="s">
        <v>15951</v>
      </c>
      <c r="E1012" s="9" t="s">
        <v>15248</v>
      </c>
      <c r="F1012" s="1" t="s">
        <v>15249</v>
      </c>
      <c r="G1012" s="1" t="s">
        <v>685</v>
      </c>
      <c r="H1012" s="1" t="s">
        <v>685</v>
      </c>
      <c r="I1012" s="9" t="s">
        <v>15251</v>
      </c>
      <c r="J1012" s="1" t="s">
        <v>15252</v>
      </c>
      <c r="K1012" s="1" t="s">
        <v>151</v>
      </c>
      <c r="L1012" s="1" t="s">
        <v>256</v>
      </c>
      <c r="M1012" s="1" t="s">
        <v>104</v>
      </c>
      <c r="N1012" s="1" t="s">
        <v>15952</v>
      </c>
      <c r="O1012" s="1" t="s">
        <v>9794</v>
      </c>
      <c r="P1012" s="1" t="s">
        <v>6187</v>
      </c>
      <c r="Q1012" s="1" t="s">
        <v>3237</v>
      </c>
      <c r="R1012" s="1" t="s">
        <v>394</v>
      </c>
      <c r="S1012" s="1">
        <v>3.74</v>
      </c>
      <c r="Z1012" s="1" t="s">
        <v>15953</v>
      </c>
      <c r="AA1012" s="10">
        <v>200000.0</v>
      </c>
      <c r="AB1012" s="1" t="s">
        <v>15954</v>
      </c>
      <c r="AC1012" s="10">
        <v>200000.0</v>
      </c>
      <c r="AF1012" s="10">
        <v>5000000.0</v>
      </c>
      <c r="AG1012" s="1">
        <v>7.131871408E9</v>
      </c>
      <c r="AJ1012" s="1">
        <v>155.0</v>
      </c>
      <c r="AK1012" s="1">
        <v>57.0</v>
      </c>
      <c r="AL1012" s="1" t="s">
        <v>15255</v>
      </c>
      <c r="AM1012" s="1" t="s">
        <v>15955</v>
      </c>
      <c r="AN1012" s="7" t="s">
        <v>15956</v>
      </c>
      <c r="AO1012" s="8" t="str">
        <f>HYPERLINK("https://docs.google.com/document/d/12zte7sypDQd2VhHg-shIrEWKF-AWO-qC6MfuBL3uibM/edit?usp=drivesdk","Al-Wildan 14 Bumi Mutiara, Bogor_Syaira Avilla Qurrata'aini, S.Pd_Bahasa Arab dan Diniyah")</f>
        <v>Al-Wildan 14 Bumi Mutiara, Bogor_Syaira Avilla Qurrata'aini, S.Pd_Bahasa Arab dan Diniyah</v>
      </c>
      <c r="AP1012" s="1" t="s">
        <v>15957</v>
      </c>
    </row>
    <row r="1013">
      <c r="A1013" s="6">
        <v>45471.83318327546</v>
      </c>
      <c r="B1013" s="7" t="s">
        <v>15958</v>
      </c>
      <c r="C1013" s="8" t="s">
        <v>15959</v>
      </c>
      <c r="D1013" s="1" t="s">
        <v>15960</v>
      </c>
      <c r="E1013" s="9" t="s">
        <v>15961</v>
      </c>
      <c r="F1013" s="1" t="s">
        <v>15962</v>
      </c>
      <c r="G1013" s="1" t="s">
        <v>15963</v>
      </c>
      <c r="H1013" s="1" t="s">
        <v>169</v>
      </c>
      <c r="I1013" s="9" t="s">
        <v>15964</v>
      </c>
      <c r="J1013" s="1" t="s">
        <v>15965</v>
      </c>
      <c r="K1013" s="1" t="s">
        <v>102</v>
      </c>
      <c r="L1013" s="1" t="s">
        <v>256</v>
      </c>
      <c r="M1013" s="1" t="s">
        <v>424</v>
      </c>
      <c r="N1013" s="1" t="s">
        <v>6106</v>
      </c>
      <c r="O1013" s="1" t="s">
        <v>236</v>
      </c>
      <c r="P1013" s="1" t="s">
        <v>6187</v>
      </c>
      <c r="Q1013" s="1" t="s">
        <v>15966</v>
      </c>
      <c r="R1013" s="1" t="s">
        <v>1057</v>
      </c>
      <c r="S1013" s="1" t="s">
        <v>931</v>
      </c>
      <c r="T1013" s="1" t="s">
        <v>217</v>
      </c>
      <c r="U1013" s="1" t="s">
        <v>217</v>
      </c>
      <c r="V1013" s="1" t="s">
        <v>217</v>
      </c>
      <c r="W1013" s="1" t="s">
        <v>217</v>
      </c>
      <c r="X1013" s="1" t="s">
        <v>217</v>
      </c>
      <c r="Y1013" s="1">
        <v>0.0</v>
      </c>
      <c r="Z1013" s="1" t="s">
        <v>15967</v>
      </c>
      <c r="AA1013" s="10">
        <v>6100000.0</v>
      </c>
      <c r="AB1013" s="1" t="s">
        <v>217</v>
      </c>
      <c r="AC1013" s="1">
        <v>0.0</v>
      </c>
      <c r="AD1013" s="1" t="s">
        <v>217</v>
      </c>
      <c r="AE1013" s="1">
        <v>0.0</v>
      </c>
      <c r="AF1013" s="10">
        <v>7500000.0</v>
      </c>
      <c r="AG1013" s="1">
        <v>0.0</v>
      </c>
      <c r="AH1013" s="9" t="s">
        <v>15968</v>
      </c>
      <c r="AI1013" s="1" t="s">
        <v>159</v>
      </c>
      <c r="AJ1013" s="1">
        <v>165.0</v>
      </c>
      <c r="AK1013" s="1">
        <v>73.0</v>
      </c>
      <c r="AL1013" s="1" t="s">
        <v>15969</v>
      </c>
      <c r="AM1013" s="1" t="s">
        <v>15970</v>
      </c>
      <c r="AN1013" s="7" t="s">
        <v>15971</v>
      </c>
      <c r="AO1013" s="8" t="str">
        <f>HYPERLINK("https://docs.google.com/document/d/1pch4XK_98uDWI-a2eUPwli_W6Z5YPa6J7TgxXrM4VzA/edit?usp=drivesdk","Al-Wildan 14 Bumi Mutiara, Bogor_Nur Syafitri,S.Psi_Bimbingan Konseling")</f>
        <v>Al-Wildan 14 Bumi Mutiara, Bogor_Nur Syafitri,S.Psi_Bimbingan Konseling</v>
      </c>
      <c r="AP1013" s="1" t="s">
        <v>15972</v>
      </c>
    </row>
    <row r="1014">
      <c r="A1014" s="6">
        <v>45473.43988045139</v>
      </c>
      <c r="B1014" s="7" t="s">
        <v>15973</v>
      </c>
      <c r="C1014" s="8" t="s">
        <v>15974</v>
      </c>
      <c r="D1014" s="1" t="s">
        <v>15975</v>
      </c>
      <c r="E1014" s="9" t="s">
        <v>15976</v>
      </c>
      <c r="F1014" s="1" t="s">
        <v>15977</v>
      </c>
      <c r="G1014" s="1" t="s">
        <v>15978</v>
      </c>
      <c r="H1014" s="1" t="s">
        <v>15979</v>
      </c>
      <c r="I1014" s="9" t="s">
        <v>15980</v>
      </c>
      <c r="J1014" s="1" t="s">
        <v>15981</v>
      </c>
      <c r="K1014" s="1" t="s">
        <v>1235</v>
      </c>
      <c r="L1014" s="1" t="s">
        <v>256</v>
      </c>
      <c r="M1014" s="1" t="s">
        <v>104</v>
      </c>
      <c r="N1014" s="1" t="s">
        <v>152</v>
      </c>
      <c r="O1014" s="1" t="s">
        <v>9794</v>
      </c>
      <c r="P1014" s="1" t="s">
        <v>6091</v>
      </c>
      <c r="Q1014" s="1" t="s">
        <v>15982</v>
      </c>
      <c r="R1014" s="1" t="s">
        <v>154</v>
      </c>
      <c r="S1014" s="1" t="s">
        <v>15983</v>
      </c>
      <c r="T1014" s="1" t="s">
        <v>217</v>
      </c>
      <c r="U1014" s="1" t="s">
        <v>217</v>
      </c>
      <c r="V1014" s="1" t="s">
        <v>217</v>
      </c>
      <c r="W1014" s="1" t="s">
        <v>217</v>
      </c>
      <c r="X1014" s="1" t="s">
        <v>217</v>
      </c>
      <c r="Y1014" s="1">
        <v>0.0</v>
      </c>
      <c r="Z1014" s="1" t="s">
        <v>15984</v>
      </c>
      <c r="AA1014" s="1" t="s">
        <v>15985</v>
      </c>
      <c r="AB1014" s="1" t="s">
        <v>217</v>
      </c>
      <c r="AC1014" s="1" t="s">
        <v>217</v>
      </c>
      <c r="AD1014" s="1" t="s">
        <v>217</v>
      </c>
      <c r="AE1014" s="1" t="s">
        <v>217</v>
      </c>
      <c r="AF1014" s="10">
        <v>5000000.0</v>
      </c>
      <c r="AG1014" s="1">
        <v>0.0</v>
      </c>
      <c r="AH1014" s="9" t="s">
        <v>15986</v>
      </c>
      <c r="AI1014" s="1" t="s">
        <v>222</v>
      </c>
      <c r="AJ1014" s="1">
        <v>160.0</v>
      </c>
      <c r="AK1014" s="1">
        <v>42.0</v>
      </c>
      <c r="AL1014" s="1" t="s">
        <v>15987</v>
      </c>
      <c r="AM1014" s="1" t="s">
        <v>15988</v>
      </c>
      <c r="AN1014" s="7" t="s">
        <v>15989</v>
      </c>
      <c r="AO1014" s="8" t="str">
        <f>HYPERLINK("https://docs.google.com/document/d/1dGA_CsXvzOe_IHg5dsY9dm3c8x3Ev7pZdGPxUAItA8Q/edit?usp=drivesdk","Al-Wildan 10 Cipinang, Jakarta Timur_HANNIE DWIASTESSI S.Pd_Bahasa Inggris")</f>
        <v>Al-Wildan 10 Cipinang, Jakarta Timur_HANNIE DWIASTESSI S.Pd_Bahasa Inggris</v>
      </c>
      <c r="AP1014" s="1" t="s">
        <v>15990</v>
      </c>
    </row>
    <row r="1015">
      <c r="A1015" s="6">
        <v>45473.47671952547</v>
      </c>
      <c r="B1015" s="7" t="s">
        <v>15991</v>
      </c>
      <c r="C1015" s="8" t="s">
        <v>15992</v>
      </c>
      <c r="D1015" s="1" t="s">
        <v>15993</v>
      </c>
      <c r="E1015" s="9" t="s">
        <v>15994</v>
      </c>
      <c r="F1015" s="1" t="s">
        <v>15995</v>
      </c>
      <c r="G1015" s="1" t="s">
        <v>15996</v>
      </c>
      <c r="H1015" s="1" t="s">
        <v>15997</v>
      </c>
      <c r="I1015" s="9" t="s">
        <v>15998</v>
      </c>
      <c r="J1015" s="1" t="s">
        <v>15999</v>
      </c>
      <c r="K1015" s="1" t="s">
        <v>102</v>
      </c>
      <c r="L1015" s="1" t="s">
        <v>310</v>
      </c>
      <c r="M1015" s="1" t="s">
        <v>104</v>
      </c>
      <c r="N1015" s="1" t="s">
        <v>274</v>
      </c>
      <c r="O1015" s="1" t="s">
        <v>127</v>
      </c>
      <c r="P1015" s="1" t="s">
        <v>14395</v>
      </c>
      <c r="Q1015" s="1" t="s">
        <v>16000</v>
      </c>
      <c r="R1015" s="1" t="s">
        <v>16001</v>
      </c>
      <c r="S1015" s="1" t="s">
        <v>9749</v>
      </c>
      <c r="Z1015" s="1" t="s">
        <v>16002</v>
      </c>
      <c r="AA1015" s="10">
        <v>1000000.0</v>
      </c>
      <c r="AB1015" s="1" t="s">
        <v>16003</v>
      </c>
      <c r="AC1015" s="10">
        <v>2000000.0</v>
      </c>
      <c r="AD1015" s="1" t="s">
        <v>16004</v>
      </c>
      <c r="AE1015" s="10">
        <v>1000000.0</v>
      </c>
      <c r="AF1015" s="10">
        <v>4000000.0</v>
      </c>
      <c r="AG1015" s="1">
        <v>7.194692433E9</v>
      </c>
      <c r="AI1015" s="1" t="s">
        <v>5113</v>
      </c>
      <c r="AJ1015" s="1">
        <v>165.0</v>
      </c>
      <c r="AK1015" s="1">
        <v>83.0</v>
      </c>
      <c r="AL1015" s="1" t="s">
        <v>16005</v>
      </c>
      <c r="AM1015" s="1" t="s">
        <v>16006</v>
      </c>
      <c r="AN1015" s="7" t="s">
        <v>16007</v>
      </c>
      <c r="AO1015" s="8" t="str">
        <f>HYPERLINK("https://docs.google.com/document/d/1LAoystZWaT54_UTGFaFB7pQa1YgLsxW2fmMgTNmcDLA/edit?usp=drivesdk","Al-Wildam 20 Mataram_Nawwaf Nazhmi Bafadhal, S.Ag _Diniyyah")</f>
        <v>Al-Wildam 20 Mataram_Nawwaf Nazhmi Bafadhal, S.Ag _Diniyyah</v>
      </c>
      <c r="AP1015" s="1" t="s">
        <v>16008</v>
      </c>
    </row>
    <row r="1016">
      <c r="A1016" s="6">
        <v>45474.28077121528</v>
      </c>
      <c r="B1016" s="7" t="s">
        <v>16009</v>
      </c>
      <c r="C1016" s="8" t="s">
        <v>16010</v>
      </c>
      <c r="D1016" s="1" t="s">
        <v>16011</v>
      </c>
      <c r="E1016" s="9" t="s">
        <v>16012</v>
      </c>
      <c r="F1016" s="1" t="s">
        <v>16013</v>
      </c>
      <c r="G1016" s="1" t="s">
        <v>16014</v>
      </c>
      <c r="H1016" s="1" t="s">
        <v>16015</v>
      </c>
      <c r="I1016" s="9" t="s">
        <v>16016</v>
      </c>
      <c r="J1016" s="1" t="s">
        <v>16017</v>
      </c>
      <c r="K1016" s="1" t="s">
        <v>102</v>
      </c>
      <c r="L1016" s="1" t="s">
        <v>310</v>
      </c>
      <c r="M1016" s="1" t="s">
        <v>213</v>
      </c>
      <c r="O1016" s="1" t="s">
        <v>9794</v>
      </c>
      <c r="P1016" s="1" t="s">
        <v>6659</v>
      </c>
      <c r="Q1016" s="1" t="s">
        <v>16018</v>
      </c>
      <c r="R1016" s="1" t="s">
        <v>16019</v>
      </c>
      <c r="S1016" s="1" t="s">
        <v>740</v>
      </c>
      <c r="T1016" s="1" t="s">
        <v>16020</v>
      </c>
      <c r="U1016" s="1" t="s">
        <v>16021</v>
      </c>
      <c r="V1016" s="1" t="s">
        <v>831</v>
      </c>
      <c r="Z1016" s="1" t="s">
        <v>16022</v>
      </c>
      <c r="AA1016" s="10">
        <v>8000000.0</v>
      </c>
      <c r="AB1016" s="1" t="s">
        <v>16023</v>
      </c>
      <c r="AC1016" s="10">
        <v>1.0E7</v>
      </c>
      <c r="AD1016" s="1" t="s">
        <v>16024</v>
      </c>
      <c r="AE1016" s="10">
        <v>5000000.0</v>
      </c>
      <c r="AF1016" s="10">
        <v>2.0E7</v>
      </c>
      <c r="AG1016" s="1">
        <v>7.254133846E9</v>
      </c>
      <c r="AJ1016" s="1">
        <v>172.0</v>
      </c>
      <c r="AK1016" s="1">
        <v>63.0</v>
      </c>
      <c r="AL1016" s="1" t="s">
        <v>16025</v>
      </c>
      <c r="AM1016" s="1" t="s">
        <v>16026</v>
      </c>
      <c r="AN1016" s="7" t="s">
        <v>16027</v>
      </c>
      <c r="AO1016" s="8" t="str">
        <f>HYPERLINK("https://docs.google.com/document/d/19tMg5B6CMwlLR3JjZUcGXal3nT5DJ7yHovmZRPuE_Xg/edit?usp=drivesdk","Al-Wildan 15 Kompas Indah, Tambun Bekasi._Ahmad Ridwan Bahrin, S.Sos.i, MA_")</f>
        <v>Al-Wildan 15 Kompas Indah, Tambun Bekasi._Ahmad Ridwan Bahrin, S.Sos.i, MA_</v>
      </c>
      <c r="AP1016" s="1" t="s">
        <v>16028</v>
      </c>
    </row>
    <row r="1017">
      <c r="A1017" s="6">
        <v>45474.37713679398</v>
      </c>
      <c r="B1017" s="7" t="s">
        <v>16029</v>
      </c>
      <c r="C1017" s="8" t="s">
        <v>16030</v>
      </c>
      <c r="D1017" s="1" t="s">
        <v>16031</v>
      </c>
      <c r="E1017" s="9" t="s">
        <v>16032</v>
      </c>
      <c r="F1017" s="1" t="s">
        <v>16033</v>
      </c>
      <c r="G1017" s="1" t="s">
        <v>16034</v>
      </c>
      <c r="H1017" s="1" t="s">
        <v>5608</v>
      </c>
      <c r="I1017" s="9" t="s">
        <v>16035</v>
      </c>
      <c r="J1017" s="1" t="s">
        <v>16036</v>
      </c>
      <c r="K1017" s="1" t="s">
        <v>102</v>
      </c>
      <c r="L1017" s="1" t="s">
        <v>103</v>
      </c>
      <c r="M1017" s="1" t="s">
        <v>104</v>
      </c>
      <c r="N1017" s="1" t="s">
        <v>16037</v>
      </c>
      <c r="O1017" s="1" t="s">
        <v>312</v>
      </c>
      <c r="P1017" s="1" t="s">
        <v>107</v>
      </c>
      <c r="Q1017" s="1" t="s">
        <v>16038</v>
      </c>
      <c r="R1017" s="1" t="s">
        <v>5612</v>
      </c>
      <c r="S1017" s="1">
        <v>3.48</v>
      </c>
      <c r="Z1017" s="1" t="s">
        <v>16039</v>
      </c>
      <c r="AA1017" s="10">
        <v>1.2E7</v>
      </c>
      <c r="AB1017" s="1" t="s">
        <v>16040</v>
      </c>
      <c r="AD1017" s="1" t="s">
        <v>16041</v>
      </c>
      <c r="AF1017" s="1" t="s">
        <v>16042</v>
      </c>
      <c r="AG1017" s="1">
        <v>7.043341442E9</v>
      </c>
      <c r="AJ1017" s="1">
        <v>156.0</v>
      </c>
      <c r="AK1017" s="1">
        <v>57.0</v>
      </c>
      <c r="AL1017" s="1" t="s">
        <v>16043</v>
      </c>
      <c r="AM1017" s="1" t="s">
        <v>16044</v>
      </c>
      <c r="AN1017" s="7" t="s">
        <v>16045</v>
      </c>
      <c r="AO1017" s="8" t="str">
        <f>HYPERLINK("https://docs.google.com/document/d/18ZeQVHktuyZFJr4mzpT2oe690JpA5DT29yrFEAwGW6E/edit?usp=drivesdk","Al-Wildan 1 Gading Serpong_NETRI NASRUL, SS_SEM")</f>
        <v>Al-Wildan 1 Gading Serpong_NETRI NASRUL, SS_SEM</v>
      </c>
      <c r="AP1017" s="1" t="s">
        <v>16046</v>
      </c>
    </row>
    <row r="1018">
      <c r="A1018" s="6">
        <v>45474.850002465275</v>
      </c>
      <c r="B1018" s="7" t="s">
        <v>16047</v>
      </c>
      <c r="C1018" s="8" t="s">
        <v>16048</v>
      </c>
      <c r="D1018" s="1" t="s">
        <v>16049</v>
      </c>
      <c r="E1018" s="9" t="s">
        <v>16050</v>
      </c>
      <c r="F1018" s="1" t="s">
        <v>16051</v>
      </c>
      <c r="G1018" s="1" t="s">
        <v>7764</v>
      </c>
      <c r="H1018" s="1" t="s">
        <v>16052</v>
      </c>
      <c r="I1018" s="9" t="s">
        <v>16053</v>
      </c>
      <c r="J1018" s="1" t="s">
        <v>16054</v>
      </c>
      <c r="K1018" s="1" t="s">
        <v>151</v>
      </c>
      <c r="L1018" s="1" t="s">
        <v>256</v>
      </c>
      <c r="M1018" s="1" t="s">
        <v>104</v>
      </c>
      <c r="N1018" s="1" t="s">
        <v>16055</v>
      </c>
      <c r="O1018" s="1" t="s">
        <v>312</v>
      </c>
      <c r="P1018" s="1" t="s">
        <v>14439</v>
      </c>
      <c r="Q1018" s="1" t="s">
        <v>16056</v>
      </c>
      <c r="R1018" s="1" t="s">
        <v>8140</v>
      </c>
      <c r="S1018" s="1" t="s">
        <v>6338</v>
      </c>
      <c r="Z1018" s="1" t="s">
        <v>16057</v>
      </c>
      <c r="AA1018" s="10">
        <v>600000.0</v>
      </c>
      <c r="AB1018" s="1" t="s">
        <v>16058</v>
      </c>
      <c r="AC1018" s="1">
        <v>5.0</v>
      </c>
      <c r="AJ1018" s="1">
        <v>148.0</v>
      </c>
      <c r="AK1018" s="1">
        <v>40.0</v>
      </c>
      <c r="AL1018" s="1" t="s">
        <v>16059</v>
      </c>
      <c r="AM1018" s="1" t="s">
        <v>16060</v>
      </c>
      <c r="AN1018" s="7" t="s">
        <v>16061</v>
      </c>
      <c r="AO1018" s="8" t="str">
        <f>HYPERLINK("https://docs.google.com/document/d/1A1t1uhGtgG_SYH_u3d-eTjGK2wX9AibPrCvDXY142m4/edit?usp=drivesdk","Al-Wildan 22 Makassar_Nurul Afifah, S.Pd_Alquran ")</f>
        <v>Al-Wildan 22 Makassar_Nurul Afifah, S.Pd_Alquran </v>
      </c>
      <c r="AP1018" s="1" t="s">
        <v>16062</v>
      </c>
    </row>
    <row r="1019">
      <c r="A1019" s="6">
        <v>45474.85590239584</v>
      </c>
      <c r="B1019" s="7" t="s">
        <v>16063</v>
      </c>
      <c r="C1019" s="8" t="s">
        <v>16064</v>
      </c>
      <c r="D1019" s="1" t="s">
        <v>16049</v>
      </c>
      <c r="E1019" s="9" t="s">
        <v>16065</v>
      </c>
      <c r="F1019" s="1" t="s">
        <v>16051</v>
      </c>
      <c r="G1019" s="1" t="s">
        <v>7764</v>
      </c>
      <c r="H1019" s="1" t="s">
        <v>16052</v>
      </c>
      <c r="I1019" s="9" t="s">
        <v>16053</v>
      </c>
      <c r="J1019" s="1" t="s">
        <v>16066</v>
      </c>
      <c r="K1019" s="1" t="s">
        <v>151</v>
      </c>
      <c r="L1019" s="1" t="s">
        <v>256</v>
      </c>
      <c r="M1019" s="1" t="s">
        <v>104</v>
      </c>
      <c r="N1019" s="1" t="s">
        <v>16055</v>
      </c>
      <c r="O1019" s="1" t="s">
        <v>312</v>
      </c>
      <c r="P1019" s="1" t="s">
        <v>14439</v>
      </c>
      <c r="Q1019" s="1" t="s">
        <v>16056</v>
      </c>
      <c r="R1019" s="1" t="s">
        <v>8140</v>
      </c>
      <c r="S1019" s="1" t="s">
        <v>6338</v>
      </c>
      <c r="Z1019" s="1" t="s">
        <v>16057</v>
      </c>
      <c r="AA1019" s="10">
        <v>600000.0</v>
      </c>
      <c r="AB1019" s="1" t="s">
        <v>16058</v>
      </c>
      <c r="AC1019" s="10">
        <v>550000.0</v>
      </c>
      <c r="AF1019" s="10">
        <v>3500000.0</v>
      </c>
      <c r="AH1019" s="1">
        <v>2.05301003509539E14</v>
      </c>
      <c r="AI1019" s="1" t="s">
        <v>16067</v>
      </c>
      <c r="AJ1019" s="1">
        <v>148.0</v>
      </c>
      <c r="AK1019" s="1">
        <v>40.0</v>
      </c>
      <c r="AL1019" s="1" t="s">
        <v>16059</v>
      </c>
      <c r="AM1019" s="1" t="s">
        <v>16068</v>
      </c>
      <c r="AN1019" s="7" t="s">
        <v>16069</v>
      </c>
      <c r="AO1019" s="8" t="str">
        <f>HYPERLINK("https://docs.google.com/document/d/1qBtAflYqWqR1o38_qCa-R9dI6ji99jRsO28Ohk97IKE/edit?usp=drivesdk","Al-Wildan 22 Makassar_Nurul Afifah, S.Pd_Alquran ")</f>
        <v>Al-Wildan 22 Makassar_Nurul Afifah, S.Pd_Alquran </v>
      </c>
      <c r="AP1019" s="1" t="s">
        <v>16070</v>
      </c>
    </row>
    <row r="1020">
      <c r="A1020" s="6">
        <v>45474.93060922454</v>
      </c>
      <c r="B1020" s="7" t="s">
        <v>16071</v>
      </c>
      <c r="C1020" s="8" t="s">
        <v>16072</v>
      </c>
      <c r="D1020" s="1" t="s">
        <v>14217</v>
      </c>
      <c r="E1020" s="9" t="s">
        <v>14218</v>
      </c>
      <c r="F1020" s="1" t="s">
        <v>14219</v>
      </c>
      <c r="G1020" s="1" t="s">
        <v>16073</v>
      </c>
      <c r="H1020" s="1" t="s">
        <v>1851</v>
      </c>
      <c r="I1020" s="9" t="s">
        <v>16074</v>
      </c>
      <c r="J1020" s="1" t="s">
        <v>15720</v>
      </c>
      <c r="K1020" s="1" t="s">
        <v>151</v>
      </c>
      <c r="L1020" s="1" t="s">
        <v>496</v>
      </c>
      <c r="M1020" s="1" t="s">
        <v>5671</v>
      </c>
      <c r="O1020" s="1" t="s">
        <v>106</v>
      </c>
      <c r="P1020" s="1" t="s">
        <v>5712</v>
      </c>
      <c r="Q1020" s="1" t="s">
        <v>16075</v>
      </c>
      <c r="S1020" s="1" t="s">
        <v>16076</v>
      </c>
      <c r="Z1020" s="1" t="s">
        <v>16077</v>
      </c>
      <c r="AA1020" s="1" t="s">
        <v>16078</v>
      </c>
      <c r="AF1020" s="10">
        <v>3000000.0</v>
      </c>
      <c r="AG1020" s="1">
        <v>7.185602677E9</v>
      </c>
      <c r="AJ1020" s="1">
        <v>159.0</v>
      </c>
      <c r="AK1020" s="1">
        <v>70.0</v>
      </c>
      <c r="AL1020" s="1" t="s">
        <v>14222</v>
      </c>
      <c r="AM1020" s="1" t="s">
        <v>16079</v>
      </c>
      <c r="AN1020" s="7" t="s">
        <v>16080</v>
      </c>
      <c r="AO1020" s="8" t="str">
        <f>HYPERLINK("https://docs.google.com/document/d/13G8uTciUm9iqEGgQlOSM8RaVqT7ctjg-NA2nl99li0M/edit?usp=drivesdk","Al-Wildan 3 BSD City_Sunan saputra_")</f>
        <v>Al-Wildan 3 BSD City_Sunan saputra_</v>
      </c>
      <c r="AP1020" s="1" t="s">
        <v>16081</v>
      </c>
    </row>
    <row r="1021">
      <c r="A1021" s="6">
        <v>45475.47623534722</v>
      </c>
      <c r="B1021" s="7" t="s">
        <v>16082</v>
      </c>
      <c r="C1021" s="8" t="s">
        <v>16083</v>
      </c>
      <c r="D1021" s="1" t="s">
        <v>16084</v>
      </c>
      <c r="E1021" s="9" t="s">
        <v>16065</v>
      </c>
      <c r="F1021" s="1" t="s">
        <v>16051</v>
      </c>
      <c r="G1021" s="1" t="s">
        <v>7764</v>
      </c>
      <c r="H1021" s="1" t="s">
        <v>16052</v>
      </c>
      <c r="I1021" s="9" t="s">
        <v>16053</v>
      </c>
      <c r="J1021" s="1" t="s">
        <v>16066</v>
      </c>
      <c r="K1021" s="1" t="s">
        <v>151</v>
      </c>
      <c r="L1021" s="1" t="s">
        <v>256</v>
      </c>
      <c r="M1021" s="1" t="s">
        <v>104</v>
      </c>
      <c r="N1021" s="1" t="s">
        <v>16055</v>
      </c>
      <c r="O1021" s="1" t="s">
        <v>312</v>
      </c>
      <c r="P1021" s="1" t="s">
        <v>14439</v>
      </c>
      <c r="Q1021" s="1" t="s">
        <v>16056</v>
      </c>
      <c r="R1021" s="1" t="s">
        <v>8140</v>
      </c>
      <c r="S1021" s="1" t="s">
        <v>6338</v>
      </c>
      <c r="Z1021" s="1" t="s">
        <v>16057</v>
      </c>
      <c r="AA1021" s="10">
        <v>600000.0</v>
      </c>
      <c r="AB1021" s="1" t="s">
        <v>16058</v>
      </c>
      <c r="AC1021" s="10">
        <v>550000.0</v>
      </c>
      <c r="AF1021" s="10">
        <v>3500000.0</v>
      </c>
      <c r="AH1021" s="1">
        <v>2.05301003509539E14</v>
      </c>
      <c r="AI1021" s="1" t="s">
        <v>2407</v>
      </c>
      <c r="AJ1021" s="1">
        <v>148.0</v>
      </c>
      <c r="AK1021" s="1">
        <v>40.0</v>
      </c>
      <c r="AL1021" s="1" t="s">
        <v>16059</v>
      </c>
      <c r="AM1021" s="1" t="s">
        <v>16085</v>
      </c>
      <c r="AN1021" s="7" t="s">
        <v>16086</v>
      </c>
      <c r="AO1021" s="8" t="str">
        <f>HYPERLINK("https://docs.google.com/document/d/1dxwI50axERlRVH1g-ztjL1gT2L_aZtUwhm3W5xkF-Uw/edit?usp=drivesdk","Al-Wildan 22 Makassar_Nurul Afifah, S.Pd._Alquran ")</f>
        <v>Al-Wildan 22 Makassar_Nurul Afifah, S.Pd._Alquran </v>
      </c>
      <c r="AP1021" s="1" t="s">
        <v>16087</v>
      </c>
    </row>
    <row r="1022">
      <c r="A1022" s="6">
        <v>45475.99584341435</v>
      </c>
      <c r="B1022" s="7" t="s">
        <v>16088</v>
      </c>
      <c r="C1022" s="8" t="s">
        <v>16089</v>
      </c>
      <c r="D1022" s="1" t="s">
        <v>16090</v>
      </c>
      <c r="E1022" s="9" t="s">
        <v>16091</v>
      </c>
      <c r="F1022" s="1" t="s">
        <v>16092</v>
      </c>
      <c r="G1022" s="1" t="s">
        <v>16093</v>
      </c>
      <c r="H1022" s="1" t="s">
        <v>847</v>
      </c>
      <c r="I1022" s="9" t="s">
        <v>16094</v>
      </c>
      <c r="J1022" s="1" t="s">
        <v>4141</v>
      </c>
      <c r="K1022" s="1" t="s">
        <v>151</v>
      </c>
      <c r="L1022" s="1" t="s">
        <v>827</v>
      </c>
      <c r="M1022" s="1" t="s">
        <v>104</v>
      </c>
      <c r="N1022" s="1" t="s">
        <v>2769</v>
      </c>
      <c r="O1022" s="1" t="s">
        <v>106</v>
      </c>
      <c r="P1022" s="1" t="s">
        <v>107</v>
      </c>
      <c r="Q1022" s="1" t="s">
        <v>16095</v>
      </c>
      <c r="R1022" s="1" t="s">
        <v>16096</v>
      </c>
      <c r="S1022" s="1" t="s">
        <v>16097</v>
      </c>
      <c r="AJ1022" s="1">
        <v>158.0</v>
      </c>
      <c r="AK1022" s="1">
        <v>47.0</v>
      </c>
      <c r="AL1022" s="1" t="s">
        <v>16098</v>
      </c>
      <c r="AM1022" s="1" t="s">
        <v>16099</v>
      </c>
      <c r="AN1022" s="7" t="s">
        <v>16100</v>
      </c>
      <c r="AO1022" s="8" t="str">
        <f>HYPERLINK("https://docs.google.com/document/d/1zv4Y83b0iAV9T6m6Vxh6vKpulV7GxDyc5fcfpoO4CPY/edit?usp=drivesdk","Al-Wildan 1 Gading Serpong_Nasywa_Arabic")</f>
        <v>Al-Wildan 1 Gading Serpong_Nasywa_Arabic</v>
      </c>
      <c r="AP1022" s="1" t="s">
        <v>16101</v>
      </c>
    </row>
    <row r="1023">
      <c r="A1023" s="6">
        <v>45476.250899942126</v>
      </c>
      <c r="B1023" s="7" t="s">
        <v>16102</v>
      </c>
      <c r="C1023" s="8" t="s">
        <v>16103</v>
      </c>
      <c r="D1023" s="1" t="s">
        <v>16049</v>
      </c>
      <c r="E1023" s="9" t="s">
        <v>16065</v>
      </c>
      <c r="F1023" s="1" t="s">
        <v>16051</v>
      </c>
      <c r="G1023" s="1" t="s">
        <v>7764</v>
      </c>
      <c r="H1023" s="1" t="s">
        <v>16052</v>
      </c>
      <c r="I1023" s="9" t="s">
        <v>16053</v>
      </c>
      <c r="J1023" s="1" t="s">
        <v>16066</v>
      </c>
      <c r="K1023" s="1" t="s">
        <v>151</v>
      </c>
      <c r="L1023" s="1" t="s">
        <v>256</v>
      </c>
      <c r="M1023" s="1" t="s">
        <v>104</v>
      </c>
      <c r="N1023" s="1" t="s">
        <v>16055</v>
      </c>
      <c r="O1023" s="1" t="s">
        <v>312</v>
      </c>
      <c r="P1023" s="1" t="s">
        <v>14439</v>
      </c>
      <c r="Q1023" s="1" t="s">
        <v>16056</v>
      </c>
      <c r="R1023" s="1" t="s">
        <v>8140</v>
      </c>
      <c r="S1023" s="1" t="s">
        <v>6338</v>
      </c>
      <c r="Z1023" s="1" t="s">
        <v>16057</v>
      </c>
      <c r="AA1023" s="10">
        <v>600000.0</v>
      </c>
      <c r="AB1023" s="1" t="s">
        <v>16058</v>
      </c>
      <c r="AC1023" s="10">
        <v>550000.0</v>
      </c>
      <c r="AF1023" s="10">
        <v>3500000.0</v>
      </c>
      <c r="AH1023" s="1">
        <v>2.05301003509539E14</v>
      </c>
      <c r="AI1023" s="1" t="s">
        <v>16067</v>
      </c>
      <c r="AJ1023" s="1">
        <v>148.0</v>
      </c>
      <c r="AK1023" s="1">
        <v>40.0</v>
      </c>
      <c r="AL1023" s="1" t="s">
        <v>16059</v>
      </c>
      <c r="AM1023" s="1" t="s">
        <v>16104</v>
      </c>
      <c r="AN1023" s="7" t="s">
        <v>16105</v>
      </c>
      <c r="AO1023" s="8" t="str">
        <f>HYPERLINK("https://docs.google.com/document/d/1pgNrS-4QeCy_yQ94WRxnGJWgc-QFmR_QYNw4GAaax7I/edit?usp=drivesdk","Al-Wildan 22 Makassar_Nurul Afifah, S.Pd_Alquran ")</f>
        <v>Al-Wildan 22 Makassar_Nurul Afifah, S.Pd_Alquran </v>
      </c>
      <c r="AP1023" s="1" t="s">
        <v>16106</v>
      </c>
    </row>
    <row r="1024">
      <c r="A1024" s="6">
        <v>45476.314020624995</v>
      </c>
      <c r="B1024" s="7" t="s">
        <v>16107</v>
      </c>
      <c r="C1024" s="8" t="s">
        <v>16108</v>
      </c>
      <c r="D1024" s="1" t="s">
        <v>16109</v>
      </c>
      <c r="E1024" s="9" t="s">
        <v>16110</v>
      </c>
      <c r="F1024" s="1" t="s">
        <v>16111</v>
      </c>
      <c r="G1024" s="1" t="s">
        <v>16112</v>
      </c>
      <c r="H1024" s="1" t="s">
        <v>4585</v>
      </c>
      <c r="I1024" s="9" t="s">
        <v>16113</v>
      </c>
      <c r="J1024" s="1" t="s">
        <v>2095</v>
      </c>
      <c r="K1024" s="1" t="s">
        <v>102</v>
      </c>
      <c r="L1024" s="1" t="s">
        <v>103</v>
      </c>
      <c r="M1024" s="1" t="s">
        <v>104</v>
      </c>
      <c r="O1024" s="1" t="s">
        <v>127</v>
      </c>
      <c r="P1024" s="1" t="s">
        <v>14439</v>
      </c>
      <c r="Q1024" s="1" t="s">
        <v>16114</v>
      </c>
      <c r="R1024" s="1" t="s">
        <v>16115</v>
      </c>
      <c r="S1024" s="1">
        <v>3.93</v>
      </c>
      <c r="Z1024" s="1" t="s">
        <v>16116</v>
      </c>
      <c r="AA1024" s="10">
        <v>3000000.0</v>
      </c>
      <c r="AB1024" s="1" t="s">
        <v>16117</v>
      </c>
      <c r="AC1024" s="10">
        <v>1000000.0</v>
      </c>
      <c r="AD1024" s="1" t="s">
        <v>16118</v>
      </c>
      <c r="AE1024" s="10">
        <v>1250000.0</v>
      </c>
      <c r="AF1024" s="10">
        <v>5.0E7</v>
      </c>
      <c r="AG1024" s="1">
        <v>7.222913928E9</v>
      </c>
      <c r="AJ1024" s="1">
        <v>150.0</v>
      </c>
      <c r="AK1024" s="1">
        <v>53.0</v>
      </c>
      <c r="AL1024" s="1" t="s">
        <v>16119</v>
      </c>
      <c r="AM1024" s="1" t="s">
        <v>16120</v>
      </c>
      <c r="AN1024" s="7" t="s">
        <v>16121</v>
      </c>
      <c r="AO1024" s="8" t="str">
        <f>HYPERLINK("https://docs.google.com/document/d/1wshou7lhtec51AZnx3rLTLcPpUwGA6bMivFPzgS9svc/edit?usp=drivesdk","Al-Wildan 22 Makassar_Aisyah S.H_")</f>
        <v>Al-Wildan 22 Makassar_Aisyah S.H_</v>
      </c>
      <c r="AP1024" s="1" t="s">
        <v>16122</v>
      </c>
    </row>
    <row r="1025">
      <c r="A1025" s="6">
        <v>45476.34558658565</v>
      </c>
      <c r="B1025" s="7" t="s">
        <v>16123</v>
      </c>
      <c r="C1025" s="8" t="s">
        <v>16124</v>
      </c>
      <c r="D1025" s="1" t="s">
        <v>16125</v>
      </c>
      <c r="E1025" s="1" t="s">
        <v>16126</v>
      </c>
      <c r="F1025" s="1" t="s">
        <v>16127</v>
      </c>
      <c r="G1025" s="1" t="s">
        <v>16128</v>
      </c>
      <c r="H1025" s="1" t="s">
        <v>722</v>
      </c>
      <c r="I1025" s="9" t="s">
        <v>16129</v>
      </c>
      <c r="J1025" s="1" t="s">
        <v>290</v>
      </c>
      <c r="K1025" s="1" t="s">
        <v>102</v>
      </c>
      <c r="L1025" s="1" t="s">
        <v>103</v>
      </c>
      <c r="M1025" s="1" t="s">
        <v>104</v>
      </c>
      <c r="N1025" s="1" t="s">
        <v>16130</v>
      </c>
      <c r="O1025" s="1" t="s">
        <v>9794</v>
      </c>
      <c r="P1025" s="1" t="s">
        <v>7991</v>
      </c>
      <c r="Q1025" s="1" t="s">
        <v>275</v>
      </c>
      <c r="R1025" s="1" t="s">
        <v>552</v>
      </c>
      <c r="Z1025" s="1" t="s">
        <v>16131</v>
      </c>
      <c r="AA1025" s="10">
        <v>4700000.0</v>
      </c>
      <c r="AB1025" s="1" t="s">
        <v>16132</v>
      </c>
      <c r="AC1025" s="10">
        <v>7500000.0</v>
      </c>
      <c r="AF1025" s="10">
        <v>5500000.0</v>
      </c>
      <c r="AG1025" s="1">
        <v>7.173078948E9</v>
      </c>
      <c r="AJ1025" s="1">
        <v>160.0</v>
      </c>
      <c r="AK1025" s="1">
        <v>58.0</v>
      </c>
      <c r="AL1025" s="1" t="s">
        <v>16133</v>
      </c>
      <c r="AM1025" s="1" t="s">
        <v>16134</v>
      </c>
      <c r="AN1025" s="7" t="s">
        <v>16135</v>
      </c>
      <c r="AO1025" s="8" t="str">
        <f>HYPERLINK("https://docs.google.com/document/d/1De25IZyuBCs9jTomcnKCzbEitDYZ2x9Kl4ZVzS7Lnpg/edit?usp=drivesdk","Al-Wildan 12 Bulak Kapal, Bekasi_Ahmad Nafiys Ismail, S.Si_Guru MIPA")</f>
        <v>Al-Wildan 12 Bulak Kapal, Bekasi_Ahmad Nafiys Ismail, S.Si_Guru MIPA</v>
      </c>
      <c r="AP1025" s="1" t="s">
        <v>16136</v>
      </c>
    </row>
    <row r="1026">
      <c r="A1026" s="6">
        <v>45476.40757627315</v>
      </c>
      <c r="B1026" s="7" t="s">
        <v>16137</v>
      </c>
      <c r="C1026" s="8" t="s">
        <v>16138</v>
      </c>
      <c r="D1026" s="1" t="s">
        <v>16139</v>
      </c>
      <c r="E1026" s="9" t="s">
        <v>16140</v>
      </c>
      <c r="F1026" s="1" t="s">
        <v>16141</v>
      </c>
      <c r="G1026" s="1" t="s">
        <v>16142</v>
      </c>
      <c r="H1026" s="1" t="s">
        <v>16143</v>
      </c>
      <c r="I1026" s="9" t="s">
        <v>16144</v>
      </c>
      <c r="J1026" s="1" t="s">
        <v>16145</v>
      </c>
      <c r="K1026" s="1" t="s">
        <v>102</v>
      </c>
      <c r="L1026" s="1" t="s">
        <v>256</v>
      </c>
      <c r="M1026" s="1" t="s">
        <v>104</v>
      </c>
      <c r="N1026" s="1" t="s">
        <v>16146</v>
      </c>
      <c r="O1026" s="1" t="s">
        <v>106</v>
      </c>
      <c r="P1026" s="1" t="s">
        <v>14439</v>
      </c>
      <c r="Q1026" s="1" t="s">
        <v>16147</v>
      </c>
      <c r="R1026" s="1" t="s">
        <v>172</v>
      </c>
      <c r="S1026" s="1">
        <v>3.7</v>
      </c>
      <c r="Z1026" s="1" t="s">
        <v>16148</v>
      </c>
      <c r="AA1026" s="1" t="s">
        <v>217</v>
      </c>
      <c r="AB1026" s="1" t="s">
        <v>16149</v>
      </c>
      <c r="AC1026" s="10">
        <v>3000000.0</v>
      </c>
      <c r="AD1026" s="1" t="s">
        <v>16150</v>
      </c>
      <c r="AE1026" s="10">
        <v>3500000.0</v>
      </c>
      <c r="AF1026" s="10">
        <v>3000000.0</v>
      </c>
      <c r="AG1026" s="1">
        <v>7.262273924E9</v>
      </c>
      <c r="AJ1026" s="1">
        <v>165.0</v>
      </c>
      <c r="AK1026" s="1">
        <v>56.0</v>
      </c>
      <c r="AL1026" s="1" t="s">
        <v>16151</v>
      </c>
      <c r="AM1026" s="1" t="s">
        <v>16152</v>
      </c>
      <c r="AN1026" s="7" t="s">
        <v>16153</v>
      </c>
      <c r="AO1026" s="8" t="str">
        <f>HYPERLINK("https://docs.google.com/document/d/1W_kQoFNS7GNaTsxkTOPxYLdabAuoJJp6qprHVKaV4Ck/edit?usp=drivesdk","Al-Wildan 22 Makassar_Ayu Nirmawati Muhammad, S.Pd. _Science, Math &amp; English")</f>
        <v>Al-Wildan 22 Makassar_Ayu Nirmawati Muhammad, S.Pd. _Science, Math &amp; English</v>
      </c>
      <c r="AP1026" s="1" t="s">
        <v>16154</v>
      </c>
    </row>
    <row r="1027">
      <c r="A1027" s="6">
        <v>45476.415221828705</v>
      </c>
      <c r="B1027" s="7" t="s">
        <v>16155</v>
      </c>
      <c r="C1027" s="8" t="s">
        <v>16156</v>
      </c>
      <c r="D1027" s="1" t="s">
        <v>16139</v>
      </c>
      <c r="E1027" s="9" t="s">
        <v>16140</v>
      </c>
      <c r="F1027" s="1" t="s">
        <v>16141</v>
      </c>
      <c r="G1027" s="1" t="s">
        <v>16157</v>
      </c>
      <c r="H1027" s="1" t="s">
        <v>16143</v>
      </c>
      <c r="I1027" s="9" t="s">
        <v>16144</v>
      </c>
      <c r="J1027" s="1" t="s">
        <v>16158</v>
      </c>
      <c r="K1027" s="1" t="s">
        <v>102</v>
      </c>
      <c r="L1027" s="1" t="s">
        <v>256</v>
      </c>
      <c r="M1027" s="1" t="s">
        <v>104</v>
      </c>
      <c r="N1027" s="1" t="s">
        <v>16146</v>
      </c>
      <c r="O1027" s="1" t="s">
        <v>9794</v>
      </c>
      <c r="P1027" s="1" t="s">
        <v>14439</v>
      </c>
      <c r="Q1027" s="1" t="s">
        <v>16147</v>
      </c>
      <c r="R1027" s="1" t="s">
        <v>172</v>
      </c>
      <c r="S1027" s="1">
        <v>3.7</v>
      </c>
      <c r="Z1027" s="1" t="s">
        <v>16159</v>
      </c>
      <c r="AA1027" s="1" t="s">
        <v>217</v>
      </c>
      <c r="AB1027" s="1" t="s">
        <v>16160</v>
      </c>
      <c r="AC1027" s="10">
        <v>3000000.0</v>
      </c>
      <c r="AD1027" s="1" t="s">
        <v>16161</v>
      </c>
      <c r="AE1027" s="10">
        <v>3500000.0</v>
      </c>
      <c r="AF1027" s="10">
        <v>3000000.0</v>
      </c>
      <c r="AG1027" s="1">
        <v>7.262273924E9</v>
      </c>
      <c r="AJ1027" s="1">
        <v>165.0</v>
      </c>
      <c r="AK1027" s="1">
        <v>56.0</v>
      </c>
      <c r="AL1027" s="1" t="s">
        <v>16151</v>
      </c>
      <c r="AM1027" s="1" t="s">
        <v>16162</v>
      </c>
      <c r="AN1027" s="7" t="s">
        <v>16163</v>
      </c>
      <c r="AO1027" s="8" t="str">
        <f>HYPERLINK("https://docs.google.com/document/d/1EVol0MV7ANG84h8l-G44nrF9N1BCgQXGy0VfJssQ0gU/edit?usp=drivesdk","Al-Wildan 22 Makassar_Ayu Nirmawati Muhammad, S.Pd. _Science, Math &amp; English")</f>
        <v>Al-Wildan 22 Makassar_Ayu Nirmawati Muhammad, S.Pd. _Science, Math &amp; English</v>
      </c>
      <c r="AP1027" s="1" t="s">
        <v>16164</v>
      </c>
    </row>
    <row r="1028">
      <c r="A1028" s="6">
        <v>45476.64154648148</v>
      </c>
      <c r="B1028" s="7" t="s">
        <v>16165</v>
      </c>
      <c r="C1028" s="8" t="s">
        <v>16166</v>
      </c>
      <c r="D1028" s="1" t="s">
        <v>16167</v>
      </c>
      <c r="E1028" s="9" t="s">
        <v>16168</v>
      </c>
      <c r="F1028" s="1" t="s">
        <v>16169</v>
      </c>
      <c r="G1028" s="1" t="s">
        <v>10576</v>
      </c>
      <c r="H1028" s="1" t="s">
        <v>10576</v>
      </c>
      <c r="I1028" s="9" t="s">
        <v>16170</v>
      </c>
      <c r="J1028" s="1" t="s">
        <v>16171</v>
      </c>
      <c r="K1028" s="1" t="s">
        <v>151</v>
      </c>
      <c r="L1028" s="1" t="s">
        <v>496</v>
      </c>
      <c r="M1028" s="1" t="s">
        <v>16172</v>
      </c>
      <c r="N1028" s="1" t="s">
        <v>235</v>
      </c>
      <c r="O1028" s="1" t="s">
        <v>9794</v>
      </c>
      <c r="P1028" s="1" t="s">
        <v>14395</v>
      </c>
      <c r="Q1028" s="1" t="s">
        <v>11769</v>
      </c>
      <c r="R1028" s="1" t="s">
        <v>8140</v>
      </c>
      <c r="S1028" s="1" t="s">
        <v>1997</v>
      </c>
      <c r="Z1028" s="1" t="s">
        <v>16173</v>
      </c>
      <c r="AA1028" s="10">
        <v>3500000.0</v>
      </c>
      <c r="AF1028" s="1" t="s">
        <v>10801</v>
      </c>
      <c r="AG1028" s="1">
        <v>7.138928618E9</v>
      </c>
      <c r="AI1028" s="1" t="s">
        <v>5113</v>
      </c>
      <c r="AJ1028" s="1">
        <v>65.0</v>
      </c>
      <c r="AK1028" s="1">
        <v>70.0</v>
      </c>
      <c r="AL1028" s="1" t="s">
        <v>16174</v>
      </c>
      <c r="AM1028" s="1" t="s">
        <v>16175</v>
      </c>
      <c r="AN1028" s="7" t="s">
        <v>16176</v>
      </c>
      <c r="AO1028" s="8" t="str">
        <f>HYPERLINK("https://docs.google.com/document/d/1lZJPT2m3BrmOqe0JF1ZScM3Xk4yh4-sVpFKAY8hrIlM/edit?usp=drivesdk","Al-Wildam 20 Mataram_M Anwar Efendi S.Pd_Bahasa Arab")</f>
        <v>Al-Wildam 20 Mataram_M Anwar Efendi S.Pd_Bahasa Arab</v>
      </c>
      <c r="AP1028" s="1" t="s">
        <v>16177</v>
      </c>
    </row>
    <row r="1029">
      <c r="A1029" s="6">
        <v>45476.67464834491</v>
      </c>
      <c r="B1029" s="7" t="s">
        <v>16178</v>
      </c>
      <c r="C1029" s="8" t="s">
        <v>16179</v>
      </c>
      <c r="D1029" s="1" t="s">
        <v>16180</v>
      </c>
      <c r="E1029" s="9" t="s">
        <v>16181</v>
      </c>
      <c r="F1029" s="1" t="s">
        <v>16182</v>
      </c>
      <c r="G1029" s="1" t="s">
        <v>2076</v>
      </c>
      <c r="H1029" s="1" t="s">
        <v>2076</v>
      </c>
      <c r="I1029" s="9" t="s">
        <v>16183</v>
      </c>
      <c r="J1029" s="1" t="s">
        <v>9654</v>
      </c>
      <c r="K1029" s="1" t="s">
        <v>151</v>
      </c>
      <c r="L1029" s="1" t="s">
        <v>103</v>
      </c>
      <c r="M1029" s="1" t="s">
        <v>104</v>
      </c>
      <c r="N1029" s="1" t="s">
        <v>16184</v>
      </c>
      <c r="O1029" s="1" t="s">
        <v>312</v>
      </c>
      <c r="P1029" s="1" t="s">
        <v>14395</v>
      </c>
      <c r="Q1029" s="1" t="s">
        <v>16185</v>
      </c>
      <c r="R1029" s="1" t="s">
        <v>16186</v>
      </c>
      <c r="S1029" s="1" t="s">
        <v>4479</v>
      </c>
      <c r="Z1029" s="1" t="s">
        <v>16187</v>
      </c>
      <c r="AF1029" s="10">
        <v>6000000.0</v>
      </c>
      <c r="AH1029" s="1">
        <v>4.7660101704053E14</v>
      </c>
      <c r="AI1029" s="1" t="s">
        <v>2407</v>
      </c>
      <c r="AJ1029" s="1">
        <v>152.0</v>
      </c>
      <c r="AK1029" s="1">
        <v>54.0</v>
      </c>
      <c r="AL1029" s="1" t="s">
        <v>16188</v>
      </c>
      <c r="AM1029" s="1" t="s">
        <v>16189</v>
      </c>
      <c r="AN1029" s="7" t="s">
        <v>16190</v>
      </c>
      <c r="AO1029" s="8" t="str">
        <f>HYPERLINK("https://docs.google.com/document/d/1vkwY6n_lzSleGyIaa3s-p45ynrLb2wvKPKn_CGNLGjU/edit?usp=drivesdk","Al-Wildam 20 Mataram_Jihan Fahima, S.Pd._Bahasa Indonesia (tematik)")</f>
        <v>Al-Wildam 20 Mataram_Jihan Fahima, S.Pd._Bahasa Indonesia (tematik)</v>
      </c>
      <c r="AP1029" s="1" t="s">
        <v>16191</v>
      </c>
    </row>
    <row r="1030">
      <c r="A1030" s="6">
        <v>45477.42913584491</v>
      </c>
      <c r="B1030" s="7" t="s">
        <v>16192</v>
      </c>
      <c r="C1030" s="8" t="s">
        <v>16193</v>
      </c>
      <c r="D1030" s="1" t="s">
        <v>16194</v>
      </c>
      <c r="E1030" s="9" t="s">
        <v>16195</v>
      </c>
      <c r="F1030" s="1" t="s">
        <v>16196</v>
      </c>
      <c r="G1030" s="1" t="s">
        <v>16197</v>
      </c>
      <c r="H1030" s="1" t="s">
        <v>5477</v>
      </c>
      <c r="I1030" s="9" t="s">
        <v>16198</v>
      </c>
      <c r="J1030" s="1" t="s">
        <v>3959</v>
      </c>
      <c r="K1030" s="1" t="s">
        <v>151</v>
      </c>
      <c r="L1030" s="1" t="s">
        <v>496</v>
      </c>
      <c r="M1030" s="1" t="s">
        <v>8769</v>
      </c>
      <c r="O1030" s="1" t="s">
        <v>127</v>
      </c>
      <c r="P1030" s="1" t="s">
        <v>11207</v>
      </c>
      <c r="Q1030" s="1" t="s">
        <v>7082</v>
      </c>
      <c r="R1030" s="1" t="s">
        <v>499</v>
      </c>
      <c r="S1030" s="1" t="s">
        <v>1958</v>
      </c>
      <c r="Z1030" s="1" t="s">
        <v>16199</v>
      </c>
      <c r="AA1030" s="10">
        <v>3000000.0</v>
      </c>
      <c r="AB1030" s="1" t="s">
        <v>16200</v>
      </c>
      <c r="AC1030" s="10">
        <v>2500000.0</v>
      </c>
      <c r="AF1030" s="10">
        <v>4000000.0</v>
      </c>
      <c r="AG1030" s="1">
        <v>8.46019453E9</v>
      </c>
      <c r="AJ1030" s="1">
        <v>168.0</v>
      </c>
      <c r="AK1030" s="1">
        <v>58.0</v>
      </c>
      <c r="AL1030" s="1" t="s">
        <v>16201</v>
      </c>
      <c r="AM1030" s="1" t="s">
        <v>16202</v>
      </c>
      <c r="AN1030" s="7" t="s">
        <v>16203</v>
      </c>
      <c r="AO1030" s="8" t="str">
        <f>HYPERLINK("https://docs.google.com/document/d/1UbzBHdp_9bEUEOUym3FFHIFisoQtCZ7sfoNNQWwlsVo/edit?usp=drivesdk","Al-Wildan 16 Ciledug_Nur Rohmah, S.Ag_")</f>
        <v>Al-Wildan 16 Ciledug_Nur Rohmah, S.Ag_</v>
      </c>
      <c r="AP1030" s="1" t="s">
        <v>16204</v>
      </c>
    </row>
    <row r="1031">
      <c r="A1031" s="6">
        <v>45477.744379131946</v>
      </c>
      <c r="B1031" s="7" t="s">
        <v>16205</v>
      </c>
      <c r="C1031" s="8" t="s">
        <v>16206</v>
      </c>
      <c r="D1031" s="1" t="s">
        <v>16207</v>
      </c>
      <c r="E1031" s="9" t="s">
        <v>16208</v>
      </c>
      <c r="F1031" s="1" t="s">
        <v>16209</v>
      </c>
      <c r="G1031" s="1" t="s">
        <v>16210</v>
      </c>
      <c r="H1031" s="1" t="s">
        <v>16211</v>
      </c>
      <c r="I1031" s="9" t="s">
        <v>16212</v>
      </c>
      <c r="J1031" s="1" t="s">
        <v>16213</v>
      </c>
      <c r="K1031" s="1" t="s">
        <v>102</v>
      </c>
      <c r="L1031" s="1" t="s">
        <v>329</v>
      </c>
      <c r="M1031" s="1" t="s">
        <v>104</v>
      </c>
      <c r="N1031" s="1" t="s">
        <v>16214</v>
      </c>
      <c r="O1031" s="1" t="s">
        <v>9794</v>
      </c>
      <c r="P1031" s="1" t="s">
        <v>107</v>
      </c>
      <c r="Q1031" s="1" t="s">
        <v>16215</v>
      </c>
      <c r="R1031" s="1" t="s">
        <v>16216</v>
      </c>
      <c r="S1031" s="9" t="s">
        <v>8820</v>
      </c>
      <c r="T1031" s="1" t="s">
        <v>16217</v>
      </c>
      <c r="U1031" s="1" t="s">
        <v>1562</v>
      </c>
      <c r="V1031" s="1" t="s">
        <v>1562</v>
      </c>
      <c r="W1031" s="1" t="s">
        <v>1562</v>
      </c>
      <c r="X1031" s="1" t="s">
        <v>1562</v>
      </c>
      <c r="Y1031" s="1">
        <v>0.0</v>
      </c>
      <c r="Z1031" s="1" t="s">
        <v>16218</v>
      </c>
      <c r="AA1031" s="1" t="s">
        <v>1562</v>
      </c>
      <c r="AB1031" s="1" t="s">
        <v>16219</v>
      </c>
      <c r="AC1031" s="1" t="s">
        <v>1562</v>
      </c>
      <c r="AD1031" s="1" t="s">
        <v>16219</v>
      </c>
      <c r="AF1031" s="1" t="s">
        <v>16220</v>
      </c>
      <c r="AG1031" s="1">
        <v>1.610002780695E12</v>
      </c>
      <c r="AH1031" s="1">
        <v>1.610002780695E12</v>
      </c>
      <c r="AI1031" s="1" t="s">
        <v>16221</v>
      </c>
      <c r="AJ1031" s="1">
        <v>163.0</v>
      </c>
      <c r="AK1031" s="1">
        <v>68.0</v>
      </c>
      <c r="AL1031" s="1" t="s">
        <v>16222</v>
      </c>
      <c r="AM1031" s="1" t="s">
        <v>16223</v>
      </c>
      <c r="AN1031" s="7" t="s">
        <v>16224</v>
      </c>
      <c r="AO1031" s="8" t="str">
        <f>HYPERLINK("https://docs.google.com/document/d/1RYHPbv2vD_5x7l0krleF1RE4viZ38jpR-SlGn4zPxxo/edit?usp=drivesdk","Al-Wildan 1 Gading Serpong_MARYNA ABDULLAH AHMED _Bahas Arab / Native ")</f>
        <v>Al-Wildan 1 Gading Serpong_MARYNA ABDULLAH AHMED _Bahas Arab / Native </v>
      </c>
      <c r="AP1031" s="1" t="s">
        <v>16225</v>
      </c>
    </row>
    <row r="1032">
      <c r="A1032" s="6">
        <v>45478.08164232639</v>
      </c>
      <c r="B1032" s="7" t="s">
        <v>16226</v>
      </c>
      <c r="C1032" s="8" t="s">
        <v>16227</v>
      </c>
      <c r="D1032" s="1" t="s">
        <v>16228</v>
      </c>
      <c r="E1032" s="9" t="s">
        <v>16229</v>
      </c>
      <c r="F1032" s="1" t="s">
        <v>16230</v>
      </c>
      <c r="G1032" s="1" t="s">
        <v>16231</v>
      </c>
      <c r="H1032" s="1" t="s">
        <v>169</v>
      </c>
      <c r="I1032" s="9" t="s">
        <v>16232</v>
      </c>
      <c r="J1032" s="1" t="s">
        <v>533</v>
      </c>
      <c r="K1032" s="1" t="s">
        <v>151</v>
      </c>
      <c r="L1032" s="1" t="s">
        <v>256</v>
      </c>
      <c r="M1032" s="1" t="s">
        <v>104</v>
      </c>
      <c r="N1032" s="1" t="s">
        <v>16233</v>
      </c>
      <c r="O1032" s="1" t="s">
        <v>312</v>
      </c>
      <c r="P1032" s="1" t="s">
        <v>107</v>
      </c>
      <c r="Q1032" s="1" t="s">
        <v>16234</v>
      </c>
      <c r="R1032" s="1" t="s">
        <v>10527</v>
      </c>
      <c r="S1032" s="1">
        <v>3.89</v>
      </c>
      <c r="T1032" s="1" t="s">
        <v>16235</v>
      </c>
      <c r="U1032" s="1" t="s">
        <v>16236</v>
      </c>
      <c r="V1032" s="1">
        <v>3.66</v>
      </c>
      <c r="Z1032" s="1" t="s">
        <v>16237</v>
      </c>
      <c r="AA1032" s="10">
        <v>3000000.0</v>
      </c>
      <c r="AB1032" s="1" t="s">
        <v>16238</v>
      </c>
      <c r="AC1032" s="10">
        <v>1600000.0</v>
      </c>
      <c r="AH1032" s="1">
        <v>1.570010204882E12</v>
      </c>
      <c r="AI1032" s="1" t="s">
        <v>2119</v>
      </c>
      <c r="AJ1032" s="1">
        <v>150.0</v>
      </c>
      <c r="AK1032" s="1">
        <v>44.0</v>
      </c>
      <c r="AL1032" s="1" t="s">
        <v>16239</v>
      </c>
      <c r="AM1032" s="1" t="s">
        <v>16240</v>
      </c>
      <c r="AN1032" s="7" t="s">
        <v>16241</v>
      </c>
      <c r="AO1032" s="8" t="str">
        <f>HYPERLINK("https://docs.google.com/document/d/1VmyUobqJlRkXXfl77z0YF0PywvMfu_dwF6PqxJ6dS7U/edit?usp=drivesdk","Al-Wildan 1 Gading Serpong_Mayola Andika, S.Ag_Science English &amp; Math")</f>
        <v>Al-Wildan 1 Gading Serpong_Mayola Andika, S.Ag_Science English &amp; Math</v>
      </c>
      <c r="AP1032" s="1" t="s">
        <v>16242</v>
      </c>
    </row>
    <row r="1033">
      <c r="A1033" s="6">
        <v>45478.08984901621</v>
      </c>
      <c r="B1033" s="7" t="s">
        <v>16243</v>
      </c>
      <c r="C1033" s="8" t="s">
        <v>16244</v>
      </c>
      <c r="D1033" s="1" t="s">
        <v>16228</v>
      </c>
      <c r="E1033" s="9" t="s">
        <v>16229</v>
      </c>
      <c r="F1033" s="1" t="s">
        <v>16230</v>
      </c>
      <c r="G1033" s="1" t="s">
        <v>16231</v>
      </c>
      <c r="H1033" s="1" t="s">
        <v>169</v>
      </c>
      <c r="I1033" s="9" t="s">
        <v>16232</v>
      </c>
      <c r="J1033" s="1" t="s">
        <v>533</v>
      </c>
      <c r="K1033" s="1" t="s">
        <v>151</v>
      </c>
      <c r="L1033" s="1" t="s">
        <v>256</v>
      </c>
      <c r="M1033" s="1" t="s">
        <v>104</v>
      </c>
      <c r="N1033" s="1" t="s">
        <v>16245</v>
      </c>
      <c r="O1033" s="1" t="s">
        <v>312</v>
      </c>
      <c r="P1033" s="1" t="s">
        <v>107</v>
      </c>
      <c r="Q1033" s="1" t="s">
        <v>16234</v>
      </c>
      <c r="R1033" s="1" t="s">
        <v>10527</v>
      </c>
      <c r="S1033" s="1">
        <v>3.89</v>
      </c>
      <c r="T1033" s="1" t="s">
        <v>16246</v>
      </c>
      <c r="U1033" s="1" t="s">
        <v>16236</v>
      </c>
      <c r="V1033" s="1">
        <v>3.66</v>
      </c>
      <c r="Z1033" s="1" t="s">
        <v>16237</v>
      </c>
      <c r="AA1033" s="10">
        <v>3000000.0</v>
      </c>
      <c r="AB1033" s="1" t="s">
        <v>16247</v>
      </c>
      <c r="AC1033" s="10">
        <v>1500000.0</v>
      </c>
      <c r="AF1033" s="10">
        <v>5500000.0</v>
      </c>
      <c r="AH1033" s="1">
        <v>1.570010204882E12</v>
      </c>
      <c r="AI1033" s="1" t="s">
        <v>2119</v>
      </c>
      <c r="AJ1033" s="1">
        <v>150.0</v>
      </c>
      <c r="AK1033" s="1">
        <v>44.0</v>
      </c>
      <c r="AL1033" s="1" t="s">
        <v>16239</v>
      </c>
      <c r="AM1033" s="1" t="s">
        <v>16248</v>
      </c>
      <c r="AN1033" s="7" t="s">
        <v>16249</v>
      </c>
      <c r="AO1033" s="8" t="str">
        <f>HYPERLINK("https://docs.google.com/document/d/16Vrv9x2iiSYzevHtvct9F1QwBKFMx-OoowGgyM01i_g/edit?usp=drivesdk","Al-Wildan 1 Gading Serpong_Mayola Andika, S.Ag_English Math &amp; Science")</f>
        <v>Al-Wildan 1 Gading Serpong_Mayola Andika, S.Ag_English Math &amp; Science</v>
      </c>
      <c r="AP1033" s="1" t="s">
        <v>16250</v>
      </c>
    </row>
    <row r="1034">
      <c r="A1034" s="6">
        <v>45478.39890489583</v>
      </c>
      <c r="B1034" s="7" t="s">
        <v>16251</v>
      </c>
      <c r="C1034" s="8" t="s">
        <v>16252</v>
      </c>
      <c r="D1034" s="1" t="s">
        <v>16253</v>
      </c>
      <c r="E1034" s="9" t="s">
        <v>16254</v>
      </c>
      <c r="F1034" s="1" t="s">
        <v>16255</v>
      </c>
      <c r="G1034" s="1" t="s">
        <v>16256</v>
      </c>
      <c r="H1034" s="1" t="s">
        <v>148</v>
      </c>
      <c r="I1034" s="9" t="s">
        <v>16257</v>
      </c>
      <c r="J1034" s="1" t="s">
        <v>4279</v>
      </c>
      <c r="K1034" s="1" t="s">
        <v>151</v>
      </c>
      <c r="L1034" s="1" t="s">
        <v>103</v>
      </c>
      <c r="M1034" s="1" t="s">
        <v>104</v>
      </c>
      <c r="N1034" s="1" t="s">
        <v>771</v>
      </c>
      <c r="O1034" s="1" t="s">
        <v>9794</v>
      </c>
      <c r="P1034" s="1" t="s">
        <v>14395</v>
      </c>
      <c r="Q1034" s="1" t="s">
        <v>590</v>
      </c>
      <c r="R1034" s="1" t="s">
        <v>172</v>
      </c>
      <c r="S1034" s="1" t="s">
        <v>1958</v>
      </c>
      <c r="T1034" s="1" t="s">
        <v>16258</v>
      </c>
      <c r="U1034" s="1" t="s">
        <v>16259</v>
      </c>
      <c r="V1034" s="1" t="s">
        <v>1522</v>
      </c>
      <c r="Z1034" s="1" t="s">
        <v>16260</v>
      </c>
      <c r="AA1034" s="1" t="s">
        <v>16261</v>
      </c>
      <c r="AB1034" s="1" t="s">
        <v>16262</v>
      </c>
      <c r="AC1034" s="1" t="s">
        <v>16263</v>
      </c>
      <c r="AD1034" s="1" t="s">
        <v>16264</v>
      </c>
      <c r="AE1034" s="1" t="s">
        <v>16265</v>
      </c>
      <c r="AF1034" s="10">
        <v>4800000.0</v>
      </c>
      <c r="AH1034" s="1">
        <v>1.823533786E9</v>
      </c>
      <c r="AI1034" s="1" t="s">
        <v>159</v>
      </c>
      <c r="AJ1034" s="1">
        <v>160.0</v>
      </c>
      <c r="AK1034" s="1">
        <v>40.0</v>
      </c>
      <c r="AL1034" s="1" t="s">
        <v>16266</v>
      </c>
      <c r="AM1034" s="1" t="s">
        <v>16267</v>
      </c>
      <c r="AN1034" s="7" t="s">
        <v>16268</v>
      </c>
      <c r="AO1034" s="8" t="str">
        <f>HYPERLINK("https://docs.google.com/document/d/1mJe1qPSEGqpHdKsJ6HS5u7wQjPo0alWJft8cMNUqtyY/edit?usp=drivesdk","Al-Wildam 20 Mataram_Suciaty Ramdhani, S.Pd., M.Ed._English")</f>
        <v>Al-Wildam 20 Mataram_Suciaty Ramdhani, S.Pd., M.Ed._English</v>
      </c>
      <c r="AP1034" s="1" t="s">
        <v>16269</v>
      </c>
    </row>
    <row r="1035">
      <c r="A1035" s="6">
        <v>45478.47925505787</v>
      </c>
      <c r="B1035" s="7" t="s">
        <v>16270</v>
      </c>
      <c r="C1035" s="8" t="s">
        <v>16271</v>
      </c>
      <c r="D1035" s="1" t="s">
        <v>16272</v>
      </c>
      <c r="E1035" s="9" t="s">
        <v>16273</v>
      </c>
      <c r="F1035" s="1" t="s">
        <v>16274</v>
      </c>
      <c r="G1035" s="1" t="s">
        <v>16275</v>
      </c>
      <c r="H1035" s="1" t="s">
        <v>4585</v>
      </c>
      <c r="I1035" s="9" t="s">
        <v>16276</v>
      </c>
      <c r="J1035" s="1" t="s">
        <v>16277</v>
      </c>
      <c r="K1035" s="1" t="s">
        <v>151</v>
      </c>
      <c r="L1035" s="1" t="s">
        <v>827</v>
      </c>
      <c r="M1035" s="1" t="s">
        <v>104</v>
      </c>
      <c r="N1035" s="1" t="s">
        <v>126</v>
      </c>
      <c r="O1035" s="1" t="s">
        <v>312</v>
      </c>
      <c r="P1035" s="1" t="s">
        <v>14439</v>
      </c>
      <c r="Q1035" s="1" t="s">
        <v>4589</v>
      </c>
      <c r="R1035" s="1" t="s">
        <v>16278</v>
      </c>
      <c r="S1035" s="1" t="s">
        <v>6418</v>
      </c>
      <c r="AH1035" s="1">
        <v>1.125072002E9</v>
      </c>
      <c r="AI1035" s="1" t="s">
        <v>7997</v>
      </c>
      <c r="AJ1035" s="1">
        <v>155.0</v>
      </c>
      <c r="AK1035" s="1">
        <v>46.0</v>
      </c>
      <c r="AL1035" s="1" t="s">
        <v>16279</v>
      </c>
      <c r="AM1035" s="1" t="s">
        <v>16280</v>
      </c>
      <c r="AN1035" s="7" t="s">
        <v>16281</v>
      </c>
      <c r="AO1035" s="8" t="str">
        <f>HYPERLINK("https://docs.google.com/document/d/1HAWHV9LLoVNq_FVKfykG4ptXuvWw9HtZNfn4WhhFD5Q/edit?usp=drivesdk","Al-Wildan 22 Makassar_Diva Alvania Andi Abduh, S.Aktr._Matematika")</f>
        <v>Al-Wildan 22 Makassar_Diva Alvania Andi Abduh, S.Aktr._Matematika</v>
      </c>
      <c r="AP1035" s="1" t="s">
        <v>16282</v>
      </c>
    </row>
    <row r="1036">
      <c r="A1036" s="6">
        <v>45479.597444178245</v>
      </c>
      <c r="B1036" s="7" t="s">
        <v>16283</v>
      </c>
      <c r="C1036" s="8" t="s">
        <v>16284</v>
      </c>
      <c r="D1036" s="1" t="s">
        <v>16285</v>
      </c>
      <c r="E1036" s="9" t="s">
        <v>14240</v>
      </c>
      <c r="F1036" s="1" t="s">
        <v>14241</v>
      </c>
      <c r="G1036" s="1" t="s">
        <v>16286</v>
      </c>
      <c r="H1036" s="1" t="s">
        <v>6169</v>
      </c>
      <c r="I1036" s="1" t="s">
        <v>16287</v>
      </c>
      <c r="J1036" s="1" t="s">
        <v>2131</v>
      </c>
      <c r="K1036" s="1" t="s">
        <v>151</v>
      </c>
      <c r="L1036" s="1" t="s">
        <v>496</v>
      </c>
      <c r="M1036" s="1" t="s">
        <v>7580</v>
      </c>
      <c r="N1036" s="1" t="s">
        <v>16288</v>
      </c>
      <c r="O1036" s="1" t="s">
        <v>127</v>
      </c>
      <c r="P1036" s="1" t="s">
        <v>14335</v>
      </c>
      <c r="Q1036" s="1" t="s">
        <v>14981</v>
      </c>
      <c r="R1036" s="1" t="s">
        <v>235</v>
      </c>
      <c r="S1036" s="1" t="s">
        <v>16289</v>
      </c>
      <c r="T1036" s="1" t="s">
        <v>217</v>
      </c>
      <c r="U1036" s="1" t="s">
        <v>217</v>
      </c>
      <c r="V1036" s="1" t="s">
        <v>217</v>
      </c>
      <c r="W1036" s="1" t="s">
        <v>217</v>
      </c>
      <c r="X1036" s="1" t="s">
        <v>217</v>
      </c>
      <c r="Z1036" s="1" t="s">
        <v>16290</v>
      </c>
      <c r="AA1036" s="1" t="s">
        <v>217</v>
      </c>
      <c r="AB1036" s="1" t="s">
        <v>16291</v>
      </c>
      <c r="AC1036" s="1" t="s">
        <v>217</v>
      </c>
      <c r="AD1036" s="1" t="s">
        <v>16292</v>
      </c>
      <c r="AE1036" s="1" t="s">
        <v>217</v>
      </c>
      <c r="AF1036" s="1" t="s">
        <v>16293</v>
      </c>
      <c r="AG1036" s="1">
        <v>7.72291681E9</v>
      </c>
      <c r="AI1036" s="1" t="s">
        <v>217</v>
      </c>
      <c r="AJ1036" s="1">
        <v>153.0</v>
      </c>
      <c r="AK1036" s="1">
        <v>54.0</v>
      </c>
      <c r="AL1036" s="1" t="s">
        <v>14250</v>
      </c>
      <c r="AM1036" s="1" t="s">
        <v>16294</v>
      </c>
      <c r="AN1036" s="7" t="s">
        <v>16295</v>
      </c>
      <c r="AO1036" s="8" t="str">
        <f>HYPERLINK("https://docs.google.com/document/d/1rJa8lycoUKgKyU8rhQFy3HlISDqdiAQsK9ommYPlAHg/edit?usp=drivesdk","Al-Wildan 13 Tembalang, Bekasi_Nawal Ifada, B.A._Bahasa Arab,Fiqih,Tauhid, Al-Qur'an")</f>
        <v>Al-Wildan 13 Tembalang, Bekasi_Nawal Ifada, B.A._Bahasa Arab,Fiqih,Tauhid, Al-Qur'an</v>
      </c>
      <c r="AP1036" s="1" t="s">
        <v>16296</v>
      </c>
    </row>
    <row r="1037">
      <c r="A1037" s="6">
        <v>45479.826120983795</v>
      </c>
      <c r="B1037" s="7" t="s">
        <v>16297</v>
      </c>
      <c r="C1037" s="8" t="s">
        <v>16298</v>
      </c>
      <c r="D1037" s="1" t="s">
        <v>16299</v>
      </c>
      <c r="E1037" s="9" t="s">
        <v>16300</v>
      </c>
      <c r="F1037" s="1" t="s">
        <v>16301</v>
      </c>
      <c r="G1037" s="1" t="s">
        <v>16302</v>
      </c>
      <c r="H1037" s="1" t="s">
        <v>768</v>
      </c>
      <c r="I1037" s="9" t="s">
        <v>16303</v>
      </c>
      <c r="J1037" s="1" t="s">
        <v>6917</v>
      </c>
      <c r="K1037" s="1" t="s">
        <v>151</v>
      </c>
      <c r="L1037" s="1" t="s">
        <v>329</v>
      </c>
      <c r="M1037" s="1" t="s">
        <v>104</v>
      </c>
      <c r="N1037" s="1" t="s">
        <v>16304</v>
      </c>
      <c r="O1037" s="1" t="s">
        <v>312</v>
      </c>
      <c r="P1037" s="1" t="s">
        <v>7991</v>
      </c>
      <c r="Q1037" s="1" t="s">
        <v>16305</v>
      </c>
      <c r="R1037" s="1" t="s">
        <v>16306</v>
      </c>
      <c r="S1037" s="1" t="s">
        <v>1680</v>
      </c>
      <c r="AF1037" s="10">
        <v>4500000.0</v>
      </c>
      <c r="AG1037" s="1">
        <v>7.262080441E9</v>
      </c>
      <c r="AJ1037" s="1">
        <v>145.0</v>
      </c>
      <c r="AK1037" s="1">
        <v>38.0</v>
      </c>
      <c r="AL1037" s="1" t="s">
        <v>16307</v>
      </c>
      <c r="AM1037" s="1" t="s">
        <v>16308</v>
      </c>
      <c r="AN1037" s="7" t="s">
        <v>16309</v>
      </c>
      <c r="AO1037" s="8" t="str">
        <f>HYPERLINK("https://docs.google.com/document/d/1L5ZzxxVRoLCWZueIv04QPxpc-qsmbNk_GyB8eriFKXs/edit?usp=drivesdk","Al-Wildan 12 Bulak Kapal, Bekasi_Luthfiati Afifah, S.sos_Diniyyah dan Arabic")</f>
        <v>Al-Wildan 12 Bulak Kapal, Bekasi_Luthfiati Afifah, S.sos_Diniyyah dan Arabic</v>
      </c>
      <c r="AP1037" s="1" t="s">
        <v>16310</v>
      </c>
    </row>
    <row r="1038">
      <c r="A1038" s="6">
        <v>45481.79885572917</v>
      </c>
      <c r="B1038" s="7" t="s">
        <v>16311</v>
      </c>
      <c r="C1038" s="8" t="s">
        <v>16312</v>
      </c>
      <c r="D1038" s="1" t="s">
        <v>16313</v>
      </c>
      <c r="E1038" s="9" t="s">
        <v>16314</v>
      </c>
      <c r="F1038" s="1" t="s">
        <v>16315</v>
      </c>
      <c r="G1038" s="1" t="s">
        <v>16316</v>
      </c>
      <c r="H1038" s="1" t="s">
        <v>4493</v>
      </c>
      <c r="I1038" s="9" t="s">
        <v>16317</v>
      </c>
      <c r="J1038" s="1" t="s">
        <v>2496</v>
      </c>
      <c r="K1038" s="1" t="s">
        <v>151</v>
      </c>
      <c r="L1038" s="1" t="s">
        <v>496</v>
      </c>
      <c r="M1038" s="1" t="s">
        <v>16318</v>
      </c>
      <c r="O1038" s="1" t="s">
        <v>236</v>
      </c>
      <c r="P1038" s="1" t="s">
        <v>5712</v>
      </c>
      <c r="Z1038" s="1" t="s">
        <v>16319</v>
      </c>
      <c r="AA1038" s="10">
        <v>1000000.0</v>
      </c>
      <c r="AF1038" s="10">
        <v>6000000.0</v>
      </c>
      <c r="AG1038" s="1">
        <v>7.187884548E9</v>
      </c>
      <c r="AJ1038" s="1">
        <v>166.0</v>
      </c>
      <c r="AK1038" s="1">
        <v>63.0</v>
      </c>
      <c r="AL1038" s="1" t="s">
        <v>16320</v>
      </c>
      <c r="AM1038" s="1" t="s">
        <v>16321</v>
      </c>
      <c r="AN1038" s="7" t="s">
        <v>16322</v>
      </c>
      <c r="AO1038" s="8" t="str">
        <f>HYPERLINK("https://docs.google.com/document/d/1z9Gj-Stuzjk9pqjrTYZFR1F23VeVZf16s4Gk7yr__j0/edit?usp=drivesdk","Al-Wildan 3 BSD City_Yayan Anzar Fauji_")</f>
        <v>Al-Wildan 3 BSD City_Yayan Anzar Fauji_</v>
      </c>
      <c r="AP1038" s="1" t="s">
        <v>16323</v>
      </c>
    </row>
    <row r="1039">
      <c r="A1039" s="6">
        <v>45482.41702565972</v>
      </c>
      <c r="B1039" s="7" t="s">
        <v>16324</v>
      </c>
      <c r="C1039" s="8" t="s">
        <v>16325</v>
      </c>
      <c r="D1039" s="1" t="s">
        <v>16167</v>
      </c>
      <c r="E1039" s="9" t="s">
        <v>16168</v>
      </c>
      <c r="F1039" s="1" t="s">
        <v>16169</v>
      </c>
      <c r="G1039" s="1" t="s">
        <v>10576</v>
      </c>
      <c r="H1039" s="1" t="s">
        <v>10576</v>
      </c>
      <c r="I1039" s="9" t="s">
        <v>16326</v>
      </c>
      <c r="J1039" s="1" t="s">
        <v>7941</v>
      </c>
      <c r="K1039" s="1" t="s">
        <v>151</v>
      </c>
      <c r="L1039" s="1" t="s">
        <v>103</v>
      </c>
      <c r="M1039" s="1" t="s">
        <v>16172</v>
      </c>
      <c r="N1039" s="1" t="s">
        <v>235</v>
      </c>
      <c r="O1039" s="1" t="s">
        <v>9794</v>
      </c>
      <c r="P1039" s="1" t="s">
        <v>14395</v>
      </c>
      <c r="Q1039" s="1" t="s">
        <v>11769</v>
      </c>
      <c r="R1039" s="1" t="s">
        <v>16327</v>
      </c>
      <c r="S1039" s="1" t="s">
        <v>990</v>
      </c>
      <c r="Z1039" s="1" t="s">
        <v>16328</v>
      </c>
      <c r="AA1039" s="10">
        <v>3500000.0</v>
      </c>
      <c r="AF1039" s="1" t="s">
        <v>6629</v>
      </c>
      <c r="AG1039" s="1">
        <v>7.138928618E9</v>
      </c>
      <c r="AH1039" s="1">
        <v>1.510017633642E12</v>
      </c>
      <c r="AI1039" s="1" t="s">
        <v>2119</v>
      </c>
      <c r="AJ1039" s="1">
        <v>165.0</v>
      </c>
      <c r="AK1039" s="1">
        <v>70.0</v>
      </c>
      <c r="AL1039" s="1" t="s">
        <v>16174</v>
      </c>
      <c r="AM1039" s="1" t="s">
        <v>16329</v>
      </c>
      <c r="AN1039" s="7" t="s">
        <v>16330</v>
      </c>
      <c r="AO1039" s="8" t="str">
        <f>HYPERLINK("https://docs.google.com/document/d/1QVfHn5rl7wC_sHJIFzbUNHO3K4BSBC6bPfjBWD9rUEw/edit?usp=drivesdk","Al-Wildam 20 Mataram_M Anwar Efendi S.Pd_Bahasa Arab")</f>
        <v>Al-Wildam 20 Mataram_M Anwar Efendi S.Pd_Bahasa Arab</v>
      </c>
      <c r="AP1039" s="1" t="s">
        <v>16331</v>
      </c>
    </row>
    <row r="1040">
      <c r="A1040" s="6">
        <v>45482.461693668985</v>
      </c>
      <c r="B1040" s="7" t="s">
        <v>16332</v>
      </c>
      <c r="C1040" s="8" t="s">
        <v>16333</v>
      </c>
      <c r="D1040" s="1" t="s">
        <v>16180</v>
      </c>
      <c r="E1040" s="9" t="s">
        <v>16181</v>
      </c>
      <c r="F1040" s="1" t="s">
        <v>16182</v>
      </c>
      <c r="G1040" s="1" t="s">
        <v>16334</v>
      </c>
      <c r="H1040" s="1" t="s">
        <v>15811</v>
      </c>
      <c r="I1040" s="9" t="s">
        <v>16183</v>
      </c>
      <c r="J1040" s="1" t="s">
        <v>16335</v>
      </c>
      <c r="K1040" s="1" t="s">
        <v>151</v>
      </c>
      <c r="L1040" s="1" t="s">
        <v>103</v>
      </c>
      <c r="M1040" s="1" t="s">
        <v>104</v>
      </c>
      <c r="N1040" s="1" t="s">
        <v>13623</v>
      </c>
      <c r="O1040" s="1" t="s">
        <v>312</v>
      </c>
      <c r="P1040" s="1" t="s">
        <v>14395</v>
      </c>
      <c r="Q1040" s="1" t="s">
        <v>16336</v>
      </c>
      <c r="R1040" s="1" t="s">
        <v>14854</v>
      </c>
      <c r="S1040" s="1" t="s">
        <v>4479</v>
      </c>
      <c r="Z1040" s="1" t="s">
        <v>104</v>
      </c>
      <c r="AF1040" s="10">
        <v>5000000.0</v>
      </c>
      <c r="AH1040" s="1">
        <v>4.7660101704053E14</v>
      </c>
      <c r="AI1040" s="1" t="s">
        <v>2407</v>
      </c>
      <c r="AJ1040" s="1">
        <v>154.0</v>
      </c>
      <c r="AK1040" s="1">
        <v>54.0</v>
      </c>
      <c r="AL1040" s="1" t="s">
        <v>16188</v>
      </c>
      <c r="AM1040" s="1" t="s">
        <v>16337</v>
      </c>
      <c r="AN1040" s="7" t="s">
        <v>16338</v>
      </c>
      <c r="AO1040" s="8" t="str">
        <f>HYPERLINK("https://docs.google.com/document/d/1VmgG7qEWzrnfywpvARRWQmdptw22Wippy-2eiK3Jp9Y/edit?usp=drivesdk","Al-Wildam 20 Mataram_Jihan Fahima, S.Pd._Bahasa Indonesia ")</f>
        <v>Al-Wildam 20 Mataram_Jihan Fahima, S.Pd._Bahasa Indonesia </v>
      </c>
      <c r="AP1040" s="1" t="s">
        <v>16339</v>
      </c>
    </row>
    <row r="1041">
      <c r="A1041" s="6">
        <v>45482.66633206018</v>
      </c>
      <c r="B1041" s="7" t="s">
        <v>16340</v>
      </c>
      <c r="C1041" s="8" t="s">
        <v>16341</v>
      </c>
      <c r="D1041" s="1" t="s">
        <v>16342</v>
      </c>
      <c r="E1041" s="9" t="s">
        <v>16343</v>
      </c>
      <c r="F1041" s="1" t="s">
        <v>16344</v>
      </c>
      <c r="G1041" s="1" t="s">
        <v>16345</v>
      </c>
      <c r="H1041" s="1" t="s">
        <v>16346</v>
      </c>
      <c r="I1041" s="9" t="s">
        <v>16347</v>
      </c>
      <c r="J1041" s="1" t="s">
        <v>13729</v>
      </c>
      <c r="K1041" s="1" t="s">
        <v>102</v>
      </c>
      <c r="L1041" s="1" t="s">
        <v>103</v>
      </c>
      <c r="M1041" s="1" t="s">
        <v>104</v>
      </c>
      <c r="N1041" s="1" t="s">
        <v>152</v>
      </c>
      <c r="O1041" s="1" t="s">
        <v>9794</v>
      </c>
      <c r="P1041" s="1" t="s">
        <v>6187</v>
      </c>
      <c r="Q1041" s="1" t="s">
        <v>16348</v>
      </c>
      <c r="R1041" s="1" t="s">
        <v>172</v>
      </c>
      <c r="S1041" s="1" t="s">
        <v>1958</v>
      </c>
      <c r="T1041" s="1" t="s">
        <v>16349</v>
      </c>
      <c r="U1041" s="1" t="s">
        <v>16350</v>
      </c>
      <c r="V1041" s="1" t="s">
        <v>16351</v>
      </c>
      <c r="Z1041" s="1" t="s">
        <v>16352</v>
      </c>
      <c r="AA1041" s="1" t="s">
        <v>16353</v>
      </c>
      <c r="AB1041" s="1" t="s">
        <v>16354</v>
      </c>
      <c r="AC1041" s="1" t="s">
        <v>16355</v>
      </c>
      <c r="AD1041" s="1" t="s">
        <v>16356</v>
      </c>
      <c r="AE1041" s="1" t="s">
        <v>16357</v>
      </c>
      <c r="AF1041" s="1" t="s">
        <v>16358</v>
      </c>
      <c r="AG1041" s="1">
        <v>7.187557164E9</v>
      </c>
      <c r="AI1041" s="1" t="s">
        <v>5113</v>
      </c>
      <c r="AJ1041" s="1">
        <v>168.0</v>
      </c>
      <c r="AK1041" s="1">
        <v>70.0</v>
      </c>
      <c r="AL1041" s="1" t="s">
        <v>16359</v>
      </c>
      <c r="AM1041" s="1" t="s">
        <v>16360</v>
      </c>
      <c r="AN1041" s="7" t="s">
        <v>16361</v>
      </c>
      <c r="AO1041" s="8" t="str">
        <f>HYPERLINK("https://docs.google.com/document/d/14z9nciUI-iC9JZuMPeOyipYVXBsTj83VG14Ttojt4U4/edit?usp=drivesdk","Al-Wildan 14 Bumi Mutiara, Bogor_Ahmad Arifin, S.Pd., M.Pd._Bahasa Inggris")</f>
        <v>Al-Wildan 14 Bumi Mutiara, Bogor_Ahmad Arifin, S.Pd., M.Pd._Bahasa Inggris</v>
      </c>
      <c r="AP1041" s="1" t="s">
        <v>16362</v>
      </c>
    </row>
    <row r="1042">
      <c r="A1042" s="6">
        <v>45482.6895740162</v>
      </c>
      <c r="B1042" s="7" t="s">
        <v>16363</v>
      </c>
      <c r="C1042" s="8" t="s">
        <v>16364</v>
      </c>
      <c r="D1042" s="1" t="s">
        <v>16365</v>
      </c>
      <c r="E1042" s="9" t="s">
        <v>16366</v>
      </c>
      <c r="F1042" s="1" t="s">
        <v>16367</v>
      </c>
      <c r="G1042" s="1" t="s">
        <v>16368</v>
      </c>
      <c r="H1042" s="1" t="s">
        <v>6057</v>
      </c>
      <c r="I1042" s="9" t="s">
        <v>16369</v>
      </c>
      <c r="J1042" s="1" t="s">
        <v>16370</v>
      </c>
      <c r="K1042" s="1" t="s">
        <v>151</v>
      </c>
      <c r="L1042" s="1" t="s">
        <v>103</v>
      </c>
      <c r="M1042" s="1" t="s">
        <v>104</v>
      </c>
      <c r="N1042" s="1" t="s">
        <v>16371</v>
      </c>
      <c r="O1042" s="1" t="s">
        <v>312</v>
      </c>
      <c r="P1042" s="1" t="s">
        <v>7991</v>
      </c>
      <c r="Q1042" s="1" t="s">
        <v>2354</v>
      </c>
      <c r="R1042" s="1" t="s">
        <v>7391</v>
      </c>
      <c r="S1042" s="1" t="s">
        <v>1087</v>
      </c>
      <c r="T1042" s="1" t="s">
        <v>16372</v>
      </c>
      <c r="U1042" s="1" t="s">
        <v>7391</v>
      </c>
      <c r="V1042" s="1" t="s">
        <v>7147</v>
      </c>
      <c r="Z1042" s="1" t="s">
        <v>16373</v>
      </c>
      <c r="AA1042" s="10">
        <v>4500000.0</v>
      </c>
      <c r="AB1042" s="1" t="s">
        <v>16373</v>
      </c>
      <c r="AC1042" s="10">
        <v>6200000.0</v>
      </c>
      <c r="AD1042" s="1" t="s">
        <v>16373</v>
      </c>
      <c r="AE1042" s="10">
        <v>5000000.0</v>
      </c>
      <c r="AF1042" s="10">
        <v>6500000.0</v>
      </c>
      <c r="AG1042" s="1">
        <v>7.173636134E9</v>
      </c>
      <c r="AJ1042" s="1">
        <v>173.0</v>
      </c>
      <c r="AK1042" s="1">
        <v>78.0</v>
      </c>
      <c r="AL1042" s="1" t="s">
        <v>16374</v>
      </c>
      <c r="AM1042" s="1" t="s">
        <v>16375</v>
      </c>
      <c r="AN1042" s="7" t="s">
        <v>16376</v>
      </c>
      <c r="AO1042" s="8" t="str">
        <f>HYPERLINK("https://docs.google.com/document/d/1nmQY_P5JlVhyL_Mo_sOVR24-vqzea0b-C6Q2MQAk0wk/edit?usp=drivesdk","Al-Wildan 12 Bulak Kapal, Bekasi_Safran Fauzi_Akidah, Fiqih, Arabic, SKI")</f>
        <v>Al-Wildan 12 Bulak Kapal, Bekasi_Safran Fauzi_Akidah, Fiqih, Arabic, SKI</v>
      </c>
      <c r="AP1042" s="1" t="s">
        <v>16377</v>
      </c>
    </row>
    <row r="1043">
      <c r="A1043" s="6">
        <v>45482.70040916667</v>
      </c>
      <c r="B1043" s="7" t="s">
        <v>16378</v>
      </c>
      <c r="C1043" s="8" t="s">
        <v>16379</v>
      </c>
      <c r="D1043" s="1" t="s">
        <v>16380</v>
      </c>
      <c r="E1043" s="9" t="s">
        <v>16381</v>
      </c>
      <c r="F1043" s="1" t="s">
        <v>16382</v>
      </c>
      <c r="G1043" s="1" t="s">
        <v>16383</v>
      </c>
      <c r="H1043" s="1" t="s">
        <v>1411</v>
      </c>
      <c r="I1043" s="9" t="s">
        <v>16384</v>
      </c>
      <c r="J1043" s="1" t="s">
        <v>16385</v>
      </c>
      <c r="K1043" s="1" t="s">
        <v>102</v>
      </c>
      <c r="L1043" s="1" t="s">
        <v>103</v>
      </c>
      <c r="M1043" s="1" t="s">
        <v>104</v>
      </c>
      <c r="N1043" s="1" t="s">
        <v>16386</v>
      </c>
      <c r="O1043" s="1" t="s">
        <v>127</v>
      </c>
      <c r="P1043" s="1" t="s">
        <v>6091</v>
      </c>
      <c r="Q1043" s="1" t="s">
        <v>7463</v>
      </c>
      <c r="R1043" s="1" t="s">
        <v>12563</v>
      </c>
      <c r="S1043" s="1" t="s">
        <v>908</v>
      </c>
      <c r="Z1043" s="1" t="s">
        <v>16387</v>
      </c>
      <c r="AA1043" s="10">
        <v>6000000.0</v>
      </c>
      <c r="AB1043" s="1" t="s">
        <v>16388</v>
      </c>
      <c r="AC1043" s="10">
        <v>5000000.0</v>
      </c>
      <c r="AD1043" s="1" t="s">
        <v>16389</v>
      </c>
      <c r="AE1043" s="10">
        <v>5500000.0</v>
      </c>
      <c r="AF1043" s="10">
        <v>5500000.0</v>
      </c>
      <c r="AG1043" s="1">
        <v>7.051377723E9</v>
      </c>
      <c r="AJ1043" s="1">
        <v>175.0</v>
      </c>
      <c r="AK1043" s="1">
        <v>80.0</v>
      </c>
      <c r="AL1043" s="1" t="s">
        <v>16390</v>
      </c>
      <c r="AM1043" s="1" t="s">
        <v>16391</v>
      </c>
      <c r="AN1043" s="7" t="s">
        <v>16392</v>
      </c>
      <c r="AO1043" s="8" t="str">
        <f>HYPERLINK("https://docs.google.com/document/d/1lxq7kCl5jlWWQVmdXz_na9uFDtdGx4IFnHMKapxg7nY/edit?usp=drivesdk","Al-Wildan 10 Cipinang, Jakarta Timur_Harry Christianto, S.Pd_IPS dan Bahasa Indonesia")</f>
        <v>Al-Wildan 10 Cipinang, Jakarta Timur_Harry Christianto, S.Pd_IPS dan Bahasa Indonesia</v>
      </c>
      <c r="AP1043" s="1" t="s">
        <v>16393</v>
      </c>
    </row>
    <row r="1044">
      <c r="A1044" s="6">
        <v>45482.87587189815</v>
      </c>
      <c r="B1044" s="7" t="s">
        <v>16394</v>
      </c>
      <c r="C1044" s="8" t="s">
        <v>16395</v>
      </c>
      <c r="D1044" s="1" t="s">
        <v>16396</v>
      </c>
      <c r="E1044" s="9" t="s">
        <v>16397</v>
      </c>
      <c r="F1044" s="1" t="s">
        <v>16398</v>
      </c>
      <c r="G1044" s="1" t="s">
        <v>16399</v>
      </c>
      <c r="H1044" s="1" t="s">
        <v>16400</v>
      </c>
      <c r="I1044" s="9" t="s">
        <v>16401</v>
      </c>
      <c r="J1044" s="1" t="s">
        <v>1666</v>
      </c>
      <c r="K1044" s="1" t="s">
        <v>151</v>
      </c>
      <c r="L1044" s="1" t="s">
        <v>496</v>
      </c>
      <c r="M1044" s="1" t="s">
        <v>8769</v>
      </c>
      <c r="O1044" s="1" t="s">
        <v>127</v>
      </c>
      <c r="P1044" s="1" t="s">
        <v>6659</v>
      </c>
      <c r="Q1044" s="1" t="s">
        <v>16402</v>
      </c>
      <c r="R1044" s="1" t="s">
        <v>9185</v>
      </c>
      <c r="S1044" s="1">
        <v>3.43</v>
      </c>
      <c r="Z1044" s="1" t="s">
        <v>16403</v>
      </c>
      <c r="AA1044" s="10">
        <v>1000000.0</v>
      </c>
      <c r="AB1044" s="1" t="s">
        <v>16404</v>
      </c>
      <c r="AC1044" s="10">
        <v>1000000.0</v>
      </c>
      <c r="AD1044" s="1" t="s">
        <v>16405</v>
      </c>
      <c r="AE1044" s="10">
        <v>2400000.0</v>
      </c>
      <c r="AF1044" s="1" t="s">
        <v>16406</v>
      </c>
      <c r="AG1044" s="1">
        <v>7.249710592E9</v>
      </c>
      <c r="AI1044" s="1" t="s">
        <v>5113</v>
      </c>
      <c r="AJ1044" s="1">
        <v>156.0</v>
      </c>
      <c r="AK1044" s="1">
        <v>62.0</v>
      </c>
      <c r="AL1044" s="1" t="s">
        <v>16407</v>
      </c>
      <c r="AM1044" s="1" t="s">
        <v>16408</v>
      </c>
      <c r="AN1044" s="7" t="s">
        <v>16409</v>
      </c>
      <c r="AO1044" s="8" t="str">
        <f>HYPERLINK("https://docs.google.com/document/d/1JQTyQlc5Q2m-JiO7qeMc-ev2NHbnWLntdchkP4YIMNY/edit?usp=drivesdk","Al-Wildan 15 Kompas Indah, Tambun Bekasi._Diah Ayu Pratiwi, S.Sos._")</f>
        <v>Al-Wildan 15 Kompas Indah, Tambun Bekasi._Diah Ayu Pratiwi, S.Sos._</v>
      </c>
      <c r="AP1044" s="1" t="s">
        <v>16410</v>
      </c>
    </row>
    <row r="1045">
      <c r="A1045" s="6">
        <v>45483.66755861111</v>
      </c>
      <c r="B1045" s="7" t="s">
        <v>16411</v>
      </c>
      <c r="C1045" s="8" t="s">
        <v>16412</v>
      </c>
      <c r="D1045" s="1" t="s">
        <v>16413</v>
      </c>
      <c r="E1045" s="9" t="s">
        <v>16414</v>
      </c>
      <c r="F1045" s="1" t="s">
        <v>16415</v>
      </c>
      <c r="G1045" s="1" t="s">
        <v>16416</v>
      </c>
      <c r="H1045" s="1" t="s">
        <v>169</v>
      </c>
      <c r="I1045" s="9" t="s">
        <v>16417</v>
      </c>
      <c r="J1045" s="1" t="s">
        <v>9571</v>
      </c>
      <c r="K1045" s="1" t="s">
        <v>151</v>
      </c>
      <c r="L1045" s="1" t="s">
        <v>103</v>
      </c>
      <c r="M1045" s="1" t="s">
        <v>104</v>
      </c>
      <c r="N1045" s="1" t="s">
        <v>987</v>
      </c>
      <c r="O1045" s="1" t="s">
        <v>127</v>
      </c>
      <c r="P1045" s="1" t="s">
        <v>5712</v>
      </c>
      <c r="Q1045" s="1" t="s">
        <v>10692</v>
      </c>
      <c r="R1045" s="1" t="s">
        <v>1275</v>
      </c>
      <c r="S1045" s="1" t="s">
        <v>4021</v>
      </c>
      <c r="Z1045" s="1" t="s">
        <v>7465</v>
      </c>
      <c r="AA1045" s="1" t="s">
        <v>16418</v>
      </c>
      <c r="AB1045" s="1" t="s">
        <v>16419</v>
      </c>
      <c r="AC1045" s="1" t="s">
        <v>16420</v>
      </c>
      <c r="AD1045" s="1" t="s">
        <v>16421</v>
      </c>
      <c r="AE1045" s="10">
        <v>1700000.0</v>
      </c>
      <c r="AF1045" s="1" t="s">
        <v>16422</v>
      </c>
      <c r="AG1045" s="1">
        <v>6.23897309E9</v>
      </c>
      <c r="AJ1045" s="1">
        <v>175.0</v>
      </c>
      <c r="AK1045" s="1">
        <v>95.0</v>
      </c>
      <c r="AL1045" s="1" t="s">
        <v>16423</v>
      </c>
      <c r="AM1045" s="1" t="s">
        <v>16424</v>
      </c>
      <c r="AN1045" s="7" t="s">
        <v>16425</v>
      </c>
      <c r="AO1045" s="8" t="str">
        <f>HYPERLINK("https://docs.google.com/document/d/1C5XH2w5s8e8FAOr6aGbEK9penyT9sRVhRaXWQcx2FDY/edit?usp=drivesdk","Al-Wildan 3 BSD City_Sandi Yuda Pratama, S.Si._Biology")</f>
        <v>Al-Wildan 3 BSD City_Sandi Yuda Pratama, S.Si._Biology</v>
      </c>
      <c r="AP1045" s="1" t="s">
        <v>16426</v>
      </c>
    </row>
    <row r="1046">
      <c r="A1046" s="6">
        <v>45483.7116881713</v>
      </c>
      <c r="B1046" s="7" t="s">
        <v>16427</v>
      </c>
      <c r="C1046" s="8" t="s">
        <v>16428</v>
      </c>
      <c r="D1046" s="1" t="s">
        <v>16429</v>
      </c>
      <c r="E1046" s="1">
        <v>8.1298642852E10</v>
      </c>
      <c r="F1046" s="1" t="s">
        <v>16430</v>
      </c>
      <c r="G1046" s="1" t="s">
        <v>16431</v>
      </c>
      <c r="H1046" s="1" t="s">
        <v>1411</v>
      </c>
      <c r="I1046" s="9" t="s">
        <v>16432</v>
      </c>
      <c r="J1046" s="1" t="s">
        <v>16433</v>
      </c>
      <c r="K1046" s="1" t="s">
        <v>102</v>
      </c>
      <c r="L1046" s="1" t="s">
        <v>103</v>
      </c>
      <c r="M1046" s="1" t="s">
        <v>104</v>
      </c>
      <c r="N1046" s="1" t="s">
        <v>16434</v>
      </c>
      <c r="O1046" s="1" t="s">
        <v>127</v>
      </c>
      <c r="P1046" s="1" t="s">
        <v>5712</v>
      </c>
      <c r="Q1046" s="1" t="s">
        <v>6435</v>
      </c>
      <c r="R1046" s="1" t="s">
        <v>16435</v>
      </c>
      <c r="S1046" s="1" t="s">
        <v>1997</v>
      </c>
      <c r="T1046" s="1" t="s">
        <v>16436</v>
      </c>
      <c r="U1046" s="1" t="s">
        <v>14130</v>
      </c>
      <c r="V1046" s="1">
        <v>4.0</v>
      </c>
      <c r="Z1046" s="1" t="s">
        <v>16437</v>
      </c>
      <c r="AF1046" s="10">
        <v>8500000.0</v>
      </c>
      <c r="AH1046" s="9" t="s">
        <v>16438</v>
      </c>
      <c r="AI1046" s="1" t="s">
        <v>2407</v>
      </c>
      <c r="AJ1046" s="1">
        <v>175.0</v>
      </c>
      <c r="AK1046" s="1">
        <v>80.0</v>
      </c>
      <c r="AL1046" s="1" t="s">
        <v>16439</v>
      </c>
      <c r="AM1046" s="1" t="s">
        <v>16440</v>
      </c>
      <c r="AN1046" s="7" t="s">
        <v>16441</v>
      </c>
      <c r="AO1046" s="8" t="str">
        <f>HYPERLINK("https://docs.google.com/document/d/1mmc8IqKOEg8RPAXNaAD3KnrFdf7qR82cnptIfDskN2w/edit?usp=drivesdk","Al-Wildan 3 BSD City_Anyi Salim, M. Pd_Matematika, Kimia, Ipa, Fisika")</f>
        <v>Al-Wildan 3 BSD City_Anyi Salim, M. Pd_Matematika, Kimia, Ipa, Fisika</v>
      </c>
      <c r="AP1046" s="1" t="s">
        <v>16442</v>
      </c>
    </row>
    <row r="1047">
      <c r="A1047" s="6">
        <v>45483.744360833334</v>
      </c>
      <c r="B1047" s="7" t="s">
        <v>16443</v>
      </c>
      <c r="C1047" s="8" t="s">
        <v>16444</v>
      </c>
      <c r="D1047" s="1" t="s">
        <v>16445</v>
      </c>
      <c r="E1047" s="9" t="s">
        <v>16446</v>
      </c>
      <c r="F1047" s="1" t="s">
        <v>16447</v>
      </c>
      <c r="G1047" s="1" t="s">
        <v>16448</v>
      </c>
      <c r="H1047" s="1" t="s">
        <v>169</v>
      </c>
      <c r="I1047" s="9" t="s">
        <v>16449</v>
      </c>
      <c r="J1047" s="1" t="s">
        <v>4279</v>
      </c>
      <c r="K1047" s="1" t="s">
        <v>151</v>
      </c>
      <c r="L1047" s="1" t="s">
        <v>103</v>
      </c>
      <c r="M1047" s="1" t="s">
        <v>104</v>
      </c>
      <c r="N1047" s="1" t="s">
        <v>987</v>
      </c>
      <c r="O1047" s="1" t="s">
        <v>236</v>
      </c>
      <c r="P1047" s="1" t="s">
        <v>5712</v>
      </c>
      <c r="Q1047" s="1" t="s">
        <v>12997</v>
      </c>
      <c r="R1047" s="1" t="s">
        <v>1275</v>
      </c>
      <c r="S1047" s="1">
        <v>3.72</v>
      </c>
      <c r="T1047" s="1" t="s">
        <v>275</v>
      </c>
      <c r="U1047" s="1" t="s">
        <v>16450</v>
      </c>
      <c r="V1047" s="1">
        <v>3.9</v>
      </c>
      <c r="Z1047" s="1" t="s">
        <v>16451</v>
      </c>
      <c r="AA1047" s="1" t="s">
        <v>16452</v>
      </c>
      <c r="AB1047" s="1" t="s">
        <v>16453</v>
      </c>
      <c r="AC1047" s="10">
        <v>7700000.0</v>
      </c>
      <c r="AD1047" s="1" t="s">
        <v>16454</v>
      </c>
      <c r="AE1047" s="10">
        <v>5500000.0</v>
      </c>
      <c r="AF1047" s="10">
        <v>1.0E7</v>
      </c>
      <c r="AH1047" s="1">
        <v>5.00031032E9</v>
      </c>
      <c r="AI1047" s="1" t="s">
        <v>222</v>
      </c>
      <c r="AJ1047" s="1">
        <v>170.0</v>
      </c>
      <c r="AK1047" s="1">
        <v>69.0</v>
      </c>
      <c r="AL1047" s="1" t="s">
        <v>16455</v>
      </c>
      <c r="AM1047" s="1" t="s">
        <v>16456</v>
      </c>
      <c r="AN1047" s="7" t="s">
        <v>16457</v>
      </c>
      <c r="AO1047" s="8" t="str">
        <f>HYPERLINK("https://docs.google.com/document/d/1e_TB7dw9ESFlUupnb1Frr0OQB2Ut6b5MiBJe8oeVbBY/edit?usp=drivesdk","Al-Wildan 3 BSD City_Ardo Ramdhani, S.Si., M.Biomed._Biology")</f>
        <v>Al-Wildan 3 BSD City_Ardo Ramdhani, S.Si., M.Biomed._Biology</v>
      </c>
      <c r="AP1047" s="1" t="s">
        <v>16458</v>
      </c>
    </row>
    <row r="1048">
      <c r="A1048" s="6">
        <v>45484.44397072917</v>
      </c>
      <c r="B1048" s="7" t="s">
        <v>16459</v>
      </c>
      <c r="C1048" s="8" t="s">
        <v>16460</v>
      </c>
      <c r="D1048" s="1" t="s">
        <v>16461</v>
      </c>
      <c r="E1048" s="9" t="s">
        <v>16462</v>
      </c>
      <c r="F1048" s="1" t="s">
        <v>16463</v>
      </c>
      <c r="G1048" s="1" t="s">
        <v>5247</v>
      </c>
      <c r="H1048" s="1" t="s">
        <v>359</v>
      </c>
      <c r="I1048" s="9" t="s">
        <v>7493</v>
      </c>
      <c r="J1048" s="1" t="s">
        <v>16464</v>
      </c>
      <c r="K1048" s="1" t="s">
        <v>151</v>
      </c>
      <c r="L1048" s="1" t="s">
        <v>256</v>
      </c>
      <c r="M1048" s="1" t="s">
        <v>5761</v>
      </c>
      <c r="O1048" s="1" t="s">
        <v>127</v>
      </c>
      <c r="P1048" s="1" t="s">
        <v>7162</v>
      </c>
      <c r="Q1048" s="1" t="s">
        <v>16465</v>
      </c>
      <c r="R1048" s="1" t="s">
        <v>7824</v>
      </c>
      <c r="S1048" s="1" t="s">
        <v>3719</v>
      </c>
      <c r="T1048" s="1" t="s">
        <v>217</v>
      </c>
      <c r="U1048" s="1" t="s">
        <v>217</v>
      </c>
      <c r="V1048" s="1" t="s">
        <v>217</v>
      </c>
      <c r="W1048" s="1" t="s">
        <v>217</v>
      </c>
      <c r="X1048" s="1" t="s">
        <v>217</v>
      </c>
      <c r="Y1048" s="1">
        <v>0.0</v>
      </c>
      <c r="Z1048" s="1" t="s">
        <v>16466</v>
      </c>
      <c r="AA1048" s="10">
        <v>3900000.0</v>
      </c>
      <c r="AB1048" s="1" t="s">
        <v>16467</v>
      </c>
      <c r="AC1048" s="10">
        <v>3500000.0</v>
      </c>
      <c r="AF1048" s="10">
        <v>4500000.0</v>
      </c>
      <c r="AG1048" s="1">
        <v>7.142529054E9</v>
      </c>
      <c r="AJ1048" s="1">
        <v>160.0</v>
      </c>
      <c r="AK1048" s="1">
        <v>56.0</v>
      </c>
      <c r="AL1048" s="1" t="s">
        <v>16468</v>
      </c>
      <c r="AM1048" s="1" t="s">
        <v>16469</v>
      </c>
      <c r="AN1048" s="7" t="s">
        <v>16470</v>
      </c>
      <c r="AO1048" s="8" t="str">
        <f>HYPERLINK("https://docs.google.com/document/d/1N5VPCuG77XEIFZTnuG9GrsRk-8FseW-6fDvnTqE-_f0/edit?usp=drivesdk","Al-Wildan 7 Serang_Ledi, S.Pd._")</f>
        <v>Al-Wildan 7 Serang_Ledi, S.Pd._</v>
      </c>
      <c r="AP1048" s="1" t="s">
        <v>16471</v>
      </c>
    </row>
    <row r="1049">
      <c r="A1049" s="6">
        <v>45484.45776884259</v>
      </c>
      <c r="B1049" s="7" t="s">
        <v>16472</v>
      </c>
      <c r="C1049" s="8" t="s">
        <v>16473</v>
      </c>
      <c r="D1049" s="1" t="s">
        <v>16474</v>
      </c>
      <c r="E1049" s="9" t="s">
        <v>16475</v>
      </c>
      <c r="F1049" s="1" t="s">
        <v>16476</v>
      </c>
      <c r="G1049" s="1" t="s">
        <v>16477</v>
      </c>
      <c r="H1049" s="1" t="s">
        <v>4733</v>
      </c>
      <c r="I1049" s="9" t="s">
        <v>16478</v>
      </c>
      <c r="J1049" s="1" t="s">
        <v>6353</v>
      </c>
      <c r="K1049" s="1" t="s">
        <v>151</v>
      </c>
      <c r="L1049" s="1" t="s">
        <v>256</v>
      </c>
      <c r="M1049" s="1" t="s">
        <v>104</v>
      </c>
      <c r="N1049" s="1" t="s">
        <v>16479</v>
      </c>
      <c r="O1049" s="1" t="s">
        <v>127</v>
      </c>
      <c r="P1049" s="1" t="s">
        <v>6091</v>
      </c>
      <c r="Q1049" s="1" t="s">
        <v>217</v>
      </c>
      <c r="R1049" s="1" t="s">
        <v>217</v>
      </c>
      <c r="S1049" s="1" t="s">
        <v>217</v>
      </c>
      <c r="T1049" s="1" t="s">
        <v>217</v>
      </c>
      <c r="U1049" s="1" t="s">
        <v>217</v>
      </c>
      <c r="V1049" s="1" t="s">
        <v>217</v>
      </c>
      <c r="W1049" s="1" t="s">
        <v>217</v>
      </c>
      <c r="X1049" s="1" t="s">
        <v>217</v>
      </c>
      <c r="Z1049" s="1" t="s">
        <v>8924</v>
      </c>
      <c r="AA1049" s="1" t="s">
        <v>16480</v>
      </c>
      <c r="AB1049" s="1" t="s">
        <v>8924</v>
      </c>
      <c r="AC1049" s="1" t="s">
        <v>16481</v>
      </c>
      <c r="AD1049" s="1" t="s">
        <v>16482</v>
      </c>
      <c r="AE1049" s="1" t="s">
        <v>16483</v>
      </c>
      <c r="AF1049" s="1" t="s">
        <v>16484</v>
      </c>
      <c r="AH1049" s="1">
        <v>6.880846955E9</v>
      </c>
      <c r="AI1049" s="1" t="s">
        <v>222</v>
      </c>
      <c r="AJ1049" s="1">
        <v>170.0</v>
      </c>
      <c r="AK1049" s="1">
        <v>55.0</v>
      </c>
      <c r="AL1049" s="1" t="s">
        <v>16485</v>
      </c>
      <c r="AM1049" s="1" t="s">
        <v>16486</v>
      </c>
      <c r="AN1049" s="7" t="s">
        <v>16487</v>
      </c>
      <c r="AO1049" s="8" t="str">
        <f>HYPERLINK("https://docs.google.com/document/d/18SBxvZEt462zv0WSl0vKEZiKq6-bkj1bqkmVeeNYgHk/edit?usp=drivesdk","Al-Wildan 10 Cipinang, Jakarta Timur_Taufan Mustofa_Guru Alquran / Guru Tahfidz")</f>
        <v>Al-Wildan 10 Cipinang, Jakarta Timur_Taufan Mustofa_Guru Alquran / Guru Tahfidz</v>
      </c>
      <c r="AP1049" s="1" t="s">
        <v>16488</v>
      </c>
    </row>
    <row r="1050">
      <c r="A1050" s="6">
        <v>45484.526514467594</v>
      </c>
      <c r="B1050" s="7" t="s">
        <v>16489</v>
      </c>
      <c r="C1050" s="8" t="s">
        <v>16490</v>
      </c>
      <c r="D1050" s="1" t="s">
        <v>16491</v>
      </c>
      <c r="E1050" s="9" t="s">
        <v>16492</v>
      </c>
      <c r="F1050" s="1" t="s">
        <v>16493</v>
      </c>
      <c r="G1050" s="1" t="s">
        <v>16494</v>
      </c>
      <c r="H1050" s="1" t="s">
        <v>2076</v>
      </c>
      <c r="I1050" s="9" t="s">
        <v>16495</v>
      </c>
      <c r="J1050" s="1" t="s">
        <v>16496</v>
      </c>
      <c r="K1050" s="1" t="s">
        <v>102</v>
      </c>
      <c r="L1050" s="1" t="s">
        <v>103</v>
      </c>
      <c r="M1050" s="1" t="s">
        <v>104</v>
      </c>
      <c r="N1050" s="1" t="s">
        <v>16497</v>
      </c>
      <c r="O1050" s="1" t="s">
        <v>127</v>
      </c>
      <c r="P1050" s="1" t="s">
        <v>14395</v>
      </c>
      <c r="Z1050" s="1" t="s">
        <v>16497</v>
      </c>
      <c r="AA1050" s="10">
        <v>2500000.0</v>
      </c>
      <c r="AF1050" s="10">
        <v>7000000.0</v>
      </c>
      <c r="AG1050" s="1">
        <v>7.241543007E9</v>
      </c>
      <c r="AI1050" s="1" t="s">
        <v>10433</v>
      </c>
      <c r="AJ1050" s="1">
        <v>170.0</v>
      </c>
      <c r="AK1050" s="1">
        <v>87.0</v>
      </c>
      <c r="AL1050" s="1" t="s">
        <v>16498</v>
      </c>
      <c r="AM1050" s="1" t="s">
        <v>16499</v>
      </c>
      <c r="AN1050" s="7" t="s">
        <v>16500</v>
      </c>
      <c r="AO1050" s="8" t="str">
        <f>HYPERLINK("https://docs.google.com/document/d/17WgruUEdLqZAQf-6AAwLXcxJLgvFiK1vMXcvgm02sc0/edit?usp=drivesdk","Al-Wildam 20 Mataram_Akhmad tawali_Guru tahfidz")</f>
        <v>Al-Wildam 20 Mataram_Akhmad tawali_Guru tahfidz</v>
      </c>
      <c r="AP1050" s="1" t="s">
        <v>16501</v>
      </c>
    </row>
    <row r="1051">
      <c r="A1051" s="6">
        <v>45484.6856090625</v>
      </c>
      <c r="B1051" s="7" t="s">
        <v>16502</v>
      </c>
      <c r="C1051" s="8" t="s">
        <v>16503</v>
      </c>
      <c r="D1051" s="1" t="s">
        <v>16504</v>
      </c>
      <c r="E1051" s="9" t="s">
        <v>16505</v>
      </c>
      <c r="F1051" s="1">
        <v>3.6810518050004E13</v>
      </c>
      <c r="G1051" s="1" t="s">
        <v>16506</v>
      </c>
      <c r="H1051" s="1" t="s">
        <v>1411</v>
      </c>
      <c r="I1051" s="9" t="s">
        <v>16507</v>
      </c>
      <c r="J1051" s="1" t="s">
        <v>4924</v>
      </c>
      <c r="K1051" s="1" t="s">
        <v>102</v>
      </c>
      <c r="L1051" s="1" t="s">
        <v>103</v>
      </c>
      <c r="M1051" s="1" t="s">
        <v>104</v>
      </c>
      <c r="N1051" s="1" t="s">
        <v>16508</v>
      </c>
      <c r="O1051" s="1" t="s">
        <v>312</v>
      </c>
      <c r="P1051" s="1" t="s">
        <v>7991</v>
      </c>
      <c r="Q1051" s="1" t="s">
        <v>16509</v>
      </c>
      <c r="R1051" s="1" t="s">
        <v>2584</v>
      </c>
      <c r="S1051" s="9" t="s">
        <v>1747</v>
      </c>
      <c r="Z1051" s="1" t="s">
        <v>16510</v>
      </c>
      <c r="AA1051" s="10">
        <v>1500000.0</v>
      </c>
      <c r="AB1051" s="1" t="s">
        <v>16511</v>
      </c>
      <c r="AC1051" s="10">
        <v>6.0E7</v>
      </c>
      <c r="AF1051" s="10">
        <v>7000000.0</v>
      </c>
      <c r="AG1051" s="1">
        <v>7.99811102E9</v>
      </c>
      <c r="AI1051" s="1" t="s">
        <v>16512</v>
      </c>
      <c r="AJ1051" s="1">
        <v>165.0</v>
      </c>
      <c r="AK1051" s="1">
        <v>58.0</v>
      </c>
      <c r="AL1051" s="1" t="s">
        <v>16513</v>
      </c>
      <c r="AM1051" s="1" t="s">
        <v>16514</v>
      </c>
      <c r="AN1051" s="7" t="s">
        <v>16515</v>
      </c>
      <c r="AO1051" s="8" t="str">
        <f>HYPERLINK("https://docs.google.com/document/d/1KMzq0c0XznF4ZDXxmYv6lXUoRN9NoVcHaTHmqArjf1c/edit?usp=drivesdk","Al-Wildan 12 Bulak Kapal, Bekasi_Amir Fathuri _English, Mathematics dan Science ")</f>
        <v>Al-Wildan 12 Bulak Kapal, Bekasi_Amir Fathuri _English, Mathematics dan Science </v>
      </c>
      <c r="AP1051" s="1" t="s">
        <v>16516</v>
      </c>
    </row>
    <row r="1052">
      <c r="A1052" s="6">
        <v>45484.69450402778</v>
      </c>
      <c r="B1052" s="7" t="s">
        <v>16517</v>
      </c>
      <c r="C1052" s="8" t="s">
        <v>16518</v>
      </c>
      <c r="D1052" s="1" t="s">
        <v>16519</v>
      </c>
      <c r="E1052" s="9" t="s">
        <v>16520</v>
      </c>
      <c r="F1052" s="1" t="s">
        <v>16521</v>
      </c>
      <c r="G1052" s="1" t="s">
        <v>16522</v>
      </c>
      <c r="H1052" s="1" t="s">
        <v>16523</v>
      </c>
      <c r="I1052" s="9" t="s">
        <v>16524</v>
      </c>
      <c r="J1052" s="1" t="s">
        <v>2095</v>
      </c>
      <c r="K1052" s="1" t="s">
        <v>151</v>
      </c>
      <c r="L1052" s="1" t="s">
        <v>103</v>
      </c>
      <c r="M1052" s="1" t="s">
        <v>104</v>
      </c>
      <c r="N1052" s="1" t="s">
        <v>16525</v>
      </c>
      <c r="O1052" s="1" t="s">
        <v>312</v>
      </c>
      <c r="P1052" s="1" t="s">
        <v>6091</v>
      </c>
      <c r="Q1052" s="1" t="s">
        <v>16526</v>
      </c>
      <c r="R1052" s="1" t="s">
        <v>16527</v>
      </c>
      <c r="S1052" s="1" t="s">
        <v>9882</v>
      </c>
      <c r="Z1052" s="1" t="s">
        <v>16528</v>
      </c>
      <c r="AA1052" s="10">
        <v>2700000.0</v>
      </c>
      <c r="AB1052" s="1" t="s">
        <v>16529</v>
      </c>
      <c r="AC1052" s="10">
        <v>3600000.0</v>
      </c>
      <c r="AF1052" s="10">
        <v>5000000.0</v>
      </c>
      <c r="AG1052" s="1">
        <v>7.777988977E9</v>
      </c>
      <c r="AI1052" s="1" t="s">
        <v>16512</v>
      </c>
      <c r="AJ1052" s="1">
        <v>176.0</v>
      </c>
      <c r="AK1052" s="1">
        <v>56.0</v>
      </c>
      <c r="AL1052" s="1" t="s">
        <v>16530</v>
      </c>
      <c r="AM1052" s="1" t="s">
        <v>16531</v>
      </c>
      <c r="AN1052" s="7" t="s">
        <v>16532</v>
      </c>
      <c r="AO1052" s="8" t="str">
        <f>HYPERLINK("https://docs.google.com/document/d/1lVshn3yUlDO1kCDZF9c6pNO6JZ5Fbyfnl2a9V81Kcrg/edit?usp=drivesdk","Al-Wildan 10 Cipinang, Jakarta Timur_Muhammad Luthfi, S.Ag._Qur’an Teacher")</f>
        <v>Al-Wildan 10 Cipinang, Jakarta Timur_Muhammad Luthfi, S.Ag._Qur’an Teacher</v>
      </c>
      <c r="AP1052" s="1" t="s">
        <v>16533</v>
      </c>
    </row>
    <row r="1053">
      <c r="A1053" s="6">
        <v>45484.75630734954</v>
      </c>
      <c r="B1053" s="7" t="s">
        <v>16534</v>
      </c>
      <c r="C1053" s="8" t="s">
        <v>16535</v>
      </c>
      <c r="D1053" s="1" t="s">
        <v>16536</v>
      </c>
      <c r="E1053" s="9" t="s">
        <v>16537</v>
      </c>
      <c r="F1053" s="1" t="s">
        <v>16538</v>
      </c>
      <c r="G1053" s="1" t="s">
        <v>16539</v>
      </c>
      <c r="H1053" s="1" t="s">
        <v>4733</v>
      </c>
      <c r="I1053" s="9" t="s">
        <v>16540</v>
      </c>
      <c r="J1053" s="1" t="s">
        <v>6171</v>
      </c>
      <c r="K1053" s="1" t="s">
        <v>102</v>
      </c>
      <c r="L1053" s="1" t="s">
        <v>103</v>
      </c>
      <c r="M1053" s="1" t="s">
        <v>104</v>
      </c>
      <c r="N1053" s="1" t="s">
        <v>152</v>
      </c>
      <c r="O1053" s="1" t="s">
        <v>9794</v>
      </c>
      <c r="P1053" s="1" t="s">
        <v>6659</v>
      </c>
      <c r="Q1053" s="1" t="s">
        <v>16541</v>
      </c>
      <c r="R1053" s="1" t="s">
        <v>5612</v>
      </c>
      <c r="S1053" s="1" t="s">
        <v>4701</v>
      </c>
      <c r="Z1053" s="1" t="s">
        <v>16542</v>
      </c>
      <c r="AA1053" s="1" t="s">
        <v>16543</v>
      </c>
      <c r="AB1053" s="1" t="s">
        <v>16544</v>
      </c>
      <c r="AC1053" s="1" t="s">
        <v>16545</v>
      </c>
      <c r="AD1053" s="1" t="s">
        <v>16546</v>
      </c>
      <c r="AE1053" s="1" t="s">
        <v>16547</v>
      </c>
      <c r="AF1053" s="1" t="s">
        <v>16548</v>
      </c>
      <c r="AH1053" s="1">
        <v>6.775030163E9</v>
      </c>
      <c r="AI1053" s="1" t="s">
        <v>222</v>
      </c>
      <c r="AJ1053" s="1">
        <v>155.0</v>
      </c>
      <c r="AK1053" s="1">
        <v>45.0</v>
      </c>
      <c r="AL1053" s="1" t="s">
        <v>16549</v>
      </c>
      <c r="AM1053" s="1" t="s">
        <v>16550</v>
      </c>
      <c r="AN1053" s="7" t="s">
        <v>16551</v>
      </c>
      <c r="AO1053" s="8" t="str">
        <f>HYPERLINK("https://docs.google.com/document/d/1XxBMlUHoNLt0RHv_ZTZ21QGLJA2Q2Jun1AKXAouVdzQ/edit?usp=drivesdk","Al-Wildan 15 Kompas Indah, Tambun Bekasi._Ovin Lofa Carolyn, S.S. Gr._Bahasa Inggris")</f>
        <v>Al-Wildan 15 Kompas Indah, Tambun Bekasi._Ovin Lofa Carolyn, S.S. Gr._Bahasa Inggris</v>
      </c>
      <c r="AP1053" s="1" t="s">
        <v>16552</v>
      </c>
    </row>
    <row r="1054">
      <c r="A1054" s="6">
        <v>45484.76931967592</v>
      </c>
      <c r="B1054" s="7" t="s">
        <v>16553</v>
      </c>
      <c r="C1054" s="8" t="s">
        <v>16554</v>
      </c>
      <c r="D1054" s="1" t="s">
        <v>16555</v>
      </c>
      <c r="E1054" s="9" t="s">
        <v>16556</v>
      </c>
      <c r="F1054" s="1" t="s">
        <v>16557</v>
      </c>
      <c r="G1054" s="1" t="s">
        <v>16558</v>
      </c>
      <c r="H1054" s="1" t="s">
        <v>944</v>
      </c>
      <c r="I1054" s="9" t="s">
        <v>16559</v>
      </c>
      <c r="J1054" s="1" t="s">
        <v>16560</v>
      </c>
      <c r="K1054" s="1" t="s">
        <v>102</v>
      </c>
      <c r="L1054" s="1" t="s">
        <v>103</v>
      </c>
      <c r="M1054" s="1" t="s">
        <v>8904</v>
      </c>
      <c r="N1054" s="1" t="s">
        <v>16561</v>
      </c>
      <c r="O1054" s="1" t="s">
        <v>127</v>
      </c>
      <c r="P1054" s="1" t="s">
        <v>14395</v>
      </c>
      <c r="Q1054" s="1" t="s">
        <v>2678</v>
      </c>
      <c r="R1054" s="1" t="s">
        <v>6781</v>
      </c>
      <c r="S1054" s="1" t="s">
        <v>2465</v>
      </c>
      <c r="T1054" s="1" t="s">
        <v>16562</v>
      </c>
      <c r="U1054" s="1" t="s">
        <v>6781</v>
      </c>
      <c r="V1054" s="1" t="s">
        <v>2582</v>
      </c>
      <c r="Z1054" s="1" t="s">
        <v>16563</v>
      </c>
      <c r="AA1054" s="10">
        <v>2000000.0</v>
      </c>
      <c r="AB1054" s="1" t="s">
        <v>3300</v>
      </c>
      <c r="AC1054" s="10">
        <v>2500000.0</v>
      </c>
      <c r="AF1054" s="10">
        <v>4000000.0</v>
      </c>
      <c r="AG1054" s="1">
        <v>7.236000022E9</v>
      </c>
      <c r="AJ1054" s="1">
        <v>174.0</v>
      </c>
      <c r="AK1054" s="1">
        <v>72.0</v>
      </c>
      <c r="AL1054" s="1" t="s">
        <v>16564</v>
      </c>
      <c r="AM1054" s="1" t="s">
        <v>16565</v>
      </c>
      <c r="AN1054" s="7" t="s">
        <v>16566</v>
      </c>
      <c r="AO1054" s="8" t="str">
        <f>HYPERLINK("https://docs.google.com/document/d/1ltiFLxKr0F5uUdjHpHUJmWoxsH7GXnsbj6AWiuZXm5I/edit?usp=drivesdk","Al-Wildam 20 Mataram_Abdu Rabbi Faqihuddin, M.Hum_Bahasa Arab dan Al-Qur'an")</f>
        <v>Al-Wildam 20 Mataram_Abdu Rabbi Faqihuddin, M.Hum_Bahasa Arab dan Al-Qur'an</v>
      </c>
      <c r="AP1054" s="1" t="s">
        <v>16567</v>
      </c>
    </row>
    <row r="1055">
      <c r="A1055" s="6">
        <v>45484.92701693287</v>
      </c>
      <c r="B1055" s="7" t="s">
        <v>16568</v>
      </c>
      <c r="C1055" s="8" t="s">
        <v>16569</v>
      </c>
      <c r="D1055" s="1" t="s">
        <v>16570</v>
      </c>
      <c r="E1055" s="9" t="s">
        <v>16571</v>
      </c>
      <c r="F1055" s="1" t="s">
        <v>16572</v>
      </c>
      <c r="G1055" s="1" t="s">
        <v>16573</v>
      </c>
      <c r="H1055" s="1" t="s">
        <v>1555</v>
      </c>
      <c r="I1055" s="9" t="s">
        <v>16574</v>
      </c>
      <c r="J1055" s="1" t="s">
        <v>16575</v>
      </c>
      <c r="K1055" s="1" t="s">
        <v>102</v>
      </c>
      <c r="L1055" s="1" t="s">
        <v>310</v>
      </c>
      <c r="M1055" s="1" t="s">
        <v>104</v>
      </c>
      <c r="N1055" s="1" t="s">
        <v>152</v>
      </c>
      <c r="O1055" s="1" t="s">
        <v>106</v>
      </c>
      <c r="P1055" s="1" t="s">
        <v>5712</v>
      </c>
      <c r="Q1055" s="1" t="s">
        <v>16576</v>
      </c>
      <c r="R1055" s="1" t="s">
        <v>5612</v>
      </c>
      <c r="S1055" s="1">
        <v>3.49</v>
      </c>
      <c r="Z1055" s="1" t="s">
        <v>16577</v>
      </c>
      <c r="AA1055" s="10">
        <v>3000000.0</v>
      </c>
      <c r="AB1055" s="1" t="s">
        <v>16578</v>
      </c>
      <c r="AC1055" s="10">
        <v>6000000.0</v>
      </c>
      <c r="AD1055" s="1" t="s">
        <v>16579</v>
      </c>
      <c r="AE1055" s="10">
        <v>8000000.0</v>
      </c>
      <c r="AF1055" s="10">
        <v>9000000.0</v>
      </c>
      <c r="AH1055" s="9" t="s">
        <v>16580</v>
      </c>
      <c r="AI1055" s="1" t="s">
        <v>222</v>
      </c>
      <c r="AJ1055" s="1">
        <v>165.0</v>
      </c>
      <c r="AK1055" s="1">
        <v>60.0</v>
      </c>
      <c r="AL1055" s="1" t="s">
        <v>16581</v>
      </c>
      <c r="AM1055" s="1" t="s">
        <v>16582</v>
      </c>
      <c r="AN1055" s="7" t="s">
        <v>16583</v>
      </c>
      <c r="AO1055" s="8" t="str">
        <f>HYPERLINK("https://docs.google.com/document/d/1hKy232YRAcgm98x-2PnA9qSH2lSSpx7-pQyYwRGvihI/edit?usp=drivesdk","Al-Wildan 3 BSD City_Irham Zakaria, S.S_Bahasa Inggris")</f>
        <v>Al-Wildan 3 BSD City_Irham Zakaria, S.S_Bahasa Inggris</v>
      </c>
      <c r="AP1055" s="1" t="s">
        <v>16584</v>
      </c>
    </row>
    <row r="1056">
      <c r="A1056" s="6">
        <v>45485.295706273144</v>
      </c>
      <c r="B1056" s="7" t="s">
        <v>16585</v>
      </c>
      <c r="C1056" s="8" t="s">
        <v>16586</v>
      </c>
      <c r="D1056" s="1" t="s">
        <v>16587</v>
      </c>
      <c r="E1056" s="9" t="s">
        <v>16588</v>
      </c>
      <c r="F1056" s="1" t="s">
        <v>16589</v>
      </c>
      <c r="G1056" s="1" t="s">
        <v>16590</v>
      </c>
      <c r="H1056" s="1" t="s">
        <v>9779</v>
      </c>
      <c r="I1056" s="9" t="s">
        <v>16591</v>
      </c>
      <c r="J1056" s="1" t="s">
        <v>14081</v>
      </c>
      <c r="K1056" s="1" t="s">
        <v>151</v>
      </c>
      <c r="L1056" s="1" t="s">
        <v>103</v>
      </c>
      <c r="M1056" s="1" t="s">
        <v>424</v>
      </c>
      <c r="N1056" s="1" t="s">
        <v>16592</v>
      </c>
      <c r="O1056" s="1" t="s">
        <v>127</v>
      </c>
      <c r="P1056" s="1" t="s">
        <v>7991</v>
      </c>
      <c r="Q1056" s="1" t="s">
        <v>12267</v>
      </c>
      <c r="R1056" s="1" t="s">
        <v>425</v>
      </c>
      <c r="S1056" s="1" t="s">
        <v>1730</v>
      </c>
      <c r="Z1056" s="1" t="s">
        <v>16593</v>
      </c>
      <c r="AA1056" s="10">
        <v>3000000.0</v>
      </c>
      <c r="AB1056" s="1" t="s">
        <v>16594</v>
      </c>
      <c r="AC1056" s="10">
        <v>2600000.0</v>
      </c>
      <c r="AF1056" s="1" t="s">
        <v>13309</v>
      </c>
      <c r="AH1056" s="1">
        <v>1.15301021090507E14</v>
      </c>
      <c r="AI1056" s="1" t="s">
        <v>16595</v>
      </c>
      <c r="AJ1056" s="1">
        <v>161.0</v>
      </c>
      <c r="AK1056" s="1">
        <v>47.0</v>
      </c>
      <c r="AL1056" s="1" t="s">
        <v>16596</v>
      </c>
      <c r="AM1056" s="1" t="s">
        <v>16597</v>
      </c>
      <c r="AN1056" s="7" t="s">
        <v>16598</v>
      </c>
      <c r="AO1056" s="8" t="str">
        <f>HYPERLINK("https://docs.google.com/document/d/1VqzjOm4PBDpS0zTF82HSnxQGKLC1IgCzfCfHoqw3EiE/edit?usp=drivesdk","Al-Wildan 12 Bulak Kapal, Bekasi_Kiki Melyani Putri_Bimbingan dan Konseling ")</f>
        <v>Al-Wildan 12 Bulak Kapal, Bekasi_Kiki Melyani Putri_Bimbingan dan Konseling </v>
      </c>
      <c r="AP1056" s="1" t="s">
        <v>16599</v>
      </c>
    </row>
    <row r="1057">
      <c r="A1057" s="6">
        <v>45485.31502702546</v>
      </c>
      <c r="B1057" s="7" t="s">
        <v>16600</v>
      </c>
      <c r="C1057" s="8" t="s">
        <v>16601</v>
      </c>
      <c r="D1057" s="1" t="s">
        <v>16602</v>
      </c>
      <c r="E1057" s="9" t="s">
        <v>16603</v>
      </c>
      <c r="F1057" s="1" t="s">
        <v>16604</v>
      </c>
      <c r="G1057" s="1" t="s">
        <v>16605</v>
      </c>
      <c r="H1057" s="1" t="s">
        <v>722</v>
      </c>
      <c r="I1057" s="9" t="s">
        <v>16606</v>
      </c>
      <c r="J1057" s="1" t="s">
        <v>407</v>
      </c>
      <c r="K1057" s="1" t="s">
        <v>151</v>
      </c>
      <c r="L1057" s="1" t="s">
        <v>256</v>
      </c>
      <c r="M1057" s="1" t="s">
        <v>6060</v>
      </c>
      <c r="O1057" s="1" t="s">
        <v>9794</v>
      </c>
      <c r="P1057" s="1" t="s">
        <v>6091</v>
      </c>
      <c r="Q1057" s="1" t="s">
        <v>16607</v>
      </c>
      <c r="R1057" s="1" t="s">
        <v>7974</v>
      </c>
      <c r="Z1057" s="1" t="s">
        <v>16608</v>
      </c>
      <c r="AA1057" s="10">
        <v>3000000.0</v>
      </c>
      <c r="AB1057" s="1" t="s">
        <v>16609</v>
      </c>
      <c r="AC1057" s="1" t="s">
        <v>16610</v>
      </c>
      <c r="AF1057" s="10">
        <v>3500000.0</v>
      </c>
      <c r="AH1057" s="1">
        <v>1.060019031E9</v>
      </c>
      <c r="AI1057" s="1" t="s">
        <v>298</v>
      </c>
      <c r="AJ1057" s="1">
        <v>160.0</v>
      </c>
      <c r="AK1057" s="1">
        <v>65.0</v>
      </c>
      <c r="AL1057" s="1" t="s">
        <v>16611</v>
      </c>
      <c r="AM1057" s="1" t="s">
        <v>16612</v>
      </c>
      <c r="AN1057" s="7" t="s">
        <v>16613</v>
      </c>
      <c r="AO1057" s="8" t="str">
        <f>HYPERLINK("https://docs.google.com/document/d/1eXtJsuSDr6QDim0fCwrnAEJ7ulOyO-f6PxBnQQisWyY/edit?usp=drivesdk","Al-Wildan 10 Cipinang, Jakarta Timur_MUHAMMAD RIZALDI ZACKARIA PUTRA_")</f>
        <v>Al-Wildan 10 Cipinang, Jakarta Timur_MUHAMMAD RIZALDI ZACKARIA PUTRA_</v>
      </c>
      <c r="AP1057" s="1" t="s">
        <v>16614</v>
      </c>
    </row>
    <row r="1058">
      <c r="A1058" s="6">
        <v>45485.87354886574</v>
      </c>
      <c r="B1058" s="7" t="s">
        <v>16615</v>
      </c>
      <c r="C1058" s="8" t="s">
        <v>16616</v>
      </c>
      <c r="D1058" s="1" t="s">
        <v>16617</v>
      </c>
      <c r="E1058" s="9" t="s">
        <v>16618</v>
      </c>
      <c r="F1058" s="1" t="s">
        <v>16619</v>
      </c>
      <c r="G1058" s="1" t="s">
        <v>16620</v>
      </c>
      <c r="H1058" s="1" t="s">
        <v>2076</v>
      </c>
      <c r="I1058" s="9" t="s">
        <v>16621</v>
      </c>
      <c r="J1058" s="1" t="s">
        <v>190</v>
      </c>
      <c r="K1058" s="1" t="s">
        <v>102</v>
      </c>
      <c r="L1058" s="1" t="s">
        <v>103</v>
      </c>
      <c r="M1058" s="1" t="s">
        <v>104</v>
      </c>
      <c r="N1058" s="1" t="s">
        <v>16055</v>
      </c>
      <c r="O1058" s="1" t="s">
        <v>312</v>
      </c>
      <c r="P1058" s="1" t="s">
        <v>14395</v>
      </c>
      <c r="Z1058" s="1" t="s">
        <v>16622</v>
      </c>
      <c r="AA1058" s="10">
        <v>3000000.0</v>
      </c>
      <c r="AB1058" s="1" t="s">
        <v>16623</v>
      </c>
      <c r="AC1058" s="10">
        <v>2000000.0</v>
      </c>
      <c r="AF1058" s="10">
        <v>3000000.0</v>
      </c>
      <c r="AH1058" s="1">
        <v>2.320643531E9</v>
      </c>
      <c r="AI1058" s="1" t="s">
        <v>16624</v>
      </c>
      <c r="AJ1058" s="1">
        <v>170.0</v>
      </c>
      <c r="AK1058" s="1">
        <v>75.0</v>
      </c>
      <c r="AL1058" s="1" t="s">
        <v>16625</v>
      </c>
      <c r="AM1058" s="1" t="s">
        <v>16626</v>
      </c>
      <c r="AN1058" s="7" t="s">
        <v>16627</v>
      </c>
      <c r="AO1058" s="8" t="str">
        <f>HYPERLINK("https://docs.google.com/document/d/1aM9sp4LcvIHkC5xmWSTsQK4RoU6sAJtM-jZBnwb53OI/edit?usp=drivesdk","Al-Wildam 20 Mataram_Suhaeri_Alquran ")</f>
        <v>Al-Wildam 20 Mataram_Suhaeri_Alquran </v>
      </c>
      <c r="AP1058" s="1" t="s">
        <v>16628</v>
      </c>
    </row>
    <row r="1059">
      <c r="A1059" s="6">
        <v>45485.93950327546</v>
      </c>
      <c r="B1059" s="7" t="s">
        <v>16629</v>
      </c>
      <c r="C1059" s="8" t="s">
        <v>16630</v>
      </c>
      <c r="D1059" s="1" t="s">
        <v>16631</v>
      </c>
      <c r="E1059" s="9" t="s">
        <v>16632</v>
      </c>
      <c r="F1059" s="1" t="s">
        <v>16633</v>
      </c>
      <c r="G1059" s="1" t="s">
        <v>16634</v>
      </c>
      <c r="H1059" s="1" t="s">
        <v>16635</v>
      </c>
      <c r="I1059" s="9" t="s">
        <v>16636</v>
      </c>
      <c r="J1059" s="1" t="s">
        <v>13102</v>
      </c>
      <c r="K1059" s="1" t="s">
        <v>151</v>
      </c>
      <c r="L1059" s="1" t="s">
        <v>256</v>
      </c>
      <c r="M1059" s="1" t="s">
        <v>104</v>
      </c>
      <c r="N1059" s="1" t="s">
        <v>1523</v>
      </c>
      <c r="O1059" s="1" t="s">
        <v>236</v>
      </c>
      <c r="P1059" s="1" t="s">
        <v>7162</v>
      </c>
      <c r="Q1059" s="1" t="s">
        <v>13425</v>
      </c>
      <c r="R1059" s="1" t="s">
        <v>1521</v>
      </c>
      <c r="S1059" s="1" t="s">
        <v>155</v>
      </c>
      <c r="Z1059" s="1" t="s">
        <v>16637</v>
      </c>
      <c r="AA1059" s="10">
        <v>3100000.0</v>
      </c>
      <c r="AF1059" s="10">
        <v>7000000.0</v>
      </c>
      <c r="AG1059" s="1">
        <v>7.276290023E9</v>
      </c>
      <c r="AJ1059" s="1">
        <v>155.0</v>
      </c>
      <c r="AK1059" s="1">
        <v>41.0</v>
      </c>
      <c r="AL1059" s="1" t="s">
        <v>16638</v>
      </c>
      <c r="AM1059" s="1" t="s">
        <v>16639</v>
      </c>
      <c r="AN1059" s="7" t="s">
        <v>16640</v>
      </c>
      <c r="AO1059" s="8" t="str">
        <f>HYPERLINK("https://docs.google.com/document/d/1_Fv5u3Xfo14gl9fifVz07u_OFdoc7NciPftiFqY9iyk/edit?usp=drivesdk","Al-Wildan 7 Serang_Sri Ruhaelah, S. Pd._Kimia")</f>
        <v>Al-Wildan 7 Serang_Sri Ruhaelah, S. Pd._Kimia</v>
      </c>
      <c r="AP1059" s="1" t="s">
        <v>16641</v>
      </c>
    </row>
    <row r="1060">
      <c r="A1060" s="6">
        <v>45486.013077511576</v>
      </c>
      <c r="B1060" s="7" t="s">
        <v>16642</v>
      </c>
      <c r="C1060" s="8" t="s">
        <v>16643</v>
      </c>
      <c r="D1060" s="1" t="s">
        <v>16644</v>
      </c>
      <c r="E1060" s="9" t="s">
        <v>16645</v>
      </c>
      <c r="F1060" s="1" t="s">
        <v>16646</v>
      </c>
      <c r="G1060" s="1" t="s">
        <v>11382</v>
      </c>
      <c r="H1060" s="1" t="s">
        <v>4998</v>
      </c>
      <c r="I1060" s="1" t="s">
        <v>16647</v>
      </c>
      <c r="J1060" s="1">
        <v>23.0</v>
      </c>
      <c r="K1060" s="1" t="s">
        <v>151</v>
      </c>
      <c r="L1060" s="1" t="s">
        <v>256</v>
      </c>
      <c r="M1060" s="1" t="s">
        <v>16648</v>
      </c>
      <c r="O1060" s="1" t="s">
        <v>127</v>
      </c>
      <c r="P1060" s="1" t="s">
        <v>5712</v>
      </c>
      <c r="Q1060" s="1" t="s">
        <v>16649</v>
      </c>
      <c r="R1060" s="1" t="s">
        <v>9171</v>
      </c>
      <c r="Z1060" s="1" t="s">
        <v>16650</v>
      </c>
      <c r="AA1060" s="10">
        <v>4500000.0</v>
      </c>
      <c r="AB1060" s="1" t="s">
        <v>16650</v>
      </c>
      <c r="AC1060" s="10">
        <v>6000000.0</v>
      </c>
      <c r="AG1060" s="1">
        <v>7.231515709E9</v>
      </c>
      <c r="AI1060" s="1" t="s">
        <v>5113</v>
      </c>
      <c r="AJ1060" s="1">
        <v>162.0</v>
      </c>
      <c r="AK1060" s="1">
        <v>56.0</v>
      </c>
      <c r="AL1060" s="1" t="s">
        <v>16651</v>
      </c>
      <c r="AM1060" s="1" t="s">
        <v>16652</v>
      </c>
      <c r="AN1060" s="7" t="s">
        <v>16653</v>
      </c>
      <c r="AO1060" s="8" t="str">
        <f>HYPERLINK("https://docs.google.com/document/d/1lclqIDHvSS_pDiAqrHWEmgAQz3qLRISHEyQrGBB9wCU/edit?usp=drivesdk","Al-Wildan 3 BSD City_Hamzah Asyuja'_")</f>
        <v>Al-Wildan 3 BSD City_Hamzah Asyuja'_</v>
      </c>
      <c r="AP1060" s="1" t="s">
        <v>16654</v>
      </c>
    </row>
    <row r="1061">
      <c r="A1061" s="6">
        <v>45486.63276111111</v>
      </c>
      <c r="B1061" s="7" t="s">
        <v>16655</v>
      </c>
      <c r="C1061" s="8" t="s">
        <v>16656</v>
      </c>
      <c r="D1061" s="1" t="s">
        <v>16657</v>
      </c>
      <c r="E1061" s="9" t="s">
        <v>16658</v>
      </c>
      <c r="F1061" s="1" t="s">
        <v>16659</v>
      </c>
      <c r="G1061" s="1" t="s">
        <v>16660</v>
      </c>
      <c r="H1061" s="1" t="s">
        <v>16661</v>
      </c>
      <c r="I1061" s="9" t="s">
        <v>16662</v>
      </c>
      <c r="J1061" s="1" t="s">
        <v>12019</v>
      </c>
      <c r="K1061" s="1" t="s">
        <v>151</v>
      </c>
      <c r="L1061" s="1" t="s">
        <v>256</v>
      </c>
      <c r="M1061" s="1" t="s">
        <v>104</v>
      </c>
      <c r="N1061" s="1" t="s">
        <v>1275</v>
      </c>
      <c r="O1061" s="1" t="s">
        <v>127</v>
      </c>
      <c r="P1061" s="1" t="s">
        <v>7991</v>
      </c>
      <c r="Q1061" s="1" t="s">
        <v>11240</v>
      </c>
      <c r="R1061" s="1" t="s">
        <v>16663</v>
      </c>
      <c r="S1061" s="1">
        <v>3.62</v>
      </c>
      <c r="Z1061" s="1" t="s">
        <v>16664</v>
      </c>
      <c r="AF1061" s="1" t="s">
        <v>15389</v>
      </c>
      <c r="AG1061" s="1">
        <v>7.276302307E9</v>
      </c>
      <c r="AJ1061" s="1">
        <v>162.0</v>
      </c>
      <c r="AK1061" s="1">
        <v>85.0</v>
      </c>
      <c r="AL1061" s="1" t="s">
        <v>16665</v>
      </c>
      <c r="AM1061" s="1" t="s">
        <v>16666</v>
      </c>
      <c r="AN1061" s="7" t="s">
        <v>16667</v>
      </c>
      <c r="AO1061" s="8" t="str">
        <f>HYPERLINK("https://docs.google.com/document/d/1G5a2TN_UMednaCGb5wj85FnQnWDrYDRubllE1U0w6z0/edit?usp=drivesdk","Al-Wildan 12 Bulak Kapal, Bekasi_Winda Ambarwati, S.Hut._Biologi")</f>
        <v>Al-Wildan 12 Bulak Kapal, Bekasi_Winda Ambarwati, S.Hut._Biologi</v>
      </c>
      <c r="AP1061" s="1" t="s">
        <v>16668</v>
      </c>
    </row>
    <row r="1062">
      <c r="A1062" s="6">
        <v>45486.7847453125</v>
      </c>
      <c r="B1062" s="7" t="s">
        <v>16669</v>
      </c>
      <c r="C1062" s="8" t="s">
        <v>16670</v>
      </c>
      <c r="D1062" s="1" t="s">
        <v>16657</v>
      </c>
      <c r="E1062" s="9" t="s">
        <v>16658</v>
      </c>
      <c r="F1062" s="1" t="s">
        <v>16659</v>
      </c>
      <c r="G1062" s="1" t="s">
        <v>16660</v>
      </c>
      <c r="H1062" s="1" t="s">
        <v>16661</v>
      </c>
      <c r="I1062" s="9" t="s">
        <v>16662</v>
      </c>
      <c r="J1062" s="1" t="s">
        <v>12019</v>
      </c>
      <c r="K1062" s="1" t="s">
        <v>151</v>
      </c>
      <c r="L1062" s="1" t="s">
        <v>256</v>
      </c>
      <c r="M1062" s="1" t="s">
        <v>104</v>
      </c>
      <c r="N1062" s="1" t="s">
        <v>1275</v>
      </c>
      <c r="O1062" s="1" t="s">
        <v>127</v>
      </c>
      <c r="P1062" s="1" t="s">
        <v>7991</v>
      </c>
      <c r="Q1062" s="1" t="s">
        <v>11240</v>
      </c>
      <c r="R1062" s="1" t="s">
        <v>16663</v>
      </c>
      <c r="S1062" s="1" t="s">
        <v>3719</v>
      </c>
      <c r="Z1062" s="1" t="s">
        <v>16664</v>
      </c>
      <c r="AF1062" s="1" t="s">
        <v>15389</v>
      </c>
      <c r="AG1062" s="1">
        <v>7.276302307E9</v>
      </c>
      <c r="AJ1062" s="1">
        <v>162.0</v>
      </c>
      <c r="AK1062" s="1">
        <v>85.0</v>
      </c>
      <c r="AL1062" s="1" t="s">
        <v>16665</v>
      </c>
      <c r="AM1062" s="1" t="s">
        <v>16671</v>
      </c>
      <c r="AN1062" s="7" t="s">
        <v>16672</v>
      </c>
      <c r="AO1062" s="8" t="str">
        <f>HYPERLINK("https://docs.google.com/document/d/1mohnHiEdm4LYfAHG_mxyEARceaz8KAV4IqdfGf1oVVQ/edit?usp=drivesdk","Al-Wildan 12 Bulak Kapal, Bekasi_Winda Ambarwati, S.Hut._Biologi")</f>
        <v>Al-Wildan 12 Bulak Kapal, Bekasi_Winda Ambarwati, S.Hut._Biologi</v>
      </c>
      <c r="AP1062" s="1" t="s">
        <v>16673</v>
      </c>
    </row>
    <row r="1063">
      <c r="A1063" s="6">
        <v>45486.87124375</v>
      </c>
      <c r="B1063" s="7" t="s">
        <v>16674</v>
      </c>
      <c r="C1063" s="8" t="s">
        <v>16675</v>
      </c>
      <c r="D1063" s="1" t="s">
        <v>16676</v>
      </c>
      <c r="E1063" s="9" t="s">
        <v>16677</v>
      </c>
      <c r="F1063" s="1" t="s">
        <v>16678</v>
      </c>
      <c r="G1063" s="1" t="s">
        <v>16679</v>
      </c>
      <c r="H1063" s="1" t="s">
        <v>6812</v>
      </c>
      <c r="I1063" s="9" t="s">
        <v>12598</v>
      </c>
      <c r="J1063" s="1" t="s">
        <v>7941</v>
      </c>
      <c r="K1063" s="1" t="s">
        <v>151</v>
      </c>
      <c r="L1063" s="1" t="s">
        <v>256</v>
      </c>
      <c r="M1063" s="1" t="s">
        <v>104</v>
      </c>
      <c r="N1063" s="1" t="s">
        <v>16680</v>
      </c>
      <c r="O1063" s="1" t="s">
        <v>127</v>
      </c>
      <c r="P1063" s="1" t="s">
        <v>6659</v>
      </c>
      <c r="Q1063" s="1" t="s">
        <v>1694</v>
      </c>
      <c r="R1063" s="1" t="s">
        <v>552</v>
      </c>
      <c r="S1063" s="1" t="s">
        <v>1668</v>
      </c>
      <c r="T1063" s="1" t="s">
        <v>1694</v>
      </c>
      <c r="U1063" s="1" t="s">
        <v>552</v>
      </c>
      <c r="V1063" s="1" t="s">
        <v>155</v>
      </c>
      <c r="W1063" s="1" t="s">
        <v>217</v>
      </c>
      <c r="X1063" s="1" t="s">
        <v>217</v>
      </c>
      <c r="Y1063" s="1">
        <v>0.0</v>
      </c>
      <c r="Z1063" s="1" t="s">
        <v>16681</v>
      </c>
      <c r="AA1063" s="10">
        <v>4200000.0</v>
      </c>
      <c r="AB1063" s="1" t="s">
        <v>16682</v>
      </c>
      <c r="AC1063" s="10">
        <v>1200000.0</v>
      </c>
      <c r="AD1063" s="1" t="s">
        <v>217</v>
      </c>
      <c r="AE1063" s="1" t="s">
        <v>217</v>
      </c>
      <c r="AF1063" s="10">
        <v>7000000.0</v>
      </c>
      <c r="AG1063" s="1">
        <v>0.0</v>
      </c>
      <c r="AH1063" s="1">
        <v>4.24501007198539E14</v>
      </c>
      <c r="AI1063" s="1" t="s">
        <v>2407</v>
      </c>
      <c r="AJ1063" s="1">
        <v>150.0</v>
      </c>
      <c r="AK1063" s="1">
        <v>51.0</v>
      </c>
      <c r="AL1063" s="1" t="s">
        <v>16683</v>
      </c>
      <c r="AM1063" s="1" t="s">
        <v>16684</v>
      </c>
      <c r="AN1063" s="7" t="s">
        <v>16685</v>
      </c>
      <c r="AO1063" s="8" t="str">
        <f>HYPERLINK("https://docs.google.com/document/d/1ZQ4Xo_ZDt5ONUjDq1XnxM6ixCZnoks0xaMl80D1B7yY/edit?usp=drivesdk","Al-Wildan 15 Kompas Indah, Tambun Bekasi._Dewi Asaningsih Affandi, S.Si.,M.Si_Fisika, Matematika")</f>
        <v>Al-Wildan 15 Kompas Indah, Tambun Bekasi._Dewi Asaningsih Affandi, S.Si.,M.Si_Fisika, Matematika</v>
      </c>
      <c r="AP1063" s="1" t="s">
        <v>16686</v>
      </c>
    </row>
    <row r="1064">
      <c r="A1064" s="6">
        <v>45487.55489226852</v>
      </c>
      <c r="B1064" s="7" t="s">
        <v>16687</v>
      </c>
      <c r="C1064" s="8" t="s">
        <v>16688</v>
      </c>
      <c r="D1064" s="1" t="s">
        <v>16689</v>
      </c>
      <c r="E1064" s="9" t="s">
        <v>16690</v>
      </c>
      <c r="F1064" s="1" t="s">
        <v>16691</v>
      </c>
      <c r="G1064" s="1" t="s">
        <v>16692</v>
      </c>
      <c r="H1064" s="1" t="s">
        <v>148</v>
      </c>
      <c r="I1064" s="9" t="s">
        <v>16693</v>
      </c>
      <c r="J1064" s="1" t="s">
        <v>9105</v>
      </c>
      <c r="K1064" s="1" t="s">
        <v>151</v>
      </c>
      <c r="L1064" s="1" t="s">
        <v>256</v>
      </c>
      <c r="M1064" s="1" t="s">
        <v>104</v>
      </c>
      <c r="N1064" s="1" t="s">
        <v>4956</v>
      </c>
      <c r="O1064" s="1" t="s">
        <v>312</v>
      </c>
      <c r="P1064" s="1" t="s">
        <v>7991</v>
      </c>
      <c r="Q1064" s="1" t="s">
        <v>1635</v>
      </c>
      <c r="R1064" s="1" t="s">
        <v>193</v>
      </c>
      <c r="S1064" s="1">
        <v>4.63</v>
      </c>
      <c r="Z1064" s="1" t="s">
        <v>16694</v>
      </c>
      <c r="AA1064" s="10">
        <v>600000.0</v>
      </c>
      <c r="AF1064" s="10">
        <v>5000000.0</v>
      </c>
      <c r="AG1064" s="1">
        <v>6.00089601184777E14</v>
      </c>
      <c r="AI1064" s="1" t="s">
        <v>10433</v>
      </c>
      <c r="AJ1064" s="1">
        <v>148.0</v>
      </c>
      <c r="AK1064" s="1">
        <v>44.0</v>
      </c>
      <c r="AL1064" s="1" t="s">
        <v>16695</v>
      </c>
      <c r="AM1064" s="1" t="s">
        <v>16696</v>
      </c>
      <c r="AN1064" s="7" t="s">
        <v>16697</v>
      </c>
      <c r="AO1064" s="8" t="str">
        <f>HYPERLINK("https://docs.google.com/document/d/1J5CHAVnIBxdE3zgvPAPsj6tkPc7h1FfFdWq0fvP4wHA/edit?usp=drivesdk","Al-Wildan 12 Bulak Kapal, Bekasi_Rahmawati Nur fajar BA. _Alqur'an ")</f>
        <v>Al-Wildan 12 Bulak Kapal, Bekasi_Rahmawati Nur fajar BA. _Alqur'an </v>
      </c>
      <c r="AP1064" s="1" t="s">
        <v>16698</v>
      </c>
    </row>
    <row r="1065">
      <c r="A1065" s="6">
        <v>45487.5896625</v>
      </c>
      <c r="B1065" s="7" t="s">
        <v>16699</v>
      </c>
      <c r="C1065" s="8" t="s">
        <v>16700</v>
      </c>
      <c r="D1065" s="1" t="s">
        <v>16701</v>
      </c>
      <c r="E1065" s="9" t="s">
        <v>16702</v>
      </c>
      <c r="F1065" s="1" t="s">
        <v>16703</v>
      </c>
      <c r="G1065" s="1" t="s">
        <v>16704</v>
      </c>
      <c r="H1065" s="1" t="s">
        <v>16705</v>
      </c>
      <c r="I1065" s="9" t="s">
        <v>16706</v>
      </c>
      <c r="J1065" s="1" t="s">
        <v>12360</v>
      </c>
      <c r="K1065" s="1" t="s">
        <v>151</v>
      </c>
      <c r="L1065" s="1" t="s">
        <v>103</v>
      </c>
      <c r="M1065" s="1" t="s">
        <v>104</v>
      </c>
      <c r="N1065" s="1" t="s">
        <v>8581</v>
      </c>
      <c r="O1065" s="1" t="s">
        <v>312</v>
      </c>
      <c r="P1065" s="1" t="s">
        <v>6187</v>
      </c>
      <c r="Q1065" s="1" t="s">
        <v>16707</v>
      </c>
      <c r="R1065" s="1" t="s">
        <v>16708</v>
      </c>
      <c r="S1065" s="1">
        <v>3.93</v>
      </c>
      <c r="Z1065" s="1" t="s">
        <v>16709</v>
      </c>
      <c r="AA1065" s="10">
        <v>750000.0</v>
      </c>
      <c r="AB1065" s="1" t="s">
        <v>16710</v>
      </c>
      <c r="AC1065" s="10">
        <v>1500000.0</v>
      </c>
      <c r="AF1065" s="1" t="s">
        <v>16711</v>
      </c>
      <c r="AG1065" s="1">
        <v>9.75452595E9</v>
      </c>
      <c r="AJ1065" s="1">
        <v>167.0</v>
      </c>
      <c r="AK1065" s="1">
        <v>70.0</v>
      </c>
      <c r="AL1065" s="1" t="s">
        <v>16712</v>
      </c>
      <c r="AM1065" s="1" t="s">
        <v>16713</v>
      </c>
      <c r="AN1065" s="7" t="s">
        <v>16714</v>
      </c>
      <c r="AO1065" s="8" t="str">
        <f>HYPERLINK("https://docs.google.com/document/d/1PBkyYo9uY_1-Lm_DCV1sivgvNfq0QGnM66iIXRj5wyw/edit?usp=drivesdk","Al-Wildan 14 Bumi Mutiara, Bogor_Ahmad Jundyyan Azhari, S.Ag._Al-Qur'an ")</f>
        <v>Al-Wildan 14 Bumi Mutiara, Bogor_Ahmad Jundyyan Azhari, S.Ag._Al-Qur'an </v>
      </c>
      <c r="AP1065" s="1" t="s">
        <v>16715</v>
      </c>
    </row>
    <row r="1066">
      <c r="A1066" s="6">
        <v>45487.60653476852</v>
      </c>
      <c r="B1066" s="7" t="s">
        <v>16716</v>
      </c>
      <c r="C1066" s="8" t="s">
        <v>16717</v>
      </c>
      <c r="D1066" s="1" t="s">
        <v>16718</v>
      </c>
      <c r="E1066" s="9" t="s">
        <v>16719</v>
      </c>
      <c r="F1066" s="1" t="s">
        <v>16720</v>
      </c>
      <c r="G1066" s="1" t="s">
        <v>16721</v>
      </c>
      <c r="H1066" s="1" t="s">
        <v>169</v>
      </c>
      <c r="I1066" s="9" t="s">
        <v>16722</v>
      </c>
      <c r="J1066" s="1" t="s">
        <v>13442</v>
      </c>
      <c r="K1066" s="1" t="s">
        <v>102</v>
      </c>
      <c r="L1066" s="1" t="s">
        <v>103</v>
      </c>
      <c r="M1066" s="1" t="s">
        <v>16723</v>
      </c>
      <c r="N1066" s="1" t="s">
        <v>16724</v>
      </c>
      <c r="O1066" s="1" t="s">
        <v>9794</v>
      </c>
      <c r="P1066" s="1" t="s">
        <v>11168</v>
      </c>
      <c r="Q1066" s="1" t="s">
        <v>16725</v>
      </c>
      <c r="R1066" s="1" t="s">
        <v>16726</v>
      </c>
      <c r="Z1066" s="1" t="s">
        <v>16727</v>
      </c>
      <c r="AA1066" s="10">
        <v>1100000.0</v>
      </c>
      <c r="AB1066" s="1" t="s">
        <v>16728</v>
      </c>
      <c r="AC1066" s="10">
        <v>1000000.0</v>
      </c>
      <c r="AD1066" s="1" t="s">
        <v>16729</v>
      </c>
      <c r="AE1066" s="10">
        <v>750000.0</v>
      </c>
      <c r="AF1066" s="1" t="s">
        <v>16730</v>
      </c>
      <c r="AG1066" s="1">
        <v>7.177717279E9</v>
      </c>
      <c r="AI1066" s="1" t="s">
        <v>16731</v>
      </c>
      <c r="AJ1066" s="1">
        <v>172.0</v>
      </c>
      <c r="AK1066" s="1">
        <v>63.0</v>
      </c>
      <c r="AL1066" s="1" t="s">
        <v>16732</v>
      </c>
      <c r="AM1066" s="1" t="s">
        <v>16733</v>
      </c>
      <c r="AN1066" s="7" t="s">
        <v>16734</v>
      </c>
      <c r="AO1066" s="8" t="str">
        <f>HYPERLINK("https://docs.google.com/document/d/1kojFa1gqGQsURNu7gqnMWxwXaEde-tsq0n1MtHSTLVY/edit?usp=drivesdk","Al-Wildan 8 Parung_Muhammad Adil_B.Arab, Al-Qur'an, PJOK")</f>
        <v>Al-Wildan 8 Parung_Muhammad Adil_B.Arab, Al-Qur'an, PJOK</v>
      </c>
      <c r="AP1066" s="1" t="s">
        <v>16735</v>
      </c>
    </row>
    <row r="1067">
      <c r="A1067" s="6">
        <v>45490.677768333335</v>
      </c>
      <c r="B1067" s="7" t="s">
        <v>16736</v>
      </c>
      <c r="C1067" s="8" t="s">
        <v>16737</v>
      </c>
      <c r="D1067" s="1" t="s">
        <v>16738</v>
      </c>
      <c r="E1067" s="9" t="s">
        <v>16739</v>
      </c>
      <c r="F1067" s="1" t="s">
        <v>16740</v>
      </c>
      <c r="G1067" s="1" t="s">
        <v>16741</v>
      </c>
      <c r="H1067" s="1" t="s">
        <v>99</v>
      </c>
      <c r="I1067" s="9" t="s">
        <v>16742</v>
      </c>
      <c r="J1067" s="1" t="s">
        <v>5398</v>
      </c>
      <c r="K1067" s="1" t="s">
        <v>102</v>
      </c>
      <c r="L1067" s="1" t="s">
        <v>310</v>
      </c>
      <c r="M1067" s="1" t="s">
        <v>104</v>
      </c>
      <c r="N1067" s="1" t="s">
        <v>152</v>
      </c>
      <c r="O1067" s="1" t="s">
        <v>312</v>
      </c>
      <c r="P1067" s="1" t="s">
        <v>237</v>
      </c>
      <c r="Q1067" s="1" t="s">
        <v>3409</v>
      </c>
      <c r="R1067" s="1" t="s">
        <v>172</v>
      </c>
      <c r="S1067" s="9" t="s">
        <v>16743</v>
      </c>
      <c r="Z1067" s="1" t="s">
        <v>16744</v>
      </c>
      <c r="AA1067" s="10">
        <v>8000000.0</v>
      </c>
      <c r="AB1067" s="1" t="s">
        <v>16745</v>
      </c>
      <c r="AC1067" s="10">
        <v>9000000.0</v>
      </c>
      <c r="AF1067" s="1" t="s">
        <v>16746</v>
      </c>
      <c r="AH1067" s="1">
        <v>8.990362484E9</v>
      </c>
      <c r="AI1067" s="1" t="s">
        <v>222</v>
      </c>
      <c r="AJ1067" s="1">
        <v>160.0</v>
      </c>
      <c r="AK1067" s="1">
        <v>54.0</v>
      </c>
      <c r="AL1067" s="1" t="s">
        <v>16747</v>
      </c>
      <c r="AM1067" s="1" t="s">
        <v>16748</v>
      </c>
      <c r="AN1067" s="7" t="s">
        <v>16749</v>
      </c>
      <c r="AO1067" s="8" t="str">
        <f>HYPERLINK("https://docs.google.com/document/d/1GX7dFivowxctd14Ispd_IBYTRDFwo_WHyk301IYR5ss/edit?usp=drivesdk","Al-Wildan 4 Lebak Bulus_Reni Septiani_Bahasa Inggris")</f>
        <v>Al-Wildan 4 Lebak Bulus_Reni Septiani_Bahasa Inggris</v>
      </c>
      <c r="AP1067" s="1" t="s">
        <v>16750</v>
      </c>
    </row>
    <row r="1068">
      <c r="A1068" s="6">
        <v>45491.37537028935</v>
      </c>
      <c r="B1068" s="7" t="s">
        <v>16751</v>
      </c>
      <c r="C1068" s="8" t="s">
        <v>16752</v>
      </c>
      <c r="D1068" s="1" t="s">
        <v>16753</v>
      </c>
      <c r="E1068" s="9" t="s">
        <v>16754</v>
      </c>
      <c r="F1068" s="1" t="s">
        <v>16755</v>
      </c>
      <c r="G1068" s="1" t="s">
        <v>16756</v>
      </c>
      <c r="H1068" s="1" t="s">
        <v>685</v>
      </c>
      <c r="I1068" s="1" t="s">
        <v>16757</v>
      </c>
      <c r="J1068" s="1" t="s">
        <v>16758</v>
      </c>
      <c r="K1068" s="1" t="s">
        <v>102</v>
      </c>
      <c r="L1068" s="1" t="s">
        <v>310</v>
      </c>
      <c r="M1068" s="1" t="s">
        <v>104</v>
      </c>
      <c r="N1068" s="1" t="s">
        <v>16759</v>
      </c>
      <c r="O1068" s="1" t="s">
        <v>312</v>
      </c>
      <c r="P1068" s="1" t="s">
        <v>237</v>
      </c>
      <c r="Q1068" s="1" t="s">
        <v>16760</v>
      </c>
      <c r="R1068" s="1" t="s">
        <v>13054</v>
      </c>
      <c r="S1068" s="1">
        <v>3.01</v>
      </c>
      <c r="Z1068" s="1" t="s">
        <v>16761</v>
      </c>
      <c r="AA1068" s="10">
        <v>7000000.0</v>
      </c>
      <c r="AB1068" s="1" t="s">
        <v>7534</v>
      </c>
      <c r="AC1068" s="10">
        <v>8000000.0</v>
      </c>
      <c r="AD1068" s="1" t="s">
        <v>16762</v>
      </c>
      <c r="AE1068" s="10">
        <v>1.0E7</v>
      </c>
      <c r="AF1068" s="10">
        <v>8000000.0</v>
      </c>
      <c r="AG1068" s="1">
        <v>7.243239097E9</v>
      </c>
      <c r="AI1068" s="1" t="s">
        <v>5113</v>
      </c>
      <c r="AJ1068" s="1">
        <v>158.0</v>
      </c>
      <c r="AK1068" s="1">
        <v>58.0</v>
      </c>
      <c r="AL1068" s="1" t="s">
        <v>16763</v>
      </c>
      <c r="AM1068" s="1" t="s">
        <v>16764</v>
      </c>
      <c r="AN1068" s="7" t="s">
        <v>16765</v>
      </c>
      <c r="AO1068" s="8" t="str">
        <f>HYPERLINK("https://docs.google.com/document/d/1HsO98DQchZ-lVRHajhwzeh40CiJnI4aGKaUEl4HKHO0/edit?usp=drivesdk","Al-Wildan 4 Lebak Bulus_Raden Ane Andriani Kusumawati S.Pd_Science, English, Math")</f>
        <v>Al-Wildan 4 Lebak Bulus_Raden Ane Andriani Kusumawati S.Pd_Science, English, Math</v>
      </c>
      <c r="AP1068" s="1" t="s">
        <v>16766</v>
      </c>
    </row>
    <row r="1069">
      <c r="A1069" s="6">
        <v>45491.484480162035</v>
      </c>
      <c r="B1069" s="7" t="s">
        <v>16767</v>
      </c>
      <c r="C1069" s="8" t="s">
        <v>16768</v>
      </c>
      <c r="D1069" s="1" t="s">
        <v>16769</v>
      </c>
      <c r="E1069" s="9" t="s">
        <v>16770</v>
      </c>
      <c r="F1069" s="1" t="s">
        <v>16771</v>
      </c>
      <c r="G1069" s="1" t="s">
        <v>16316</v>
      </c>
      <c r="H1069" s="1" t="s">
        <v>16772</v>
      </c>
      <c r="I1069" s="9" t="s">
        <v>16773</v>
      </c>
      <c r="J1069" s="1" t="s">
        <v>16774</v>
      </c>
      <c r="K1069" s="1" t="s">
        <v>102</v>
      </c>
      <c r="L1069" s="1" t="s">
        <v>103</v>
      </c>
      <c r="M1069" s="1" t="s">
        <v>104</v>
      </c>
      <c r="N1069" s="1" t="s">
        <v>3171</v>
      </c>
      <c r="O1069" s="1" t="s">
        <v>312</v>
      </c>
      <c r="P1069" s="1" t="s">
        <v>107</v>
      </c>
      <c r="Q1069" s="1" t="s">
        <v>16775</v>
      </c>
      <c r="R1069" s="1" t="s">
        <v>1275</v>
      </c>
      <c r="S1069" s="1">
        <v>3.02</v>
      </c>
      <c r="Z1069" s="1" t="s">
        <v>16776</v>
      </c>
      <c r="AA1069" s="10">
        <v>1000000.0</v>
      </c>
      <c r="AB1069" s="1" t="s">
        <v>16777</v>
      </c>
      <c r="AC1069" s="10">
        <v>3000000.0</v>
      </c>
      <c r="AD1069" s="1" t="s">
        <v>16778</v>
      </c>
      <c r="AE1069" s="10">
        <v>1000000.0</v>
      </c>
      <c r="AF1069" s="10">
        <v>5000000.0</v>
      </c>
      <c r="AG1069" s="1">
        <v>1.047724275E9</v>
      </c>
      <c r="AJ1069" s="1">
        <v>147.0</v>
      </c>
      <c r="AK1069" s="1">
        <v>42.0</v>
      </c>
      <c r="AL1069" s="1" t="s">
        <v>16779</v>
      </c>
      <c r="AM1069" s="1" t="s">
        <v>16780</v>
      </c>
      <c r="AN1069" s="7" t="s">
        <v>16781</v>
      </c>
      <c r="AO1069" s="8" t="str">
        <f>HYPERLINK("https://docs.google.com/document/d/1PzcL3DkKisqiS2DDUIQD8hDAbwo2UDAVRz25J7VHUUo/edit?usp=drivesdk","Al-Wildan 1 Gading Serpong_Kurniawati, S.Pd_Al Qur'an ")</f>
        <v>Al-Wildan 1 Gading Serpong_Kurniawati, S.Pd_Al Qur'an </v>
      </c>
      <c r="AP1069" s="1" t="s">
        <v>16782</v>
      </c>
    </row>
    <row r="1070">
      <c r="A1070" s="6">
        <v>45492.31397701389</v>
      </c>
      <c r="B1070" s="7" t="s">
        <v>16783</v>
      </c>
      <c r="C1070" s="8" t="s">
        <v>16784</v>
      </c>
      <c r="D1070" s="1" t="s">
        <v>16785</v>
      </c>
      <c r="E1070" s="9" t="s">
        <v>16786</v>
      </c>
      <c r="F1070" s="1" t="s">
        <v>16787</v>
      </c>
      <c r="G1070" s="1" t="s">
        <v>16788</v>
      </c>
      <c r="H1070" s="1" t="s">
        <v>10727</v>
      </c>
      <c r="I1070" s="9" t="s">
        <v>16789</v>
      </c>
      <c r="J1070" s="1">
        <v>19.0</v>
      </c>
      <c r="K1070" s="1" t="s">
        <v>151</v>
      </c>
      <c r="L1070" s="1" t="s">
        <v>496</v>
      </c>
      <c r="M1070" s="1" t="s">
        <v>16318</v>
      </c>
      <c r="O1070" s="1" t="s">
        <v>236</v>
      </c>
      <c r="P1070" s="1" t="s">
        <v>5712</v>
      </c>
      <c r="AJ1070" s="1">
        <v>168.0</v>
      </c>
      <c r="AK1070" s="1">
        <v>65.0</v>
      </c>
      <c r="AL1070" s="1" t="s">
        <v>16790</v>
      </c>
      <c r="AM1070" s="1" t="s">
        <v>16791</v>
      </c>
      <c r="AN1070" s="7" t="s">
        <v>16792</v>
      </c>
      <c r="AO1070" s="8" t="str">
        <f>HYPERLINK("https://docs.google.com/document/d/1Q4kPkHxh1jbAlwym3yklke5NO3vPfs6po_ZoZdCa1x8/edit?usp=drivesdk","Al-Wildan 3 BSD City_HAIRUL SANJAYA _")</f>
        <v>Al-Wildan 3 BSD City_HAIRUL SANJAYA _</v>
      </c>
      <c r="AP1070" s="1" t="s">
        <v>16793</v>
      </c>
    </row>
    <row r="1071">
      <c r="A1071" s="6">
        <v>45492.867998738424</v>
      </c>
      <c r="B1071" s="7" t="s">
        <v>16794</v>
      </c>
      <c r="C1071" s="8" t="s">
        <v>16795</v>
      </c>
      <c r="D1071" s="1" t="s">
        <v>16796</v>
      </c>
      <c r="E1071" s="9" t="s">
        <v>16797</v>
      </c>
      <c r="F1071" s="1" t="s">
        <v>16798</v>
      </c>
      <c r="G1071" s="1" t="s">
        <v>16799</v>
      </c>
      <c r="H1071" s="1" t="s">
        <v>169</v>
      </c>
      <c r="I1071" s="9" t="s">
        <v>16800</v>
      </c>
      <c r="J1071" s="1" t="s">
        <v>10479</v>
      </c>
      <c r="K1071" s="1" t="s">
        <v>151</v>
      </c>
      <c r="L1071" s="1" t="s">
        <v>256</v>
      </c>
      <c r="M1071" s="1" t="s">
        <v>424</v>
      </c>
      <c r="N1071" s="1" t="s">
        <v>6106</v>
      </c>
      <c r="O1071" s="1" t="s">
        <v>236</v>
      </c>
      <c r="P1071" s="1" t="s">
        <v>5712</v>
      </c>
      <c r="Q1071" s="1" t="s">
        <v>5414</v>
      </c>
      <c r="R1071" s="1" t="s">
        <v>1057</v>
      </c>
      <c r="S1071" s="1" t="s">
        <v>2465</v>
      </c>
      <c r="Z1071" s="1" t="s">
        <v>16801</v>
      </c>
      <c r="AA1071" s="10">
        <v>2000000.0</v>
      </c>
      <c r="AF1071" s="10">
        <v>5000000.0</v>
      </c>
      <c r="AH1071" s="1">
        <v>8.840591078E9</v>
      </c>
      <c r="AI1071" s="1" t="s">
        <v>14192</v>
      </c>
      <c r="AJ1071" s="1">
        <v>173.0</v>
      </c>
      <c r="AK1071" s="1">
        <v>72.0</v>
      </c>
      <c r="AL1071" s="1" t="s">
        <v>16802</v>
      </c>
      <c r="AM1071" s="1" t="s">
        <v>16803</v>
      </c>
      <c r="AN1071" s="7" t="s">
        <v>16804</v>
      </c>
      <c r="AO1071" s="8" t="str">
        <f>HYPERLINK("https://docs.google.com/document/d/1wccP6ABhlestlpwo2e314VlfiXen-qtPS3xgxCU3sc0/edit?usp=drivesdk","Al-Wildan 3 BSD City_Rafditya Wahyu Ramadhan, S.Psi._Bimbingan Konseling")</f>
        <v>Al-Wildan 3 BSD City_Rafditya Wahyu Ramadhan, S.Psi._Bimbingan Konseling</v>
      </c>
      <c r="AP1071" s="1" t="s">
        <v>16805</v>
      </c>
    </row>
    <row r="1072">
      <c r="A1072" s="6">
        <v>45493.32396326389</v>
      </c>
      <c r="B1072" s="7" t="s">
        <v>16806</v>
      </c>
      <c r="C1072" s="8" t="s">
        <v>16807</v>
      </c>
      <c r="D1072" s="1" t="s">
        <v>16808</v>
      </c>
      <c r="E1072" s="9" t="s">
        <v>16809</v>
      </c>
      <c r="F1072" s="1" t="s">
        <v>16810</v>
      </c>
      <c r="G1072" s="1" t="s">
        <v>16811</v>
      </c>
      <c r="H1072" s="1" t="s">
        <v>169</v>
      </c>
      <c r="I1072" s="9" t="s">
        <v>16812</v>
      </c>
      <c r="J1072" s="1" t="s">
        <v>3732</v>
      </c>
      <c r="K1072" s="1" t="s">
        <v>102</v>
      </c>
      <c r="L1072" s="1" t="s">
        <v>103</v>
      </c>
      <c r="M1072" s="1" t="s">
        <v>104</v>
      </c>
      <c r="N1072" s="1" t="s">
        <v>552</v>
      </c>
      <c r="O1072" s="1" t="s">
        <v>236</v>
      </c>
      <c r="P1072" s="1" t="s">
        <v>6659</v>
      </c>
      <c r="Q1072" s="1" t="s">
        <v>2802</v>
      </c>
      <c r="R1072" s="1" t="s">
        <v>554</v>
      </c>
      <c r="S1072" s="1">
        <v>3.16</v>
      </c>
      <c r="Z1072" s="1" t="s">
        <v>16813</v>
      </c>
      <c r="AA1072" s="10">
        <v>4000000.0</v>
      </c>
      <c r="AF1072" s="10">
        <v>5000000.0</v>
      </c>
      <c r="AG1072" s="1">
        <v>6.04764868E9</v>
      </c>
      <c r="AJ1072" s="1">
        <v>150.0</v>
      </c>
      <c r="AK1072" s="1">
        <v>80.0</v>
      </c>
      <c r="AL1072" s="1" t="s">
        <v>16814</v>
      </c>
      <c r="AM1072" s="1" t="s">
        <v>16815</v>
      </c>
      <c r="AN1072" s="7" t="s">
        <v>16816</v>
      </c>
      <c r="AO1072" s="8" t="str">
        <f>HYPERLINK("https://docs.google.com/document/d/1ux2np3_eMtfQJzIyiuy9h4V_klXrKBR68fSF_dYSKPU/edit?usp=drivesdk","Al-Wildan 15 Kompas Indah, Tambun Bekasi._Hikmah wati_Fisika")</f>
        <v>Al-Wildan 15 Kompas Indah, Tambun Bekasi._Hikmah wati_Fisika</v>
      </c>
      <c r="AP1072" s="1" t="s">
        <v>16817</v>
      </c>
    </row>
    <row r="1073">
      <c r="A1073" s="6">
        <v>45494.296748692126</v>
      </c>
      <c r="B1073" s="7" t="s">
        <v>16818</v>
      </c>
      <c r="C1073" s="8" t="s">
        <v>16819</v>
      </c>
      <c r="D1073" s="1" t="s">
        <v>16820</v>
      </c>
      <c r="E1073" s="9" t="s">
        <v>16821</v>
      </c>
      <c r="F1073" s="1" t="s">
        <v>16822</v>
      </c>
      <c r="G1073" s="1" t="s">
        <v>16823</v>
      </c>
      <c r="H1073" s="1" t="s">
        <v>16824</v>
      </c>
      <c r="I1073" s="9" t="s">
        <v>16825</v>
      </c>
      <c r="J1073" s="1" t="s">
        <v>16826</v>
      </c>
      <c r="K1073" s="1" t="s">
        <v>102</v>
      </c>
      <c r="L1073" s="1" t="s">
        <v>103</v>
      </c>
      <c r="M1073" s="1" t="s">
        <v>104</v>
      </c>
      <c r="N1073" s="1" t="s">
        <v>16827</v>
      </c>
      <c r="O1073" s="1" t="s">
        <v>127</v>
      </c>
      <c r="P1073" s="1" t="s">
        <v>5712</v>
      </c>
      <c r="Q1073" s="1" t="s">
        <v>16828</v>
      </c>
      <c r="R1073" s="1" t="s">
        <v>1623</v>
      </c>
      <c r="S1073" s="1">
        <v>3.2</v>
      </c>
      <c r="Z1073" s="1" t="s">
        <v>16829</v>
      </c>
      <c r="AA1073" s="10">
        <v>2000000.0</v>
      </c>
      <c r="AB1073" s="1" t="s">
        <v>16830</v>
      </c>
      <c r="AC1073" s="10">
        <v>2000000.0</v>
      </c>
      <c r="AD1073" s="1" t="s">
        <v>16831</v>
      </c>
      <c r="AE1073" s="10">
        <v>2000000.0</v>
      </c>
      <c r="AF1073" s="10">
        <v>8000000.0</v>
      </c>
      <c r="AG1073" s="1">
        <v>7.096873128E9</v>
      </c>
      <c r="AJ1073" s="1">
        <v>169.0</v>
      </c>
      <c r="AK1073" s="1">
        <v>80.0</v>
      </c>
      <c r="AL1073" s="1" t="s">
        <v>16832</v>
      </c>
      <c r="AM1073" s="1" t="s">
        <v>16833</v>
      </c>
      <c r="AN1073" s="7" t="s">
        <v>16834</v>
      </c>
      <c r="AO1073" s="8" t="str">
        <f>HYPERLINK("https://docs.google.com/document/d/1pKcHRfzT7Zpg7DZJVnrdlEfi4xthNh4OBcozkknQpac/edit?usp=drivesdk","Al-Wildan 3 BSD City_Ardiansyah S.PdI_Al qur'an ")</f>
        <v>Al-Wildan 3 BSD City_Ardiansyah S.PdI_Al qur'an </v>
      </c>
      <c r="AP1073" s="1" t="s">
        <v>16835</v>
      </c>
    </row>
    <row r="1074">
      <c r="A1074" s="6">
        <v>45494.4132277662</v>
      </c>
      <c r="B1074" s="7" t="s">
        <v>16836</v>
      </c>
      <c r="C1074" s="8" t="s">
        <v>16837</v>
      </c>
      <c r="D1074" s="1" t="s">
        <v>16838</v>
      </c>
      <c r="E1074" s="9" t="s">
        <v>16839</v>
      </c>
      <c r="F1074" s="1" t="s">
        <v>16840</v>
      </c>
      <c r="G1074" s="1" t="s">
        <v>16841</v>
      </c>
      <c r="H1074" s="1" t="s">
        <v>148</v>
      </c>
      <c r="I1074" s="9" t="s">
        <v>3676</v>
      </c>
      <c r="J1074" s="1" t="s">
        <v>10053</v>
      </c>
      <c r="K1074" s="1" t="s">
        <v>151</v>
      </c>
      <c r="L1074" s="1" t="s">
        <v>256</v>
      </c>
      <c r="M1074" s="1" t="s">
        <v>104</v>
      </c>
      <c r="N1074" s="1" t="s">
        <v>16842</v>
      </c>
      <c r="O1074" s="1" t="s">
        <v>106</v>
      </c>
      <c r="P1074" s="1" t="s">
        <v>5712</v>
      </c>
      <c r="Q1074" s="1" t="s">
        <v>3678</v>
      </c>
      <c r="R1074" s="1" t="s">
        <v>16843</v>
      </c>
      <c r="S1074" s="1" t="s">
        <v>3680</v>
      </c>
      <c r="Z1074" s="1" t="s">
        <v>128</v>
      </c>
      <c r="AA1074" s="10">
        <v>6500000.0</v>
      </c>
      <c r="AF1074" s="10">
        <v>8500000.0</v>
      </c>
      <c r="AG1074" s="1">
        <v>7.23758779E9</v>
      </c>
      <c r="AJ1074" s="1">
        <v>167.0</v>
      </c>
      <c r="AK1074" s="1">
        <v>56.0</v>
      </c>
      <c r="AL1074" s="1" t="s">
        <v>16844</v>
      </c>
      <c r="AM1074" s="1" t="s">
        <v>16845</v>
      </c>
      <c r="AN1074" s="7" t="s">
        <v>16846</v>
      </c>
      <c r="AO1074" s="8" t="str">
        <f>HYPERLINK("https://docs.google.com/document/d/1IxYMY20sBE-85zKywEnM7HhiV396THssunjzyTxjqv8/edit?usp=drivesdk","Al-Wildan 3 BSD City_Mohamed El Shaddiq Asbir, BSc Biology_Science, Biology, MTK")</f>
        <v>Al-Wildan 3 BSD City_Mohamed El Shaddiq Asbir, BSc Biology_Science, Biology, MTK</v>
      </c>
      <c r="AP1074" s="1" t="s">
        <v>16847</v>
      </c>
    </row>
    <row r="1075">
      <c r="A1075" s="6">
        <v>45495.791054918984</v>
      </c>
      <c r="B1075" s="7" t="s">
        <v>16848</v>
      </c>
      <c r="C1075" s="8" t="s">
        <v>16849</v>
      </c>
      <c r="D1075" s="1" t="s">
        <v>16850</v>
      </c>
      <c r="E1075" s="9" t="s">
        <v>16851</v>
      </c>
      <c r="F1075" s="1" t="s">
        <v>16852</v>
      </c>
      <c r="G1075" s="1" t="s">
        <v>16853</v>
      </c>
      <c r="H1075" s="1" t="s">
        <v>169</v>
      </c>
      <c r="I1075" s="9" t="s">
        <v>16854</v>
      </c>
      <c r="J1075" s="1" t="s">
        <v>5447</v>
      </c>
      <c r="K1075" s="1" t="s">
        <v>151</v>
      </c>
      <c r="L1075" s="1" t="s">
        <v>103</v>
      </c>
      <c r="M1075" s="1" t="s">
        <v>104</v>
      </c>
      <c r="N1075" s="1" t="s">
        <v>9478</v>
      </c>
      <c r="O1075" s="1" t="s">
        <v>9794</v>
      </c>
      <c r="P1075" s="1" t="s">
        <v>6091</v>
      </c>
      <c r="Q1075" s="1" t="s">
        <v>16855</v>
      </c>
      <c r="R1075" s="1" t="s">
        <v>126</v>
      </c>
      <c r="S1075" s="1" t="s">
        <v>537</v>
      </c>
      <c r="Z1075" s="1" t="s">
        <v>16856</v>
      </c>
      <c r="AA1075" s="10">
        <v>2800000.0</v>
      </c>
      <c r="AB1075" s="1" t="s">
        <v>16857</v>
      </c>
      <c r="AC1075" s="10">
        <v>3500000.0</v>
      </c>
      <c r="AD1075" s="1" t="s">
        <v>16858</v>
      </c>
      <c r="AE1075" s="10">
        <v>4000000.0</v>
      </c>
      <c r="AF1075" s="10">
        <v>5500000.0</v>
      </c>
      <c r="AG1075" s="1">
        <v>8.2769661E9</v>
      </c>
      <c r="AI1075" s="1" t="s">
        <v>5561</v>
      </c>
      <c r="AJ1075" s="1">
        <v>175.0</v>
      </c>
      <c r="AK1075" s="1">
        <v>55.0</v>
      </c>
      <c r="AL1075" s="1" t="s">
        <v>16859</v>
      </c>
      <c r="AM1075" s="1" t="s">
        <v>16860</v>
      </c>
      <c r="AN1075" s="7" t="s">
        <v>16861</v>
      </c>
      <c r="AO1075" s="8" t="str">
        <f>HYPERLINK("https://docs.google.com/document/d/13rnj-9Vxwm09hvkPEtn_enCRdig43YYkCttsyx5SKI0/edit?usp=drivesdk","Al-Wildan 10 Cipinang, Jakarta Timur_Javier Noval Athallah, S.Si._Mathematics")</f>
        <v>Al-Wildan 10 Cipinang, Jakarta Timur_Javier Noval Athallah, S.Si._Mathematics</v>
      </c>
      <c r="AP1075" s="1" t="s">
        <v>16862</v>
      </c>
    </row>
    <row r="1076">
      <c r="A1076" s="6">
        <v>45495.914097650464</v>
      </c>
      <c r="B1076" s="7" t="s">
        <v>16863</v>
      </c>
      <c r="C1076" s="8" t="s">
        <v>16864</v>
      </c>
      <c r="D1076" s="1" t="s">
        <v>16865</v>
      </c>
      <c r="E1076" s="9" t="s">
        <v>16866</v>
      </c>
      <c r="F1076" s="1">
        <v>3.27508021084003E15</v>
      </c>
      <c r="G1076" s="1" t="s">
        <v>16867</v>
      </c>
      <c r="H1076" s="1" t="s">
        <v>148</v>
      </c>
      <c r="I1076" s="9" t="s">
        <v>16868</v>
      </c>
      <c r="J1076" s="1" t="s">
        <v>16869</v>
      </c>
      <c r="K1076" s="1" t="s">
        <v>102</v>
      </c>
      <c r="L1076" s="1" t="s">
        <v>103</v>
      </c>
      <c r="M1076" s="1" t="s">
        <v>104</v>
      </c>
      <c r="N1076" s="1" t="s">
        <v>126</v>
      </c>
      <c r="O1076" s="1" t="s">
        <v>127</v>
      </c>
      <c r="P1076" s="1" t="s">
        <v>6187</v>
      </c>
      <c r="Q1076" s="1" t="s">
        <v>1362</v>
      </c>
      <c r="R1076" s="1" t="s">
        <v>552</v>
      </c>
      <c r="S1076" s="1">
        <v>3.41</v>
      </c>
      <c r="Z1076" s="1" t="s">
        <v>5479</v>
      </c>
      <c r="AA1076" s="10">
        <v>6500000.0</v>
      </c>
      <c r="AB1076" s="1" t="s">
        <v>5479</v>
      </c>
      <c r="AC1076" s="10">
        <v>5500000.0</v>
      </c>
      <c r="AF1076" s="10">
        <v>6000000.0</v>
      </c>
      <c r="AG1076" s="1">
        <v>5.2667049E9</v>
      </c>
      <c r="AJ1076" s="1">
        <v>182.0</v>
      </c>
      <c r="AK1076" s="1">
        <v>95.0</v>
      </c>
      <c r="AL1076" s="1" t="s">
        <v>16870</v>
      </c>
      <c r="AM1076" s="1" t="s">
        <v>16871</v>
      </c>
      <c r="AN1076" s="7" t="s">
        <v>16872</v>
      </c>
      <c r="AO1076" s="8" t="str">
        <f>HYPERLINK("https://docs.google.com/document/d/1ZMGVPf__BJ3EpKZ-Gk6irX8rKxQsDk880jS7S0p9coY/edit?usp=drivesdk","Al-Wildan 14 Bumi Mutiara, Bogor_Arifianto, S.Si_Matematika")</f>
        <v>Al-Wildan 14 Bumi Mutiara, Bogor_Arifianto, S.Si_Matematika</v>
      </c>
      <c r="AP1076" s="1" t="s">
        <v>16873</v>
      </c>
    </row>
    <row r="1077">
      <c r="A1077" s="6">
        <v>45496.38612465278</v>
      </c>
      <c r="B1077" s="7" t="s">
        <v>16874</v>
      </c>
      <c r="C1077" s="8" t="s">
        <v>16875</v>
      </c>
      <c r="D1077" s="1" t="s">
        <v>16876</v>
      </c>
      <c r="E1077" s="9" t="s">
        <v>16877</v>
      </c>
      <c r="F1077" s="1" t="s">
        <v>16878</v>
      </c>
      <c r="G1077" s="1" t="s">
        <v>16879</v>
      </c>
      <c r="H1077" s="1" t="s">
        <v>16880</v>
      </c>
      <c r="I1077" s="9" t="s">
        <v>16881</v>
      </c>
      <c r="J1077" s="1" t="s">
        <v>4311</v>
      </c>
      <c r="K1077" s="1" t="s">
        <v>102</v>
      </c>
      <c r="L1077" s="1" t="s">
        <v>103</v>
      </c>
      <c r="M1077" s="1" t="s">
        <v>104</v>
      </c>
      <c r="N1077" s="1" t="s">
        <v>16882</v>
      </c>
      <c r="O1077" s="1" t="s">
        <v>312</v>
      </c>
      <c r="P1077" s="1" t="s">
        <v>7991</v>
      </c>
      <c r="Q1077" s="1" t="s">
        <v>16883</v>
      </c>
      <c r="R1077" s="1" t="s">
        <v>2065</v>
      </c>
      <c r="S1077" s="1" t="s">
        <v>292</v>
      </c>
      <c r="Z1077" s="1" t="s">
        <v>16884</v>
      </c>
      <c r="AA1077" s="1" t="s">
        <v>16885</v>
      </c>
      <c r="AB1077" s="1" t="s">
        <v>16886</v>
      </c>
      <c r="AC1077" s="10">
        <v>2500000.0</v>
      </c>
      <c r="AD1077" s="1" t="s">
        <v>16887</v>
      </c>
      <c r="AE1077" s="10">
        <v>6000000.0</v>
      </c>
      <c r="AF1077" s="1" t="s">
        <v>16888</v>
      </c>
      <c r="AG1077" s="1">
        <v>1.039319434E9</v>
      </c>
      <c r="AJ1077" s="1">
        <v>176.0</v>
      </c>
      <c r="AK1077" s="1">
        <v>75.0</v>
      </c>
      <c r="AL1077" s="1" t="s">
        <v>16889</v>
      </c>
      <c r="AM1077" s="1" t="s">
        <v>16890</v>
      </c>
      <c r="AN1077" s="7" t="s">
        <v>16891</v>
      </c>
      <c r="AO1077" s="8" t="str">
        <f>HYPERLINK("https://docs.google.com/document/d/1RwyNAEqDLrHW2N3agHrlql30d2BYusKmjKM82Tk0988/edit?usp=drivesdk","Al-Wildan 12 Bulak Kapal, Bekasi_Khairul Anam S.Pd_English - science - math")</f>
        <v>Al-Wildan 12 Bulak Kapal, Bekasi_Khairul Anam S.Pd_English - science - math</v>
      </c>
      <c r="AP1077" s="1" t="s">
        <v>16892</v>
      </c>
    </row>
    <row r="1078">
      <c r="A1078" s="6">
        <v>45496.585422476855</v>
      </c>
      <c r="B1078" s="7" t="s">
        <v>16893</v>
      </c>
      <c r="C1078" s="8" t="s">
        <v>16894</v>
      </c>
      <c r="D1078" s="1" t="s">
        <v>16895</v>
      </c>
      <c r="E1078" s="9" t="s">
        <v>16896</v>
      </c>
      <c r="F1078" s="1" t="s">
        <v>16897</v>
      </c>
      <c r="G1078" s="1" t="s">
        <v>16898</v>
      </c>
      <c r="H1078" s="1" t="s">
        <v>16899</v>
      </c>
      <c r="I1078" s="9" t="s">
        <v>16900</v>
      </c>
      <c r="J1078" s="1" t="s">
        <v>11139</v>
      </c>
      <c r="K1078" s="1" t="s">
        <v>151</v>
      </c>
      <c r="L1078" s="1" t="s">
        <v>496</v>
      </c>
      <c r="M1078" s="1" t="s">
        <v>16318</v>
      </c>
      <c r="O1078" s="1" t="s">
        <v>106</v>
      </c>
      <c r="P1078" s="1" t="s">
        <v>5712</v>
      </c>
      <c r="Z1078" s="1" t="s">
        <v>16901</v>
      </c>
      <c r="AA1078" s="10">
        <v>700000.0</v>
      </c>
      <c r="AB1078" s="1" t="s">
        <v>16902</v>
      </c>
      <c r="AC1078" s="10">
        <v>450000.0</v>
      </c>
      <c r="AD1078" s="1" t="s">
        <v>16903</v>
      </c>
      <c r="AE1078" s="10">
        <v>1000000.0</v>
      </c>
      <c r="AF1078" s="10">
        <v>5000000.0</v>
      </c>
      <c r="AG1078" s="1">
        <v>7.153355977E9</v>
      </c>
      <c r="AJ1078" s="1">
        <v>159.0</v>
      </c>
      <c r="AK1078" s="1">
        <v>56.0</v>
      </c>
      <c r="AL1078" s="1" t="s">
        <v>16904</v>
      </c>
      <c r="AM1078" s="1" t="s">
        <v>16905</v>
      </c>
      <c r="AN1078" s="7" t="s">
        <v>16906</v>
      </c>
      <c r="AO1078" s="8" t="str">
        <f>HYPERLINK("https://docs.google.com/document/d/1UUYqhG5t3GHMZ1UtmlZ8T2G82bQPXBJ8W_ZAVX4vncY/edit?usp=drivesdk","Al-Wildan 3 BSD City_M. Anas Ubaidillah_")</f>
        <v>Al-Wildan 3 BSD City_M. Anas Ubaidillah_</v>
      </c>
      <c r="AP1078" s="1" t="s">
        <v>16907</v>
      </c>
    </row>
    <row r="1079">
      <c r="A1079" s="6">
        <v>45496.70833887732</v>
      </c>
      <c r="B1079" s="7" t="s">
        <v>16908</v>
      </c>
      <c r="C1079" s="8" t="s">
        <v>16909</v>
      </c>
      <c r="D1079" s="1" t="s">
        <v>16910</v>
      </c>
      <c r="E1079" s="9" t="s">
        <v>3118</v>
      </c>
      <c r="F1079" s="1" t="s">
        <v>3119</v>
      </c>
      <c r="G1079" s="1" t="s">
        <v>16911</v>
      </c>
      <c r="H1079" s="1" t="s">
        <v>4733</v>
      </c>
      <c r="I1079" s="9" t="s">
        <v>16912</v>
      </c>
      <c r="J1079" s="1" t="s">
        <v>12548</v>
      </c>
      <c r="K1079" s="1" t="s">
        <v>102</v>
      </c>
      <c r="L1079" s="1" t="s">
        <v>103</v>
      </c>
      <c r="M1079" s="1" t="s">
        <v>104</v>
      </c>
      <c r="N1079" s="1" t="s">
        <v>2197</v>
      </c>
      <c r="O1079" s="1" t="s">
        <v>106</v>
      </c>
      <c r="P1079" s="1" t="s">
        <v>5712</v>
      </c>
      <c r="Q1079" s="1" t="s">
        <v>16913</v>
      </c>
      <c r="R1079" s="1" t="s">
        <v>10527</v>
      </c>
      <c r="S1079" s="1" t="s">
        <v>7975</v>
      </c>
      <c r="X1079" s="1" t="s">
        <v>217</v>
      </c>
      <c r="Z1079" s="1" t="s">
        <v>16914</v>
      </c>
      <c r="AA1079" s="10">
        <v>5000000.0</v>
      </c>
      <c r="AF1079" s="1" t="s">
        <v>16915</v>
      </c>
      <c r="AG1079" s="1">
        <v>8.5746552E9</v>
      </c>
      <c r="AI1079" s="1" t="s">
        <v>217</v>
      </c>
      <c r="AJ1079" s="1">
        <v>165.0</v>
      </c>
      <c r="AK1079" s="1">
        <v>65.0</v>
      </c>
      <c r="AL1079" s="1" t="s">
        <v>16916</v>
      </c>
      <c r="AM1079" s="1" t="s">
        <v>16917</v>
      </c>
      <c r="AN1079" s="7" t="s">
        <v>16918</v>
      </c>
      <c r="AO1079" s="8" t="str">
        <f>HYPERLINK("https://docs.google.com/document/d/1QSSPj2AihxvAiu8tHGd1UV6a62KU38AY22Ghv4cHByU/edit?usp=drivesdk","Al-Wildan 3 BSD City_Adi Ilham Maulana, S.Ag. _Al-Qur'an")</f>
        <v>Al-Wildan 3 BSD City_Adi Ilham Maulana, S.Ag. _Al-Qur'an</v>
      </c>
      <c r="AP1079" s="1" t="s">
        <v>16919</v>
      </c>
    </row>
    <row r="1080">
      <c r="A1080" s="6">
        <v>45496.935788229166</v>
      </c>
      <c r="B1080" s="7" t="s">
        <v>16920</v>
      </c>
      <c r="C1080" s="8" t="s">
        <v>16921</v>
      </c>
      <c r="D1080" s="1" t="s">
        <v>16922</v>
      </c>
      <c r="E1080" s="9" t="s">
        <v>16923</v>
      </c>
      <c r="F1080" s="1" t="s">
        <v>16924</v>
      </c>
      <c r="G1080" s="1" t="s">
        <v>16925</v>
      </c>
      <c r="H1080" s="1" t="s">
        <v>6812</v>
      </c>
      <c r="I1080" s="9" t="s">
        <v>16926</v>
      </c>
      <c r="J1080" s="1" t="s">
        <v>3221</v>
      </c>
      <c r="K1080" s="1" t="s">
        <v>102</v>
      </c>
      <c r="L1080" s="1" t="s">
        <v>827</v>
      </c>
      <c r="M1080" s="1" t="s">
        <v>104</v>
      </c>
      <c r="N1080" s="1" t="s">
        <v>1978</v>
      </c>
      <c r="O1080" s="1" t="s">
        <v>236</v>
      </c>
      <c r="P1080" s="1" t="s">
        <v>6187</v>
      </c>
      <c r="Q1080" s="1" t="s">
        <v>153</v>
      </c>
      <c r="R1080" s="1" t="s">
        <v>459</v>
      </c>
      <c r="S1080" s="1" t="s">
        <v>3719</v>
      </c>
      <c r="T1080" s="1" t="s">
        <v>153</v>
      </c>
      <c r="U1080" s="1" t="s">
        <v>459</v>
      </c>
      <c r="V1080" s="1" t="s">
        <v>3093</v>
      </c>
      <c r="Z1080" s="1" t="s">
        <v>16927</v>
      </c>
      <c r="AA1080" s="1" t="s">
        <v>16548</v>
      </c>
      <c r="AG1080" s="1">
        <v>4.36281145E9</v>
      </c>
      <c r="AI1080" s="1" t="s">
        <v>4856</v>
      </c>
      <c r="AJ1080" s="1">
        <v>154.0</v>
      </c>
      <c r="AK1080" s="1">
        <v>60.0</v>
      </c>
      <c r="AL1080" s="1" t="s">
        <v>16928</v>
      </c>
      <c r="AM1080" s="1" t="s">
        <v>16929</v>
      </c>
      <c r="AN1080" s="7" t="s">
        <v>16930</v>
      </c>
      <c r="AO1080" s="8" t="str">
        <f>HYPERLINK("https://docs.google.com/document/d/19pWZug_WFrEJoTFsdbITgZvUXnfhhI9NtEBsaNP_fBw/edit?usp=drivesdk","Al-Wildan 14 Bumi Mutiara, Bogor_Nisail Mugni Hidayati, M.Pd_Ekonomi")</f>
        <v>Al-Wildan 14 Bumi Mutiara, Bogor_Nisail Mugni Hidayati, M.Pd_Ekonomi</v>
      </c>
      <c r="AP1080" s="1" t="s">
        <v>16931</v>
      </c>
    </row>
    <row r="1081">
      <c r="A1081" s="6">
        <v>45497.71932188657</v>
      </c>
      <c r="B1081" s="7" t="s">
        <v>16932</v>
      </c>
      <c r="C1081" s="8" t="s">
        <v>16933</v>
      </c>
      <c r="D1081" s="1" t="s">
        <v>16934</v>
      </c>
      <c r="E1081" s="1" t="s">
        <v>16935</v>
      </c>
      <c r="F1081" s="1" t="s">
        <v>16936</v>
      </c>
      <c r="G1081" s="1" t="s">
        <v>16937</v>
      </c>
      <c r="H1081" s="1" t="s">
        <v>169</v>
      </c>
      <c r="I1081" s="9" t="s">
        <v>15087</v>
      </c>
      <c r="J1081" s="1" t="s">
        <v>7062</v>
      </c>
      <c r="K1081" s="1" t="s">
        <v>151</v>
      </c>
      <c r="L1081" s="1" t="s">
        <v>103</v>
      </c>
      <c r="M1081" s="1" t="s">
        <v>104</v>
      </c>
      <c r="N1081" s="1" t="s">
        <v>16938</v>
      </c>
      <c r="O1081" s="1" t="s">
        <v>312</v>
      </c>
      <c r="P1081" s="1" t="s">
        <v>7991</v>
      </c>
      <c r="Q1081" s="1" t="s">
        <v>1344</v>
      </c>
      <c r="R1081" s="1" t="s">
        <v>16939</v>
      </c>
      <c r="S1081" s="1" t="s">
        <v>595</v>
      </c>
      <c r="Z1081" s="1" t="s">
        <v>16940</v>
      </c>
      <c r="AA1081" s="10">
        <v>5040000.0</v>
      </c>
      <c r="AF1081" s="10">
        <v>5500000.0</v>
      </c>
      <c r="AG1081" s="1">
        <v>0.0</v>
      </c>
      <c r="AH1081" s="9" t="s">
        <v>16941</v>
      </c>
      <c r="AI1081" s="1" t="s">
        <v>16942</v>
      </c>
      <c r="AJ1081" s="1">
        <v>173.0</v>
      </c>
      <c r="AK1081" s="1">
        <v>72.0</v>
      </c>
      <c r="AL1081" s="1" t="s">
        <v>16943</v>
      </c>
      <c r="AM1081" s="1" t="s">
        <v>16944</v>
      </c>
      <c r="AN1081" s="7" t="s">
        <v>16945</v>
      </c>
      <c r="AO1081" s="8" t="str">
        <f>HYPERLINK("https://docs.google.com/document/d/1nTT-Zqd7A9qzBAhPXWWat29EyVKdtQ1nBZFuU9lce8c/edit?usp=drivesdk","Al-Wildan 12 Bulak Kapal, Bekasi_Reyhan Auzan Putera Notokoesoemo, S.Ftr._Bahasa Inggris, Matematika, Science")</f>
        <v>Al-Wildan 12 Bulak Kapal, Bekasi_Reyhan Auzan Putera Notokoesoemo, S.Ftr._Bahasa Inggris, Matematika, Science</v>
      </c>
      <c r="AP1081" s="1" t="s">
        <v>16946</v>
      </c>
    </row>
    <row r="1082">
      <c r="A1082" s="6">
        <v>45497.7489444213</v>
      </c>
      <c r="B1082" s="7" t="s">
        <v>16947</v>
      </c>
      <c r="C1082" s="8" t="s">
        <v>16948</v>
      </c>
      <c r="D1082" s="1" t="s">
        <v>16949</v>
      </c>
      <c r="E1082" s="9" t="s">
        <v>16950</v>
      </c>
      <c r="F1082" s="1" t="s">
        <v>16951</v>
      </c>
      <c r="G1082" s="1" t="s">
        <v>16952</v>
      </c>
      <c r="H1082" s="1" t="s">
        <v>16953</v>
      </c>
      <c r="I1082" s="9" t="s">
        <v>16954</v>
      </c>
      <c r="J1082" s="1" t="s">
        <v>10389</v>
      </c>
      <c r="K1082" s="1" t="s">
        <v>151</v>
      </c>
      <c r="L1082" s="1" t="s">
        <v>496</v>
      </c>
      <c r="M1082" s="1" t="s">
        <v>8769</v>
      </c>
      <c r="O1082" s="1" t="s">
        <v>127</v>
      </c>
      <c r="P1082" s="1" t="s">
        <v>6659</v>
      </c>
      <c r="Q1082" s="1" t="s">
        <v>1559</v>
      </c>
      <c r="R1082" s="1" t="s">
        <v>238</v>
      </c>
      <c r="S1082" s="1" t="s">
        <v>16955</v>
      </c>
      <c r="Z1082" s="1" t="s">
        <v>16956</v>
      </c>
      <c r="AA1082" s="10">
        <v>1600000.0</v>
      </c>
      <c r="AB1082" s="1" t="s">
        <v>16957</v>
      </c>
      <c r="AC1082" s="10">
        <v>1500000.0</v>
      </c>
      <c r="AD1082" s="1" t="s">
        <v>16958</v>
      </c>
      <c r="AE1082" s="1" t="s">
        <v>217</v>
      </c>
      <c r="AF1082" s="1" t="s">
        <v>16959</v>
      </c>
      <c r="AG1082" s="1">
        <v>7.72291524E8</v>
      </c>
      <c r="AJ1082" s="1">
        <v>153.0</v>
      </c>
      <c r="AK1082" s="1">
        <v>63.0</v>
      </c>
      <c r="AL1082" s="1" t="s">
        <v>16960</v>
      </c>
      <c r="AM1082" s="1" t="s">
        <v>16961</v>
      </c>
      <c r="AN1082" s="7" t="s">
        <v>16962</v>
      </c>
      <c r="AO1082" s="8" t="str">
        <f>HYPERLINK("https://docs.google.com/document/d/1c05hl9iidTyGSeoz2UpDqbOHqo7hz7SNatfGd0h9FM4/edit?usp=drivesdk","Al-Wildan 15 Kompas Indah, Tambun Bekasi._Cut Tari Wida Ningsih, B.A._")</f>
        <v>Al-Wildan 15 Kompas Indah, Tambun Bekasi._Cut Tari Wida Ningsih, B.A._</v>
      </c>
      <c r="AP1082" s="1" t="s">
        <v>16963</v>
      </c>
    </row>
    <row r="1083">
      <c r="A1083" s="6">
        <v>45498.21130638889</v>
      </c>
      <c r="B1083" s="7" t="s">
        <v>16964</v>
      </c>
      <c r="C1083" s="8" t="s">
        <v>16965</v>
      </c>
      <c r="D1083" s="1" t="s">
        <v>16966</v>
      </c>
      <c r="E1083" s="9" t="s">
        <v>16967</v>
      </c>
      <c r="F1083" s="1" t="s">
        <v>16968</v>
      </c>
      <c r="G1083" s="1" t="s">
        <v>16969</v>
      </c>
      <c r="H1083" s="1" t="s">
        <v>16970</v>
      </c>
      <c r="I1083" s="9" t="s">
        <v>16971</v>
      </c>
      <c r="J1083" s="1" t="s">
        <v>16972</v>
      </c>
      <c r="K1083" s="1" t="s">
        <v>102</v>
      </c>
      <c r="L1083" s="1" t="s">
        <v>103</v>
      </c>
      <c r="M1083" s="1" t="s">
        <v>104</v>
      </c>
      <c r="N1083" s="1" t="s">
        <v>152</v>
      </c>
      <c r="O1083" s="1" t="s">
        <v>312</v>
      </c>
      <c r="P1083" s="1" t="s">
        <v>237</v>
      </c>
      <c r="Q1083" s="1" t="s">
        <v>16973</v>
      </c>
      <c r="R1083" s="1" t="s">
        <v>172</v>
      </c>
      <c r="S1083" s="1" t="s">
        <v>2510</v>
      </c>
      <c r="Z1083" s="1" t="s">
        <v>16974</v>
      </c>
      <c r="AA1083" s="12">
        <v>2500000.0</v>
      </c>
      <c r="AB1083" s="1" t="s">
        <v>16975</v>
      </c>
      <c r="AC1083" s="12">
        <v>5000000.0</v>
      </c>
      <c r="AF1083" s="12">
        <v>5000000.0</v>
      </c>
      <c r="AG1083" s="1">
        <v>7.152742527E9</v>
      </c>
      <c r="AH1083" s="9" t="s">
        <v>16976</v>
      </c>
      <c r="AI1083" s="1" t="s">
        <v>445</v>
      </c>
      <c r="AJ1083" s="1">
        <v>172.0</v>
      </c>
      <c r="AK1083" s="1">
        <v>78.0</v>
      </c>
      <c r="AL1083" s="1" t="s">
        <v>16977</v>
      </c>
      <c r="AM1083" s="1" t="s">
        <v>16978</v>
      </c>
      <c r="AN1083" s="7" t="s">
        <v>16979</v>
      </c>
      <c r="AO1083" s="8" t="str">
        <f>HYPERLINK("https://docs.google.com/document/d/194hlQCZ4osROeshT2jC6fU_FxENqxfm_Ev5_8ESd8Vw/edit?usp=drivesdk","Al-Wildan 4 Lebak Bulus_AHMAD IZZAH ARRUSLI S.PD_Bahasa Inggris")</f>
        <v>Al-Wildan 4 Lebak Bulus_AHMAD IZZAH ARRUSLI S.PD_Bahasa Inggris</v>
      </c>
      <c r="AP1083" s="1" t="s">
        <v>16980</v>
      </c>
    </row>
    <row r="1084">
      <c r="A1084" s="6">
        <v>45498.30226287037</v>
      </c>
      <c r="B1084" s="7" t="s">
        <v>16981</v>
      </c>
      <c r="C1084" s="8" t="s">
        <v>16982</v>
      </c>
      <c r="D1084" s="1" t="s">
        <v>16983</v>
      </c>
      <c r="E1084" s="9" t="s">
        <v>16984</v>
      </c>
      <c r="F1084" s="1" t="s">
        <v>16985</v>
      </c>
      <c r="G1084" s="1" t="s">
        <v>16986</v>
      </c>
      <c r="H1084" s="1" t="s">
        <v>1003</v>
      </c>
      <c r="I1084" s="9" t="s">
        <v>16987</v>
      </c>
      <c r="J1084" s="1" t="s">
        <v>16988</v>
      </c>
      <c r="K1084" s="1" t="s">
        <v>151</v>
      </c>
      <c r="L1084" s="1" t="s">
        <v>103</v>
      </c>
      <c r="M1084" s="1" t="s">
        <v>13917</v>
      </c>
      <c r="N1084" s="1" t="s">
        <v>16989</v>
      </c>
      <c r="O1084" s="1" t="s">
        <v>9794</v>
      </c>
      <c r="P1084" s="1" t="s">
        <v>6091</v>
      </c>
      <c r="Q1084" s="1" t="s">
        <v>13569</v>
      </c>
      <c r="R1084" s="1" t="s">
        <v>15648</v>
      </c>
      <c r="S1084" s="1" t="s">
        <v>1279</v>
      </c>
      <c r="Z1084" s="1" t="s">
        <v>16990</v>
      </c>
      <c r="AA1084" s="10">
        <v>300000.0</v>
      </c>
      <c r="AB1084" s="1" t="s">
        <v>16991</v>
      </c>
      <c r="AC1084" s="10">
        <v>800000.0</v>
      </c>
      <c r="AD1084" s="1" t="s">
        <v>16992</v>
      </c>
      <c r="AE1084" s="10">
        <v>1000000.0</v>
      </c>
      <c r="AF1084" s="1" t="s">
        <v>16993</v>
      </c>
      <c r="AG1084" s="9" t="s">
        <v>12763</v>
      </c>
      <c r="AH1084" s="9" t="s">
        <v>16994</v>
      </c>
      <c r="AI1084" s="1" t="s">
        <v>159</v>
      </c>
      <c r="AJ1084" s="1">
        <v>160.0</v>
      </c>
      <c r="AK1084" s="1">
        <v>60.0</v>
      </c>
      <c r="AL1084" s="1" t="s">
        <v>16995</v>
      </c>
      <c r="AM1084" s="1" t="s">
        <v>16996</v>
      </c>
      <c r="AN1084" s="7" t="s">
        <v>16997</v>
      </c>
      <c r="AO1084" s="8" t="str">
        <f>HYPERLINK("https://docs.google.com/document/d/1TlQpZ0MN7yZh6JokAyVGBzQfvrnEAdpYbdSg_9yikjs/edit?usp=drivesdk","Al-Wildan 10 Cipinang, Jakarta Timur_Taufik Hidayat, S.Pd_Pendidikan Jasmani kesehatan dan Rekreasi (PJOK)")</f>
        <v>Al-Wildan 10 Cipinang, Jakarta Timur_Taufik Hidayat, S.Pd_Pendidikan Jasmani kesehatan dan Rekreasi (PJOK)</v>
      </c>
      <c r="AP1084" s="1" t="s">
        <v>16998</v>
      </c>
    </row>
    <row r="1085">
      <c r="A1085" s="6">
        <v>45498.546113969904</v>
      </c>
      <c r="B1085" s="7" t="s">
        <v>16999</v>
      </c>
      <c r="C1085" s="8" t="s">
        <v>17000</v>
      </c>
      <c r="D1085" s="1" t="s">
        <v>17001</v>
      </c>
      <c r="E1085" s="9" t="s">
        <v>17002</v>
      </c>
      <c r="F1085" s="1" t="s">
        <v>17003</v>
      </c>
      <c r="G1085" s="1" t="s">
        <v>17004</v>
      </c>
      <c r="H1085" s="1" t="s">
        <v>722</v>
      </c>
      <c r="I1085" s="9" t="s">
        <v>17005</v>
      </c>
      <c r="J1085" s="1" t="s">
        <v>1557</v>
      </c>
      <c r="K1085" s="1" t="s">
        <v>151</v>
      </c>
      <c r="L1085" s="1" t="s">
        <v>256</v>
      </c>
      <c r="M1085" s="1" t="s">
        <v>104</v>
      </c>
      <c r="N1085" s="1" t="s">
        <v>152</v>
      </c>
      <c r="O1085" s="1" t="s">
        <v>9794</v>
      </c>
      <c r="P1085" s="1" t="s">
        <v>6659</v>
      </c>
      <c r="Q1085" s="1" t="s">
        <v>4511</v>
      </c>
      <c r="R1085" s="1" t="s">
        <v>172</v>
      </c>
      <c r="S1085" s="9" t="s">
        <v>4421</v>
      </c>
      <c r="T1085" s="1" t="s">
        <v>6011</v>
      </c>
      <c r="U1085" s="1" t="s">
        <v>172</v>
      </c>
      <c r="V1085" s="1" t="s">
        <v>1524</v>
      </c>
      <c r="Z1085" s="1" t="s">
        <v>17006</v>
      </c>
      <c r="AA1085" s="10">
        <v>1000000.0</v>
      </c>
      <c r="AB1085" s="1" t="s">
        <v>17007</v>
      </c>
      <c r="AC1085" s="10">
        <v>2000000.0</v>
      </c>
      <c r="AF1085" s="10">
        <v>7500000.0</v>
      </c>
      <c r="AH1085" s="1">
        <v>1.10833326E9</v>
      </c>
      <c r="AI1085" s="1" t="s">
        <v>159</v>
      </c>
      <c r="AJ1085" s="1">
        <v>160.0</v>
      </c>
      <c r="AK1085" s="1">
        <v>60.0</v>
      </c>
      <c r="AL1085" s="1" t="s">
        <v>17008</v>
      </c>
      <c r="AM1085" s="1" t="s">
        <v>17009</v>
      </c>
      <c r="AN1085" s="7" t="s">
        <v>17010</v>
      </c>
      <c r="AO1085" s="8" t="str">
        <f>HYPERLINK("https://docs.google.com/document/d/1z02aP6aMqSA3iZarqrA6n72N_-MGEUeYqTMCVKoRGZ8/edit?usp=drivesdk","Al-Wildan 15 Kompas Indah, Tambun Bekasi._Rahma Dini, M.Pd_Bahasa Inggris")</f>
        <v>Al-Wildan 15 Kompas Indah, Tambun Bekasi._Rahma Dini, M.Pd_Bahasa Inggris</v>
      </c>
      <c r="AP1085" s="1" t="s">
        <v>17011</v>
      </c>
    </row>
    <row r="1086">
      <c r="A1086" s="6">
        <v>45499.203277858796</v>
      </c>
      <c r="B1086" s="7" t="s">
        <v>17012</v>
      </c>
      <c r="C1086" s="8" t="s">
        <v>17013</v>
      </c>
      <c r="D1086" s="1" t="s">
        <v>17014</v>
      </c>
      <c r="E1086" s="9" t="s">
        <v>17015</v>
      </c>
      <c r="F1086" s="1" t="s">
        <v>17016</v>
      </c>
      <c r="G1086" s="1" t="s">
        <v>17017</v>
      </c>
      <c r="H1086" s="1" t="s">
        <v>2076</v>
      </c>
      <c r="I1086" s="9" t="s">
        <v>14080</v>
      </c>
      <c r="J1086" s="1" t="s">
        <v>12019</v>
      </c>
      <c r="K1086" s="1" t="s">
        <v>151</v>
      </c>
      <c r="L1086" s="1" t="s">
        <v>103</v>
      </c>
      <c r="M1086" s="1" t="s">
        <v>104</v>
      </c>
      <c r="N1086" s="1" t="s">
        <v>17018</v>
      </c>
      <c r="O1086" s="1" t="s">
        <v>9794</v>
      </c>
      <c r="P1086" s="1" t="s">
        <v>17019</v>
      </c>
      <c r="Q1086" s="1" t="s">
        <v>590</v>
      </c>
      <c r="R1086" s="1" t="s">
        <v>410</v>
      </c>
      <c r="S1086" s="1" t="s">
        <v>479</v>
      </c>
      <c r="Z1086" s="1" t="s">
        <v>17020</v>
      </c>
      <c r="AA1086" s="10">
        <v>950000.0</v>
      </c>
      <c r="AF1086" s="10">
        <v>5000000.0</v>
      </c>
      <c r="AG1086" s="1">
        <v>1.13405502E9</v>
      </c>
      <c r="AJ1086" s="1">
        <v>167.0</v>
      </c>
      <c r="AK1086" s="1">
        <v>61.0</v>
      </c>
      <c r="AL1086" s="1" t="s">
        <v>17021</v>
      </c>
      <c r="AM1086" s="1" t="s">
        <v>17022</v>
      </c>
      <c r="AN1086" s="7" t="s">
        <v>17023</v>
      </c>
      <c r="AO1086" s="8" t="str">
        <f>HYPERLINK("https://docs.google.com/document/d/1E8A0DgoAcMGvYRIol8NSdjID00VcWrzrPUrLBm3ssvM/edit?usp=drivesdk","Al-Wildan 20 Mataram_Thufail Mujaddid Al-Qoyyim, S.Pd._Science, English, Matematic, Physics, Biology")</f>
        <v>Al-Wildan 20 Mataram_Thufail Mujaddid Al-Qoyyim, S.Pd._Science, English, Matematic, Physics, Biology</v>
      </c>
      <c r="AP1086" s="1" t="s">
        <v>17024</v>
      </c>
    </row>
    <row r="1087">
      <c r="A1087" s="6">
        <v>45499.35577488426</v>
      </c>
      <c r="B1087" s="7" t="s">
        <v>17025</v>
      </c>
      <c r="C1087" s="8" t="s">
        <v>17026</v>
      </c>
      <c r="D1087" s="1" t="s">
        <v>17027</v>
      </c>
      <c r="E1087" s="9" t="s">
        <v>17028</v>
      </c>
      <c r="F1087" s="1" t="s">
        <v>17029</v>
      </c>
      <c r="G1087" s="1" t="s">
        <v>2076</v>
      </c>
      <c r="H1087" s="1" t="s">
        <v>2076</v>
      </c>
      <c r="I1087" s="9" t="s">
        <v>17030</v>
      </c>
      <c r="J1087" s="1" t="s">
        <v>4654</v>
      </c>
      <c r="K1087" s="1" t="s">
        <v>151</v>
      </c>
      <c r="L1087" s="1" t="s">
        <v>496</v>
      </c>
      <c r="M1087" s="1" t="s">
        <v>8904</v>
      </c>
      <c r="N1087" s="1" t="s">
        <v>17031</v>
      </c>
      <c r="O1087" s="1" t="s">
        <v>9794</v>
      </c>
      <c r="P1087" s="1" t="s">
        <v>17019</v>
      </c>
      <c r="Q1087" s="1" t="s">
        <v>17032</v>
      </c>
      <c r="R1087" s="1" t="s">
        <v>2355</v>
      </c>
      <c r="S1087" s="1" t="s">
        <v>1668</v>
      </c>
      <c r="Z1087" s="1" t="s">
        <v>10756</v>
      </c>
      <c r="AA1087" s="10">
        <v>800000.0</v>
      </c>
      <c r="AF1087" s="10">
        <v>2600000.0</v>
      </c>
      <c r="AH1087" s="1">
        <v>5.040206582273E12</v>
      </c>
      <c r="AI1087" s="1" t="s">
        <v>17033</v>
      </c>
      <c r="AJ1087" s="1">
        <v>165.0</v>
      </c>
      <c r="AK1087" s="1">
        <v>72.0</v>
      </c>
      <c r="AL1087" s="1" t="s">
        <v>17034</v>
      </c>
      <c r="AM1087" s="1" t="s">
        <v>17035</v>
      </c>
      <c r="AN1087" s="7" t="s">
        <v>17036</v>
      </c>
      <c r="AO1087" s="8" t="str">
        <f>HYPERLINK("https://docs.google.com/document/d/1_TSMKiNycNyDlYGCZahTEHWzeSUgSo7g1CnstTDAlJQ/edit?usp=drivesdk","Al-Wildan 20 Mataram_Muhammad, S.Pd_Psychical education")</f>
        <v>Al-Wildan 20 Mataram_Muhammad, S.Pd_Psychical education</v>
      </c>
      <c r="AP1087" s="1" t="s">
        <v>17037</v>
      </c>
    </row>
    <row r="1088">
      <c r="A1088" s="6">
        <v>45499.66838798611</v>
      </c>
      <c r="B1088" s="7" t="s">
        <v>17038</v>
      </c>
      <c r="C1088" s="8" t="s">
        <v>17039</v>
      </c>
      <c r="D1088" s="1" t="s">
        <v>17027</v>
      </c>
      <c r="E1088" s="9" t="s">
        <v>17028</v>
      </c>
      <c r="F1088" s="1" t="s">
        <v>17029</v>
      </c>
      <c r="G1088" s="1" t="s">
        <v>17040</v>
      </c>
      <c r="H1088" s="1" t="s">
        <v>2076</v>
      </c>
      <c r="I1088" s="9" t="s">
        <v>17030</v>
      </c>
      <c r="J1088" s="1">
        <v>27.0</v>
      </c>
      <c r="K1088" s="1" t="s">
        <v>151</v>
      </c>
      <c r="L1088" s="1" t="s">
        <v>496</v>
      </c>
      <c r="M1088" s="1" t="s">
        <v>8904</v>
      </c>
      <c r="N1088" s="1" t="s">
        <v>17041</v>
      </c>
      <c r="O1088" s="1" t="s">
        <v>9794</v>
      </c>
      <c r="P1088" s="1" t="s">
        <v>17019</v>
      </c>
      <c r="Q1088" s="1" t="s">
        <v>17032</v>
      </c>
      <c r="R1088" s="1" t="s">
        <v>2355</v>
      </c>
      <c r="S1088" s="1" t="s">
        <v>1668</v>
      </c>
      <c r="Z1088" s="1" t="s">
        <v>10756</v>
      </c>
      <c r="AA1088" s="10">
        <v>800000.0</v>
      </c>
      <c r="AF1088" s="10">
        <v>3000000.0</v>
      </c>
      <c r="AG1088" s="1">
        <v>5.040206582273E12</v>
      </c>
      <c r="AI1088" s="1" t="s">
        <v>17042</v>
      </c>
      <c r="AJ1088" s="1">
        <v>165.0</v>
      </c>
      <c r="AK1088" s="1">
        <v>72.0</v>
      </c>
      <c r="AL1088" s="1" t="s">
        <v>17034</v>
      </c>
      <c r="AM1088" s="1" t="s">
        <v>17043</v>
      </c>
      <c r="AN1088" s="7" t="s">
        <v>17044</v>
      </c>
      <c r="AO1088" s="8" t="str">
        <f>HYPERLINK("https://docs.google.com/document/d/1UF8jb2x5i0AoKb7BJtObfKoGC6_3_CpGfoaRjZlKVbQ/edit?usp=drivesdk","Al-Wildan 20 Mataram_Muhammad, S.Pd_Arabic and Physical Education")</f>
        <v>Al-Wildan 20 Mataram_Muhammad, S.Pd_Arabic and Physical Education</v>
      </c>
      <c r="AP1088" s="1" t="s">
        <v>17045</v>
      </c>
    </row>
    <row r="1089">
      <c r="A1089" s="6">
        <v>45502.64568765047</v>
      </c>
      <c r="B1089" s="7" t="s">
        <v>17046</v>
      </c>
      <c r="C1089" s="8" t="s">
        <v>17047</v>
      </c>
      <c r="D1089" s="1" t="s">
        <v>17048</v>
      </c>
      <c r="E1089" s="9" t="s">
        <v>17049</v>
      </c>
      <c r="F1089" s="1" t="s">
        <v>17050</v>
      </c>
      <c r="G1089" s="1" t="s">
        <v>17051</v>
      </c>
      <c r="H1089" s="1" t="s">
        <v>17052</v>
      </c>
      <c r="I1089" s="9" t="s">
        <v>17053</v>
      </c>
      <c r="J1089" s="1" t="s">
        <v>6334</v>
      </c>
      <c r="K1089" s="1" t="s">
        <v>151</v>
      </c>
      <c r="L1089" s="1" t="s">
        <v>256</v>
      </c>
      <c r="M1089" s="1" t="s">
        <v>104</v>
      </c>
      <c r="N1089" s="1" t="s">
        <v>552</v>
      </c>
      <c r="O1089" s="1" t="s">
        <v>127</v>
      </c>
      <c r="P1089" s="1" t="s">
        <v>6659</v>
      </c>
      <c r="Q1089" s="1" t="s">
        <v>7564</v>
      </c>
      <c r="R1089" s="1" t="s">
        <v>410</v>
      </c>
      <c r="S1089" s="1" t="s">
        <v>292</v>
      </c>
      <c r="Z1089" s="1" t="s">
        <v>17054</v>
      </c>
      <c r="AA1089" s="10">
        <v>3200000.0</v>
      </c>
      <c r="AF1089" s="1" t="s">
        <v>8105</v>
      </c>
      <c r="AG1089" s="1">
        <v>7.138839049E9</v>
      </c>
      <c r="AJ1089" s="1">
        <v>163.0</v>
      </c>
      <c r="AK1089" s="1">
        <v>45.0</v>
      </c>
      <c r="AL1089" s="1" t="s">
        <v>17055</v>
      </c>
      <c r="AM1089" s="1" t="s">
        <v>17056</v>
      </c>
      <c r="AN1089" s="7" t="s">
        <v>17057</v>
      </c>
      <c r="AO1089" s="8" t="str">
        <f>HYPERLINK("https://docs.google.com/document/d/1CxnU4nfZTjQ36fhdkfrFAMCfUVNIr2RxPgNNni21yFc/edit?usp=drivesdk","Al-Wildan 15 Kompas Indah, Tambun Bekasi._Andri Kusman, S.Pd._Fisika")</f>
        <v>Al-Wildan 15 Kompas Indah, Tambun Bekasi._Andri Kusman, S.Pd._Fisika</v>
      </c>
      <c r="AP1089" s="1" t="s">
        <v>17058</v>
      </c>
    </row>
    <row r="1090">
      <c r="A1090" s="6">
        <v>45502.64569016204</v>
      </c>
      <c r="B1090" s="7" t="s">
        <v>17059</v>
      </c>
      <c r="C1090" s="8" t="s">
        <v>17060</v>
      </c>
      <c r="D1090" s="1" t="s">
        <v>17061</v>
      </c>
      <c r="E1090" s="9" t="s">
        <v>17062</v>
      </c>
      <c r="F1090" s="1" t="s">
        <v>17063</v>
      </c>
      <c r="G1090" s="1" t="s">
        <v>17064</v>
      </c>
      <c r="H1090" s="1" t="s">
        <v>169</v>
      </c>
      <c r="I1090" s="9" t="s">
        <v>17065</v>
      </c>
      <c r="J1090" s="1" t="s">
        <v>17066</v>
      </c>
      <c r="K1090" s="1" t="s">
        <v>102</v>
      </c>
      <c r="L1090" s="1" t="s">
        <v>103</v>
      </c>
      <c r="M1090" s="1" t="s">
        <v>104</v>
      </c>
      <c r="N1090" s="1" t="s">
        <v>126</v>
      </c>
      <c r="O1090" s="1" t="s">
        <v>106</v>
      </c>
      <c r="P1090" s="1" t="s">
        <v>6091</v>
      </c>
      <c r="Q1090" s="1" t="s">
        <v>5414</v>
      </c>
      <c r="R1090" s="1" t="s">
        <v>126</v>
      </c>
      <c r="S1090" s="1" t="s">
        <v>17067</v>
      </c>
      <c r="Z1090" s="1" t="s">
        <v>17068</v>
      </c>
      <c r="AA1090" s="10">
        <v>9000000.0</v>
      </c>
      <c r="AB1090" s="1" t="s">
        <v>17069</v>
      </c>
      <c r="AC1090" s="10">
        <v>8000000.0</v>
      </c>
      <c r="AF1090" s="10">
        <v>8000000.0</v>
      </c>
      <c r="AG1090" s="1">
        <v>7.279014787E9</v>
      </c>
      <c r="AJ1090" s="1">
        <v>173.0</v>
      </c>
      <c r="AK1090" s="1">
        <v>60.0</v>
      </c>
      <c r="AL1090" s="1" t="s">
        <v>17070</v>
      </c>
      <c r="AM1090" s="1" t="s">
        <v>17071</v>
      </c>
      <c r="AN1090" s="7" t="s">
        <v>17072</v>
      </c>
      <c r="AO1090" s="8" t="str">
        <f>HYPERLINK("https://docs.google.com/document/d/1b7B6hQbko_UA2KIh7ef70dJWmWm127Pkb2ESn3eg18Q/edit?usp=drivesdk","Al-Wildan 10 Cipinang, Jakarta Timur_Adi Sayono, S.Si_Matematika")</f>
        <v>Al-Wildan 10 Cipinang, Jakarta Timur_Adi Sayono, S.Si_Matematika</v>
      </c>
      <c r="AP1090" s="1" t="s">
        <v>17073</v>
      </c>
    </row>
    <row r="1091">
      <c r="A1091" s="6">
        <v>45502.65405981481</v>
      </c>
      <c r="B1091" s="7" t="s">
        <v>17074</v>
      </c>
      <c r="C1091" s="8" t="s">
        <v>17075</v>
      </c>
      <c r="D1091" s="1" t="s">
        <v>17076</v>
      </c>
      <c r="E1091" s="9" t="s">
        <v>17077</v>
      </c>
      <c r="F1091" s="1" t="s">
        <v>17078</v>
      </c>
      <c r="G1091" s="1" t="s">
        <v>17079</v>
      </c>
      <c r="H1091" s="1" t="s">
        <v>11310</v>
      </c>
      <c r="I1091" s="9" t="s">
        <v>17080</v>
      </c>
      <c r="J1091" s="1">
        <v>40.0</v>
      </c>
      <c r="K1091" s="1" t="s">
        <v>102</v>
      </c>
      <c r="L1091" s="1" t="s">
        <v>103</v>
      </c>
      <c r="M1091" s="1" t="s">
        <v>6060</v>
      </c>
      <c r="O1091" s="1" t="s">
        <v>127</v>
      </c>
      <c r="P1091" s="1" t="s">
        <v>6187</v>
      </c>
      <c r="Q1091" s="1" t="s">
        <v>217</v>
      </c>
      <c r="R1091" s="1" t="s">
        <v>217</v>
      </c>
      <c r="S1091" s="1" t="s">
        <v>217</v>
      </c>
      <c r="T1091" s="1" t="s">
        <v>217</v>
      </c>
      <c r="U1091" s="1" t="s">
        <v>217</v>
      </c>
      <c r="V1091" s="1" t="s">
        <v>217</v>
      </c>
      <c r="W1091" s="1" t="s">
        <v>217</v>
      </c>
      <c r="X1091" s="1" t="s">
        <v>217</v>
      </c>
      <c r="Z1091" s="1" t="s">
        <v>17081</v>
      </c>
      <c r="AA1091" s="10">
        <v>3000000.0</v>
      </c>
      <c r="AB1091" s="1" t="s">
        <v>17082</v>
      </c>
      <c r="AC1091" s="10">
        <v>3800000.0</v>
      </c>
      <c r="AD1091" s="1" t="s">
        <v>17083</v>
      </c>
      <c r="AE1091" s="10">
        <v>4500000.0</v>
      </c>
      <c r="AF1091" s="10">
        <v>5500000.0</v>
      </c>
      <c r="AG1091" s="1">
        <v>5.24495431E9</v>
      </c>
      <c r="AJ1091" s="1">
        <v>162.0</v>
      </c>
      <c r="AK1091" s="1">
        <v>80.0</v>
      </c>
      <c r="AL1091" s="1" t="s">
        <v>17084</v>
      </c>
      <c r="AM1091" s="1" t="s">
        <v>17085</v>
      </c>
      <c r="AN1091" s="7" t="s">
        <v>17086</v>
      </c>
      <c r="AO1091" s="8" t="str">
        <f>HYPERLINK("https://docs.google.com/document/d/1plMpRWVzdT846LQVP7mxUV2emJnKTp4UzbczFvPpYsw/edit?usp=drivesdk","Al-Wildan 14 Bumi Mutiara, Bogor_Slamet Hidayat_")</f>
        <v>Al-Wildan 14 Bumi Mutiara, Bogor_Slamet Hidayat_</v>
      </c>
      <c r="AP1091" s="1" t="s">
        <v>17087</v>
      </c>
    </row>
    <row r="1092">
      <c r="A1092" s="6">
        <v>45502.753535578704</v>
      </c>
      <c r="B1092" s="7" t="s">
        <v>17088</v>
      </c>
      <c r="C1092" s="8" t="s">
        <v>17089</v>
      </c>
      <c r="D1092" s="1" t="s">
        <v>17090</v>
      </c>
      <c r="E1092" s="9" t="s">
        <v>17091</v>
      </c>
      <c r="F1092" s="1" t="s">
        <v>17092</v>
      </c>
      <c r="G1092" s="1" t="s">
        <v>17093</v>
      </c>
      <c r="H1092" s="1" t="s">
        <v>1018</v>
      </c>
      <c r="I1092" s="9" t="s">
        <v>17094</v>
      </c>
      <c r="J1092" s="1" t="s">
        <v>1994</v>
      </c>
      <c r="K1092" s="1" t="s">
        <v>151</v>
      </c>
      <c r="L1092" s="1" t="s">
        <v>103</v>
      </c>
      <c r="M1092" s="1" t="s">
        <v>104</v>
      </c>
      <c r="N1092" s="1" t="s">
        <v>16759</v>
      </c>
      <c r="O1092" s="1" t="s">
        <v>312</v>
      </c>
      <c r="P1092" s="1" t="s">
        <v>7991</v>
      </c>
      <c r="Q1092" s="1" t="s">
        <v>17095</v>
      </c>
      <c r="R1092" s="1" t="s">
        <v>5612</v>
      </c>
      <c r="S1092" s="1" t="s">
        <v>3589</v>
      </c>
      <c r="Z1092" s="1" t="s">
        <v>9137</v>
      </c>
      <c r="AA1092" s="10">
        <v>5000000.0</v>
      </c>
      <c r="AF1092" s="1" t="s">
        <v>891</v>
      </c>
      <c r="AH1092" s="1">
        <v>3.423502271E9</v>
      </c>
      <c r="AI1092" s="1" t="s">
        <v>222</v>
      </c>
      <c r="AJ1092" s="1">
        <v>160.0</v>
      </c>
      <c r="AK1092" s="1">
        <v>45.0</v>
      </c>
      <c r="AL1092" s="1" t="s">
        <v>17096</v>
      </c>
      <c r="AM1092" s="1" t="s">
        <v>17097</v>
      </c>
      <c r="AN1092" s="7" t="s">
        <v>17098</v>
      </c>
      <c r="AO1092" s="8" t="str">
        <f>HYPERLINK("https://docs.google.com/document/d/1nl3nIP5uhKEVQ0C-xtpsGnswTOBExYAa-B49cVmZ4u0/edit?usp=drivesdk","Al-Wildan 12 Bulak Kapal, Bekasi_Zaenudin, S.S._Science, English, Math")</f>
        <v>Al-Wildan 12 Bulak Kapal, Bekasi_Zaenudin, S.S._Science, English, Math</v>
      </c>
      <c r="AP1092" s="1" t="s">
        <v>17087</v>
      </c>
    </row>
    <row r="1093">
      <c r="A1093" s="6">
        <v>45502.757265636574</v>
      </c>
      <c r="B1093" s="7" t="s">
        <v>17099</v>
      </c>
      <c r="C1093" s="8" t="s">
        <v>17100</v>
      </c>
      <c r="D1093" s="1" t="s">
        <v>17101</v>
      </c>
      <c r="E1093" s="9" t="s">
        <v>17102</v>
      </c>
      <c r="F1093" s="1" t="s">
        <v>17103</v>
      </c>
      <c r="G1093" s="1" t="s">
        <v>17104</v>
      </c>
      <c r="H1093" s="1" t="s">
        <v>15172</v>
      </c>
      <c r="I1093" s="9" t="s">
        <v>17105</v>
      </c>
      <c r="J1093" s="1" t="s">
        <v>5212</v>
      </c>
      <c r="K1093" s="1" t="s">
        <v>151</v>
      </c>
      <c r="L1093" s="1" t="s">
        <v>329</v>
      </c>
      <c r="M1093" s="1" t="s">
        <v>104</v>
      </c>
      <c r="N1093" s="1" t="s">
        <v>9262</v>
      </c>
      <c r="O1093" s="1" t="s">
        <v>312</v>
      </c>
      <c r="P1093" s="1" t="s">
        <v>6091</v>
      </c>
      <c r="Q1093" s="1" t="s">
        <v>17106</v>
      </c>
      <c r="R1093" s="1" t="s">
        <v>17107</v>
      </c>
      <c r="S1093" s="1" t="s">
        <v>8998</v>
      </c>
      <c r="Z1093" s="1" t="s">
        <v>17108</v>
      </c>
      <c r="AA1093" s="10">
        <v>2600000.0</v>
      </c>
      <c r="AF1093" s="10">
        <v>4000000.0</v>
      </c>
      <c r="AH1093" s="1">
        <v>3.000748781E9</v>
      </c>
      <c r="AI1093" s="1" t="s">
        <v>222</v>
      </c>
      <c r="AJ1093" s="1">
        <v>158.0</v>
      </c>
      <c r="AK1093" s="1">
        <v>56.0</v>
      </c>
      <c r="AL1093" s="1" t="s">
        <v>17109</v>
      </c>
      <c r="AM1093" s="1" t="s">
        <v>17110</v>
      </c>
      <c r="AN1093" s="7" t="s">
        <v>17111</v>
      </c>
      <c r="AO1093" s="8" t="str">
        <f>HYPERLINK("https://docs.google.com/document/d/1W5bLBkOALOYpwljl6ahxmMkmV-3pF5EJaFzbaTdHfyI/edit?usp=drivesdk","Al-Wildan 10 Cipinang, Jakarta Timur_Salsa Billa Aprianti, S.Pd_Guru IPA")</f>
        <v>Al-Wildan 10 Cipinang, Jakarta Timur_Salsa Billa Aprianti, S.Pd_Guru IPA</v>
      </c>
      <c r="AP1093" s="1" t="s">
        <v>17112</v>
      </c>
    </row>
    <row r="1094">
      <c r="A1094" s="6">
        <v>45503.542262256946</v>
      </c>
      <c r="B1094" s="7" t="s">
        <v>17113</v>
      </c>
      <c r="C1094" s="8" t="s">
        <v>17114</v>
      </c>
      <c r="D1094" s="1" t="s">
        <v>17115</v>
      </c>
      <c r="E1094" s="9" t="s">
        <v>17116</v>
      </c>
      <c r="F1094" s="1" t="s">
        <v>17117</v>
      </c>
      <c r="G1094" s="1" t="s">
        <v>17118</v>
      </c>
      <c r="H1094" s="1" t="s">
        <v>169</v>
      </c>
      <c r="I1094" s="9" t="s">
        <v>17119</v>
      </c>
      <c r="J1094" s="1" t="s">
        <v>2882</v>
      </c>
      <c r="K1094" s="1" t="s">
        <v>151</v>
      </c>
      <c r="L1094" s="1" t="s">
        <v>256</v>
      </c>
      <c r="M1094" s="1" t="s">
        <v>6186</v>
      </c>
      <c r="O1094" s="1" t="s">
        <v>14334</v>
      </c>
      <c r="P1094" s="1" t="s">
        <v>14335</v>
      </c>
      <c r="Q1094" s="1" t="s">
        <v>1022</v>
      </c>
      <c r="R1094" s="1" t="s">
        <v>17120</v>
      </c>
      <c r="S1094" s="1" t="s">
        <v>15490</v>
      </c>
      <c r="Z1094" s="1" t="s">
        <v>17121</v>
      </c>
      <c r="AA1094" s="10">
        <v>2000000.0</v>
      </c>
      <c r="AB1094" s="1" t="s">
        <v>17122</v>
      </c>
      <c r="AC1094" s="10">
        <v>3000000.0</v>
      </c>
      <c r="AF1094" s="10">
        <v>5000000.0</v>
      </c>
      <c r="AG1094" s="1">
        <v>9.04404509E9</v>
      </c>
      <c r="AJ1094" s="1">
        <v>158.0</v>
      </c>
      <c r="AK1094" s="1">
        <v>46.0</v>
      </c>
      <c r="AL1094" s="1" t="s">
        <v>17123</v>
      </c>
      <c r="AM1094" s="1" t="s">
        <v>17124</v>
      </c>
      <c r="AN1094" s="7" t="s">
        <v>17125</v>
      </c>
      <c r="AO1094" s="8" t="str">
        <f>HYPERLINK("https://docs.google.com/document/d/1V33nwDs8IsRF1FELyDxefKmb9DXGzoxIwR3CvakjHRI/edit?usp=drivesdk","Al-Wildan 13 Tembalang, Bekasi_Farhana Ulina Afifah Ginting B.B.A_")</f>
        <v>Al-Wildan 13 Tembalang, Bekasi_Farhana Ulina Afifah Ginting B.B.A_</v>
      </c>
      <c r="AP1094" s="1" t="s">
        <v>17126</v>
      </c>
    </row>
    <row r="1095">
      <c r="A1095" s="6">
        <v>45504.54372918981</v>
      </c>
      <c r="B1095" s="7" t="s">
        <v>17127</v>
      </c>
      <c r="C1095" s="8" t="s">
        <v>17128</v>
      </c>
      <c r="D1095" s="1" t="s">
        <v>17129</v>
      </c>
      <c r="E1095" s="9" t="s">
        <v>17130</v>
      </c>
      <c r="F1095" s="1" t="s">
        <v>17131</v>
      </c>
      <c r="G1095" s="1" t="s">
        <v>9167</v>
      </c>
      <c r="H1095" s="1" t="s">
        <v>17132</v>
      </c>
      <c r="I1095" s="9" t="s">
        <v>17133</v>
      </c>
      <c r="J1095" s="1">
        <v>23.0</v>
      </c>
      <c r="K1095" s="1" t="s">
        <v>151</v>
      </c>
      <c r="L1095" s="1" t="s">
        <v>329</v>
      </c>
      <c r="M1095" s="1" t="s">
        <v>104</v>
      </c>
      <c r="N1095" s="1" t="s">
        <v>8581</v>
      </c>
      <c r="O1095" s="1" t="s">
        <v>312</v>
      </c>
      <c r="P1095" s="1" t="s">
        <v>107</v>
      </c>
      <c r="Z1095" s="1" t="s">
        <v>1998</v>
      </c>
      <c r="AA1095" s="10">
        <v>1500000.0</v>
      </c>
      <c r="AB1095" s="1" t="s">
        <v>1998</v>
      </c>
      <c r="AC1095" s="10">
        <v>4200000.0</v>
      </c>
      <c r="AD1095" s="1" t="s">
        <v>1998</v>
      </c>
      <c r="AE1095" s="10">
        <v>3600000.0</v>
      </c>
      <c r="AG1095" s="1">
        <v>7.174293656E9</v>
      </c>
      <c r="AH1095" s="1">
        <v>7.174293656E9</v>
      </c>
      <c r="AI1095" s="1" t="s">
        <v>5113</v>
      </c>
      <c r="AJ1095" s="1">
        <v>151.0</v>
      </c>
      <c r="AK1095" s="1">
        <v>43.0</v>
      </c>
      <c r="AL1095" s="1" t="s">
        <v>17134</v>
      </c>
      <c r="AM1095" s="1" t="s">
        <v>17135</v>
      </c>
      <c r="AN1095" s="7" t="s">
        <v>17136</v>
      </c>
      <c r="AO1095" s="8" t="str">
        <f>HYPERLINK("https://docs.google.com/document/d/1ja3Sizssg84mBPlxMqVo19wK48Dpg6nhMUp4dv1PeZA/edit?usp=drivesdk","Al-Wildan 1 Gading Serpong_Barqiatun _Al-Qur'an ")</f>
        <v>Al-Wildan 1 Gading Serpong_Barqiatun _Al-Qur'an </v>
      </c>
      <c r="AP1095" s="1" t="s">
        <v>17137</v>
      </c>
    </row>
    <row r="1096">
      <c r="A1096" s="6">
        <v>45507.3376681713</v>
      </c>
      <c r="B1096" s="7" t="s">
        <v>17138</v>
      </c>
      <c r="C1096" s="8" t="s">
        <v>17139</v>
      </c>
      <c r="D1096" s="1" t="s">
        <v>17140</v>
      </c>
      <c r="E1096" s="9" t="s">
        <v>13802</v>
      </c>
      <c r="F1096" s="1" t="s">
        <v>17141</v>
      </c>
      <c r="G1096" s="1" t="s">
        <v>17142</v>
      </c>
      <c r="H1096" s="1" t="s">
        <v>7764</v>
      </c>
      <c r="I1096" s="9" t="s">
        <v>17143</v>
      </c>
      <c r="J1096" s="1" t="s">
        <v>2460</v>
      </c>
      <c r="K1096" s="1" t="s">
        <v>102</v>
      </c>
      <c r="L1096" s="1" t="s">
        <v>329</v>
      </c>
      <c r="M1096" s="1" t="s">
        <v>13204</v>
      </c>
      <c r="O1096" s="1" t="s">
        <v>13406</v>
      </c>
      <c r="P1096" s="1" t="s">
        <v>14439</v>
      </c>
      <c r="AD1096" s="1" t="s">
        <v>17144</v>
      </c>
      <c r="AE1096" s="1" t="s">
        <v>17145</v>
      </c>
      <c r="AF1096" s="1" t="s">
        <v>17146</v>
      </c>
      <c r="AG1096" s="1">
        <v>7.261675678E9</v>
      </c>
      <c r="AI1096" s="1" t="s">
        <v>8790</v>
      </c>
      <c r="AJ1096" s="1">
        <v>156.0</v>
      </c>
      <c r="AK1096" s="1">
        <v>43.0</v>
      </c>
      <c r="AL1096" s="1" t="s">
        <v>17147</v>
      </c>
      <c r="AM1096" s="1" t="s">
        <v>17148</v>
      </c>
      <c r="AN1096" s="7" t="s">
        <v>17149</v>
      </c>
      <c r="AO1096" s="8" t="str">
        <f>HYPERLINK("https://docs.google.com/document/d/1wF4BC_0Wn7pEPYutewdA33VyGyksCPb4tI6aMDKijPM/edit?usp=drivesdk","Al-Wildan 22 Makassar_Nurul hikmayani_")</f>
        <v>Al-Wildan 22 Makassar_Nurul hikmayani_</v>
      </c>
      <c r="AP1096" s="1" t="s">
        <v>17150</v>
      </c>
    </row>
    <row r="1097">
      <c r="A1097" s="6">
        <v>45509.69839695602</v>
      </c>
      <c r="B1097" s="7" t="s">
        <v>17151</v>
      </c>
      <c r="C1097" s="8" t="s">
        <v>17152</v>
      </c>
      <c r="D1097" s="1" t="s">
        <v>17153</v>
      </c>
      <c r="E1097" s="9" t="s">
        <v>17154</v>
      </c>
      <c r="F1097" s="1" t="s">
        <v>17155</v>
      </c>
      <c r="G1097" s="1" t="s">
        <v>17156</v>
      </c>
      <c r="H1097" s="1" t="s">
        <v>169</v>
      </c>
      <c r="I1097" s="9" t="s">
        <v>17157</v>
      </c>
      <c r="J1097" s="1" t="s">
        <v>7941</v>
      </c>
      <c r="K1097" s="1" t="s">
        <v>151</v>
      </c>
      <c r="L1097" s="1" t="s">
        <v>256</v>
      </c>
      <c r="M1097" s="1" t="s">
        <v>104</v>
      </c>
      <c r="N1097" s="1" t="s">
        <v>17158</v>
      </c>
      <c r="O1097" s="1" t="s">
        <v>312</v>
      </c>
      <c r="P1097" s="1" t="s">
        <v>237</v>
      </c>
      <c r="Q1097" s="1" t="s">
        <v>6045</v>
      </c>
      <c r="R1097" s="1" t="s">
        <v>5612</v>
      </c>
      <c r="S1097" s="1" t="s">
        <v>1279</v>
      </c>
      <c r="T1097" s="1" t="s">
        <v>6045</v>
      </c>
      <c r="U1097" s="1" t="s">
        <v>17159</v>
      </c>
      <c r="Z1097" s="1" t="s">
        <v>17160</v>
      </c>
      <c r="AA1097" s="10">
        <v>6000000.0</v>
      </c>
      <c r="AF1097" s="10">
        <v>7000000.0</v>
      </c>
      <c r="AH1097" s="1">
        <v>5.465478214E9</v>
      </c>
      <c r="AI1097" s="1" t="s">
        <v>222</v>
      </c>
      <c r="AJ1097" s="1">
        <v>178.0</v>
      </c>
      <c r="AK1097" s="1">
        <v>53.0</v>
      </c>
      <c r="AL1097" s="1" t="s">
        <v>17161</v>
      </c>
      <c r="AM1097" s="1" t="s">
        <v>17162</v>
      </c>
      <c r="AN1097" s="7" t="s">
        <v>17163</v>
      </c>
      <c r="AO1097" s="8" t="str">
        <f>HYPERLINK("https://docs.google.com/document/d/1M2z7ZNJbTrvcO_G9kYUVQ3P-no-XEv882M0WUOsIcMc/edit?usp=drivesdk","Al-Wildan 4 Lebak Bulus_Melati Nurjana, S.S_SEM Teacher")</f>
        <v>Al-Wildan 4 Lebak Bulus_Melati Nurjana, S.S_SEM Teacher</v>
      </c>
      <c r="AP1097" s="1" t="s">
        <v>17164</v>
      </c>
    </row>
    <row r="1098">
      <c r="A1098" s="6">
        <v>45510.736479803236</v>
      </c>
      <c r="B1098" s="7" t="s">
        <v>17165</v>
      </c>
      <c r="C1098" s="8" t="s">
        <v>17166</v>
      </c>
      <c r="D1098" s="1" t="s">
        <v>17167</v>
      </c>
      <c r="E1098" s="9" t="s">
        <v>17168</v>
      </c>
      <c r="F1098" s="1" t="s">
        <v>17169</v>
      </c>
      <c r="G1098" s="1" t="s">
        <v>17170</v>
      </c>
      <c r="H1098" s="1" t="s">
        <v>1411</v>
      </c>
      <c r="I1098" s="9" t="s">
        <v>17171</v>
      </c>
      <c r="J1098" s="1" t="s">
        <v>7766</v>
      </c>
      <c r="K1098" s="1" t="s">
        <v>151</v>
      </c>
      <c r="L1098" s="1" t="s">
        <v>103</v>
      </c>
      <c r="M1098" s="1" t="s">
        <v>104</v>
      </c>
      <c r="N1098" s="1" t="s">
        <v>2883</v>
      </c>
      <c r="O1098" s="1" t="s">
        <v>312</v>
      </c>
      <c r="P1098" s="1" t="s">
        <v>6187</v>
      </c>
      <c r="Q1098" s="1" t="s">
        <v>13756</v>
      </c>
      <c r="R1098" s="1" t="s">
        <v>130</v>
      </c>
      <c r="S1098" s="1" t="s">
        <v>1279</v>
      </c>
      <c r="Z1098" s="1" t="s">
        <v>17172</v>
      </c>
      <c r="AA1098" s="10">
        <v>2000000.0</v>
      </c>
      <c r="AB1098" s="1" t="s">
        <v>17173</v>
      </c>
      <c r="AC1098" s="10">
        <v>5300000.0</v>
      </c>
      <c r="AH1098" s="1">
        <v>3.060029257E9</v>
      </c>
      <c r="AI1098" s="1" t="s">
        <v>298</v>
      </c>
      <c r="AJ1098" s="1">
        <v>158.0</v>
      </c>
      <c r="AK1098" s="1">
        <v>65.0</v>
      </c>
      <c r="AL1098" s="1" t="s">
        <v>17174</v>
      </c>
      <c r="AM1098" s="1" t="s">
        <v>17175</v>
      </c>
      <c r="AN1098" s="7" t="s">
        <v>17176</v>
      </c>
      <c r="AO1098" s="8" t="str">
        <f>HYPERLINK("https://docs.google.com/document/d/1Lmtgcy4eWQTr3PNNkHnApyeOjVxI6qg1OG5Hbo5DPzg/edit?usp=drivesdk","Al-Wildan 14 Bumi Mutiara, Bogor_Safira Dinda Fitria, S. Pd_Math")</f>
        <v>Al-Wildan 14 Bumi Mutiara, Bogor_Safira Dinda Fitria, S. Pd_Math</v>
      </c>
      <c r="AP1098" s="1" t="s">
        <v>17177</v>
      </c>
    </row>
    <row r="1099">
      <c r="A1099" s="6">
        <v>45510.82747761574</v>
      </c>
      <c r="B1099" s="7" t="s">
        <v>17178</v>
      </c>
      <c r="C1099" s="8" t="s">
        <v>17179</v>
      </c>
      <c r="D1099" s="1" t="s">
        <v>17180</v>
      </c>
      <c r="E1099" s="9" t="s">
        <v>17181</v>
      </c>
      <c r="F1099" s="1" t="s">
        <v>17182</v>
      </c>
      <c r="G1099" s="1" t="s">
        <v>17183</v>
      </c>
      <c r="H1099" s="1" t="s">
        <v>17184</v>
      </c>
      <c r="I1099" s="9" t="s">
        <v>17185</v>
      </c>
      <c r="J1099" s="1" t="s">
        <v>15720</v>
      </c>
      <c r="K1099" s="1" t="s">
        <v>151</v>
      </c>
      <c r="L1099" s="1" t="s">
        <v>103</v>
      </c>
      <c r="M1099" s="1" t="s">
        <v>8769</v>
      </c>
      <c r="O1099" s="1" t="s">
        <v>127</v>
      </c>
      <c r="P1099" s="1" t="s">
        <v>6659</v>
      </c>
      <c r="Z1099" s="1" t="s">
        <v>17186</v>
      </c>
      <c r="AA1099" s="1" t="s">
        <v>17187</v>
      </c>
      <c r="AF1099" s="1" t="s">
        <v>17188</v>
      </c>
      <c r="AH1099" s="1">
        <v>3.64101005859502E14</v>
      </c>
      <c r="AI1099" s="1" t="s">
        <v>2407</v>
      </c>
      <c r="AJ1099" s="1">
        <v>170.0</v>
      </c>
      <c r="AK1099" s="1">
        <v>50.0</v>
      </c>
      <c r="AL1099" s="1" t="s">
        <v>17189</v>
      </c>
      <c r="AM1099" s="1" t="s">
        <v>17190</v>
      </c>
      <c r="AN1099" s="7" t="s">
        <v>17191</v>
      </c>
      <c r="AO1099" s="8" t="str">
        <f>HYPERLINK("https://docs.google.com/document/d/17RdEf-zfuMR6gstpD0NIYGxr8dCwmiUNd5KYDDPFwes/edit?usp=drivesdk","Al-Wildan 15 Kompas Indah, Tambun Bekasi._Annisa Aditiya Prawesti_")</f>
        <v>Al-Wildan 15 Kompas Indah, Tambun Bekasi._Annisa Aditiya Prawesti_</v>
      </c>
      <c r="AP1099" s="1" t="s">
        <v>17192</v>
      </c>
    </row>
    <row r="1100">
      <c r="A1100" s="6">
        <v>45511.58926170139</v>
      </c>
      <c r="B1100" s="7" t="s">
        <v>17193</v>
      </c>
      <c r="C1100" s="8" t="s">
        <v>17194</v>
      </c>
      <c r="D1100" s="1" t="s">
        <v>17195</v>
      </c>
      <c r="E1100" s="9" t="s">
        <v>17196</v>
      </c>
      <c r="F1100" s="1" t="s">
        <v>17197</v>
      </c>
      <c r="G1100" s="1" t="s">
        <v>17198</v>
      </c>
      <c r="H1100" s="1" t="s">
        <v>17199</v>
      </c>
      <c r="I1100" s="9" t="s">
        <v>17200</v>
      </c>
      <c r="J1100" s="1" t="s">
        <v>6658</v>
      </c>
      <c r="K1100" s="1" t="s">
        <v>151</v>
      </c>
      <c r="L1100" s="1" t="s">
        <v>103</v>
      </c>
      <c r="M1100" s="1" t="s">
        <v>104</v>
      </c>
      <c r="N1100" s="1" t="s">
        <v>17201</v>
      </c>
      <c r="O1100" s="1" t="s">
        <v>236</v>
      </c>
      <c r="P1100" s="1" t="s">
        <v>6187</v>
      </c>
      <c r="Q1100" s="1" t="s">
        <v>2602</v>
      </c>
      <c r="R1100" s="1" t="s">
        <v>6076</v>
      </c>
      <c r="S1100" s="1" t="s">
        <v>3093</v>
      </c>
      <c r="T1100" s="1" t="s">
        <v>2602</v>
      </c>
      <c r="U1100" s="1" t="s">
        <v>14594</v>
      </c>
      <c r="V1100" s="1" t="s">
        <v>1366</v>
      </c>
      <c r="Z1100" s="1" t="s">
        <v>17202</v>
      </c>
      <c r="AA1100" s="10">
        <v>2000000.0</v>
      </c>
      <c r="AB1100" s="1" t="s">
        <v>17203</v>
      </c>
      <c r="AC1100" s="10">
        <v>1500000.0</v>
      </c>
      <c r="AD1100" s="1" t="s">
        <v>17204</v>
      </c>
      <c r="AE1100" s="10">
        <v>2000000.0</v>
      </c>
      <c r="AF1100" s="1" t="s">
        <v>17205</v>
      </c>
      <c r="AG1100" s="1">
        <v>7.085699053E9</v>
      </c>
      <c r="AI1100" s="1" t="s">
        <v>17206</v>
      </c>
      <c r="AJ1100" s="1">
        <v>165.0</v>
      </c>
      <c r="AK1100" s="1">
        <v>55.0</v>
      </c>
      <c r="AL1100" s="1" t="s">
        <v>17207</v>
      </c>
      <c r="AM1100" s="1" t="s">
        <v>17208</v>
      </c>
      <c r="AN1100" s="7" t="s">
        <v>17209</v>
      </c>
      <c r="AO1100" s="8" t="str">
        <f>HYPERLINK("https://docs.google.com/document/d/1RD0rUtr9Z01D0pFUTamj7CSibqKBSazo2WPQRtQ9YUM/edit?usp=drivesdk","Al-Wildan 14 Bumi Mutiara, Bogor_Nadia Audina, S.E., MM._Ekonomi DI")</f>
        <v>Al-Wildan 14 Bumi Mutiara, Bogor_Nadia Audina, S.E., MM._Ekonomi DI</v>
      </c>
      <c r="AP1100" s="1" t="s">
        <v>17210</v>
      </c>
    </row>
    <row r="1101">
      <c r="A1101" s="6">
        <v>45512.539242824074</v>
      </c>
      <c r="B1101" s="7" t="s">
        <v>17211</v>
      </c>
      <c r="C1101" s="8" t="s">
        <v>17212</v>
      </c>
      <c r="D1101" s="1" t="s">
        <v>17213</v>
      </c>
      <c r="E1101" s="9" t="s">
        <v>17214</v>
      </c>
      <c r="F1101" s="1" t="s">
        <v>17215</v>
      </c>
      <c r="G1101" s="1" t="s">
        <v>17216</v>
      </c>
      <c r="H1101" s="1" t="s">
        <v>944</v>
      </c>
      <c r="I1101" s="1" t="s">
        <v>17217</v>
      </c>
      <c r="J1101" s="1" t="s">
        <v>17218</v>
      </c>
      <c r="K1101" s="1" t="s">
        <v>151</v>
      </c>
      <c r="L1101" s="1" t="s">
        <v>496</v>
      </c>
      <c r="M1101" s="1" t="s">
        <v>5671</v>
      </c>
      <c r="O1101" s="1" t="s">
        <v>236</v>
      </c>
      <c r="P1101" s="1" t="s">
        <v>5712</v>
      </c>
      <c r="AG1101" s="1">
        <v>1.056519528E9</v>
      </c>
      <c r="AJ1101" s="1">
        <v>174.0</v>
      </c>
      <c r="AK1101" s="1">
        <v>53.0</v>
      </c>
      <c r="AL1101" s="1" t="s">
        <v>17219</v>
      </c>
      <c r="AM1101" s="1" t="s">
        <v>17220</v>
      </c>
      <c r="AN1101" s="7" t="s">
        <v>17221</v>
      </c>
      <c r="AO1101" s="8" t="str">
        <f>HYPERLINK("https://docs.google.com/document/d/1HIRkg_DHyMhoADDUbrRroZhrCCJpC3vCkzl8lXHw1bA/edit?usp=drivesdk","Al-Wildan 3 BSD City_Muhammad Risqi_")</f>
        <v>Al-Wildan 3 BSD City_Muhammad Risqi_</v>
      </c>
      <c r="AP1101" s="1" t="s">
        <v>17222</v>
      </c>
    </row>
    <row r="1102">
      <c r="A1102" s="6">
        <v>45513.56123076389</v>
      </c>
      <c r="B1102" s="7" t="s">
        <v>17223</v>
      </c>
      <c r="C1102" s="8" t="s">
        <v>17224</v>
      </c>
      <c r="D1102" s="1" t="s">
        <v>17225</v>
      </c>
      <c r="E1102" s="9" t="s">
        <v>17226</v>
      </c>
      <c r="F1102" s="1" t="s">
        <v>17227</v>
      </c>
      <c r="G1102" s="1" t="s">
        <v>17228</v>
      </c>
      <c r="H1102" s="1" t="s">
        <v>17229</v>
      </c>
      <c r="I1102" s="9" t="s">
        <v>17230</v>
      </c>
      <c r="J1102" s="1" t="s">
        <v>17231</v>
      </c>
      <c r="K1102" s="1" t="s">
        <v>102</v>
      </c>
      <c r="L1102" s="1" t="s">
        <v>103</v>
      </c>
      <c r="M1102" s="1" t="s">
        <v>17232</v>
      </c>
      <c r="N1102" s="1" t="s">
        <v>3282</v>
      </c>
      <c r="O1102" s="1" t="s">
        <v>127</v>
      </c>
      <c r="P1102" s="1" t="s">
        <v>237</v>
      </c>
      <c r="Q1102" s="1" t="s">
        <v>217</v>
      </c>
      <c r="R1102" s="1" t="s">
        <v>217</v>
      </c>
      <c r="S1102" s="1" t="s">
        <v>217</v>
      </c>
      <c r="T1102" s="1" t="s">
        <v>217</v>
      </c>
      <c r="U1102" s="1" t="s">
        <v>217</v>
      </c>
      <c r="V1102" s="1" t="s">
        <v>217</v>
      </c>
      <c r="W1102" s="1" t="s">
        <v>217</v>
      </c>
      <c r="X1102" s="1" t="s">
        <v>217</v>
      </c>
      <c r="Z1102" s="1" t="s">
        <v>17233</v>
      </c>
      <c r="AA1102" s="10">
        <v>3000000.0</v>
      </c>
      <c r="AF1102" s="10">
        <v>3000000.0</v>
      </c>
      <c r="AG1102" s="1">
        <v>7.179500307E9</v>
      </c>
      <c r="AJ1102" s="1">
        <v>150.0</v>
      </c>
      <c r="AK1102" s="1">
        <v>50.0</v>
      </c>
      <c r="AL1102" s="1" t="s">
        <v>17234</v>
      </c>
      <c r="AM1102" s="1" t="s">
        <v>17235</v>
      </c>
      <c r="AN1102" s="7" t="s">
        <v>17236</v>
      </c>
      <c r="AO1102" s="8" t="str">
        <f>HYPERLINK("https://docs.google.com/document/d/10SaPjZdEuFBRx41GBX3DTYJKU5oj66AA1gRc_OmvQ0A/edit?usp=drivesdk","Al-Wildan 4 Lebak Bulus_Rahma Tika_Guru Alquran")</f>
        <v>Al-Wildan 4 Lebak Bulus_Rahma Tika_Guru Alquran</v>
      </c>
      <c r="AP1102" s="1" t="s">
        <v>17237</v>
      </c>
    </row>
    <row r="1103">
      <c r="A1103" s="6">
        <v>45514.39786211806</v>
      </c>
      <c r="B1103" s="7" t="s">
        <v>17238</v>
      </c>
      <c r="C1103" s="8" t="s">
        <v>17239</v>
      </c>
      <c r="D1103" s="1" t="s">
        <v>17240</v>
      </c>
      <c r="E1103" s="9" t="s">
        <v>17241</v>
      </c>
      <c r="F1103" s="1" t="s">
        <v>17242</v>
      </c>
      <c r="G1103" s="1" t="s">
        <v>17243</v>
      </c>
      <c r="H1103" s="1" t="s">
        <v>99</v>
      </c>
      <c r="I1103" s="9" t="s">
        <v>17244</v>
      </c>
      <c r="J1103" s="1">
        <v>55.0</v>
      </c>
      <c r="K1103" s="1" t="s">
        <v>102</v>
      </c>
      <c r="L1103" s="1" t="s">
        <v>329</v>
      </c>
      <c r="M1103" s="1" t="s">
        <v>213</v>
      </c>
      <c r="O1103" s="1" t="s">
        <v>13406</v>
      </c>
      <c r="P1103" s="1" t="s">
        <v>11207</v>
      </c>
      <c r="R1103" s="1" t="s">
        <v>1978</v>
      </c>
      <c r="U1103" s="1" t="s">
        <v>378</v>
      </c>
      <c r="AG1103" s="1">
        <v>7.185694938E9</v>
      </c>
      <c r="AJ1103" s="1">
        <v>170.0</v>
      </c>
      <c r="AK1103" s="1">
        <v>60.0</v>
      </c>
      <c r="AL1103" s="1" t="s">
        <v>17245</v>
      </c>
      <c r="AM1103" s="1" t="s">
        <v>17246</v>
      </c>
      <c r="AN1103" s="7" t="s">
        <v>17247</v>
      </c>
      <c r="AO1103" s="8" t="str">
        <f>HYPERLINK("https://docs.google.com/document/d/1AdynSNhvUzu7f6PWcl_qIJviZBpwA91O-H3QH8-q--Q/edit?usp=drivesdk","Al-Wildan 16 Ciledug_H. Endang Zulkarnaen Thahir, S.E., M.M_")</f>
        <v>Al-Wildan 16 Ciledug_H. Endang Zulkarnaen Thahir, S.E., M.M_</v>
      </c>
      <c r="AP1103" s="1" t="s">
        <v>17248</v>
      </c>
    </row>
    <row r="1104">
      <c r="A1104" s="6">
        <v>45516.636883263884</v>
      </c>
      <c r="B1104" s="7" t="s">
        <v>17249</v>
      </c>
      <c r="C1104" s="8" t="s">
        <v>17250</v>
      </c>
      <c r="D1104" s="1" t="s">
        <v>17251</v>
      </c>
      <c r="E1104" s="9" t="s">
        <v>17252</v>
      </c>
      <c r="F1104" s="1" t="s">
        <v>17253</v>
      </c>
      <c r="G1104" s="1" t="s">
        <v>6779</v>
      </c>
      <c r="H1104" s="1" t="s">
        <v>1272</v>
      </c>
      <c r="I1104" s="9" t="s">
        <v>17254</v>
      </c>
      <c r="J1104" s="1" t="s">
        <v>15720</v>
      </c>
      <c r="K1104" s="1" t="s">
        <v>151</v>
      </c>
      <c r="L1104" s="1" t="s">
        <v>256</v>
      </c>
      <c r="M1104" s="1" t="s">
        <v>104</v>
      </c>
      <c r="N1104" s="1" t="s">
        <v>1523</v>
      </c>
      <c r="O1104" s="1" t="s">
        <v>236</v>
      </c>
      <c r="P1104" s="1" t="s">
        <v>7162</v>
      </c>
      <c r="Q1104" s="1" t="s">
        <v>4528</v>
      </c>
      <c r="R1104" s="1" t="s">
        <v>1521</v>
      </c>
      <c r="S1104" s="1" t="s">
        <v>277</v>
      </c>
      <c r="Z1104" s="1" t="s">
        <v>17255</v>
      </c>
      <c r="AA1104" s="1" t="s">
        <v>17256</v>
      </c>
      <c r="AF1104" s="10">
        <v>4500000.0</v>
      </c>
      <c r="AH1104" s="9" t="s">
        <v>17257</v>
      </c>
      <c r="AI1104" s="1" t="s">
        <v>17258</v>
      </c>
      <c r="AJ1104" s="1">
        <v>154.0</v>
      </c>
      <c r="AK1104" s="1">
        <v>56.0</v>
      </c>
      <c r="AL1104" s="1" t="s">
        <v>17259</v>
      </c>
      <c r="AM1104" s="1" t="s">
        <v>17260</v>
      </c>
      <c r="AN1104" s="7" t="s">
        <v>17261</v>
      </c>
      <c r="AO1104" s="8" t="str">
        <f>HYPERLINK("https://docs.google.com/document/d/12BjmZLgNKjYoR44IbzzTF3l5vJ5ExOW-1vglWdXffLo/edit?usp=drivesdk","Al-Wildan 7 Serang_Imanisa Inner Putri, S.Pd_Kimia")</f>
        <v>Al-Wildan 7 Serang_Imanisa Inner Putri, S.Pd_Kimia</v>
      </c>
      <c r="AP1104" s="1" t="s">
        <v>17262</v>
      </c>
    </row>
    <row r="1105">
      <c r="A1105" s="6">
        <v>45516.83749806713</v>
      </c>
      <c r="B1105" s="7" t="s">
        <v>17263</v>
      </c>
      <c r="C1105" s="8" t="s">
        <v>17264</v>
      </c>
      <c r="D1105" s="1" t="s">
        <v>17265</v>
      </c>
      <c r="E1105" s="9" t="s">
        <v>17266</v>
      </c>
      <c r="F1105" s="1" t="s">
        <v>17267</v>
      </c>
      <c r="G1105" s="1" t="s">
        <v>11310</v>
      </c>
      <c r="H1105" s="1" t="s">
        <v>7492</v>
      </c>
      <c r="I1105" s="9" t="s">
        <v>17268</v>
      </c>
      <c r="J1105" s="1" t="s">
        <v>17269</v>
      </c>
      <c r="K1105" s="1" t="s">
        <v>102</v>
      </c>
      <c r="L1105" s="1" t="s">
        <v>256</v>
      </c>
      <c r="M1105" s="1" t="s">
        <v>104</v>
      </c>
      <c r="N1105" s="1" t="s">
        <v>152</v>
      </c>
      <c r="O1105" s="1" t="s">
        <v>106</v>
      </c>
      <c r="P1105" s="1" t="s">
        <v>5712</v>
      </c>
      <c r="Q1105" s="1" t="s">
        <v>13291</v>
      </c>
      <c r="R1105" s="1" t="s">
        <v>152</v>
      </c>
      <c r="S1105" s="1" t="s">
        <v>969</v>
      </c>
      <c r="T1105" s="1" t="s">
        <v>17270</v>
      </c>
      <c r="U1105" s="1" t="s">
        <v>213</v>
      </c>
      <c r="V1105" s="1" t="s">
        <v>7975</v>
      </c>
      <c r="W1105" s="1" t="s">
        <v>217</v>
      </c>
      <c r="X1105" s="1" t="s">
        <v>217</v>
      </c>
      <c r="Z1105" s="1" t="s">
        <v>17271</v>
      </c>
      <c r="AA1105" s="10">
        <v>4500000.0</v>
      </c>
      <c r="AB1105" s="1" t="s">
        <v>13146</v>
      </c>
      <c r="AC1105" s="10">
        <v>4000000.0</v>
      </c>
      <c r="AD1105" s="1" t="s">
        <v>17272</v>
      </c>
      <c r="AE1105" s="10">
        <v>4200000.0</v>
      </c>
      <c r="AF1105" s="10">
        <v>6000000.0</v>
      </c>
      <c r="AH1105" s="1">
        <v>1.33568657E9</v>
      </c>
      <c r="AI1105" s="1" t="s">
        <v>159</v>
      </c>
      <c r="AJ1105" s="1">
        <v>165.0</v>
      </c>
      <c r="AK1105" s="1">
        <v>57.0</v>
      </c>
      <c r="AL1105" s="1" t="s">
        <v>17273</v>
      </c>
      <c r="AM1105" s="1" t="s">
        <v>17274</v>
      </c>
      <c r="AN1105" s="7" t="s">
        <v>17275</v>
      </c>
      <c r="AO1105" s="8" t="str">
        <f>HYPERLINK("https://docs.google.com/document/d/173b_p-oDIfVloyV-XjpNUAHB-wjn9a6KHfy8J3GSIJw/edit?usp=drivesdk","Al-Wildan 3 BSD City_Ardiansyah.S.S.,MM_Bahasa Inggris")</f>
        <v>Al-Wildan 3 BSD City_Ardiansyah.S.S.,MM_Bahasa Inggris</v>
      </c>
      <c r="AP1105" s="1" t="s">
        <v>17276</v>
      </c>
    </row>
    <row r="1106">
      <c r="A1106" s="6">
        <v>45517.50545890046</v>
      </c>
      <c r="B1106" s="7" t="s">
        <v>17277</v>
      </c>
      <c r="C1106" s="8" t="s">
        <v>17278</v>
      </c>
      <c r="D1106" s="1" t="s">
        <v>17279</v>
      </c>
      <c r="E1106" s="9" t="s">
        <v>17280</v>
      </c>
      <c r="F1106" s="1" t="s">
        <v>17281</v>
      </c>
      <c r="G1106" s="1" t="s">
        <v>17282</v>
      </c>
      <c r="H1106" s="1" t="s">
        <v>15264</v>
      </c>
      <c r="I1106" s="9" t="s">
        <v>17283</v>
      </c>
      <c r="J1106" s="1" t="s">
        <v>3959</v>
      </c>
      <c r="K1106" s="1" t="s">
        <v>102</v>
      </c>
      <c r="L1106" s="1" t="s">
        <v>103</v>
      </c>
      <c r="M1106" s="1" t="s">
        <v>104</v>
      </c>
      <c r="N1106" s="1" t="s">
        <v>126</v>
      </c>
      <c r="O1106" s="1" t="s">
        <v>106</v>
      </c>
      <c r="P1106" s="1" t="s">
        <v>6659</v>
      </c>
      <c r="Q1106" s="1" t="s">
        <v>3409</v>
      </c>
      <c r="R1106" s="1" t="s">
        <v>130</v>
      </c>
      <c r="S1106" s="1" t="s">
        <v>4513</v>
      </c>
      <c r="Z1106" s="1" t="s">
        <v>17284</v>
      </c>
      <c r="AA1106" s="10">
        <v>2500000.0</v>
      </c>
      <c r="AB1106" s="1" t="s">
        <v>17285</v>
      </c>
      <c r="AC1106" s="10">
        <v>3400000.0</v>
      </c>
      <c r="AF1106" s="10">
        <v>5000000.0</v>
      </c>
      <c r="AG1106" s="1">
        <v>7.1804229E8</v>
      </c>
      <c r="AJ1106" s="1">
        <v>158.0</v>
      </c>
      <c r="AK1106" s="1">
        <v>43.0</v>
      </c>
      <c r="AL1106" s="1" t="s">
        <v>17286</v>
      </c>
      <c r="AM1106" s="1" t="s">
        <v>17287</v>
      </c>
      <c r="AN1106" s="7" t="s">
        <v>17288</v>
      </c>
      <c r="AO1106" s="8" t="str">
        <f>HYPERLINK("https://docs.google.com/document/d/10APBydzZaPHumDeg_Xfz-lxf4DK2vqR9r30JbyBK3dw/edit?usp=drivesdk","Al-Wildan 15 Kompas Indah, Tambun Bekasi._Asih Inpriawati Ningtias, S.Pd_Matematika")</f>
        <v>Al-Wildan 15 Kompas Indah, Tambun Bekasi._Asih Inpriawati Ningtias, S.Pd_Matematika</v>
      </c>
      <c r="AP1106" s="1" t="s">
        <v>17289</v>
      </c>
    </row>
    <row r="1107">
      <c r="A1107" s="6">
        <v>45517.579668645834</v>
      </c>
      <c r="B1107" s="7" t="s">
        <v>17290</v>
      </c>
      <c r="C1107" s="8" t="s">
        <v>17291</v>
      </c>
      <c r="D1107" s="1" t="s">
        <v>17292</v>
      </c>
      <c r="E1107" s="9" t="s">
        <v>17293</v>
      </c>
      <c r="F1107" s="1" t="s">
        <v>17294</v>
      </c>
      <c r="G1107" s="1" t="s">
        <v>685</v>
      </c>
      <c r="H1107" s="1" t="s">
        <v>722</v>
      </c>
      <c r="I1107" s="9" t="s">
        <v>17295</v>
      </c>
      <c r="J1107" s="1" t="s">
        <v>17296</v>
      </c>
      <c r="K1107" s="1" t="s">
        <v>151</v>
      </c>
      <c r="L1107" s="1" t="s">
        <v>256</v>
      </c>
      <c r="M1107" s="1" t="s">
        <v>17297</v>
      </c>
      <c r="O1107" s="1" t="s">
        <v>13406</v>
      </c>
      <c r="P1107" s="1" t="s">
        <v>6044</v>
      </c>
      <c r="Q1107" s="1" t="s">
        <v>7637</v>
      </c>
      <c r="R1107" s="1" t="s">
        <v>552</v>
      </c>
      <c r="S1107" s="1" t="s">
        <v>1084</v>
      </c>
      <c r="T1107" s="1" t="s">
        <v>17298</v>
      </c>
      <c r="U1107" s="1" t="s">
        <v>17299</v>
      </c>
      <c r="V1107" s="1" t="s">
        <v>7975</v>
      </c>
      <c r="AA1107" s="10">
        <v>1200000.0</v>
      </c>
      <c r="AH1107" s="9" t="s">
        <v>17300</v>
      </c>
      <c r="AI1107" s="1" t="s">
        <v>7997</v>
      </c>
      <c r="AJ1107" s="1">
        <v>155.0</v>
      </c>
      <c r="AK1107" s="1">
        <v>55.0</v>
      </c>
      <c r="AL1107" s="1" t="s">
        <v>17301</v>
      </c>
      <c r="AM1107" s="1" t="s">
        <v>17302</v>
      </c>
      <c r="AN1107" s="7" t="s">
        <v>17303</v>
      </c>
      <c r="AO1107" s="8" t="str">
        <f>HYPERLINK("https://docs.google.com/document/d/1wyA02Kh0o0PrQwex4ockNpX7qzyYdm8vXyaf2MCeGrY/edit?usp=drivesdk","Al-Wildan Holding_Aufa Hayya Qurrota A'yuni, S.Si._")</f>
        <v>Al-Wildan Holding_Aufa Hayya Qurrota A'yuni, S.Si._</v>
      </c>
      <c r="AP1107" s="1" t="s">
        <v>17304</v>
      </c>
    </row>
    <row r="1108">
      <c r="A1108" s="6">
        <v>45520.66161833333</v>
      </c>
      <c r="B1108" s="7" t="s">
        <v>17305</v>
      </c>
      <c r="C1108" s="8" t="s">
        <v>17306</v>
      </c>
      <c r="D1108" s="1" t="s">
        <v>17307</v>
      </c>
      <c r="E1108" s="9" t="s">
        <v>17308</v>
      </c>
      <c r="F1108" s="1" t="s">
        <v>17309</v>
      </c>
      <c r="G1108" s="1" t="s">
        <v>17310</v>
      </c>
      <c r="H1108" s="1" t="s">
        <v>17311</v>
      </c>
      <c r="I1108" s="9" t="s">
        <v>17312</v>
      </c>
      <c r="J1108" s="1" t="s">
        <v>17313</v>
      </c>
      <c r="K1108" s="1" t="s">
        <v>102</v>
      </c>
      <c r="L1108" s="1" t="s">
        <v>103</v>
      </c>
      <c r="M1108" s="1" t="s">
        <v>104</v>
      </c>
      <c r="N1108" s="1" t="s">
        <v>6853</v>
      </c>
      <c r="O1108" s="1" t="s">
        <v>236</v>
      </c>
      <c r="P1108" s="1" t="s">
        <v>6659</v>
      </c>
      <c r="Q1108" s="1" t="s">
        <v>10692</v>
      </c>
      <c r="R1108" s="1" t="s">
        <v>1523</v>
      </c>
      <c r="S1108" s="1" t="s">
        <v>6236</v>
      </c>
      <c r="Z1108" s="1" t="s">
        <v>17314</v>
      </c>
      <c r="AA1108" s="10">
        <v>5400000.0</v>
      </c>
      <c r="AF1108" s="10">
        <v>7500000.0</v>
      </c>
      <c r="AH1108" s="1">
        <v>1.560012596823E12</v>
      </c>
      <c r="AI1108" s="1" t="s">
        <v>4483</v>
      </c>
      <c r="AJ1108" s="1">
        <v>177.0</v>
      </c>
      <c r="AK1108" s="1">
        <v>74.0</v>
      </c>
      <c r="AL1108" s="1" t="s">
        <v>17315</v>
      </c>
      <c r="AM1108" s="1" t="s">
        <v>17316</v>
      </c>
      <c r="AN1108" s="7" t="s">
        <v>17317</v>
      </c>
      <c r="AO1108" s="8" t="str">
        <f>HYPERLINK("https://docs.google.com/document/d/1GZIBSub3yH6wQMRdKKisKatvKGR0wIJQq0PvF4ijfq8/edit?usp=drivesdk","Al-Wildan 15 Kompas Indah, Tambun Bekasi._Reko Sujatmiko, S.Si._Chemistry")</f>
        <v>Al-Wildan 15 Kompas Indah, Tambun Bekasi._Reko Sujatmiko, S.Si._Chemistry</v>
      </c>
      <c r="AP1108" s="1" t="s">
        <v>17318</v>
      </c>
    </row>
    <row r="1109">
      <c r="A1109" s="6">
        <v>45520.6740562037</v>
      </c>
      <c r="B1109" s="7" t="s">
        <v>17319</v>
      </c>
      <c r="C1109" s="8" t="s">
        <v>17320</v>
      </c>
      <c r="D1109" s="1" t="s">
        <v>17321</v>
      </c>
      <c r="E1109" s="9" t="s">
        <v>17322</v>
      </c>
      <c r="F1109" s="1" t="s">
        <v>17323</v>
      </c>
      <c r="G1109" s="1" t="s">
        <v>17324</v>
      </c>
      <c r="H1109" s="1" t="s">
        <v>14303</v>
      </c>
      <c r="I1109" s="9" t="s">
        <v>6465</v>
      </c>
      <c r="J1109" s="1" t="s">
        <v>17325</v>
      </c>
      <c r="K1109" s="1" t="s">
        <v>151</v>
      </c>
      <c r="L1109" s="1" t="s">
        <v>329</v>
      </c>
      <c r="M1109" s="1" t="s">
        <v>104</v>
      </c>
      <c r="N1109" s="1" t="s">
        <v>458</v>
      </c>
      <c r="O1109" s="1" t="s">
        <v>236</v>
      </c>
      <c r="P1109" s="1" t="s">
        <v>6659</v>
      </c>
      <c r="Q1109" s="1" t="s">
        <v>17326</v>
      </c>
      <c r="R1109" s="1" t="s">
        <v>17327</v>
      </c>
      <c r="S1109" s="1">
        <v>3.33</v>
      </c>
      <c r="T1109" s="1" t="s">
        <v>409</v>
      </c>
      <c r="U1109" s="1" t="s">
        <v>17328</v>
      </c>
      <c r="V1109" s="1">
        <v>3.62</v>
      </c>
      <c r="Z1109" s="1" t="s">
        <v>17329</v>
      </c>
      <c r="AA1109" s="10">
        <v>5000000.0</v>
      </c>
      <c r="AB1109" s="1" t="s">
        <v>17330</v>
      </c>
      <c r="AC1109" s="10">
        <v>4500000.0</v>
      </c>
      <c r="AF1109" s="10">
        <v>7000000.0</v>
      </c>
      <c r="AI1109" s="1" t="s">
        <v>159</v>
      </c>
      <c r="AJ1109" s="1">
        <v>157.0</v>
      </c>
      <c r="AK1109" s="1">
        <v>55.0</v>
      </c>
      <c r="AL1109" s="1" t="s">
        <v>17331</v>
      </c>
      <c r="AM1109" s="1" t="s">
        <v>17332</v>
      </c>
      <c r="AN1109" s="7" t="s">
        <v>17333</v>
      </c>
      <c r="AO1109" s="8" t="str">
        <f>HYPERLINK("https://docs.google.com/document/d/1-TVBFrqHQtp1uT2hcgH07b2rVBQDaFTwAver0ladqRY/edit?usp=drivesdk","Al-Wildan 15 Kompas Indah, Tambun Bekasi._Khairah Ukhtiyani, M.Pd.,Gr._Ekonomi ")</f>
        <v>Al-Wildan 15 Kompas Indah, Tambun Bekasi._Khairah Ukhtiyani, M.Pd.,Gr._Ekonomi </v>
      </c>
      <c r="AP1109" s="1" t="s">
        <v>17334</v>
      </c>
    </row>
    <row r="1110">
      <c r="A1110" s="6">
        <v>45520.67670848379</v>
      </c>
      <c r="B1110" s="7" t="s">
        <v>17335</v>
      </c>
      <c r="C1110" s="8" t="s">
        <v>17336</v>
      </c>
      <c r="D1110" s="1" t="s">
        <v>17337</v>
      </c>
      <c r="E1110" s="9" t="s">
        <v>17338</v>
      </c>
      <c r="F1110" s="1" t="s">
        <v>17339</v>
      </c>
      <c r="G1110" s="1" t="s">
        <v>17340</v>
      </c>
      <c r="H1110" s="1" t="s">
        <v>17341</v>
      </c>
      <c r="I1110" s="9" t="s">
        <v>17342</v>
      </c>
      <c r="J1110" s="1" t="s">
        <v>438</v>
      </c>
      <c r="K1110" s="1" t="s">
        <v>151</v>
      </c>
      <c r="L1110" s="1" t="s">
        <v>256</v>
      </c>
      <c r="M1110" s="1" t="s">
        <v>104</v>
      </c>
      <c r="N1110" s="1" t="s">
        <v>17343</v>
      </c>
      <c r="O1110" s="1" t="s">
        <v>312</v>
      </c>
      <c r="P1110" s="1" t="s">
        <v>7991</v>
      </c>
      <c r="Q1110" s="1" t="s">
        <v>1344</v>
      </c>
      <c r="R1110" s="1" t="s">
        <v>130</v>
      </c>
      <c r="S1110" s="1" t="s">
        <v>740</v>
      </c>
      <c r="Z1110" s="1" t="s">
        <v>17344</v>
      </c>
      <c r="AA1110" s="10">
        <v>2650000.0</v>
      </c>
      <c r="AB1110" s="1" t="s">
        <v>17345</v>
      </c>
      <c r="AC1110" s="10">
        <v>300000.0</v>
      </c>
      <c r="AF1110" s="10">
        <v>3500000.0</v>
      </c>
      <c r="AG1110" s="1">
        <v>7.229085969E9</v>
      </c>
      <c r="AJ1110" s="1">
        <v>166.0</v>
      </c>
      <c r="AK1110" s="1">
        <v>68.0</v>
      </c>
      <c r="AL1110" s="1" t="s">
        <v>17346</v>
      </c>
      <c r="AM1110" s="1" t="s">
        <v>17347</v>
      </c>
      <c r="AN1110" s="7" t="s">
        <v>17348</v>
      </c>
      <c r="AO1110" s="8" t="str">
        <f>HYPERLINK("https://docs.google.com/document/d/1MHO49-FSyTHQtfZCF9oN7Y7HvTgzHLcu3bjNcNkGN8M/edit?usp=drivesdk","Al-Wildan 12 Bulak Kapal, Bekasi_Anggita Putri Cahyaningtyas, S.Pd_Matematika, English, Science ")</f>
        <v>Al-Wildan 12 Bulak Kapal, Bekasi_Anggita Putri Cahyaningtyas, S.Pd_Matematika, English, Science </v>
      </c>
      <c r="AP1110" s="1" t="s">
        <v>17349</v>
      </c>
    </row>
    <row r="1111">
      <c r="A1111" s="6">
        <v>45521.451267916666</v>
      </c>
      <c r="B1111" s="7" t="s">
        <v>17350</v>
      </c>
      <c r="C1111" s="8" t="s">
        <v>17351</v>
      </c>
      <c r="D1111" s="1" t="s">
        <v>17352</v>
      </c>
      <c r="E1111" s="9" t="s">
        <v>17353</v>
      </c>
      <c r="F1111" s="1" t="s">
        <v>17354</v>
      </c>
      <c r="G1111" s="1" t="s">
        <v>17355</v>
      </c>
      <c r="H1111" s="1" t="s">
        <v>4585</v>
      </c>
      <c r="I1111" s="9" t="s">
        <v>17356</v>
      </c>
      <c r="J1111" s="1" t="s">
        <v>17357</v>
      </c>
      <c r="K1111" s="1" t="s">
        <v>151</v>
      </c>
      <c r="L1111" s="1" t="s">
        <v>256</v>
      </c>
      <c r="M1111" s="1" t="s">
        <v>104</v>
      </c>
      <c r="N1111" s="1" t="s">
        <v>17358</v>
      </c>
      <c r="O1111" s="1" t="s">
        <v>9794</v>
      </c>
      <c r="P1111" s="1" t="s">
        <v>6659</v>
      </c>
      <c r="Z1111" s="1" t="s">
        <v>17359</v>
      </c>
      <c r="AA1111" s="10">
        <v>1300000.0</v>
      </c>
      <c r="AB1111" s="1" t="s">
        <v>17360</v>
      </c>
      <c r="AC1111" s="10">
        <v>3000000.0</v>
      </c>
      <c r="AF1111" s="10">
        <v>5000000.0</v>
      </c>
      <c r="AG1111" s="1">
        <v>7.153171291E9</v>
      </c>
      <c r="AI1111" s="1" t="s">
        <v>5113</v>
      </c>
      <c r="AJ1111" s="1">
        <v>169.0</v>
      </c>
      <c r="AK1111" s="1">
        <v>72.0</v>
      </c>
      <c r="AL1111" s="1" t="s">
        <v>17361</v>
      </c>
      <c r="AM1111" s="1" t="s">
        <v>17362</v>
      </c>
      <c r="AN1111" s="7" t="s">
        <v>17363</v>
      </c>
      <c r="AO1111" s="8" t="str">
        <f>HYPERLINK("https://docs.google.com/document/d/1atSHEE1mTGHa7IRLgiBuT3n-PS-vMZd_xqkOG1ELm5I/edit?usp=drivesdk","Al-Wildan 15 Kompas Indah, Tambun Bekasi._Muhammad Ammar Mushawwir _Al-Qur’an ")</f>
        <v>Al-Wildan 15 Kompas Indah, Tambun Bekasi._Muhammad Ammar Mushawwir _Al-Qur’an </v>
      </c>
      <c r="AP1111" s="1" t="s">
        <v>17364</v>
      </c>
    </row>
    <row r="1112">
      <c r="A1112" s="6">
        <v>45523.4615505324</v>
      </c>
      <c r="B1112" s="7" t="s">
        <v>17365</v>
      </c>
      <c r="C1112" s="8" t="s">
        <v>17366</v>
      </c>
      <c r="D1112" s="1" t="s">
        <v>17367</v>
      </c>
      <c r="E1112" s="9" t="s">
        <v>17368</v>
      </c>
      <c r="F1112" s="1" t="s">
        <v>17369</v>
      </c>
      <c r="G1112" s="1" t="s">
        <v>17370</v>
      </c>
      <c r="H1112" s="1" t="s">
        <v>17371</v>
      </c>
      <c r="I1112" s="9" t="s">
        <v>17372</v>
      </c>
      <c r="J1112" s="1" t="s">
        <v>17373</v>
      </c>
      <c r="K1112" s="1" t="s">
        <v>102</v>
      </c>
      <c r="L1112" s="1" t="s">
        <v>329</v>
      </c>
      <c r="M1112" s="1" t="s">
        <v>104</v>
      </c>
      <c r="N1112" s="1" t="s">
        <v>17374</v>
      </c>
      <c r="O1112" s="1" t="s">
        <v>236</v>
      </c>
      <c r="P1112" s="1" t="s">
        <v>6187</v>
      </c>
      <c r="Q1112" s="1" t="s">
        <v>17375</v>
      </c>
      <c r="R1112" s="1" t="s">
        <v>536</v>
      </c>
      <c r="S1112" s="9" t="s">
        <v>1747</v>
      </c>
      <c r="T1112" s="1" t="s">
        <v>17376</v>
      </c>
      <c r="U1112" s="1" t="s">
        <v>536</v>
      </c>
      <c r="V1112" s="1" t="s">
        <v>442</v>
      </c>
      <c r="Z1112" s="1" t="s">
        <v>17377</v>
      </c>
      <c r="AA1112" s="1" t="s">
        <v>17378</v>
      </c>
      <c r="AF1112" s="10">
        <v>5000000.0</v>
      </c>
      <c r="AG1112" s="1">
        <v>7.186856958E9</v>
      </c>
      <c r="AJ1112" s="1">
        <v>160.0</v>
      </c>
      <c r="AK1112" s="1">
        <v>50.0</v>
      </c>
      <c r="AL1112" s="1" t="s">
        <v>17379</v>
      </c>
      <c r="AM1112" s="1" t="s">
        <v>17380</v>
      </c>
      <c r="AN1112" s="7" t="s">
        <v>17381</v>
      </c>
      <c r="AO1112" s="8" t="str">
        <f>HYPERLINK("https://docs.google.com/document/d/18ZW1AEFy_15Ek0wGFP5sCElU5pr7ww8vYtcYjIZM7dc/edit?usp=drivesdk","Al-Wildan 14 Bumi Mutiara, Bogor_Aprianto Soni, M.Pd_Geografi dan Ekonomi")</f>
        <v>Al-Wildan 14 Bumi Mutiara, Bogor_Aprianto Soni, M.Pd_Geografi dan Ekonomi</v>
      </c>
      <c r="AP1112" s="1" t="s">
        <v>17382</v>
      </c>
    </row>
    <row r="1113">
      <c r="A1113" s="6">
        <v>45525.71431473379</v>
      </c>
      <c r="B1113" s="7" t="s">
        <v>17383</v>
      </c>
      <c r="C1113" s="8" t="s">
        <v>17384</v>
      </c>
      <c r="D1113" s="1" t="s">
        <v>17385</v>
      </c>
      <c r="E1113" s="9" t="s">
        <v>17386</v>
      </c>
      <c r="F1113" s="1" t="s">
        <v>17387</v>
      </c>
      <c r="G1113" s="1" t="s">
        <v>17388</v>
      </c>
      <c r="H1113" s="1" t="s">
        <v>17389</v>
      </c>
      <c r="I1113" s="9" t="s">
        <v>17390</v>
      </c>
      <c r="J1113" s="1" t="s">
        <v>17391</v>
      </c>
      <c r="K1113" s="1" t="s">
        <v>151</v>
      </c>
      <c r="L1113" s="1" t="s">
        <v>496</v>
      </c>
      <c r="M1113" s="1" t="s">
        <v>8769</v>
      </c>
      <c r="O1113" s="1" t="s">
        <v>13406</v>
      </c>
      <c r="P1113" s="1" t="s">
        <v>6659</v>
      </c>
      <c r="Q1113" s="1" t="s">
        <v>17392</v>
      </c>
      <c r="R1113" s="1" t="s">
        <v>8140</v>
      </c>
      <c r="S1113" s="1" t="s">
        <v>1730</v>
      </c>
      <c r="T1113" s="1" t="s">
        <v>217</v>
      </c>
      <c r="U1113" s="1" t="s">
        <v>217</v>
      </c>
      <c r="V1113" s="1" t="s">
        <v>217</v>
      </c>
      <c r="W1113" s="1" t="s">
        <v>217</v>
      </c>
      <c r="X1113" s="1" t="s">
        <v>217</v>
      </c>
      <c r="Z1113" s="1" t="s">
        <v>17393</v>
      </c>
      <c r="AA1113" s="10">
        <v>1500000.0</v>
      </c>
      <c r="AF1113" s="1" t="s">
        <v>6629</v>
      </c>
      <c r="AG1113" s="1">
        <v>7.232466272E9</v>
      </c>
      <c r="AI1113" s="1" t="s">
        <v>17394</v>
      </c>
      <c r="AJ1113" s="1">
        <v>163.0</v>
      </c>
      <c r="AK1113" s="1">
        <v>51.0</v>
      </c>
      <c r="AL1113" s="1" t="s">
        <v>17395</v>
      </c>
      <c r="AM1113" s="1" t="s">
        <v>17396</v>
      </c>
      <c r="AN1113" s="7" t="s">
        <v>17397</v>
      </c>
      <c r="AO1113" s="8" t="str">
        <f>HYPERLINK("https://docs.google.com/document/d/1jdFKd96Isu6QDxa_F4ZAtIRUfZQHLgzI3n18KWzxqVQ/edit?usp=drivesdk","Al-Wildan 15 Kompas Indah, Tambun Bekasi._Mutiara Nari Putri, S.Pd_")</f>
        <v>Al-Wildan 15 Kompas Indah, Tambun Bekasi._Mutiara Nari Putri, S.Pd_</v>
      </c>
      <c r="AP1113" s="1" t="s">
        <v>17398</v>
      </c>
    </row>
    <row r="1114">
      <c r="A1114" s="6">
        <v>45530.35441600694</v>
      </c>
      <c r="B1114" s="7" t="s">
        <v>17399</v>
      </c>
      <c r="C1114" s="8" t="s">
        <v>17400</v>
      </c>
      <c r="D1114" s="1" t="s">
        <v>11233</v>
      </c>
      <c r="E1114" s="9" t="s">
        <v>17401</v>
      </c>
      <c r="F1114" s="1" t="s">
        <v>11235</v>
      </c>
      <c r="G1114" s="1" t="s">
        <v>17402</v>
      </c>
      <c r="H1114" s="1" t="s">
        <v>11237</v>
      </c>
      <c r="I1114" s="9" t="s">
        <v>11238</v>
      </c>
      <c r="J1114" s="1" t="s">
        <v>2385</v>
      </c>
      <c r="K1114" s="1" t="s">
        <v>151</v>
      </c>
      <c r="L1114" s="1" t="s">
        <v>329</v>
      </c>
      <c r="M1114" s="1" t="s">
        <v>104</v>
      </c>
      <c r="N1114" s="1" t="s">
        <v>17403</v>
      </c>
      <c r="O1114" s="1" t="s">
        <v>236</v>
      </c>
      <c r="P1114" s="1" t="s">
        <v>7991</v>
      </c>
      <c r="Q1114" s="1" t="s">
        <v>11240</v>
      </c>
      <c r="R1114" s="1" t="s">
        <v>552</v>
      </c>
      <c r="S1114" s="1" t="s">
        <v>8998</v>
      </c>
      <c r="AF1114" s="10">
        <v>4300000.0</v>
      </c>
      <c r="AG1114" s="1">
        <v>7.212571711E9</v>
      </c>
      <c r="AJ1114" s="1">
        <v>165.0</v>
      </c>
      <c r="AK1114" s="1">
        <v>65.0</v>
      </c>
      <c r="AL1114" s="1" t="s">
        <v>11241</v>
      </c>
      <c r="AM1114" s="1" t="s">
        <v>17404</v>
      </c>
      <c r="AN1114" s="7" t="s">
        <v>17405</v>
      </c>
      <c r="AO1114" s="8" t="str">
        <f>HYPERLINK("https://docs.google.com/document/d/1vFkR0-W5EqraxkOKrDUqDsRD6AcX861bJ_S1Y05x78E/edit?usp=drivesdk","Al-Wildan 12 Bulak Kapal, Bekasi_Yudhistira Novita Handayani, S.Si._Fisika, Kimia, Math")</f>
        <v>Al-Wildan 12 Bulak Kapal, Bekasi_Yudhistira Novita Handayani, S.Si._Fisika, Kimia, Math</v>
      </c>
      <c r="AP1114" s="1" t="s">
        <v>17406</v>
      </c>
    </row>
    <row r="1115">
      <c r="A1115" s="6">
        <v>45530.360989270834</v>
      </c>
      <c r="B1115" s="7" t="s">
        <v>17407</v>
      </c>
      <c r="C1115" s="8" t="s">
        <v>17408</v>
      </c>
      <c r="D1115" s="1" t="s">
        <v>17409</v>
      </c>
      <c r="E1115" s="9" t="s">
        <v>11050</v>
      </c>
      <c r="F1115" s="1" t="s">
        <v>11051</v>
      </c>
      <c r="G1115" s="1" t="s">
        <v>17410</v>
      </c>
      <c r="H1115" s="1" t="s">
        <v>148</v>
      </c>
      <c r="I1115" s="9" t="s">
        <v>17411</v>
      </c>
      <c r="J1115" s="1" t="s">
        <v>6606</v>
      </c>
      <c r="K1115" s="1" t="s">
        <v>151</v>
      </c>
      <c r="L1115" s="1" t="s">
        <v>103</v>
      </c>
      <c r="M1115" s="1" t="s">
        <v>104</v>
      </c>
      <c r="N1115" s="1" t="s">
        <v>6008</v>
      </c>
      <c r="O1115" s="1" t="s">
        <v>127</v>
      </c>
      <c r="P1115" s="1" t="s">
        <v>7991</v>
      </c>
      <c r="Q1115" s="1" t="s">
        <v>17412</v>
      </c>
      <c r="R1115" s="1" t="s">
        <v>5304</v>
      </c>
      <c r="S1115" s="1" t="s">
        <v>1524</v>
      </c>
      <c r="AA1115" s="10">
        <v>3000000.0</v>
      </c>
      <c r="AF1115" s="10">
        <v>4300000.0</v>
      </c>
      <c r="AG1115" s="1">
        <v>7.121288464E9</v>
      </c>
      <c r="AJ1115" s="1">
        <v>160.0</v>
      </c>
      <c r="AK1115" s="1">
        <v>51.0</v>
      </c>
      <c r="AL1115" s="1" t="s">
        <v>11057</v>
      </c>
      <c r="AM1115" s="1" t="s">
        <v>17413</v>
      </c>
      <c r="AN1115" s="7" t="s">
        <v>17414</v>
      </c>
      <c r="AO1115" s="8" t="str">
        <f>HYPERLINK("https://docs.google.com/document/d/1V-PHfoQsNdssjwQhpnUtbF_4ssfm-djSj2rCgQbxJhc/edit?usp=drivesdk","Al-Wildan 12 Bulak Kapal, Bekasi_Shafiya Fadhila,S.Pd._Mathematics ")</f>
        <v>Al-Wildan 12 Bulak Kapal, Bekasi_Shafiya Fadhila,S.Pd._Mathematics </v>
      </c>
      <c r="AP1115" s="1" t="s">
        <v>17415</v>
      </c>
    </row>
    <row r="1116">
      <c r="A1116" s="6">
        <v>45530.647887175925</v>
      </c>
      <c r="B1116" s="7" t="s">
        <v>17416</v>
      </c>
      <c r="C1116" s="8" t="s">
        <v>17417</v>
      </c>
      <c r="D1116" s="1" t="s">
        <v>17418</v>
      </c>
      <c r="E1116" s="9" t="s">
        <v>17419</v>
      </c>
      <c r="F1116" s="1" t="s">
        <v>17420</v>
      </c>
      <c r="G1116" s="1" t="s">
        <v>17421</v>
      </c>
      <c r="H1116" s="1" t="s">
        <v>685</v>
      </c>
      <c r="I1116" s="9" t="s">
        <v>17422</v>
      </c>
      <c r="J1116" s="1" t="s">
        <v>438</v>
      </c>
      <c r="K1116" s="1" t="s">
        <v>151</v>
      </c>
      <c r="L1116" s="1" t="s">
        <v>103</v>
      </c>
      <c r="M1116" s="1" t="s">
        <v>6060</v>
      </c>
      <c r="O1116" s="1" t="s">
        <v>236</v>
      </c>
      <c r="P1116" s="1" t="s">
        <v>6187</v>
      </c>
      <c r="Q1116" s="1" t="s">
        <v>17423</v>
      </c>
      <c r="R1116" s="1" t="s">
        <v>17424</v>
      </c>
      <c r="S1116" s="1" t="s">
        <v>1997</v>
      </c>
      <c r="Z1116" s="1" t="s">
        <v>17425</v>
      </c>
      <c r="AA1116" s="10">
        <v>4200000.0</v>
      </c>
      <c r="AF1116" s="10">
        <v>5000000.0</v>
      </c>
      <c r="AG1116" s="1">
        <v>7.252385098E9</v>
      </c>
      <c r="AJ1116" s="1">
        <v>165.0</v>
      </c>
      <c r="AK1116" s="1">
        <v>55.0</v>
      </c>
      <c r="AL1116" s="1" t="s">
        <v>17426</v>
      </c>
      <c r="AM1116" s="1" t="s">
        <v>17427</v>
      </c>
      <c r="AN1116" s="7" t="s">
        <v>17428</v>
      </c>
      <c r="AO1116" s="8" t="str">
        <f>HYPERLINK("https://docs.google.com/document/d/1vjf4pPJ_hSP6eHk4vLAIQhZD4A-GQr7n9SmbpVDCW2k/edit?usp=drivesdk","Al-Wildan 14 Bumi Mutiara, Bogor_Agung Mulyana, S.Pd_")</f>
        <v>Al-Wildan 14 Bumi Mutiara, Bogor_Agung Mulyana, S.Pd_</v>
      </c>
      <c r="AP1116" s="1" t="s">
        <v>17429</v>
      </c>
    </row>
    <row r="1117">
      <c r="A1117" s="6">
        <v>45530.67038302083</v>
      </c>
      <c r="B1117" s="7" t="s">
        <v>17430</v>
      </c>
      <c r="C1117" s="8" t="s">
        <v>17431</v>
      </c>
      <c r="D1117" s="1" t="s">
        <v>17432</v>
      </c>
      <c r="E1117" s="9" t="s">
        <v>17433</v>
      </c>
      <c r="F1117" s="1" t="s">
        <v>17434</v>
      </c>
      <c r="G1117" s="1" t="s">
        <v>17435</v>
      </c>
      <c r="H1117" s="1" t="s">
        <v>3033</v>
      </c>
      <c r="I1117" s="9" t="s">
        <v>17436</v>
      </c>
      <c r="J1117" s="1" t="s">
        <v>17437</v>
      </c>
      <c r="K1117" s="1" t="s">
        <v>151</v>
      </c>
      <c r="L1117" s="1" t="s">
        <v>496</v>
      </c>
      <c r="M1117" s="1" t="s">
        <v>9914</v>
      </c>
      <c r="O1117" s="1" t="s">
        <v>14262</v>
      </c>
      <c r="P1117" s="1" t="s">
        <v>7162</v>
      </c>
      <c r="Q1117" s="1" t="s">
        <v>11607</v>
      </c>
      <c r="R1117" s="1" t="s">
        <v>4478</v>
      </c>
      <c r="S1117" s="1" t="s">
        <v>9882</v>
      </c>
      <c r="Z1117" s="1" t="s">
        <v>17438</v>
      </c>
      <c r="AA1117" s="10">
        <v>2500000.0</v>
      </c>
      <c r="AB1117" s="1" t="s">
        <v>17439</v>
      </c>
      <c r="AC1117" s="10">
        <v>1500000.0</v>
      </c>
      <c r="AD1117" s="1" t="s">
        <v>17440</v>
      </c>
      <c r="AE1117" s="10">
        <v>2800000.0</v>
      </c>
      <c r="AF1117" s="10">
        <v>5000000.0</v>
      </c>
      <c r="AG1117" s="1">
        <v>7.138855297E9</v>
      </c>
      <c r="AI1117" s="1" t="s">
        <v>4856</v>
      </c>
      <c r="AJ1117" s="1">
        <v>170.0</v>
      </c>
      <c r="AK1117" s="1">
        <v>69.0</v>
      </c>
      <c r="AL1117" s="1" t="s">
        <v>17441</v>
      </c>
      <c r="AM1117" s="1" t="s">
        <v>17442</v>
      </c>
      <c r="AN1117" s="7" t="s">
        <v>17443</v>
      </c>
      <c r="AO1117" s="8" t="str">
        <f>HYPERLINK("https://docs.google.com/document/d/1e3d8NaFXroNWSaAHzBkqrddyg4_kvzmrvxKJYgJ_dto/edit?usp=drivesdk","Al-Wildan 7 Serang_Nisrina Assajida S.M_")</f>
        <v>Al-Wildan 7 Serang_Nisrina Assajida S.M_</v>
      </c>
      <c r="AP1117" s="1" t="s">
        <v>17444</v>
      </c>
    </row>
    <row r="1118">
      <c r="A1118" s="6">
        <v>45530.67811060185</v>
      </c>
      <c r="B1118" s="7" t="s">
        <v>17445</v>
      </c>
      <c r="C1118" s="8" t="s">
        <v>17446</v>
      </c>
      <c r="D1118" s="1" t="s">
        <v>17418</v>
      </c>
      <c r="E1118" s="9" t="s">
        <v>17419</v>
      </c>
      <c r="F1118" s="1" t="s">
        <v>17420</v>
      </c>
      <c r="G1118" s="1" t="s">
        <v>17421</v>
      </c>
      <c r="H1118" s="1" t="s">
        <v>6897</v>
      </c>
      <c r="I1118" s="9" t="s">
        <v>17422</v>
      </c>
      <c r="J1118" s="1" t="s">
        <v>17447</v>
      </c>
      <c r="K1118" s="1" t="s">
        <v>151</v>
      </c>
      <c r="L1118" s="1" t="s">
        <v>103</v>
      </c>
      <c r="M1118" s="1" t="s">
        <v>6060</v>
      </c>
      <c r="O1118" s="1" t="s">
        <v>127</v>
      </c>
      <c r="P1118" s="1" t="s">
        <v>6187</v>
      </c>
      <c r="Q1118" s="1" t="s">
        <v>17448</v>
      </c>
      <c r="R1118" s="1" t="s">
        <v>17424</v>
      </c>
      <c r="S1118" s="1" t="s">
        <v>1997</v>
      </c>
      <c r="AA1118" s="10">
        <v>4200000.0</v>
      </c>
      <c r="AF1118" s="10">
        <v>7000000.0</v>
      </c>
      <c r="AG1118" s="1">
        <v>7.252385098E9</v>
      </c>
      <c r="AJ1118" s="1">
        <v>165.0</v>
      </c>
      <c r="AK1118" s="1">
        <v>55.0</v>
      </c>
      <c r="AL1118" s="1" t="s">
        <v>17426</v>
      </c>
      <c r="AM1118" s="1" t="s">
        <v>17449</v>
      </c>
      <c r="AN1118" s="7" t="s">
        <v>17450</v>
      </c>
      <c r="AO1118" s="8" t="str">
        <f>HYPERLINK("https://docs.google.com/document/d/1e3LNFPs6jMZJla6rPab63oxteqmhrduF6ntkpff2JBQ/edit?usp=drivesdk","Al-Wildan 14 Bumi Mutiara, Bogor_Agung Mulyana, S.Pd_")</f>
        <v>Al-Wildan 14 Bumi Mutiara, Bogor_Agung Mulyana, S.Pd_</v>
      </c>
      <c r="AP1118" s="1" t="s">
        <v>17451</v>
      </c>
    </row>
    <row r="1119">
      <c r="A1119" s="6">
        <v>45530.69809424768</v>
      </c>
      <c r="B1119" s="7" t="s">
        <v>17452</v>
      </c>
      <c r="C1119" s="8" t="s">
        <v>17453</v>
      </c>
      <c r="D1119" s="1" t="s">
        <v>17454</v>
      </c>
      <c r="E1119" s="9" t="s">
        <v>17455</v>
      </c>
      <c r="F1119" s="1" t="s">
        <v>17456</v>
      </c>
      <c r="G1119" s="1" t="s">
        <v>3157</v>
      </c>
      <c r="H1119" s="1" t="s">
        <v>3157</v>
      </c>
      <c r="I1119" s="9" t="s">
        <v>17457</v>
      </c>
      <c r="J1119" s="1" t="s">
        <v>17458</v>
      </c>
      <c r="K1119" s="1" t="s">
        <v>151</v>
      </c>
      <c r="L1119" s="1" t="s">
        <v>256</v>
      </c>
      <c r="M1119" s="1" t="s">
        <v>104</v>
      </c>
      <c r="N1119" s="1" t="s">
        <v>3171</v>
      </c>
      <c r="O1119" s="1" t="s">
        <v>312</v>
      </c>
      <c r="P1119" s="1" t="s">
        <v>6091</v>
      </c>
      <c r="Q1119" s="1" t="s">
        <v>217</v>
      </c>
      <c r="R1119" s="1" t="s">
        <v>217</v>
      </c>
      <c r="S1119" s="1" t="s">
        <v>217</v>
      </c>
      <c r="T1119" s="1" t="s">
        <v>217</v>
      </c>
      <c r="U1119" s="1" t="s">
        <v>217</v>
      </c>
      <c r="V1119" s="1" t="s">
        <v>217</v>
      </c>
      <c r="W1119" s="1" t="s">
        <v>217</v>
      </c>
      <c r="X1119" s="1" t="s">
        <v>217</v>
      </c>
      <c r="Z1119" s="1" t="s">
        <v>17459</v>
      </c>
      <c r="AA1119" s="10">
        <v>2800000.0</v>
      </c>
      <c r="AB1119" s="1" t="s">
        <v>17460</v>
      </c>
      <c r="AC1119" s="10">
        <v>1.5E7</v>
      </c>
      <c r="AD1119" s="1" t="s">
        <v>217</v>
      </c>
      <c r="AE1119" s="1" t="s">
        <v>217</v>
      </c>
      <c r="AF1119" s="10">
        <v>3000000.0</v>
      </c>
      <c r="AG1119" s="1">
        <v>7.218681087E9</v>
      </c>
      <c r="AJ1119" s="1">
        <v>169.0</v>
      </c>
      <c r="AK1119" s="1">
        <v>59.0</v>
      </c>
      <c r="AL1119" s="1" t="s">
        <v>17461</v>
      </c>
      <c r="AM1119" s="1" t="s">
        <v>17462</v>
      </c>
      <c r="AN1119" s="7" t="s">
        <v>17463</v>
      </c>
      <c r="AO1119" s="8" t="str">
        <f>HYPERLINK("https://docs.google.com/document/d/1BX11KwmJiHqHgVFRXeqQulx5CEipXlf0Hn6UDNBsT8w/edit?usp=drivesdk","Al-Wildan 10 Cipinang, Jakarta Timur_Yulianto Tri Rudiat _Al Qur'an ")</f>
        <v>Al-Wildan 10 Cipinang, Jakarta Timur_Yulianto Tri Rudiat _Al Qur'an </v>
      </c>
      <c r="AP1119" s="1" t="s">
        <v>17464</v>
      </c>
    </row>
    <row r="1120">
      <c r="A1120" s="6">
        <v>45530.70633071759</v>
      </c>
      <c r="B1120" s="7" t="s">
        <v>17465</v>
      </c>
      <c r="C1120" s="8" t="s">
        <v>17466</v>
      </c>
      <c r="D1120" s="1" t="s">
        <v>17467</v>
      </c>
      <c r="E1120" s="9" t="s">
        <v>17468</v>
      </c>
      <c r="F1120" s="1" t="s">
        <v>17469</v>
      </c>
      <c r="G1120" s="1" t="s">
        <v>17470</v>
      </c>
      <c r="H1120" s="1" t="s">
        <v>169</v>
      </c>
      <c r="I1120" s="9" t="s">
        <v>17471</v>
      </c>
      <c r="J1120" s="1" t="s">
        <v>17472</v>
      </c>
      <c r="K1120" s="1" t="s">
        <v>151</v>
      </c>
      <c r="L1120" s="1" t="s">
        <v>103</v>
      </c>
      <c r="M1120" s="1" t="s">
        <v>104</v>
      </c>
      <c r="N1120" s="1" t="s">
        <v>14023</v>
      </c>
      <c r="O1120" s="1" t="s">
        <v>312</v>
      </c>
      <c r="P1120" s="1" t="s">
        <v>7991</v>
      </c>
      <c r="Q1120" s="1" t="s">
        <v>7564</v>
      </c>
      <c r="R1120" s="1" t="s">
        <v>17473</v>
      </c>
      <c r="S1120" s="1" t="s">
        <v>8452</v>
      </c>
      <c r="Z1120" s="1" t="s">
        <v>17474</v>
      </c>
      <c r="AA1120" s="1" t="s">
        <v>17475</v>
      </c>
      <c r="AB1120" s="1" t="s">
        <v>17476</v>
      </c>
      <c r="AC1120" s="1" t="s">
        <v>17477</v>
      </c>
      <c r="AF1120" s="1" t="s">
        <v>17478</v>
      </c>
      <c r="AH1120" s="1">
        <v>1.560022111449E12</v>
      </c>
      <c r="AI1120" s="1" t="s">
        <v>2119</v>
      </c>
      <c r="AJ1120" s="1">
        <v>156.0</v>
      </c>
      <c r="AK1120" s="1">
        <v>62.0</v>
      </c>
      <c r="AL1120" s="1" t="s">
        <v>17479</v>
      </c>
      <c r="AM1120" s="1" t="s">
        <v>17480</v>
      </c>
      <c r="AN1120" s="7" t="s">
        <v>17481</v>
      </c>
      <c r="AO1120" s="8" t="str">
        <f>HYPERLINK("https://docs.google.com/document/d/1_WRzKzuJRxC_-oj9Q1jDV6zyZTIqIhonGRLMNRzvf6E/edit?usp=drivesdk","Al-Wildan 12 Bulak Kapal, Bekasi_Siti Fauziyah Harnum, S.Pd_Tematik")</f>
        <v>Al-Wildan 12 Bulak Kapal, Bekasi_Siti Fauziyah Harnum, S.Pd_Tematik</v>
      </c>
      <c r="AP1120" s="1" t="s">
        <v>17482</v>
      </c>
    </row>
    <row r="1121">
      <c r="A1121" s="6">
        <v>45531.41086159722</v>
      </c>
      <c r="B1121" s="7" t="s">
        <v>17483</v>
      </c>
      <c r="C1121" s="8" t="s">
        <v>17484</v>
      </c>
      <c r="D1121" s="1" t="s">
        <v>17485</v>
      </c>
      <c r="E1121" s="9" t="s">
        <v>17486</v>
      </c>
      <c r="F1121" s="1" t="s">
        <v>17487</v>
      </c>
      <c r="G1121" s="1" t="s">
        <v>17488</v>
      </c>
      <c r="H1121" s="1" t="s">
        <v>17489</v>
      </c>
      <c r="I1121" s="9" t="s">
        <v>17490</v>
      </c>
      <c r="J1121" s="1" t="s">
        <v>7424</v>
      </c>
      <c r="K1121" s="1" t="s">
        <v>102</v>
      </c>
      <c r="L1121" s="1" t="s">
        <v>103</v>
      </c>
      <c r="M1121" s="1" t="s">
        <v>104</v>
      </c>
      <c r="N1121" s="1" t="s">
        <v>17491</v>
      </c>
      <c r="O1121" s="1" t="s">
        <v>312</v>
      </c>
      <c r="P1121" s="1" t="s">
        <v>107</v>
      </c>
      <c r="Q1121" s="1" t="s">
        <v>1022</v>
      </c>
      <c r="R1121" s="1" t="s">
        <v>8227</v>
      </c>
      <c r="S1121" s="1" t="s">
        <v>9479</v>
      </c>
      <c r="Z1121" s="1" t="s">
        <v>17492</v>
      </c>
      <c r="AA1121" s="10">
        <v>1000000.0</v>
      </c>
      <c r="AB1121" s="1" t="s">
        <v>17493</v>
      </c>
      <c r="AC1121" s="10">
        <v>4000000.0</v>
      </c>
      <c r="AF1121" s="10">
        <v>4500000.0</v>
      </c>
      <c r="AG1121" s="1">
        <v>3.54538423E9</v>
      </c>
      <c r="AH1121" s="9" t="s">
        <v>17494</v>
      </c>
      <c r="AI1121" s="1" t="s">
        <v>17495</v>
      </c>
      <c r="AJ1121" s="1">
        <v>168.0</v>
      </c>
      <c r="AK1121" s="1">
        <v>64.0</v>
      </c>
      <c r="AL1121" s="1" t="s">
        <v>17496</v>
      </c>
      <c r="AM1121" s="1" t="s">
        <v>17497</v>
      </c>
      <c r="AN1121" s="7" t="s">
        <v>17498</v>
      </c>
      <c r="AO1121" s="8" t="str">
        <f>HYPERLINK("https://docs.google.com/document/d/13NMHNmbZlNSnTg1qA6A7wVbcc0Y-Necf21CCUlYKtjA/edit?usp=drivesdk","Al-Wildan 1 Gading Serpong_Muhammad Helmi, B.A_Bahasa Arab atau materi diniyah")</f>
        <v>Al-Wildan 1 Gading Serpong_Muhammad Helmi, B.A_Bahasa Arab atau materi diniyah</v>
      </c>
      <c r="AP1121" s="1" t="s">
        <v>17499</v>
      </c>
    </row>
    <row r="1122">
      <c r="A1122" s="6">
        <v>45531.45863825231</v>
      </c>
      <c r="B1122" s="7" t="s">
        <v>17500</v>
      </c>
      <c r="C1122" s="8" t="s">
        <v>17501</v>
      </c>
      <c r="D1122" s="1" t="s">
        <v>17502</v>
      </c>
      <c r="E1122" s="9" t="s">
        <v>17503</v>
      </c>
      <c r="F1122" s="1" t="s">
        <v>17504</v>
      </c>
      <c r="G1122" s="1" t="s">
        <v>17505</v>
      </c>
      <c r="H1122" s="1" t="s">
        <v>722</v>
      </c>
      <c r="I1122" s="9" t="s">
        <v>17506</v>
      </c>
      <c r="J1122" s="1" t="s">
        <v>17507</v>
      </c>
      <c r="K1122" s="1" t="s">
        <v>102</v>
      </c>
      <c r="L1122" s="1" t="s">
        <v>310</v>
      </c>
      <c r="M1122" s="1" t="s">
        <v>104</v>
      </c>
      <c r="N1122" s="1" t="s">
        <v>2883</v>
      </c>
      <c r="O1122" s="1" t="s">
        <v>9794</v>
      </c>
      <c r="P1122" s="1" t="s">
        <v>6091</v>
      </c>
      <c r="Q1122" s="1" t="s">
        <v>11240</v>
      </c>
      <c r="R1122" s="1" t="s">
        <v>1275</v>
      </c>
      <c r="S1122" s="1" t="s">
        <v>17508</v>
      </c>
      <c r="T1122" s="1" t="s">
        <v>11240</v>
      </c>
      <c r="U1122" s="1" t="s">
        <v>3146</v>
      </c>
      <c r="V1122" s="1" t="s">
        <v>12268</v>
      </c>
      <c r="Z1122" s="1" t="s">
        <v>17509</v>
      </c>
      <c r="AA1122" s="1">
        <v>1.0E7</v>
      </c>
      <c r="AB1122" s="1" t="s">
        <v>17510</v>
      </c>
      <c r="AC1122" s="1">
        <v>9500000.0</v>
      </c>
      <c r="AD1122" s="1" t="s">
        <v>17511</v>
      </c>
      <c r="AE1122" s="1">
        <v>8000000.0</v>
      </c>
      <c r="AF1122" s="1">
        <v>1.0E7</v>
      </c>
      <c r="AG1122" s="1">
        <v>5.760467E9</v>
      </c>
      <c r="AH1122" s="1">
        <v>7.006220494E9</v>
      </c>
      <c r="AI1122" s="1" t="s">
        <v>222</v>
      </c>
      <c r="AJ1122" s="1">
        <v>172.0</v>
      </c>
      <c r="AK1122" s="1">
        <v>85.0</v>
      </c>
      <c r="AL1122" s="1" t="s">
        <v>17512</v>
      </c>
      <c r="AM1122" s="1" t="s">
        <v>17513</v>
      </c>
      <c r="AN1122" s="7" t="s">
        <v>17514</v>
      </c>
      <c r="AO1122" s="8" t="str">
        <f>HYPERLINK("https://docs.google.com/document/d/1MxCteZOpHLqOhZAmKG5yBNXoLrq_7azMgAnOgP6OnR4/edit?usp=drivesdk","Al-Wildan 10 Cipinang, Jakarta Timur_Viedy Dimas Aditya, S.Si., M.Pd._Math")</f>
        <v>Al-Wildan 10 Cipinang, Jakarta Timur_Viedy Dimas Aditya, S.Si., M.Pd._Math</v>
      </c>
      <c r="AP1122" s="1" t="s">
        <v>17515</v>
      </c>
    </row>
    <row r="1123">
      <c r="A1123" s="6">
        <v>45532.85217675926</v>
      </c>
      <c r="B1123" s="7" t="s">
        <v>17516</v>
      </c>
      <c r="C1123" s="8" t="s">
        <v>17517</v>
      </c>
      <c r="D1123" s="1" t="s">
        <v>17518</v>
      </c>
      <c r="E1123" s="9" t="s">
        <v>17519</v>
      </c>
      <c r="F1123" s="1" t="s">
        <v>17520</v>
      </c>
      <c r="G1123" s="1" t="s">
        <v>17521</v>
      </c>
      <c r="H1123" s="1" t="s">
        <v>6897</v>
      </c>
      <c r="I1123" s="9" t="s">
        <v>17522</v>
      </c>
      <c r="J1123" s="1" t="s">
        <v>17523</v>
      </c>
      <c r="K1123" s="1" t="s">
        <v>151</v>
      </c>
      <c r="L1123" s="1" t="s">
        <v>103</v>
      </c>
      <c r="M1123" s="1" t="s">
        <v>5671</v>
      </c>
      <c r="O1123" s="1" t="s">
        <v>127</v>
      </c>
      <c r="P1123" s="1" t="s">
        <v>5712</v>
      </c>
      <c r="Q1123" s="1" t="s">
        <v>17524</v>
      </c>
      <c r="S1123" s="9" t="s">
        <v>3642</v>
      </c>
      <c r="Z1123" s="1" t="s">
        <v>17525</v>
      </c>
      <c r="AA1123" s="10">
        <v>1000000.0</v>
      </c>
      <c r="AB1123" s="1" t="s">
        <v>2917</v>
      </c>
      <c r="AC1123" s="10">
        <v>500000.0</v>
      </c>
      <c r="AF1123" s="10">
        <v>1000000.0</v>
      </c>
      <c r="AG1123" s="1">
        <v>7.177367839E9</v>
      </c>
      <c r="AH1123" s="9" t="s">
        <v>17526</v>
      </c>
      <c r="AI1123" s="1" t="s">
        <v>17527</v>
      </c>
      <c r="AJ1123" s="1">
        <v>168.0</v>
      </c>
      <c r="AK1123" s="1">
        <v>65.0</v>
      </c>
      <c r="AL1123" s="1" t="s">
        <v>17528</v>
      </c>
      <c r="AM1123" s="1" t="s">
        <v>17529</v>
      </c>
      <c r="AN1123" s="7" t="s">
        <v>17530</v>
      </c>
      <c r="AO1123" s="8" t="str">
        <f>HYPERLINK("https://docs.google.com/document/d/1hab55rnHOehafb9D64T1iRePRYpBFXsKKFXG9LcjoYk/edit?usp=drivesdk","Al-Wildan 3 BSD City_Hajid Mirza Ma'Riefat ( musyrif)_")</f>
        <v>Al-Wildan 3 BSD City_Hajid Mirza Ma'Riefat ( musyrif)_</v>
      </c>
      <c r="AP1123" s="1" t="s">
        <v>17531</v>
      </c>
    </row>
    <row r="1124">
      <c r="A1124" s="6">
        <v>45540.73765351852</v>
      </c>
      <c r="B1124" s="7" t="s">
        <v>17532</v>
      </c>
      <c r="C1124" s="8" t="s">
        <v>17533</v>
      </c>
      <c r="D1124" s="1" t="s">
        <v>17534</v>
      </c>
      <c r="E1124" s="9" t="s">
        <v>17535</v>
      </c>
      <c r="F1124" s="1" t="s">
        <v>17536</v>
      </c>
      <c r="G1124" s="1" t="s">
        <v>17537</v>
      </c>
      <c r="H1124" s="1" t="s">
        <v>17538</v>
      </c>
      <c r="I1124" s="9" t="s">
        <v>17539</v>
      </c>
      <c r="J1124" s="1" t="s">
        <v>14081</v>
      </c>
      <c r="K1124" s="1" t="s">
        <v>151</v>
      </c>
      <c r="L1124" s="1" t="s">
        <v>103</v>
      </c>
      <c r="M1124" s="1" t="s">
        <v>13917</v>
      </c>
      <c r="N1124" s="1" t="s">
        <v>17540</v>
      </c>
      <c r="O1124" s="1" t="s">
        <v>9794</v>
      </c>
      <c r="P1124" s="1" t="s">
        <v>6091</v>
      </c>
      <c r="Q1124" s="1" t="s">
        <v>13569</v>
      </c>
      <c r="R1124" s="1" t="s">
        <v>15648</v>
      </c>
      <c r="S1124" s="1" t="s">
        <v>1023</v>
      </c>
      <c r="Z1124" s="1" t="s">
        <v>17541</v>
      </c>
      <c r="AA1124" s="1" t="s">
        <v>14485</v>
      </c>
      <c r="AF1124" s="10">
        <v>5000000.0</v>
      </c>
      <c r="AH1124" s="1">
        <v>2.3027017E9</v>
      </c>
      <c r="AI1124" s="1" t="s">
        <v>222</v>
      </c>
      <c r="AJ1124" s="1">
        <v>160.0</v>
      </c>
      <c r="AK1124" s="1">
        <v>58.0</v>
      </c>
      <c r="AL1124" s="1" t="s">
        <v>17542</v>
      </c>
      <c r="AM1124" s="1" t="s">
        <v>17543</v>
      </c>
      <c r="AN1124" s="7" t="s">
        <v>17544</v>
      </c>
      <c r="AO1124" s="8" t="str">
        <f>HYPERLINK("https://docs.google.com/document/d/1EibVJRlDBVmVmCeMZLI9svd9d8enJFwadkr77zXEoGc/edit?usp=drivesdk","Al-Wildan 10 Cipinang, Jakarta Timur_Riska Dwi Lestari, S.Pd._Physical Education")</f>
        <v>Al-Wildan 10 Cipinang, Jakarta Timur_Riska Dwi Lestari, S.Pd._Physical Education</v>
      </c>
      <c r="AP1124" s="1" t="s">
        <v>17545</v>
      </c>
    </row>
    <row r="1125">
      <c r="A1125" s="6">
        <v>45540.92395726852</v>
      </c>
      <c r="B1125" s="7" t="s">
        <v>17546</v>
      </c>
      <c r="C1125" s="8" t="s">
        <v>17547</v>
      </c>
      <c r="D1125" s="1" t="s">
        <v>17548</v>
      </c>
      <c r="E1125" s="9" t="s">
        <v>17549</v>
      </c>
      <c r="F1125" s="1" t="s">
        <v>17550</v>
      </c>
      <c r="G1125" s="1" t="s">
        <v>17551</v>
      </c>
      <c r="H1125" s="1" t="s">
        <v>13836</v>
      </c>
      <c r="I1125" s="9" t="s">
        <v>17552</v>
      </c>
      <c r="J1125" s="1" t="s">
        <v>17231</v>
      </c>
      <c r="K1125" s="1" t="s">
        <v>151</v>
      </c>
      <c r="L1125" s="1" t="s">
        <v>256</v>
      </c>
      <c r="M1125" s="1" t="s">
        <v>6060</v>
      </c>
      <c r="N1125" s="1" t="s">
        <v>217</v>
      </c>
      <c r="O1125" s="1" t="s">
        <v>9794</v>
      </c>
      <c r="P1125" s="1" t="s">
        <v>6187</v>
      </c>
      <c r="Q1125" s="1" t="s">
        <v>17553</v>
      </c>
      <c r="R1125" s="1" t="s">
        <v>10057</v>
      </c>
      <c r="S1125" s="1" t="s">
        <v>1668</v>
      </c>
      <c r="T1125" s="1" t="s">
        <v>217</v>
      </c>
      <c r="U1125" s="1" t="s">
        <v>217</v>
      </c>
      <c r="V1125" s="1" t="s">
        <v>217</v>
      </c>
      <c r="W1125" s="1" t="s">
        <v>217</v>
      </c>
      <c r="X1125" s="1" t="s">
        <v>217</v>
      </c>
      <c r="Z1125" s="1" t="s">
        <v>17554</v>
      </c>
      <c r="AA1125" s="10">
        <v>2500000.0</v>
      </c>
      <c r="AB1125" s="1" t="s">
        <v>17555</v>
      </c>
      <c r="AC1125" s="1" t="s">
        <v>217</v>
      </c>
      <c r="AD1125" s="1" t="s">
        <v>17556</v>
      </c>
      <c r="AE1125" s="1" t="s">
        <v>217</v>
      </c>
      <c r="AF1125" s="10">
        <v>4000000.0</v>
      </c>
      <c r="AG1125" s="1">
        <v>7.254877942E9</v>
      </c>
      <c r="AI1125" s="1" t="s">
        <v>217</v>
      </c>
      <c r="AJ1125" s="1">
        <v>172.0</v>
      </c>
      <c r="AK1125" s="1">
        <v>70.0</v>
      </c>
      <c r="AL1125" s="1" t="s">
        <v>17557</v>
      </c>
      <c r="AM1125" s="1" t="s">
        <v>17558</v>
      </c>
      <c r="AN1125" s="7" t="s">
        <v>17559</v>
      </c>
      <c r="AO1125" s="8" t="str">
        <f>HYPERLINK("https://docs.google.com/document/d/1sPZgI8w_a1evIws_kahSZFYHaQBal9riFScXFlPQ0-I/edit?usp=drivesdk","Al-Wildan 14 Bumi Mutiara, Bogor_Yanda Yusup, S.Pd._-")</f>
        <v>Al-Wildan 14 Bumi Mutiara, Bogor_Yanda Yusup, S.Pd._-</v>
      </c>
      <c r="AP1125" s="1" t="s">
        <v>17560</v>
      </c>
    </row>
    <row r="1126">
      <c r="A1126" s="6">
        <v>45553.011904212966</v>
      </c>
      <c r="B1126" s="7" t="s">
        <v>17561</v>
      </c>
      <c r="C1126" s="8" t="s">
        <v>17562</v>
      </c>
      <c r="D1126" s="1" t="s">
        <v>17563</v>
      </c>
      <c r="E1126" s="9" t="s">
        <v>17564</v>
      </c>
      <c r="F1126" s="1" t="s">
        <v>17565</v>
      </c>
      <c r="G1126" s="1" t="s">
        <v>17566</v>
      </c>
      <c r="H1126" s="1" t="s">
        <v>17567</v>
      </c>
      <c r="I1126" s="9" t="s">
        <v>17568</v>
      </c>
      <c r="J1126" s="1" t="s">
        <v>3959</v>
      </c>
      <c r="K1126" s="1" t="s">
        <v>151</v>
      </c>
      <c r="L1126" s="1" t="s">
        <v>329</v>
      </c>
      <c r="M1126" s="1" t="s">
        <v>7580</v>
      </c>
      <c r="N1126" s="1" t="s">
        <v>17569</v>
      </c>
      <c r="O1126" s="1" t="s">
        <v>106</v>
      </c>
      <c r="P1126" s="1" t="s">
        <v>6091</v>
      </c>
      <c r="Q1126" s="1" t="s">
        <v>17570</v>
      </c>
      <c r="R1126" s="1" t="s">
        <v>17571</v>
      </c>
      <c r="S1126" s="1" t="s">
        <v>217</v>
      </c>
      <c r="T1126" s="1" t="s">
        <v>217</v>
      </c>
      <c r="U1126" s="1" t="s">
        <v>217</v>
      </c>
      <c r="V1126" s="1" t="s">
        <v>217</v>
      </c>
      <c r="W1126" s="1" t="s">
        <v>217</v>
      </c>
      <c r="X1126" s="1" t="s">
        <v>217</v>
      </c>
      <c r="Z1126" s="1" t="s">
        <v>17572</v>
      </c>
      <c r="AA1126" s="10">
        <v>2000000.0</v>
      </c>
      <c r="AB1126" s="1" t="s">
        <v>17572</v>
      </c>
      <c r="AC1126" s="10">
        <v>2000000.0</v>
      </c>
      <c r="AD1126" s="1" t="s">
        <v>17572</v>
      </c>
      <c r="AE1126" s="10">
        <v>2000000.0</v>
      </c>
      <c r="AF1126" s="10">
        <v>6000000.0</v>
      </c>
      <c r="AG1126" s="1">
        <v>1.045370751E9</v>
      </c>
      <c r="AJ1126" s="1">
        <v>156.0</v>
      </c>
      <c r="AK1126" s="1">
        <v>75.0</v>
      </c>
      <c r="AL1126" s="1" t="s">
        <v>17573</v>
      </c>
      <c r="AM1126" s="1" t="s">
        <v>17574</v>
      </c>
      <c r="AN1126" s="7" t="s">
        <v>17575</v>
      </c>
      <c r="AO1126" s="8" t="str">
        <f>HYPERLINK("https://docs.google.com/document/d/1pJOaa2SFEmrnvjhKJmjStljFNIiVvdnH3xwcad0kYV8/edit?usp=drivesdk","Al-Wildan 10 Cipinang, Jakarta Timur_Uswatun Hasanah lubis_Alquran dan musyrifah")</f>
        <v>Al-Wildan 10 Cipinang, Jakarta Timur_Uswatun Hasanah lubis_Alquran dan musyrifah</v>
      </c>
      <c r="AP1126" s="1" t="s">
        <v>17576</v>
      </c>
    </row>
    <row r="1127">
      <c r="A1127" s="6">
        <v>45553.40609798611</v>
      </c>
      <c r="B1127" s="7" t="s">
        <v>17577</v>
      </c>
      <c r="C1127" s="8" t="s">
        <v>17578</v>
      </c>
      <c r="D1127" s="1" t="s">
        <v>17579</v>
      </c>
      <c r="E1127" s="9" t="s">
        <v>17580</v>
      </c>
      <c r="F1127" s="1" t="s">
        <v>17581</v>
      </c>
      <c r="G1127" s="1" t="s">
        <v>17582</v>
      </c>
      <c r="H1127" s="1" t="s">
        <v>99</v>
      </c>
      <c r="I1127" s="9" t="s">
        <v>17583</v>
      </c>
      <c r="J1127" s="1" t="s">
        <v>7823</v>
      </c>
      <c r="K1127" s="1" t="s">
        <v>151</v>
      </c>
      <c r="L1127" s="1" t="s">
        <v>103</v>
      </c>
      <c r="M1127" s="1" t="s">
        <v>104</v>
      </c>
      <c r="N1127" s="1" t="s">
        <v>771</v>
      </c>
      <c r="O1127" s="1" t="s">
        <v>312</v>
      </c>
      <c r="P1127" s="1" t="s">
        <v>107</v>
      </c>
      <c r="Q1127" s="1" t="s">
        <v>17584</v>
      </c>
      <c r="R1127" s="1" t="s">
        <v>2584</v>
      </c>
      <c r="S1127" s="1" t="s">
        <v>442</v>
      </c>
      <c r="Z1127" s="1" t="s">
        <v>17585</v>
      </c>
      <c r="AA1127" s="10">
        <v>3000000.0</v>
      </c>
      <c r="AF1127" s="10">
        <v>7000000.0</v>
      </c>
      <c r="AH1127" s="1">
        <v>3.84801063403535E14</v>
      </c>
      <c r="AI1127" s="1" t="s">
        <v>2407</v>
      </c>
      <c r="AJ1127" s="1">
        <v>160.0</v>
      </c>
      <c r="AK1127" s="1">
        <v>49.0</v>
      </c>
      <c r="AL1127" s="1" t="s">
        <v>17586</v>
      </c>
      <c r="AM1127" s="1" t="s">
        <v>17587</v>
      </c>
      <c r="AN1127" s="7" t="s">
        <v>17588</v>
      </c>
      <c r="AO1127" s="8" t="str">
        <f>HYPERLINK("https://docs.google.com/document/d/1-J8abfMjIIKzNw-mNfMojGM-E0-gLVtGiW_kB-rJHFI/edit?usp=drivesdk","Al-Wildan 1 Gading Serpong_Nur Wahyuni Ranjamay, S.Pd._English")</f>
        <v>Al-Wildan 1 Gading Serpong_Nur Wahyuni Ranjamay, S.Pd._English</v>
      </c>
      <c r="AP1127" s="1" t="s">
        <v>17589</v>
      </c>
    </row>
    <row r="1128">
      <c r="A1128" s="6">
        <v>45554.55223930556</v>
      </c>
      <c r="B1128" s="7" t="s">
        <v>17590</v>
      </c>
      <c r="C1128" s="8" t="s">
        <v>17591</v>
      </c>
      <c r="D1128" s="1" t="s">
        <v>17592</v>
      </c>
      <c r="E1128" s="9" t="s">
        <v>17593</v>
      </c>
      <c r="F1128" s="1" t="s">
        <v>13302</v>
      </c>
      <c r="G1128" s="1" t="s">
        <v>17594</v>
      </c>
      <c r="H1128" s="1" t="s">
        <v>99</v>
      </c>
      <c r="I1128" s="9" t="s">
        <v>17595</v>
      </c>
      <c r="J1128" s="1" t="s">
        <v>7322</v>
      </c>
      <c r="K1128" s="1" t="s">
        <v>151</v>
      </c>
      <c r="L1128" s="1" t="s">
        <v>256</v>
      </c>
      <c r="M1128" s="1" t="s">
        <v>104</v>
      </c>
      <c r="N1128" s="1" t="s">
        <v>17596</v>
      </c>
      <c r="O1128" s="1" t="s">
        <v>9794</v>
      </c>
      <c r="P1128" s="1" t="s">
        <v>7991</v>
      </c>
      <c r="Q1128" s="1" t="s">
        <v>17597</v>
      </c>
      <c r="R1128" s="1" t="s">
        <v>13305</v>
      </c>
      <c r="S1128" s="1">
        <v>3.65</v>
      </c>
      <c r="Z1128" s="1" t="s">
        <v>17598</v>
      </c>
      <c r="AA1128" s="10">
        <v>3000000.0</v>
      </c>
      <c r="AB1128" s="1" t="s">
        <v>17599</v>
      </c>
      <c r="AC1128" s="10">
        <v>4000000.0</v>
      </c>
      <c r="AD1128" s="1" t="s">
        <v>17600</v>
      </c>
      <c r="AE1128" s="10">
        <v>5.0E7</v>
      </c>
      <c r="AF1128" s="1" t="s">
        <v>16993</v>
      </c>
      <c r="AJ1128" s="1">
        <v>168.0</v>
      </c>
      <c r="AK1128" s="1">
        <v>70.0</v>
      </c>
      <c r="AL1128" s="1" t="s">
        <v>13310</v>
      </c>
      <c r="AM1128" s="1" t="s">
        <v>17601</v>
      </c>
      <c r="AN1128" s="7" t="s">
        <v>17602</v>
      </c>
      <c r="AO1128" s="8" t="str">
        <f>HYPERLINK("https://docs.google.com/document/d/1gisYu0uovhJZaIc4NjOGCn9VHyM6i339aTAJvgzgDdY/edit?usp=drivesdk","Al-Wildan 12 Bulak Kapal, Bekasi_Rizky Dita Sari, S.Sos_Mata Pelajaran Tematik")</f>
        <v>Al-Wildan 12 Bulak Kapal, Bekasi_Rizky Dita Sari, S.Sos_Mata Pelajaran Tematik</v>
      </c>
      <c r="AP1128" s="1" t="s">
        <v>17603</v>
      </c>
    </row>
    <row r="1129">
      <c r="A1129" s="6">
        <v>45556.604015543984</v>
      </c>
      <c r="B1129" s="7" t="s">
        <v>17604</v>
      </c>
      <c r="C1129" s="8" t="s">
        <v>17605</v>
      </c>
      <c r="D1129" s="1" t="s">
        <v>17606</v>
      </c>
      <c r="E1129" s="9" t="s">
        <v>17607</v>
      </c>
      <c r="F1129" s="1" t="s">
        <v>17608</v>
      </c>
      <c r="G1129" s="1" t="s">
        <v>17609</v>
      </c>
      <c r="H1129" s="1" t="s">
        <v>6897</v>
      </c>
      <c r="I1129" s="9" t="s">
        <v>17610</v>
      </c>
      <c r="J1129" s="1" t="s">
        <v>16277</v>
      </c>
      <c r="K1129" s="1" t="s">
        <v>151</v>
      </c>
      <c r="L1129" s="1" t="s">
        <v>256</v>
      </c>
      <c r="M1129" s="1" t="s">
        <v>104</v>
      </c>
      <c r="N1129" s="1" t="s">
        <v>8581</v>
      </c>
      <c r="O1129" s="1" t="s">
        <v>9794</v>
      </c>
      <c r="P1129" s="1" t="s">
        <v>6091</v>
      </c>
      <c r="Z1129" s="1" t="s">
        <v>17611</v>
      </c>
      <c r="AA1129" s="12">
        <v>400000.0</v>
      </c>
      <c r="AB1129" s="1" t="s">
        <v>17612</v>
      </c>
      <c r="AC1129" s="12">
        <v>3200000.0</v>
      </c>
      <c r="AF1129" s="12">
        <v>3200000.0</v>
      </c>
      <c r="AG1129" s="1">
        <v>7.168070677E9</v>
      </c>
      <c r="AJ1129" s="1">
        <v>162.0</v>
      </c>
      <c r="AK1129" s="1">
        <v>54.0</v>
      </c>
      <c r="AL1129" s="1" t="s">
        <v>17613</v>
      </c>
      <c r="AM1129" s="1" t="s">
        <v>17614</v>
      </c>
      <c r="AN1129" s="7" t="s">
        <v>17615</v>
      </c>
      <c r="AO1129" s="8" t="str">
        <f>HYPERLINK("https://docs.google.com/document/d/1b68lKnhg5HUt6ZYw2fmnSXxK_IaADeEPDOUHOx-YCl4/edit?usp=drivesdk","Al-Wildan 10 Cipinang, Jakarta Timur_Sayidah Izza Nafsi _Al-Qur'an ")</f>
        <v>Al-Wildan 10 Cipinang, Jakarta Timur_Sayidah Izza Nafsi _Al-Qur'an </v>
      </c>
      <c r="AP1129" s="1" t="s">
        <v>17616</v>
      </c>
    </row>
    <row r="1130">
      <c r="A1130" s="6">
        <v>45559.49045237269</v>
      </c>
      <c r="B1130" s="7" t="s">
        <v>17617</v>
      </c>
      <c r="C1130" s="8" t="s">
        <v>17618</v>
      </c>
      <c r="D1130" s="1" t="s">
        <v>17619</v>
      </c>
      <c r="E1130" s="9" t="s">
        <v>17620</v>
      </c>
      <c r="F1130" s="1" t="s">
        <v>17621</v>
      </c>
      <c r="G1130" s="1" t="s">
        <v>14514</v>
      </c>
      <c r="H1130" s="1" t="s">
        <v>17622</v>
      </c>
      <c r="I1130" s="9" t="s">
        <v>17623</v>
      </c>
      <c r="J1130" s="1" t="s">
        <v>15720</v>
      </c>
      <c r="K1130" s="1" t="s">
        <v>102</v>
      </c>
      <c r="L1130" s="1" t="s">
        <v>103</v>
      </c>
      <c r="M1130" s="1" t="s">
        <v>13917</v>
      </c>
      <c r="N1130" s="1" t="s">
        <v>13918</v>
      </c>
      <c r="O1130" s="1" t="s">
        <v>312</v>
      </c>
      <c r="P1130" s="1" t="s">
        <v>6187</v>
      </c>
      <c r="Q1130" s="1" t="s">
        <v>153</v>
      </c>
      <c r="R1130" s="1" t="s">
        <v>17624</v>
      </c>
      <c r="S1130" s="1" t="s">
        <v>1279</v>
      </c>
      <c r="Z1130" s="1" t="s">
        <v>17625</v>
      </c>
      <c r="AA1130" s="1" t="s">
        <v>17626</v>
      </c>
      <c r="AB1130" s="1" t="s">
        <v>17627</v>
      </c>
      <c r="AC1130" s="1" t="s">
        <v>17628</v>
      </c>
      <c r="AF1130" s="1" t="s">
        <v>17629</v>
      </c>
      <c r="AI1130" s="1" t="s">
        <v>222</v>
      </c>
      <c r="AJ1130" s="1">
        <v>155.0</v>
      </c>
      <c r="AK1130" s="1">
        <v>56.0</v>
      </c>
      <c r="AL1130" s="1" t="s">
        <v>17630</v>
      </c>
      <c r="AM1130" s="1" t="s">
        <v>17631</v>
      </c>
      <c r="AN1130" s="7" t="s">
        <v>17632</v>
      </c>
      <c r="AO1130" s="8" t="str">
        <f>HYPERLINK("https://docs.google.com/document/d/1vMGeoym2ZYN0zV7liqUFAaTrEe3A9aPJl2qA7E7KGz0/edit?usp=drivesdk","Al-Wildan 14 Bumi Mutiara, Bogor_Sindy Oktaviani, S.Pd_PJOK")</f>
        <v>Al-Wildan 14 Bumi Mutiara, Bogor_Sindy Oktaviani, S.Pd_PJOK</v>
      </c>
      <c r="AP1130" s="1" t="s">
        <v>17633</v>
      </c>
    </row>
    <row r="1131">
      <c r="A1131" s="6">
        <v>45559.86746436343</v>
      </c>
      <c r="B1131" s="7" t="s">
        <v>17634</v>
      </c>
      <c r="C1131" s="8" t="s">
        <v>17635</v>
      </c>
      <c r="D1131" s="1" t="s">
        <v>17636</v>
      </c>
      <c r="E1131" s="9" t="s">
        <v>17637</v>
      </c>
      <c r="F1131" s="1" t="s">
        <v>17638</v>
      </c>
      <c r="G1131" s="1" t="s">
        <v>17639</v>
      </c>
      <c r="H1131" s="1" t="s">
        <v>2076</v>
      </c>
      <c r="I1131" s="9" t="s">
        <v>17640</v>
      </c>
      <c r="J1131" s="1" t="s">
        <v>2737</v>
      </c>
      <c r="K1131" s="1" t="s">
        <v>151</v>
      </c>
      <c r="L1131" s="1" t="s">
        <v>103</v>
      </c>
      <c r="M1131" s="1" t="s">
        <v>104</v>
      </c>
      <c r="N1131" s="1" t="s">
        <v>17641</v>
      </c>
      <c r="O1131" s="1" t="s">
        <v>9794</v>
      </c>
      <c r="P1131" s="1" t="s">
        <v>17019</v>
      </c>
      <c r="Q1131" s="1" t="s">
        <v>7635</v>
      </c>
      <c r="R1131" s="1" t="s">
        <v>1275</v>
      </c>
      <c r="S1131" s="1" t="s">
        <v>2180</v>
      </c>
      <c r="Z1131" s="1" t="s">
        <v>17642</v>
      </c>
      <c r="AA1131" s="10">
        <v>3700000.0</v>
      </c>
      <c r="AF1131" s="10">
        <v>2600000.0</v>
      </c>
      <c r="AG1131" s="1">
        <v>7.133741358E9</v>
      </c>
      <c r="AJ1131" s="1">
        <v>160.0</v>
      </c>
      <c r="AK1131" s="1">
        <v>47.0</v>
      </c>
      <c r="AL1131" s="1" t="s">
        <v>17643</v>
      </c>
      <c r="AM1131" s="1" t="s">
        <v>17644</v>
      </c>
      <c r="AN1131" s="7" t="s">
        <v>17645</v>
      </c>
      <c r="AO1131" s="8" t="str">
        <f>HYPERLINK("https://docs.google.com/document/d/1wciRhe1aygrW_1fA9liWFe70Zhmd63LV8OocjyyhDkQ/edit?usp=drivesdk","Al-Wildan 20 Mataram_Ade Triandari, S.Si._Sains (Biologi &amp; Kimia)")</f>
        <v>Al-Wildan 20 Mataram_Ade Triandari, S.Si._Sains (Biologi &amp; Kimia)</v>
      </c>
      <c r="AP1131" s="1" t="s">
        <v>17646</v>
      </c>
    </row>
    <row r="1132">
      <c r="A1132" s="6">
        <v>45561.88409386574</v>
      </c>
      <c r="B1132" s="7" t="s">
        <v>17647</v>
      </c>
      <c r="C1132" s="8" t="s">
        <v>17648</v>
      </c>
      <c r="D1132" s="1" t="s">
        <v>17649</v>
      </c>
      <c r="E1132" s="9" t="s">
        <v>17650</v>
      </c>
      <c r="F1132" s="1" t="s">
        <v>17651</v>
      </c>
      <c r="G1132" s="1" t="s">
        <v>17652</v>
      </c>
      <c r="H1132" s="1" t="s">
        <v>169</v>
      </c>
      <c r="I1132" s="9" t="s">
        <v>17653</v>
      </c>
      <c r="J1132" s="1" t="s">
        <v>4209</v>
      </c>
      <c r="K1132" s="1" t="s">
        <v>151</v>
      </c>
      <c r="L1132" s="1" t="s">
        <v>103</v>
      </c>
      <c r="M1132" s="1" t="s">
        <v>104</v>
      </c>
      <c r="N1132" s="1" t="s">
        <v>6436</v>
      </c>
      <c r="O1132" s="1" t="s">
        <v>236</v>
      </c>
      <c r="P1132" s="1" t="s">
        <v>6091</v>
      </c>
      <c r="Q1132" s="1" t="s">
        <v>17654</v>
      </c>
      <c r="R1132" s="1" t="s">
        <v>989</v>
      </c>
      <c r="S1132" s="1" t="s">
        <v>6303</v>
      </c>
      <c r="T1132" s="1" t="s">
        <v>153</v>
      </c>
      <c r="U1132" s="1" t="s">
        <v>17655</v>
      </c>
      <c r="Z1132" s="1" t="s">
        <v>17656</v>
      </c>
      <c r="AA1132" s="10">
        <v>4800000.0</v>
      </c>
      <c r="AB1132" s="1" t="s">
        <v>17657</v>
      </c>
      <c r="AC1132" s="10">
        <v>5000000.0</v>
      </c>
      <c r="AF1132" s="10">
        <v>5100000.0</v>
      </c>
      <c r="AH1132" s="1">
        <v>6.220536627E9</v>
      </c>
      <c r="AI1132" s="1" t="s">
        <v>222</v>
      </c>
      <c r="AJ1132" s="1">
        <v>160.0</v>
      </c>
      <c r="AK1132" s="1">
        <v>57.0</v>
      </c>
      <c r="AL1132" s="1" t="s">
        <v>17658</v>
      </c>
      <c r="AM1132" s="1" t="s">
        <v>17659</v>
      </c>
      <c r="AN1132" s="7" t="s">
        <v>17660</v>
      </c>
      <c r="AO1132" s="8" t="str">
        <f>HYPERLINK("https://docs.google.com/document/d/1s82nhRK59sXkhsikR0rg8Rcvo9tj3zqEaPYIy8BRLRw/edit?usp=drivesdk","Al-Wildan 10 Cipinang, Jakarta Timur_Ridha Ajeng Aprilia, S.Pd._Biologi ")</f>
        <v>Al-Wildan 10 Cipinang, Jakarta Timur_Ridha Ajeng Aprilia, S.Pd._Biologi </v>
      </c>
      <c r="AP1132" s="1" t="s">
        <v>17661</v>
      </c>
    </row>
    <row r="1133">
      <c r="A1133" s="6">
        <v>45565.44744837963</v>
      </c>
      <c r="B1133" s="7" t="s">
        <v>17662</v>
      </c>
      <c r="C1133" s="8" t="s">
        <v>17663</v>
      </c>
      <c r="D1133" s="1" t="s">
        <v>17664</v>
      </c>
      <c r="E1133" s="9" t="s">
        <v>17665</v>
      </c>
      <c r="F1133" s="1" t="s">
        <v>17666</v>
      </c>
      <c r="G1133" s="1" t="s">
        <v>148</v>
      </c>
      <c r="H1133" s="1" t="s">
        <v>148</v>
      </c>
      <c r="I1133" s="9" t="s">
        <v>17667</v>
      </c>
      <c r="J1133" s="1" t="s">
        <v>8497</v>
      </c>
      <c r="K1133" s="1" t="s">
        <v>151</v>
      </c>
      <c r="L1133" s="1" t="s">
        <v>496</v>
      </c>
      <c r="M1133" s="1" t="s">
        <v>8769</v>
      </c>
      <c r="O1133" s="1" t="s">
        <v>127</v>
      </c>
      <c r="P1133" s="1" t="s">
        <v>14335</v>
      </c>
      <c r="Z1133" s="1" t="s">
        <v>17668</v>
      </c>
      <c r="AA1133" s="10">
        <v>2855000.0</v>
      </c>
      <c r="AF1133" s="10">
        <v>3000000.0</v>
      </c>
      <c r="AG1133" s="1">
        <v>7.208322774E9</v>
      </c>
      <c r="AJ1133" s="1">
        <v>150.0</v>
      </c>
      <c r="AK1133" s="1">
        <v>39.0</v>
      </c>
      <c r="AL1133" s="1" t="s">
        <v>17669</v>
      </c>
      <c r="AM1133" s="1" t="s">
        <v>17670</v>
      </c>
      <c r="AN1133" s="7" t="s">
        <v>17671</v>
      </c>
      <c r="AO1133" s="8" t="str">
        <f>HYPERLINK("https://docs.google.com/document/d/1QErYnEPGdvbLoCxsqs7aIf011qjdZn8Dj_ybdqhs6WM/edit?usp=drivesdk","Al-Wildan 13 Tembalang, Bekasi_Aisyah Az Zahra _")</f>
        <v>Al-Wildan 13 Tembalang, Bekasi_Aisyah Az Zahra _</v>
      </c>
      <c r="AP1133" s="1" t="s">
        <v>17672</v>
      </c>
    </row>
    <row r="1134">
      <c r="A1134" s="6">
        <v>45565.45882546296</v>
      </c>
      <c r="B1134" s="7" t="s">
        <v>17673</v>
      </c>
      <c r="C1134" s="8" t="s">
        <v>17674</v>
      </c>
      <c r="D1134" s="1" t="s">
        <v>17675</v>
      </c>
      <c r="E1134" s="9" t="s">
        <v>17676</v>
      </c>
      <c r="F1134" s="1" t="s">
        <v>17677</v>
      </c>
      <c r="G1134" s="1" t="s">
        <v>17678</v>
      </c>
      <c r="H1134" s="1" t="s">
        <v>6812</v>
      </c>
      <c r="I1134" s="9" t="s">
        <v>17679</v>
      </c>
      <c r="J1134" s="1" t="s">
        <v>5447</v>
      </c>
      <c r="K1134" s="1" t="s">
        <v>151</v>
      </c>
      <c r="L1134" s="1" t="s">
        <v>103</v>
      </c>
      <c r="M1134" s="1" t="s">
        <v>104</v>
      </c>
      <c r="N1134" s="1" t="s">
        <v>17680</v>
      </c>
      <c r="O1134" s="1" t="s">
        <v>312</v>
      </c>
      <c r="P1134" s="1" t="s">
        <v>6187</v>
      </c>
      <c r="Q1134" s="1" t="s">
        <v>13569</v>
      </c>
      <c r="R1134" s="1" t="s">
        <v>172</v>
      </c>
      <c r="S1134" s="1" t="s">
        <v>5415</v>
      </c>
      <c r="Z1134" s="1" t="s">
        <v>17681</v>
      </c>
      <c r="AA1134" s="10">
        <v>1300000.0</v>
      </c>
      <c r="AB1134" s="1" t="s">
        <v>17682</v>
      </c>
      <c r="AC1134" s="10">
        <v>1200000.0</v>
      </c>
      <c r="AD1134" s="1" t="s">
        <v>17683</v>
      </c>
      <c r="AE1134" s="1" t="s">
        <v>217</v>
      </c>
      <c r="AF1134" s="10">
        <v>5000000.0</v>
      </c>
      <c r="AH1134" s="1">
        <v>8.41549322E9</v>
      </c>
      <c r="AI1134" s="1" t="s">
        <v>222</v>
      </c>
      <c r="AJ1134" s="1">
        <v>162.0</v>
      </c>
      <c r="AK1134" s="1">
        <v>58.0</v>
      </c>
      <c r="AL1134" s="1" t="s">
        <v>17684</v>
      </c>
      <c r="AM1134" s="1" t="s">
        <v>17685</v>
      </c>
      <c r="AN1134" s="7" t="s">
        <v>17686</v>
      </c>
      <c r="AO1134" s="8" t="str">
        <f>HYPERLINK("https://docs.google.com/document/d/18BDB9Iu8UwqgUxRz1Nyu6sA9q7yZaTw186vmw5s_1rg/edit?usp=drivesdk","Al-Wildan 14 Bumi Mutiara, Bogor_Lea Priscilla Putri, S.Pd_S.E.M")</f>
        <v>Al-Wildan 14 Bumi Mutiara, Bogor_Lea Priscilla Putri, S.Pd_S.E.M</v>
      </c>
      <c r="AP1134" s="1" t="s">
        <v>17687</v>
      </c>
    </row>
    <row r="1135">
      <c r="A1135" s="6">
        <v>45566.265381793986</v>
      </c>
      <c r="B1135" s="7" t="s">
        <v>17688</v>
      </c>
      <c r="C1135" s="8" t="s">
        <v>17689</v>
      </c>
      <c r="D1135" s="1" t="s">
        <v>17690</v>
      </c>
      <c r="E1135" s="9" t="s">
        <v>17691</v>
      </c>
      <c r="F1135" s="1" t="s">
        <v>17692</v>
      </c>
      <c r="G1135" s="1" t="s">
        <v>17693</v>
      </c>
      <c r="H1135" s="1" t="s">
        <v>11017</v>
      </c>
      <c r="I1135" s="9" t="s">
        <v>17694</v>
      </c>
      <c r="J1135" s="1" t="s">
        <v>9654</v>
      </c>
      <c r="K1135" s="1" t="s">
        <v>151</v>
      </c>
      <c r="L1135" s="1" t="s">
        <v>103</v>
      </c>
      <c r="M1135" s="1" t="s">
        <v>104</v>
      </c>
      <c r="N1135" s="1" t="s">
        <v>17695</v>
      </c>
      <c r="O1135" s="1" t="s">
        <v>9794</v>
      </c>
      <c r="P1135" s="1" t="s">
        <v>17019</v>
      </c>
      <c r="Q1135" s="1" t="s">
        <v>590</v>
      </c>
      <c r="R1135" s="1" t="s">
        <v>552</v>
      </c>
      <c r="S1135" s="1" t="s">
        <v>12407</v>
      </c>
      <c r="Z1135" s="1" t="s">
        <v>17696</v>
      </c>
      <c r="AA1135" s="1" t="s">
        <v>17697</v>
      </c>
      <c r="AB1135" s="1" t="s">
        <v>17698</v>
      </c>
      <c r="AC1135" s="1" t="s">
        <v>17699</v>
      </c>
      <c r="AF1135" s="1" t="s">
        <v>17700</v>
      </c>
      <c r="AH1135" s="1">
        <v>1.13013947E9</v>
      </c>
      <c r="AI1135" s="1" t="s">
        <v>9002</v>
      </c>
      <c r="AJ1135" s="1">
        <v>157.0</v>
      </c>
      <c r="AK1135" s="1" t="s">
        <v>17701</v>
      </c>
      <c r="AL1135" s="1" t="s">
        <v>17702</v>
      </c>
      <c r="AM1135" s="1" t="s">
        <v>17703</v>
      </c>
      <c r="AN1135" s="7" t="s">
        <v>17704</v>
      </c>
      <c r="AO1135" s="8" t="str">
        <f>HYPERLINK("https://docs.google.com/document/d/1RCo3tTCAi_Kz7488EbtN9pIMrcqVED0GFU_eJo74cA4/edit?usp=drivesdk","Al-Wildan 20 Mataram_Baiq Nurul Fajriah, S.Si_Physics/Science and Math")</f>
        <v>Al-Wildan 20 Mataram_Baiq Nurul Fajriah, S.Si_Physics/Science and Math</v>
      </c>
      <c r="AP1135" s="1" t="s">
        <v>17705</v>
      </c>
    </row>
    <row r="1136">
      <c r="A1136" s="6">
        <v>45567.35891613426</v>
      </c>
      <c r="B1136" s="7" t="s">
        <v>17706</v>
      </c>
      <c r="C1136" s="8" t="s">
        <v>17707</v>
      </c>
      <c r="D1136" s="1" t="s">
        <v>17708</v>
      </c>
      <c r="E1136" s="9" t="s">
        <v>17709</v>
      </c>
      <c r="F1136" s="1" t="s">
        <v>17710</v>
      </c>
      <c r="G1136" s="1" t="s">
        <v>17711</v>
      </c>
      <c r="H1136" s="1" t="s">
        <v>722</v>
      </c>
      <c r="I1136" s="9" t="s">
        <v>17712</v>
      </c>
      <c r="J1136" s="1" t="s">
        <v>6398</v>
      </c>
      <c r="K1136" s="1" t="s">
        <v>151</v>
      </c>
      <c r="L1136" s="1" t="s">
        <v>329</v>
      </c>
      <c r="M1136" s="1" t="s">
        <v>104</v>
      </c>
      <c r="N1136" s="1" t="s">
        <v>17713</v>
      </c>
      <c r="O1136" s="1" t="s">
        <v>9794</v>
      </c>
      <c r="P1136" s="1" t="s">
        <v>7162</v>
      </c>
      <c r="Q1136" s="1" t="s">
        <v>17714</v>
      </c>
      <c r="R1136" s="1" t="s">
        <v>17715</v>
      </c>
      <c r="S1136" s="1" t="s">
        <v>1087</v>
      </c>
      <c r="Z1136" s="1" t="s">
        <v>17716</v>
      </c>
      <c r="AA1136" s="10">
        <v>1800000.0</v>
      </c>
      <c r="AB1136" s="1" t="s">
        <v>17717</v>
      </c>
      <c r="AC1136" s="10">
        <v>1000000.0</v>
      </c>
      <c r="AD1136" s="1" t="s">
        <v>17718</v>
      </c>
      <c r="AE1136" s="10">
        <v>400000.0</v>
      </c>
      <c r="AF1136" s="10">
        <v>5000000.0</v>
      </c>
      <c r="AG1136" s="1">
        <v>7.285868388E9</v>
      </c>
      <c r="AJ1136" s="1">
        <v>165.0</v>
      </c>
      <c r="AK1136" s="1">
        <v>62.0</v>
      </c>
      <c r="AL1136" s="1" t="s">
        <v>17719</v>
      </c>
      <c r="AM1136" s="1" t="s">
        <v>17720</v>
      </c>
      <c r="AN1136" s="7" t="s">
        <v>17721</v>
      </c>
      <c r="AO1136" s="8" t="str">
        <f>HYPERLINK("https://docs.google.com/document/d/166zYmkM9D_uaGsBzFpC_wATeudPEEeNO77dpH71coUA/edit?usp=drivesdk","Al-Wildan 7 Serang_Fiqqi Hilman Alfafa S.Ag_Arabic Language and Islamic Studies")</f>
        <v>Al-Wildan 7 Serang_Fiqqi Hilman Alfafa S.Ag_Arabic Language and Islamic Studies</v>
      </c>
      <c r="AP1136" s="1" t="s">
        <v>17722</v>
      </c>
    </row>
    <row r="1137">
      <c r="A1137" s="6">
        <v>45568.626080243055</v>
      </c>
      <c r="B1137" s="7" t="s">
        <v>17723</v>
      </c>
      <c r="C1137" s="8" t="s">
        <v>17724</v>
      </c>
      <c r="D1137" s="1" t="s">
        <v>17725</v>
      </c>
      <c r="E1137" s="9" t="s">
        <v>17726</v>
      </c>
      <c r="F1137" s="1" t="s">
        <v>17727</v>
      </c>
      <c r="G1137" s="1" t="s">
        <v>17728</v>
      </c>
      <c r="H1137" s="1" t="s">
        <v>11250</v>
      </c>
      <c r="I1137" s="9" t="s">
        <v>17729</v>
      </c>
      <c r="J1137" s="1" t="s">
        <v>5330</v>
      </c>
      <c r="K1137" s="1" t="s">
        <v>151</v>
      </c>
      <c r="L1137" s="1" t="s">
        <v>103</v>
      </c>
      <c r="M1137" s="1" t="s">
        <v>6060</v>
      </c>
      <c r="O1137" s="1" t="s">
        <v>9794</v>
      </c>
      <c r="P1137" s="1" t="s">
        <v>7162</v>
      </c>
      <c r="Q1137" s="1" t="s">
        <v>17730</v>
      </c>
      <c r="R1137" s="1" t="s">
        <v>17731</v>
      </c>
      <c r="S1137" s="1" t="s">
        <v>8549</v>
      </c>
      <c r="Z1137" s="1" t="s">
        <v>17732</v>
      </c>
      <c r="AA1137" s="10">
        <v>2000000.0</v>
      </c>
      <c r="AB1137" s="1" t="s">
        <v>17733</v>
      </c>
      <c r="AC1137" s="10">
        <v>2500000.0</v>
      </c>
      <c r="AD1137" s="1" t="s">
        <v>17734</v>
      </c>
      <c r="AE1137" s="10">
        <v>3000000.0</v>
      </c>
      <c r="AF1137" s="10">
        <v>4700000.0</v>
      </c>
      <c r="AH1137" s="1">
        <v>5.71001043082532E14</v>
      </c>
      <c r="AI1137" s="1" t="s">
        <v>5015</v>
      </c>
      <c r="AJ1137" s="1">
        <v>162.0</v>
      </c>
      <c r="AK1137" s="1">
        <v>52.0</v>
      </c>
      <c r="AL1137" s="1" t="s">
        <v>17735</v>
      </c>
      <c r="AM1137" s="1" t="s">
        <v>17736</v>
      </c>
      <c r="AN1137" s="7" t="s">
        <v>17737</v>
      </c>
      <c r="AO1137" s="8" t="str">
        <f>HYPERLINK("https://docs.google.com/document/d/1trBn7e5XXdByJIXpyT6UduapdLmW_z9F3n7htIn3YmM/edit?usp=drivesdk","Al-Wildan 7 Serang_Rizki Fajarudin, S.H_")</f>
        <v>Al-Wildan 7 Serang_Rizki Fajarudin, S.H_</v>
      </c>
      <c r="AP1137" s="1" t="s">
        <v>17738</v>
      </c>
    </row>
    <row r="1138">
      <c r="A1138" s="6">
        <v>45568.634461539354</v>
      </c>
      <c r="B1138" s="7" t="s">
        <v>17739</v>
      </c>
      <c r="C1138" s="8" t="s">
        <v>17740</v>
      </c>
      <c r="D1138" s="1" t="s">
        <v>17741</v>
      </c>
      <c r="E1138" s="9" t="s">
        <v>17742</v>
      </c>
      <c r="F1138" s="1" t="s">
        <v>17743</v>
      </c>
      <c r="G1138" s="1" t="s">
        <v>4139</v>
      </c>
      <c r="H1138" s="1" t="s">
        <v>4139</v>
      </c>
      <c r="I1138" s="9" t="s">
        <v>17744</v>
      </c>
      <c r="J1138" s="1" t="s">
        <v>8032</v>
      </c>
      <c r="K1138" s="1" t="s">
        <v>151</v>
      </c>
      <c r="L1138" s="1" t="s">
        <v>256</v>
      </c>
      <c r="M1138" s="1" t="s">
        <v>104</v>
      </c>
      <c r="N1138" s="1" t="s">
        <v>6624</v>
      </c>
      <c r="O1138" s="1" t="s">
        <v>9794</v>
      </c>
      <c r="P1138" s="1" t="s">
        <v>6091</v>
      </c>
      <c r="Q1138" s="1" t="s">
        <v>6467</v>
      </c>
      <c r="R1138" s="1" t="s">
        <v>130</v>
      </c>
      <c r="S1138" s="1" t="s">
        <v>6303</v>
      </c>
      <c r="T1138" s="1" t="s">
        <v>153</v>
      </c>
      <c r="U1138" s="1" t="s">
        <v>130</v>
      </c>
      <c r="V1138" s="1" t="s">
        <v>17745</v>
      </c>
      <c r="Z1138" s="1" t="s">
        <v>17746</v>
      </c>
      <c r="AA1138" s="10">
        <v>4200000.0</v>
      </c>
      <c r="AB1138" s="1" t="s">
        <v>17747</v>
      </c>
      <c r="AC1138" s="1" t="s">
        <v>17748</v>
      </c>
      <c r="AD1138" s="1" t="s">
        <v>17749</v>
      </c>
      <c r="AE1138" s="10">
        <v>7000000.0</v>
      </c>
      <c r="AF1138" s="10">
        <v>9000000.0</v>
      </c>
      <c r="AH1138" s="1">
        <v>1.08002547188E12</v>
      </c>
      <c r="AI1138" s="1" t="s">
        <v>2119</v>
      </c>
      <c r="AJ1138" s="1">
        <v>161.0</v>
      </c>
      <c r="AK1138" s="1">
        <v>65.0</v>
      </c>
      <c r="AL1138" s="1" t="s">
        <v>17750</v>
      </c>
      <c r="AM1138" s="1" t="s">
        <v>17751</v>
      </c>
      <c r="AN1138" s="7" t="s">
        <v>17752</v>
      </c>
      <c r="AO1138" s="8" t="str">
        <f>HYPERLINK("https://docs.google.com/document/d/1LEEVBimgLN23e21hLM-IRq2YLxg6Jxm8CcBEbWzdY6M/edit?usp=drivesdk","Al-Wildan 10 Cipinang, Jakarta Timur_Febrinna Marchy, M.Pd._Math Cambridge")</f>
        <v>Al-Wildan 10 Cipinang, Jakarta Timur_Febrinna Marchy, M.Pd._Math Cambridge</v>
      </c>
      <c r="AP1138" s="1" t="s">
        <v>17753</v>
      </c>
    </row>
    <row r="1139">
      <c r="A1139" s="6">
        <v>45569.031560347226</v>
      </c>
      <c r="B1139" s="7" t="s">
        <v>17754</v>
      </c>
      <c r="C1139" s="8" t="s">
        <v>17755</v>
      </c>
      <c r="D1139" s="1" t="s">
        <v>17756</v>
      </c>
      <c r="E1139" s="9" t="s">
        <v>17757</v>
      </c>
      <c r="F1139" s="1" t="s">
        <v>17758</v>
      </c>
      <c r="G1139" s="1" t="s">
        <v>17759</v>
      </c>
      <c r="H1139" s="1" t="s">
        <v>169</v>
      </c>
      <c r="I1139" s="9" t="s">
        <v>16722</v>
      </c>
      <c r="J1139" s="1" t="s">
        <v>7941</v>
      </c>
      <c r="K1139" s="1" t="s">
        <v>151</v>
      </c>
      <c r="L1139" s="1" t="s">
        <v>256</v>
      </c>
      <c r="M1139" s="1" t="s">
        <v>104</v>
      </c>
      <c r="N1139" s="1" t="s">
        <v>152</v>
      </c>
      <c r="O1139" s="1" t="s">
        <v>9794</v>
      </c>
      <c r="P1139" s="1" t="s">
        <v>6091</v>
      </c>
      <c r="Q1139" s="1" t="s">
        <v>275</v>
      </c>
      <c r="R1139" s="1" t="s">
        <v>17760</v>
      </c>
      <c r="S1139" s="1" t="s">
        <v>9882</v>
      </c>
      <c r="Z1139" s="1" t="s">
        <v>17761</v>
      </c>
      <c r="AA1139" s="1" t="s">
        <v>17762</v>
      </c>
      <c r="AB1139" s="1" t="s">
        <v>17763</v>
      </c>
      <c r="AC1139" s="10">
        <v>3000000.0</v>
      </c>
      <c r="AD1139" s="1" t="s">
        <v>17764</v>
      </c>
      <c r="AE1139" s="1" t="s">
        <v>17765</v>
      </c>
      <c r="AF1139" s="1" t="s">
        <v>17766</v>
      </c>
      <c r="AG1139" s="1">
        <v>7.11238981E9</v>
      </c>
      <c r="AJ1139" s="1">
        <v>159.0</v>
      </c>
      <c r="AK1139" s="1">
        <v>52.0</v>
      </c>
      <c r="AL1139" s="1" t="s">
        <v>17767</v>
      </c>
      <c r="AM1139" s="1" t="s">
        <v>17768</v>
      </c>
      <c r="AN1139" s="7" t="s">
        <v>17769</v>
      </c>
      <c r="AO1139" s="8" t="str">
        <f>HYPERLINK("https://docs.google.com/document/d/1dtK42orBw0o3QAHkD0YBYZ5YzNaWgyNXsNcQo1WhJRs/edit?usp=drivesdk","Al-Wildan 10 Cipinang, Jakarta Timur_Melati Inezia Al Kahfi, S.IP_Bahasa Inggris")</f>
        <v>Al-Wildan 10 Cipinang, Jakarta Timur_Melati Inezia Al Kahfi, S.IP_Bahasa Inggris</v>
      </c>
      <c r="AP1139" s="1" t="s">
        <v>17770</v>
      </c>
    </row>
    <row r="1140">
      <c r="A1140" s="6">
        <v>45570.704760243054</v>
      </c>
      <c r="B1140" s="7" t="s">
        <v>17771</v>
      </c>
      <c r="C1140" s="8" t="s">
        <v>17772</v>
      </c>
      <c r="D1140" s="1" t="s">
        <v>17773</v>
      </c>
      <c r="E1140" s="1" t="s">
        <v>17774</v>
      </c>
      <c r="F1140" s="1" t="s">
        <v>17775</v>
      </c>
      <c r="G1140" s="1" t="s">
        <v>17776</v>
      </c>
      <c r="H1140" s="1" t="s">
        <v>1411</v>
      </c>
      <c r="I1140" s="9" t="s">
        <v>17777</v>
      </c>
      <c r="J1140" s="1" t="s">
        <v>8447</v>
      </c>
      <c r="K1140" s="1" t="s">
        <v>151</v>
      </c>
      <c r="L1140" s="1" t="s">
        <v>103</v>
      </c>
      <c r="M1140" s="1" t="s">
        <v>104</v>
      </c>
      <c r="N1140" s="1" t="s">
        <v>17778</v>
      </c>
      <c r="O1140" s="1" t="s">
        <v>312</v>
      </c>
      <c r="P1140" s="1" t="s">
        <v>11168</v>
      </c>
      <c r="Q1140" s="1" t="s">
        <v>10317</v>
      </c>
      <c r="R1140" s="1" t="s">
        <v>17779</v>
      </c>
      <c r="S1140" s="1" t="s">
        <v>17780</v>
      </c>
      <c r="Z1140" s="1" t="s">
        <v>17781</v>
      </c>
      <c r="AA1140" s="10">
        <v>3100000.0</v>
      </c>
      <c r="AB1140" s="1" t="s">
        <v>17782</v>
      </c>
      <c r="AC1140" s="10">
        <v>2100000.0</v>
      </c>
      <c r="AD1140" s="1" t="s">
        <v>17783</v>
      </c>
      <c r="AE1140" s="10">
        <v>2000000.0</v>
      </c>
      <c r="AF1140" s="10">
        <v>5500000.0</v>
      </c>
      <c r="AG1140" s="1">
        <v>4.3107462E9</v>
      </c>
      <c r="AI1140" s="1" t="s">
        <v>16512</v>
      </c>
      <c r="AJ1140" s="1">
        <v>156.0</v>
      </c>
      <c r="AK1140" s="1">
        <v>40.0</v>
      </c>
      <c r="AL1140" s="1" t="s">
        <v>17784</v>
      </c>
      <c r="AM1140" s="1" t="s">
        <v>17785</v>
      </c>
      <c r="AN1140" s="7" t="s">
        <v>17786</v>
      </c>
      <c r="AO1140" s="8" t="str">
        <f>HYPERLINK("https://docs.google.com/document/d/1cA-hMQr6bRqmS9sQUKV3vT99Bv7WhMtP9A9Y0P2TV8s/edit?usp=drivesdk","Al-Wildan 8 Parung_Zainab Aqilah S,E_Science ")</f>
        <v>Al-Wildan 8 Parung_Zainab Aqilah S,E_Science </v>
      </c>
      <c r="AP1140" s="1" t="s">
        <v>17787</v>
      </c>
    </row>
    <row r="1141">
      <c r="A1141" s="6">
        <v>45593.81987740741</v>
      </c>
      <c r="B1141" s="7" t="s">
        <v>17788</v>
      </c>
      <c r="C1141" s="8" t="s">
        <v>17789</v>
      </c>
      <c r="D1141" s="1" t="s">
        <v>17790</v>
      </c>
      <c r="E1141" s="9" t="s">
        <v>17791</v>
      </c>
      <c r="F1141" s="1" t="s">
        <v>17792</v>
      </c>
      <c r="G1141" s="1" t="s">
        <v>17793</v>
      </c>
      <c r="H1141" s="1" t="s">
        <v>17794</v>
      </c>
      <c r="I1141" s="9" t="s">
        <v>17795</v>
      </c>
      <c r="J1141" s="1" t="s">
        <v>667</v>
      </c>
      <c r="K1141" s="1" t="s">
        <v>151</v>
      </c>
      <c r="L1141" s="1" t="s">
        <v>103</v>
      </c>
      <c r="M1141" s="1" t="s">
        <v>104</v>
      </c>
      <c r="N1141" s="1" t="s">
        <v>17796</v>
      </c>
      <c r="O1141" s="1" t="s">
        <v>127</v>
      </c>
      <c r="P1141" s="1" t="s">
        <v>237</v>
      </c>
      <c r="Q1141" s="1" t="s">
        <v>17797</v>
      </c>
      <c r="R1141" s="1" t="s">
        <v>441</v>
      </c>
      <c r="S1141" s="1">
        <v>3.86</v>
      </c>
      <c r="Z1141" s="1" t="s">
        <v>17798</v>
      </c>
      <c r="AA1141" s="10">
        <v>2000000.0</v>
      </c>
      <c r="AB1141" s="1" t="s">
        <v>17799</v>
      </c>
      <c r="AC1141" s="10">
        <v>1200000.0</v>
      </c>
      <c r="AD1141" s="1" t="s">
        <v>17800</v>
      </c>
      <c r="AE1141" s="10">
        <v>1200000.0</v>
      </c>
      <c r="AF1141" s="10">
        <v>5500000.0</v>
      </c>
      <c r="AH1141" s="9" t="s">
        <v>17801</v>
      </c>
      <c r="AI1141" s="1" t="s">
        <v>17802</v>
      </c>
      <c r="AJ1141" s="1">
        <v>159.0</v>
      </c>
      <c r="AK1141" s="1">
        <v>49.0</v>
      </c>
      <c r="AL1141" s="1" t="s">
        <v>17803</v>
      </c>
      <c r="AM1141" s="1" t="s">
        <v>17804</v>
      </c>
      <c r="AN1141" s="7" t="s">
        <v>17805</v>
      </c>
      <c r="AO1141" s="8" t="str">
        <f>HYPERLINK("https://docs.google.com/document/d/1CWMtEXEWq7iXVJa67GBf5MkvE0CHbiF-p4O-cN4f13s/edit?usp=drivesdk","Al-Wildan 4 Lebak Bulus_Nuris Watunnaba.S,Pd_Guru PKN")</f>
        <v>Al-Wildan 4 Lebak Bulus_Nuris Watunnaba.S,Pd_Guru PKN</v>
      </c>
      <c r="AP1141" s="1" t="s">
        <v>17806</v>
      </c>
    </row>
    <row r="1142">
      <c r="A1142" s="6">
        <v>45618.6184793287</v>
      </c>
      <c r="B1142" s="7" t="s">
        <v>17807</v>
      </c>
      <c r="C1142" s="8" t="s">
        <v>17808</v>
      </c>
      <c r="D1142" s="1" t="s">
        <v>17809</v>
      </c>
      <c r="E1142" s="9" t="s">
        <v>17810</v>
      </c>
      <c r="F1142" s="1" t="s">
        <v>17811</v>
      </c>
      <c r="G1142" s="1" t="s">
        <v>17812</v>
      </c>
      <c r="H1142" s="1" t="s">
        <v>169</v>
      </c>
      <c r="I1142" s="9" t="s">
        <v>17813</v>
      </c>
      <c r="J1142" s="1" t="s">
        <v>6398</v>
      </c>
      <c r="K1142" s="1" t="s">
        <v>151</v>
      </c>
      <c r="L1142" s="1" t="s">
        <v>103</v>
      </c>
      <c r="M1142" s="1" t="s">
        <v>104</v>
      </c>
      <c r="N1142" s="1" t="s">
        <v>17814</v>
      </c>
      <c r="O1142" s="1" t="s">
        <v>312</v>
      </c>
      <c r="P1142" s="1" t="s">
        <v>6187</v>
      </c>
      <c r="Q1142" s="1" t="s">
        <v>1362</v>
      </c>
      <c r="R1142" s="1" t="s">
        <v>126</v>
      </c>
      <c r="S1142" s="9" t="s">
        <v>4736</v>
      </c>
      <c r="Z1142" s="1" t="s">
        <v>17815</v>
      </c>
      <c r="AB1142" s="1" t="s">
        <v>17816</v>
      </c>
      <c r="AF1142" s="10">
        <v>6000000.0</v>
      </c>
      <c r="AG1142" s="1">
        <v>7.190096267E9</v>
      </c>
      <c r="AJ1142" s="1">
        <v>160.0</v>
      </c>
      <c r="AK1142" s="1">
        <v>58.0</v>
      </c>
      <c r="AL1142" s="1" t="s">
        <v>17817</v>
      </c>
      <c r="AM1142" s="1" t="s">
        <v>17818</v>
      </c>
      <c r="AN1142" s="7" t="s">
        <v>17819</v>
      </c>
      <c r="AO1142" s="8" t="str">
        <f>HYPERLINK("https://docs.google.com/document/d/1Mz7mxIEW4suaB3xcovqD0RBquXMKRCMwVvPhP5WJwig/edit?usp=drivesdk","Al-Wildan 14 Bumi Mutiara, Bogor_Hafizhah Farahiyati Ananda, S.Mat._SEM (Science, English, Mathematics)")</f>
        <v>Al-Wildan 14 Bumi Mutiara, Bogor_Hafizhah Farahiyati Ananda, S.Mat._SEM (Science, English, Mathematics)</v>
      </c>
      <c r="AP1142" s="1" t="s">
        <v>17820</v>
      </c>
    </row>
    <row r="1143">
      <c r="A1143" s="6">
        <v>45644.60306037037</v>
      </c>
      <c r="B1143" s="7" t="s">
        <v>17821</v>
      </c>
      <c r="C1143" s="8" t="s">
        <v>17822</v>
      </c>
      <c r="D1143" s="1" t="s">
        <v>17823</v>
      </c>
      <c r="E1143" s="9" t="s">
        <v>17824</v>
      </c>
      <c r="F1143" s="1" t="s">
        <v>17825</v>
      </c>
      <c r="G1143" s="1" t="s">
        <v>17826</v>
      </c>
      <c r="H1143" s="1" t="s">
        <v>6169</v>
      </c>
      <c r="I1143" s="9" t="s">
        <v>4982</v>
      </c>
      <c r="J1143" s="1" t="s">
        <v>17827</v>
      </c>
      <c r="K1143" s="1" t="s">
        <v>151</v>
      </c>
      <c r="L1143" s="1" t="s">
        <v>496</v>
      </c>
      <c r="M1143" s="1" t="s">
        <v>7580</v>
      </c>
      <c r="N1143" s="1" t="s">
        <v>1153</v>
      </c>
      <c r="O1143" s="1" t="s">
        <v>127</v>
      </c>
      <c r="P1143" s="1" t="s">
        <v>6659</v>
      </c>
      <c r="Q1143" s="1" t="s">
        <v>1505</v>
      </c>
      <c r="R1143" s="1" t="s">
        <v>235</v>
      </c>
      <c r="S1143" s="1" t="s">
        <v>17828</v>
      </c>
      <c r="Z1143" s="1" t="s">
        <v>17829</v>
      </c>
      <c r="AA1143" s="1" t="s">
        <v>217</v>
      </c>
      <c r="AF1143" s="1" t="s">
        <v>17830</v>
      </c>
      <c r="AG1143" s="1">
        <v>7.7229167E9</v>
      </c>
      <c r="AJ1143" s="1">
        <v>157.0</v>
      </c>
      <c r="AK1143" s="1">
        <v>57.0</v>
      </c>
      <c r="AL1143" s="1" t="s">
        <v>17831</v>
      </c>
      <c r="AM1143" s="1" t="s">
        <v>17832</v>
      </c>
      <c r="AN1143" s="7" t="s">
        <v>17833</v>
      </c>
      <c r="AO1143" s="8" t="str">
        <f>HYPERLINK("https://docs.google.com/document/d/1XDQfVjKLmr3QwMX9prm7oWdNKTHsFhJn4D6hd77kh1s/edit?usp=drivesdk","Al-Wildan 15 Kompas Indah, Tambun Bekasi._Nasywa Ifada B.A_Alquran dan Arabic")</f>
        <v>Al-Wildan 15 Kompas Indah, Tambun Bekasi._Nasywa Ifada B.A_Alquran dan Arabic</v>
      </c>
      <c r="AP1143" s="1" t="s">
        <v>17834</v>
      </c>
    </row>
    <row r="1144">
      <c r="A1144" s="6">
        <v>45644.60759221065</v>
      </c>
      <c r="B1144" s="7" t="s">
        <v>17835</v>
      </c>
      <c r="C1144" s="8" t="s">
        <v>17836</v>
      </c>
      <c r="D1144" s="1" t="s">
        <v>17823</v>
      </c>
      <c r="E1144" s="9" t="s">
        <v>17824</v>
      </c>
      <c r="F1144" s="1" t="s">
        <v>17825</v>
      </c>
      <c r="G1144" s="1" t="s">
        <v>17837</v>
      </c>
      <c r="H1144" s="1" t="s">
        <v>6169</v>
      </c>
      <c r="I1144" s="9" t="s">
        <v>4982</v>
      </c>
      <c r="J1144" s="1" t="s">
        <v>17827</v>
      </c>
      <c r="K1144" s="1" t="s">
        <v>151</v>
      </c>
      <c r="L1144" s="1" t="s">
        <v>496</v>
      </c>
      <c r="M1144" s="1" t="s">
        <v>7580</v>
      </c>
      <c r="N1144" s="1" t="s">
        <v>17838</v>
      </c>
      <c r="O1144" s="1" t="s">
        <v>127</v>
      </c>
      <c r="P1144" s="1" t="s">
        <v>6659</v>
      </c>
      <c r="Q1144" s="1" t="s">
        <v>8582</v>
      </c>
      <c r="R1144" s="1" t="s">
        <v>17839</v>
      </c>
      <c r="S1144" s="1" t="s">
        <v>17840</v>
      </c>
      <c r="Z1144" s="1" t="s">
        <v>17841</v>
      </c>
      <c r="AA1144" s="1" t="s">
        <v>217</v>
      </c>
      <c r="AF1144" s="1" t="s">
        <v>17842</v>
      </c>
      <c r="AG1144" s="1">
        <v>7.7229167E9</v>
      </c>
      <c r="AJ1144" s="1">
        <v>157.0</v>
      </c>
      <c r="AK1144" s="1">
        <v>57.0</v>
      </c>
      <c r="AL1144" s="1" t="s">
        <v>17843</v>
      </c>
      <c r="AM1144" s="1" t="s">
        <v>17844</v>
      </c>
      <c r="AN1144" s="7" t="s">
        <v>17845</v>
      </c>
      <c r="AO1144" s="8" t="str">
        <f>HYPERLINK("https://docs.google.com/document/d/1EkPywKnnbkoyfOhpAKflFXmERhchWYSxbElmsDgijzI/edit?usp=drivesdk","Al-Wildan 15 Kompas Indah, Tambun Bekasi._Nasywa Ifada B.A_Alqur'an dan Arabic")</f>
        <v>Al-Wildan 15 Kompas Indah, Tambun Bekasi._Nasywa Ifada B.A_Alqur'an dan Arabic</v>
      </c>
      <c r="AP1144" s="1" t="s">
        <v>17846</v>
      </c>
    </row>
    <row r="1145">
      <c r="A1145" s="6">
        <v>45660.23731039352</v>
      </c>
      <c r="B1145" s="7" t="s">
        <v>17847</v>
      </c>
      <c r="C1145" s="8" t="s">
        <v>17848</v>
      </c>
      <c r="D1145" s="1" t="s">
        <v>17849</v>
      </c>
      <c r="E1145" s="9" t="s">
        <v>17850</v>
      </c>
      <c r="F1145" s="1" t="s">
        <v>17851</v>
      </c>
      <c r="G1145" s="1" t="s">
        <v>17852</v>
      </c>
      <c r="H1145" s="1" t="s">
        <v>17853</v>
      </c>
      <c r="I1145" s="9" t="s">
        <v>17854</v>
      </c>
      <c r="J1145" s="1" t="s">
        <v>14081</v>
      </c>
      <c r="K1145" s="1" t="s">
        <v>151</v>
      </c>
      <c r="L1145" s="1" t="s">
        <v>256</v>
      </c>
      <c r="M1145" s="1" t="s">
        <v>104</v>
      </c>
      <c r="N1145" s="1" t="s">
        <v>17855</v>
      </c>
      <c r="O1145" s="1" t="s">
        <v>312</v>
      </c>
      <c r="P1145" s="1" t="s">
        <v>6533</v>
      </c>
      <c r="Q1145" s="1" t="s">
        <v>1022</v>
      </c>
      <c r="R1145" s="1" t="s">
        <v>193</v>
      </c>
      <c r="S1145" s="1" t="s">
        <v>17856</v>
      </c>
      <c r="Z1145" s="1" t="s">
        <v>17857</v>
      </c>
      <c r="AA1145" s="1" t="s">
        <v>17858</v>
      </c>
      <c r="AB1145" s="1" t="s">
        <v>17859</v>
      </c>
      <c r="AC1145" s="1" t="s">
        <v>17860</v>
      </c>
      <c r="AF1145" s="10">
        <v>5000000.0</v>
      </c>
      <c r="AG1145" s="1">
        <v>1.156624344E9</v>
      </c>
      <c r="AJ1145" s="1">
        <v>150.0</v>
      </c>
      <c r="AK1145" s="1">
        <v>47.0</v>
      </c>
      <c r="AL1145" s="1" t="s">
        <v>17861</v>
      </c>
      <c r="AM1145" s="1" t="s">
        <v>17862</v>
      </c>
      <c r="AN1145" s="7" t="s">
        <v>17863</v>
      </c>
      <c r="AO1145" s="8" t="str">
        <f>HYPERLINK("https://docs.google.com/document/d/1IYA6dpnYuP6Aqgqf5QG9IAOrXSzl8W3VR1dbt2uMx5E/edit?usp=drivesdk","Al-Wildan 5 Benhil_Faiza Luthfiah Hikhmah B. Sh_Diniyyah, Arabic, Qur'an")</f>
        <v>Al-Wildan 5 Benhil_Faiza Luthfiah Hikhmah B. Sh_Diniyyah, Arabic, Qur'an</v>
      </c>
      <c r="AP1145" s="1" t="s">
        <v>17864</v>
      </c>
    </row>
    <row r="1146">
      <c r="A1146" s="6">
        <v>45660.31135001157</v>
      </c>
      <c r="B1146" s="7" t="s">
        <v>17865</v>
      </c>
      <c r="C1146" s="8" t="s">
        <v>17866</v>
      </c>
      <c r="D1146" s="1" t="s">
        <v>17867</v>
      </c>
      <c r="E1146" s="9" t="s">
        <v>17868</v>
      </c>
      <c r="F1146" s="1" t="s">
        <v>17869</v>
      </c>
      <c r="G1146" s="1" t="s">
        <v>17870</v>
      </c>
      <c r="H1146" s="1" t="s">
        <v>7578</v>
      </c>
      <c r="I1146" s="9" t="s">
        <v>17871</v>
      </c>
      <c r="J1146" s="1" t="s">
        <v>17872</v>
      </c>
      <c r="K1146" s="1" t="s">
        <v>102</v>
      </c>
      <c r="L1146" s="1" t="s">
        <v>103</v>
      </c>
      <c r="M1146" s="1" t="s">
        <v>104</v>
      </c>
      <c r="N1146" s="1" t="s">
        <v>17873</v>
      </c>
      <c r="O1146" s="1" t="s">
        <v>312</v>
      </c>
      <c r="P1146" s="1" t="s">
        <v>6187</v>
      </c>
      <c r="Q1146" s="1" t="s">
        <v>17874</v>
      </c>
      <c r="R1146" s="1" t="s">
        <v>17875</v>
      </c>
      <c r="S1146" s="1" t="s">
        <v>17876</v>
      </c>
      <c r="Z1146" s="1" t="s">
        <v>17877</v>
      </c>
      <c r="AA1146" s="1" t="s">
        <v>217</v>
      </c>
      <c r="AF1146" s="10">
        <v>9900000.0</v>
      </c>
      <c r="AG1146" s="1">
        <v>5.88784653E9</v>
      </c>
      <c r="AJ1146" s="1">
        <v>168.0</v>
      </c>
      <c r="AK1146" s="1">
        <v>60.0</v>
      </c>
      <c r="AL1146" s="1" t="s">
        <v>17878</v>
      </c>
      <c r="AM1146" s="1" t="s">
        <v>17879</v>
      </c>
      <c r="AN1146" s="7" t="s">
        <v>17880</v>
      </c>
      <c r="AO1146" s="8" t="str">
        <f>HYPERLINK("https://docs.google.com/document/d/1m4GVliZGQMl2DY1kP_s74F6gRylxpp0ErBs1x4kS39g/edit?usp=drivesdk","Al-Wildan 14 Bumi Mutiara, Bogor_Abbad Zulfikri, BA._Ilmu Syari, Hadits, Tauhid, Fiqih, Arabic.")</f>
        <v>Al-Wildan 14 Bumi Mutiara, Bogor_Abbad Zulfikri, BA._Ilmu Syari, Hadits, Tauhid, Fiqih, Arabic.</v>
      </c>
      <c r="AP1146" s="1" t="s">
        <v>17881</v>
      </c>
    </row>
    <row r="1147">
      <c r="A1147" s="6">
        <v>45661.628871064815</v>
      </c>
      <c r="B1147" s="7" t="s">
        <v>17882</v>
      </c>
      <c r="C1147" s="8" t="s">
        <v>17883</v>
      </c>
      <c r="D1147" s="1" t="s">
        <v>17884</v>
      </c>
      <c r="E1147" s="9" t="s">
        <v>17885</v>
      </c>
      <c r="F1147" s="1" t="s">
        <v>17886</v>
      </c>
      <c r="G1147" s="1" t="s">
        <v>17887</v>
      </c>
      <c r="H1147" s="1" t="s">
        <v>17888</v>
      </c>
      <c r="I1147" s="9" t="s">
        <v>17889</v>
      </c>
      <c r="J1147" s="1" t="s">
        <v>2131</v>
      </c>
      <c r="K1147" s="1" t="s">
        <v>151</v>
      </c>
      <c r="L1147" s="1" t="s">
        <v>329</v>
      </c>
      <c r="M1147" s="1" t="s">
        <v>104</v>
      </c>
      <c r="N1147" s="1" t="s">
        <v>17890</v>
      </c>
      <c r="O1147" s="1" t="s">
        <v>106</v>
      </c>
      <c r="P1147" s="1" t="s">
        <v>237</v>
      </c>
      <c r="Q1147" s="1" t="s">
        <v>17891</v>
      </c>
      <c r="S1147" s="1" t="s">
        <v>479</v>
      </c>
      <c r="Z1147" s="1" t="s">
        <v>17892</v>
      </c>
      <c r="AA1147" s="10">
        <v>4000000.0</v>
      </c>
      <c r="AB1147" s="1" t="s">
        <v>17893</v>
      </c>
      <c r="AC1147" s="10">
        <v>5500000.0</v>
      </c>
      <c r="AD1147" s="1" t="s">
        <v>17894</v>
      </c>
      <c r="AE1147" s="10">
        <v>5500000.0</v>
      </c>
      <c r="AF1147" s="10">
        <v>7000000.0</v>
      </c>
      <c r="AG1147" s="1">
        <v>7.158740723E9</v>
      </c>
      <c r="AI1147" s="1" t="s">
        <v>10433</v>
      </c>
      <c r="AJ1147" s="1">
        <v>155.0</v>
      </c>
      <c r="AK1147" s="1">
        <v>58.0</v>
      </c>
      <c r="AL1147" s="1" t="s">
        <v>17895</v>
      </c>
      <c r="AM1147" s="1" t="s">
        <v>17896</v>
      </c>
      <c r="AN1147" s="7" t="s">
        <v>17897</v>
      </c>
      <c r="AO1147" s="8" t="str">
        <f>HYPERLINK("https://docs.google.com/document/d/1Izt6US7euRzIewFXOY73cH-PkG77jgAiBncnK6EIVKs/edit?usp=drivesdk","Al-Wildan 4 Lebak Bulus_Nabillah_Al qur’an")</f>
        <v>Al-Wildan 4 Lebak Bulus_Nabillah_Al qur’an</v>
      </c>
      <c r="AP1147" s="1" t="s">
        <v>17898</v>
      </c>
    </row>
    <row r="1148">
      <c r="A1148" s="6">
        <v>45661.642885416666</v>
      </c>
      <c r="B1148" s="7" t="s">
        <v>17899</v>
      </c>
      <c r="C1148" s="8" t="s">
        <v>17900</v>
      </c>
      <c r="D1148" s="1" t="s">
        <v>17901</v>
      </c>
      <c r="E1148" s="9" t="s">
        <v>17902</v>
      </c>
      <c r="F1148" s="1" t="s">
        <v>17903</v>
      </c>
      <c r="G1148" s="1" t="s">
        <v>17904</v>
      </c>
      <c r="H1148" s="1" t="s">
        <v>169</v>
      </c>
      <c r="I1148" s="9" t="s">
        <v>17905</v>
      </c>
      <c r="J1148" s="1" t="s">
        <v>423</v>
      </c>
      <c r="K1148" s="1" t="s">
        <v>151</v>
      </c>
      <c r="L1148" s="1" t="s">
        <v>256</v>
      </c>
      <c r="M1148" s="1" t="s">
        <v>104</v>
      </c>
      <c r="N1148" s="1" t="s">
        <v>17906</v>
      </c>
      <c r="O1148" s="1" t="s">
        <v>106</v>
      </c>
      <c r="P1148" s="1" t="s">
        <v>237</v>
      </c>
      <c r="Q1148" s="1" t="s">
        <v>1344</v>
      </c>
      <c r="R1148" s="1" t="s">
        <v>17907</v>
      </c>
      <c r="S1148" s="1" t="s">
        <v>4892</v>
      </c>
      <c r="Z1148" s="1" t="s">
        <v>17908</v>
      </c>
      <c r="AA1148" s="10">
        <v>1000000.0</v>
      </c>
      <c r="AF1148" s="10">
        <v>5000000.0</v>
      </c>
      <c r="AH1148" s="1">
        <v>1.29701007122506E14</v>
      </c>
      <c r="AI1148" s="1" t="s">
        <v>2407</v>
      </c>
      <c r="AJ1148" s="1">
        <v>158.0</v>
      </c>
      <c r="AK1148" s="1">
        <v>80.0</v>
      </c>
      <c r="AL1148" s="1" t="s">
        <v>17909</v>
      </c>
      <c r="AM1148" s="1" t="s">
        <v>17910</v>
      </c>
      <c r="AN1148" s="7" t="s">
        <v>17911</v>
      </c>
      <c r="AO1148" s="8" t="str">
        <f>HYPERLINK("https://docs.google.com/document/d/1ymVkLwQu7DaDM0bsa1LcRbntjUKg3GbO7aCHC_ijKd8/edit?usp=drivesdk","Al-Wildan 4 Lebak Bulus_Alifia Azzahra, S.Pd_PKN")</f>
        <v>Al-Wildan 4 Lebak Bulus_Alifia Azzahra, S.Pd_PKN</v>
      </c>
      <c r="AP1148" s="1" t="s">
        <v>17912</v>
      </c>
    </row>
    <row r="1149">
      <c r="A1149" s="6">
        <v>45662.61448949074</v>
      </c>
      <c r="B1149" s="7" t="s">
        <v>17913</v>
      </c>
      <c r="C1149" s="8" t="s">
        <v>17914</v>
      </c>
      <c r="D1149" s="1" t="s">
        <v>17915</v>
      </c>
      <c r="E1149" s="9" t="s">
        <v>17916</v>
      </c>
      <c r="F1149" s="1" t="s">
        <v>17917</v>
      </c>
      <c r="G1149" s="1" t="s">
        <v>17918</v>
      </c>
      <c r="H1149" s="1" t="s">
        <v>13236</v>
      </c>
      <c r="I1149" s="9" t="s">
        <v>17919</v>
      </c>
      <c r="J1149" s="1" t="s">
        <v>17920</v>
      </c>
      <c r="K1149" s="1" t="s">
        <v>151</v>
      </c>
      <c r="L1149" s="1" t="s">
        <v>256</v>
      </c>
      <c r="M1149" s="1" t="s">
        <v>104</v>
      </c>
      <c r="N1149" s="1" t="s">
        <v>17921</v>
      </c>
      <c r="O1149" s="1" t="s">
        <v>127</v>
      </c>
      <c r="P1149" s="1" t="s">
        <v>237</v>
      </c>
      <c r="Q1149" s="1" t="s">
        <v>17922</v>
      </c>
      <c r="R1149" s="1" t="s">
        <v>5431</v>
      </c>
      <c r="S1149" s="1" t="s">
        <v>4462</v>
      </c>
      <c r="T1149" s="1" t="s">
        <v>17923</v>
      </c>
      <c r="U1149" s="1" t="s">
        <v>362</v>
      </c>
      <c r="V1149" s="1" t="s">
        <v>1364</v>
      </c>
      <c r="Z1149" s="1" t="s">
        <v>17924</v>
      </c>
      <c r="AA1149" s="1" t="s">
        <v>17925</v>
      </c>
      <c r="AB1149" s="1" t="s">
        <v>17926</v>
      </c>
      <c r="AC1149" s="1" t="s">
        <v>17927</v>
      </c>
      <c r="AF1149" s="12">
        <v>6500000.0</v>
      </c>
      <c r="AG1149" s="1">
        <v>7.202857242E9</v>
      </c>
      <c r="AJ1149" s="1">
        <v>158.0</v>
      </c>
      <c r="AK1149" s="1">
        <v>56.0</v>
      </c>
      <c r="AL1149" s="1" t="s">
        <v>17928</v>
      </c>
      <c r="AM1149" s="1" t="s">
        <v>17929</v>
      </c>
      <c r="AN1149" s="7" t="s">
        <v>17930</v>
      </c>
      <c r="AO1149" s="8" t="str">
        <f>HYPERLINK("https://docs.google.com/document/d/19PFz-vXH82SomCFcFRQj2qjeSw4pdoW7JBgmH0mbe5s/edit?usp=drivesdk","Al-Wildan 4 Lebak Bulus_Fadlina Ruhama, S.Pd., M.Pd_guru matematika")</f>
        <v>Al-Wildan 4 Lebak Bulus_Fadlina Ruhama, S.Pd., M.Pd_guru matematika</v>
      </c>
      <c r="AP1149" s="1" t="s">
        <v>17931</v>
      </c>
    </row>
    <row r="1150">
      <c r="A1150" s="6">
        <v>45662.65489917824</v>
      </c>
      <c r="B1150" s="7" t="s">
        <v>17932</v>
      </c>
      <c r="C1150" s="8" t="s">
        <v>17933</v>
      </c>
      <c r="D1150" s="1" t="s">
        <v>17915</v>
      </c>
      <c r="E1150" s="9" t="s">
        <v>17916</v>
      </c>
      <c r="F1150" s="1" t="s">
        <v>17917</v>
      </c>
      <c r="G1150" s="1" t="s">
        <v>17918</v>
      </c>
      <c r="H1150" s="1" t="s">
        <v>13236</v>
      </c>
      <c r="I1150" s="9" t="s">
        <v>10216</v>
      </c>
      <c r="J1150" s="1" t="s">
        <v>7269</v>
      </c>
      <c r="K1150" s="1" t="s">
        <v>151</v>
      </c>
      <c r="L1150" s="1" t="s">
        <v>256</v>
      </c>
      <c r="M1150" s="1" t="s">
        <v>104</v>
      </c>
      <c r="N1150" s="1" t="s">
        <v>126</v>
      </c>
      <c r="O1150" s="1" t="s">
        <v>106</v>
      </c>
      <c r="P1150" s="1" t="s">
        <v>237</v>
      </c>
      <c r="Q1150" s="1" t="s">
        <v>17934</v>
      </c>
      <c r="R1150" s="1" t="s">
        <v>130</v>
      </c>
      <c r="S1150" s="1" t="s">
        <v>4462</v>
      </c>
      <c r="T1150" s="1" t="s">
        <v>17935</v>
      </c>
      <c r="U1150" s="1" t="s">
        <v>1539</v>
      </c>
      <c r="V1150" s="1" t="s">
        <v>1364</v>
      </c>
      <c r="Z1150" s="1" t="s">
        <v>17936</v>
      </c>
      <c r="AA1150" s="1" t="s">
        <v>17925</v>
      </c>
      <c r="AB1150" s="1" t="s">
        <v>17937</v>
      </c>
      <c r="AC1150" s="1" t="s">
        <v>17925</v>
      </c>
      <c r="AF1150" s="12">
        <v>5200000.0</v>
      </c>
      <c r="AG1150" s="1">
        <v>7.202857242E9</v>
      </c>
      <c r="AJ1150" s="1">
        <v>158.0</v>
      </c>
      <c r="AK1150" s="1">
        <v>56.0</v>
      </c>
      <c r="AL1150" s="1" t="s">
        <v>17928</v>
      </c>
      <c r="AM1150" s="1" t="s">
        <v>17938</v>
      </c>
      <c r="AN1150" s="7" t="s">
        <v>17939</v>
      </c>
      <c r="AO1150" s="8" t="str">
        <f>HYPERLINK("https://docs.google.com/document/d/1pSVXwLmUaYAoRYI6roMG_OkYB6PWrz6n4ny_UiVP8oo/edit?usp=drivesdk","Al-Wildan 4 Lebak Bulus_Fadlina Ruhama, S.Pd., M.Pd_Matematika")</f>
        <v>Al-Wildan 4 Lebak Bulus_Fadlina Ruhama, S.Pd., M.Pd_Matematika</v>
      </c>
      <c r="AP1150" s="1" t="s">
        <v>17940</v>
      </c>
    </row>
    <row r="1151">
      <c r="A1151" s="6">
        <v>45662.65681810185</v>
      </c>
      <c r="B1151" s="7" t="s">
        <v>17941</v>
      </c>
      <c r="C1151" s="8" t="s">
        <v>17942</v>
      </c>
      <c r="D1151" s="1" t="s">
        <v>17943</v>
      </c>
      <c r="E1151" s="9" t="s">
        <v>17944</v>
      </c>
      <c r="F1151" s="1" t="s">
        <v>17945</v>
      </c>
      <c r="G1151" s="1" t="s">
        <v>17946</v>
      </c>
      <c r="H1151" s="1" t="s">
        <v>1018</v>
      </c>
      <c r="I1151" s="9" t="s">
        <v>17947</v>
      </c>
      <c r="J1151" s="1" t="s">
        <v>10156</v>
      </c>
      <c r="K1151" s="1" t="s">
        <v>102</v>
      </c>
      <c r="L1151" s="1" t="s">
        <v>103</v>
      </c>
      <c r="M1151" s="1" t="s">
        <v>104</v>
      </c>
      <c r="N1151" s="1" t="s">
        <v>235</v>
      </c>
      <c r="O1151" s="1" t="s">
        <v>106</v>
      </c>
      <c r="P1151" s="1" t="s">
        <v>6091</v>
      </c>
      <c r="Q1151" s="1" t="s">
        <v>17948</v>
      </c>
      <c r="R1151" s="1" t="s">
        <v>6781</v>
      </c>
      <c r="S1151" s="1">
        <v>3.74</v>
      </c>
      <c r="AF1151" s="10">
        <v>5000000.0</v>
      </c>
      <c r="AG1151" s="1">
        <v>4.89055442E9</v>
      </c>
      <c r="AI1151" s="1" t="s">
        <v>16512</v>
      </c>
      <c r="AJ1151" s="1">
        <v>161.0</v>
      </c>
      <c r="AK1151" s="1">
        <v>50.0</v>
      </c>
      <c r="AL1151" s="1" t="s">
        <v>17949</v>
      </c>
      <c r="AM1151" s="1" t="s">
        <v>17950</v>
      </c>
      <c r="AN1151" s="7" t="s">
        <v>17951</v>
      </c>
      <c r="AO1151" s="8" t="str">
        <f>HYPERLINK("https://docs.google.com/document/d/1IeQ6a4wGAMyid852NE6kXGTlbS8deaVozUM-n4gwE4k/edit?usp=drivesdk","Al-Wildan 10 Cipinang, Jakarta Timur_Amaturroofi Nurul Izzah B.A_Bahasa Arab")</f>
        <v>Al-Wildan 10 Cipinang, Jakarta Timur_Amaturroofi Nurul Izzah B.A_Bahasa Arab</v>
      </c>
      <c r="AP1151" s="1" t="s">
        <v>17952</v>
      </c>
    </row>
    <row r="1152">
      <c r="A1152" s="6">
        <v>45666.56410575232</v>
      </c>
      <c r="B1152" s="7" t="s">
        <v>17953</v>
      </c>
      <c r="C1152" s="8" t="s">
        <v>17954</v>
      </c>
      <c r="D1152" s="1" t="s">
        <v>17955</v>
      </c>
      <c r="E1152" s="9" t="s">
        <v>17956</v>
      </c>
      <c r="F1152" s="1" t="s">
        <v>17957</v>
      </c>
      <c r="G1152" s="1" t="s">
        <v>17958</v>
      </c>
      <c r="H1152" s="1" t="s">
        <v>4998</v>
      </c>
      <c r="I1152" s="9" t="s">
        <v>17959</v>
      </c>
      <c r="J1152" s="1" t="s">
        <v>13729</v>
      </c>
      <c r="K1152" s="1" t="s">
        <v>102</v>
      </c>
      <c r="L1152" s="1" t="s">
        <v>103</v>
      </c>
      <c r="M1152" s="1" t="s">
        <v>104</v>
      </c>
      <c r="N1152" s="1" t="s">
        <v>17960</v>
      </c>
      <c r="O1152" s="1" t="s">
        <v>312</v>
      </c>
      <c r="P1152" s="1" t="s">
        <v>237</v>
      </c>
      <c r="Q1152" s="1" t="s">
        <v>17961</v>
      </c>
      <c r="R1152" s="1" t="s">
        <v>17962</v>
      </c>
      <c r="S1152" s="1" t="s">
        <v>155</v>
      </c>
      <c r="Z1152" s="1" t="s">
        <v>2806</v>
      </c>
      <c r="AA1152" s="10">
        <v>5396761.0</v>
      </c>
      <c r="AF1152" s="1" t="s">
        <v>17963</v>
      </c>
      <c r="AH1152" s="1">
        <v>6.580358843E9</v>
      </c>
      <c r="AI1152" s="1" t="s">
        <v>222</v>
      </c>
      <c r="AJ1152" s="1">
        <v>163.0</v>
      </c>
      <c r="AK1152" s="1">
        <v>63.0</v>
      </c>
      <c r="AL1152" s="1" t="s">
        <v>17964</v>
      </c>
      <c r="AM1152" s="1" t="s">
        <v>17965</v>
      </c>
      <c r="AN1152" s="7" t="s">
        <v>17966</v>
      </c>
      <c r="AO1152" s="8" t="str">
        <f>HYPERLINK("https://docs.google.com/document/d/11JS09IO0xLUa0Ze_aZsUE6i2us5nF78y4K8SNJB0eBo/edit?usp=drivesdk","Al-Wildan 4 Lebak Bulus_ABDUL HARIS, S.Pd_Bahasa Indonesia, IPS, PKN")</f>
        <v>Al-Wildan 4 Lebak Bulus_ABDUL HARIS, S.Pd_Bahasa Indonesia, IPS, PKN</v>
      </c>
      <c r="AP1152" s="1" t="s">
        <v>17967</v>
      </c>
    </row>
    <row r="1153">
      <c r="A1153" s="6">
        <v>45666.56517618056</v>
      </c>
      <c r="B1153" s="7" t="s">
        <v>17968</v>
      </c>
      <c r="C1153" s="8" t="s">
        <v>17969</v>
      </c>
      <c r="D1153" s="1" t="s">
        <v>17970</v>
      </c>
      <c r="E1153" s="9" t="s">
        <v>17971</v>
      </c>
      <c r="F1153" s="1" t="s">
        <v>17972</v>
      </c>
      <c r="G1153" s="1" t="s">
        <v>17973</v>
      </c>
      <c r="H1153" s="1" t="s">
        <v>169</v>
      </c>
      <c r="I1153" s="9" t="s">
        <v>17974</v>
      </c>
      <c r="J1153" s="1" t="s">
        <v>11768</v>
      </c>
      <c r="K1153" s="1" t="s">
        <v>151</v>
      </c>
      <c r="L1153" s="1" t="s">
        <v>103</v>
      </c>
      <c r="M1153" s="1" t="s">
        <v>17975</v>
      </c>
      <c r="N1153" s="1" t="s">
        <v>17976</v>
      </c>
      <c r="O1153" s="1" t="s">
        <v>236</v>
      </c>
      <c r="P1153" s="1" t="s">
        <v>237</v>
      </c>
      <c r="Q1153" s="1" t="s">
        <v>153</v>
      </c>
      <c r="R1153" s="1" t="s">
        <v>536</v>
      </c>
      <c r="S1153" s="1" t="s">
        <v>442</v>
      </c>
      <c r="AH1153" s="1">
        <v>1.060377593E9</v>
      </c>
      <c r="AI1153" s="1" t="s">
        <v>17977</v>
      </c>
      <c r="AJ1153" s="1">
        <v>155.0</v>
      </c>
      <c r="AK1153" s="1">
        <v>45.0</v>
      </c>
      <c r="AL1153" s="1" t="s">
        <v>17978</v>
      </c>
      <c r="AM1153" s="1" t="s">
        <v>17979</v>
      </c>
      <c r="AN1153" s="7" t="s">
        <v>17980</v>
      </c>
      <c r="AO1153" s="8" t="str">
        <f>HYPERLINK("https://docs.google.com/document/d/10mK00DeZfgquqrUx9pZ1tWqNy8L8xHDshxaz9nxBJB8/edit?usp=drivesdk","Al-Wildan 4 Lebak Bulus_Aliya Ikhlasshafa Kirana, S.Pd._Guru Inval Geografi")</f>
        <v>Al-Wildan 4 Lebak Bulus_Aliya Ikhlasshafa Kirana, S.Pd._Guru Inval Geografi</v>
      </c>
      <c r="AP1153" s="1" t="s">
        <v>17981</v>
      </c>
    </row>
    <row r="1154">
      <c r="A1154" s="6">
        <v>45667.460472453706</v>
      </c>
      <c r="B1154" s="7" t="s">
        <v>17982</v>
      </c>
      <c r="C1154" s="8" t="s">
        <v>17983</v>
      </c>
      <c r="D1154" s="1" t="s">
        <v>17984</v>
      </c>
      <c r="E1154" s="9" t="s">
        <v>17985</v>
      </c>
      <c r="F1154" s="1" t="s">
        <v>17986</v>
      </c>
      <c r="G1154" s="1" t="s">
        <v>17987</v>
      </c>
      <c r="H1154" s="1" t="s">
        <v>169</v>
      </c>
      <c r="I1154" s="9" t="s">
        <v>17988</v>
      </c>
      <c r="J1154" s="1">
        <v>22.0</v>
      </c>
      <c r="K1154" s="1" t="s">
        <v>151</v>
      </c>
      <c r="L1154" s="1" t="s">
        <v>103</v>
      </c>
      <c r="M1154" s="1" t="s">
        <v>5671</v>
      </c>
      <c r="N1154" s="1" t="s">
        <v>17989</v>
      </c>
      <c r="O1154" s="1" t="s">
        <v>312</v>
      </c>
      <c r="P1154" s="1" t="s">
        <v>6659</v>
      </c>
      <c r="Q1154" s="1" t="s">
        <v>17990</v>
      </c>
      <c r="R1154" s="1" t="s">
        <v>259</v>
      </c>
      <c r="Z1154" s="1" t="s">
        <v>17991</v>
      </c>
      <c r="AA1154" s="10">
        <v>1980000.0</v>
      </c>
      <c r="AF1154" s="10">
        <v>3800000.0</v>
      </c>
      <c r="AG1154" s="1">
        <v>7.177891589E9</v>
      </c>
      <c r="AJ1154" s="1">
        <v>170.0</v>
      </c>
      <c r="AK1154" s="1">
        <v>87.0</v>
      </c>
      <c r="AL1154" s="1" t="s">
        <v>17992</v>
      </c>
      <c r="AM1154" s="1" t="s">
        <v>17993</v>
      </c>
      <c r="AN1154" s="7" t="s">
        <v>17994</v>
      </c>
      <c r="AO1154" s="8" t="str">
        <f>HYPERLINK("https://docs.google.com/document/d/1OwRfusm51G6v8unoxuQyO3kCSJuLwm0qpxxzO8q_gbM/edit?usp=drivesdk","Al-Wildan 15 Kompas Indah, Tambun Bekasi._Naufal Majid_Mapel Al-Qur'an ")</f>
        <v>Al-Wildan 15 Kompas Indah, Tambun Bekasi._Naufal Majid_Mapel Al-Qur'an </v>
      </c>
      <c r="AP1154" s="1" t="s">
        <v>17995</v>
      </c>
    </row>
    <row r="1155">
      <c r="A1155" s="6">
        <v>45667.506477303235</v>
      </c>
      <c r="B1155" s="7" t="s">
        <v>17996</v>
      </c>
      <c r="C1155" s="8" t="s">
        <v>17997</v>
      </c>
      <c r="D1155" s="1" t="s">
        <v>17998</v>
      </c>
      <c r="E1155" s="9" t="s">
        <v>17999</v>
      </c>
      <c r="F1155" s="1" t="s">
        <v>18000</v>
      </c>
      <c r="G1155" s="1" t="s">
        <v>18001</v>
      </c>
      <c r="H1155" s="1" t="s">
        <v>1018</v>
      </c>
      <c r="I1155" s="9" t="s">
        <v>18002</v>
      </c>
      <c r="J1155" s="1" t="s">
        <v>18003</v>
      </c>
      <c r="K1155" s="1" t="s">
        <v>102</v>
      </c>
      <c r="L1155" s="1" t="s">
        <v>103</v>
      </c>
      <c r="M1155" s="1" t="s">
        <v>104</v>
      </c>
      <c r="N1155" s="1" t="s">
        <v>4312</v>
      </c>
      <c r="O1155" s="1" t="s">
        <v>106</v>
      </c>
      <c r="P1155" s="1" t="s">
        <v>5712</v>
      </c>
      <c r="Q1155" s="1" t="s">
        <v>275</v>
      </c>
      <c r="R1155" s="1" t="s">
        <v>552</v>
      </c>
      <c r="S1155" s="1">
        <v>3.05</v>
      </c>
      <c r="T1155" s="1" t="s">
        <v>275</v>
      </c>
      <c r="U1155" s="1" t="s">
        <v>18004</v>
      </c>
      <c r="V1155" s="1">
        <v>3.53</v>
      </c>
      <c r="Z1155" s="1" t="s">
        <v>18005</v>
      </c>
      <c r="AA1155" s="10">
        <v>1.0261E7</v>
      </c>
      <c r="AB1155" s="1" t="s">
        <v>18006</v>
      </c>
      <c r="AC1155" s="10">
        <v>7500000.0</v>
      </c>
      <c r="AF1155" s="10">
        <v>1.0E7</v>
      </c>
      <c r="AG1155" s="1">
        <v>7.253067629E9</v>
      </c>
      <c r="AJ1155" s="1">
        <v>178.0</v>
      </c>
      <c r="AK1155" s="1">
        <v>96.0</v>
      </c>
      <c r="AL1155" s="1" t="s">
        <v>18007</v>
      </c>
      <c r="AM1155" s="1" t="s">
        <v>18008</v>
      </c>
      <c r="AN1155" s="7" t="s">
        <v>18009</v>
      </c>
      <c r="AO1155" s="8" t="str">
        <f>HYPERLINK("https://docs.google.com/document/d/1tmvceWZ6jTnZDIoQMzH7iAyIAWFY10YXhhIAYCkF1eY/edit?usp=drivesdk","Al-Wildan 3 BSD City_Muhammad Arif Saadilah, S.Si., M.T._Science")</f>
        <v>Al-Wildan 3 BSD City_Muhammad Arif Saadilah, S.Si., M.T._Science</v>
      </c>
      <c r="AP1155" s="1" t="s">
        <v>18010</v>
      </c>
    </row>
    <row r="1156">
      <c r="A1156" s="6">
        <v>45674.49326038195</v>
      </c>
      <c r="B1156" s="7" t="s">
        <v>18011</v>
      </c>
      <c r="C1156" s="8" t="s">
        <v>18012</v>
      </c>
      <c r="D1156" s="1" t="s">
        <v>18013</v>
      </c>
      <c r="E1156" s="9" t="s">
        <v>18014</v>
      </c>
      <c r="F1156" s="1" t="s">
        <v>18015</v>
      </c>
      <c r="G1156" s="1" t="s">
        <v>18016</v>
      </c>
      <c r="H1156" s="1" t="s">
        <v>148</v>
      </c>
      <c r="I1156" s="9" t="s">
        <v>18017</v>
      </c>
      <c r="J1156" s="1" t="s">
        <v>18018</v>
      </c>
      <c r="K1156" s="1" t="s">
        <v>102</v>
      </c>
      <c r="L1156" s="1" t="s">
        <v>103</v>
      </c>
      <c r="M1156" s="1" t="s">
        <v>13917</v>
      </c>
      <c r="O1156" s="1" t="s">
        <v>9794</v>
      </c>
      <c r="P1156" s="1" t="s">
        <v>237</v>
      </c>
      <c r="Q1156" s="1" t="s">
        <v>9213</v>
      </c>
      <c r="R1156" s="1" t="s">
        <v>18019</v>
      </c>
      <c r="S1156" s="1" t="s">
        <v>155</v>
      </c>
      <c r="Z1156" s="1" t="s">
        <v>18020</v>
      </c>
      <c r="AA1156" s="10">
        <v>4500000.0</v>
      </c>
      <c r="AB1156" s="1" t="s">
        <v>18021</v>
      </c>
      <c r="AC1156" s="10">
        <v>4800000.0</v>
      </c>
      <c r="AF1156" s="1" t="s">
        <v>18022</v>
      </c>
      <c r="AG1156" s="1">
        <v>7.202289953E9</v>
      </c>
      <c r="AJ1156" s="1">
        <v>161.0</v>
      </c>
      <c r="AK1156" s="1">
        <v>70.0</v>
      </c>
      <c r="AL1156" s="1" t="s">
        <v>18023</v>
      </c>
      <c r="AM1156" s="1" t="s">
        <v>18024</v>
      </c>
      <c r="AN1156" s="7" t="s">
        <v>18025</v>
      </c>
      <c r="AO1156" s="8" t="str">
        <f>HYPERLINK("https://docs.google.com/document/d/1gpJC7xvnkO5P9ZPK3IkKs9EvJM4ou7JB5o6t1AiEnXo/edit?usp=drivesdk","Al-Wildan 4 Lebak Bulus_Diana Sukmawati, S.Pd., Gr_")</f>
        <v>Al-Wildan 4 Lebak Bulus_Diana Sukmawati, S.Pd., Gr_</v>
      </c>
      <c r="AP1156" s="1" t="s">
        <v>18026</v>
      </c>
    </row>
    <row r="1157">
      <c r="A1157" s="6">
        <v>45680.49624765046</v>
      </c>
      <c r="B1157" s="7" t="s">
        <v>18027</v>
      </c>
      <c r="C1157" s="8" t="s">
        <v>18028</v>
      </c>
      <c r="D1157" s="1" t="s">
        <v>18029</v>
      </c>
      <c r="E1157" s="9" t="s">
        <v>18030</v>
      </c>
      <c r="F1157" s="1" t="s">
        <v>18031</v>
      </c>
      <c r="G1157" s="1" t="s">
        <v>18032</v>
      </c>
      <c r="H1157" s="1" t="s">
        <v>2631</v>
      </c>
      <c r="I1157" s="9" t="s">
        <v>18033</v>
      </c>
      <c r="J1157" s="1" t="s">
        <v>18034</v>
      </c>
      <c r="K1157" s="1" t="s">
        <v>151</v>
      </c>
      <c r="L1157" s="1" t="s">
        <v>256</v>
      </c>
      <c r="M1157" s="1" t="s">
        <v>104</v>
      </c>
      <c r="N1157" s="1" t="s">
        <v>235</v>
      </c>
      <c r="O1157" s="1" t="s">
        <v>9794</v>
      </c>
      <c r="P1157" s="1" t="s">
        <v>6091</v>
      </c>
      <c r="Q1157" s="1" t="s">
        <v>18035</v>
      </c>
      <c r="R1157" s="1" t="s">
        <v>18036</v>
      </c>
      <c r="S1157" s="1">
        <v>3.87</v>
      </c>
      <c r="Z1157" s="1" t="s">
        <v>18037</v>
      </c>
      <c r="AA1157" s="12">
        <v>3500000.0</v>
      </c>
      <c r="AB1157" s="1" t="s">
        <v>18038</v>
      </c>
      <c r="AC1157" s="1" t="s">
        <v>18039</v>
      </c>
      <c r="AD1157" s="1" t="s">
        <v>18040</v>
      </c>
      <c r="AE1157" s="12">
        <v>2240000.0</v>
      </c>
      <c r="AF1157" s="10">
        <v>5000000.0</v>
      </c>
      <c r="AG1157" s="1">
        <v>1.157214531E9</v>
      </c>
      <c r="AH1157" s="1">
        <v>1.270012508071E12</v>
      </c>
      <c r="AI1157" s="1" t="s">
        <v>2119</v>
      </c>
      <c r="AJ1157" s="1">
        <v>167.0</v>
      </c>
      <c r="AK1157" s="1">
        <v>74.0</v>
      </c>
      <c r="AL1157" s="1" t="s">
        <v>18041</v>
      </c>
      <c r="AM1157" s="1" t="s">
        <v>18042</v>
      </c>
      <c r="AN1157" s="7" t="s">
        <v>18043</v>
      </c>
      <c r="AO1157" s="8" t="str">
        <f>HYPERLINK("https://docs.google.com/document/d/13Cm_P69YrTMIdN7rVU45CDMA739T5QHIMwE-e1Syxic/edit?usp=drivesdk","Al-Wildan 10 Cipinang, Jakarta Timur_Lily Amelia Putri B.A._Bahasa Arab")</f>
        <v>Al-Wildan 10 Cipinang, Jakarta Timur_Lily Amelia Putri B.A._Bahasa Arab</v>
      </c>
      <c r="AP1157" s="1" t="s">
        <v>18044</v>
      </c>
    </row>
    <row r="1158">
      <c r="A1158" s="6">
        <v>45684.995528541665</v>
      </c>
      <c r="B1158" s="7" t="s">
        <v>18045</v>
      </c>
      <c r="C1158" s="8" t="s">
        <v>18046</v>
      </c>
      <c r="D1158" s="1" t="s">
        <v>18047</v>
      </c>
      <c r="E1158" s="9" t="s">
        <v>18048</v>
      </c>
      <c r="F1158" s="1" t="s">
        <v>18049</v>
      </c>
      <c r="G1158" s="1" t="s">
        <v>18050</v>
      </c>
      <c r="H1158" s="1" t="s">
        <v>169</v>
      </c>
      <c r="I1158" s="9" t="s">
        <v>18051</v>
      </c>
      <c r="J1158" s="1" t="s">
        <v>10561</v>
      </c>
      <c r="K1158" s="1" t="s">
        <v>102</v>
      </c>
      <c r="L1158" s="1" t="s">
        <v>103</v>
      </c>
      <c r="M1158" s="1" t="s">
        <v>104</v>
      </c>
      <c r="N1158" s="1" t="s">
        <v>4312</v>
      </c>
      <c r="O1158" s="1" t="s">
        <v>106</v>
      </c>
      <c r="P1158" s="1" t="s">
        <v>5712</v>
      </c>
      <c r="Q1158" s="1" t="s">
        <v>3409</v>
      </c>
      <c r="R1158" s="1" t="s">
        <v>989</v>
      </c>
      <c r="S1158" s="1" t="s">
        <v>931</v>
      </c>
      <c r="Z1158" s="1" t="s">
        <v>18052</v>
      </c>
      <c r="AA1158" s="10">
        <v>3000000.0</v>
      </c>
      <c r="AB1158" s="1" t="s">
        <v>14694</v>
      </c>
      <c r="AC1158" s="10">
        <v>8000000.0</v>
      </c>
      <c r="AF1158" s="10">
        <v>1.0E7</v>
      </c>
      <c r="AH1158" s="9" t="s">
        <v>18053</v>
      </c>
      <c r="AI1158" s="1" t="s">
        <v>159</v>
      </c>
      <c r="AJ1158" s="1">
        <v>167.0</v>
      </c>
      <c r="AK1158" s="1">
        <v>88.0</v>
      </c>
      <c r="AL1158" s="1" t="s">
        <v>18054</v>
      </c>
      <c r="AM1158" s="1" t="s">
        <v>18055</v>
      </c>
      <c r="AN1158" s="7" t="s">
        <v>18056</v>
      </c>
      <c r="AO1158" s="8" t="str">
        <f>HYPERLINK("https://docs.google.com/document/d/1us1hHn7YBaQofpLublHrVmPsRfEinQDwKvVZiZ2VmLA/edit?usp=drivesdk","Al-Wildan 3 BSD City_DWI NANDA BANU PUTERA, S.Pd_Science")</f>
        <v>Al-Wildan 3 BSD City_DWI NANDA BANU PUTERA, S.Pd_Science</v>
      </c>
      <c r="AP1158" s="1" t="s">
        <v>18057</v>
      </c>
    </row>
    <row r="1159">
      <c r="A1159" s="6">
        <v>45685.50319112268</v>
      </c>
      <c r="B1159" s="7" t="s">
        <v>18058</v>
      </c>
      <c r="C1159" s="8" t="s">
        <v>18059</v>
      </c>
      <c r="D1159" s="1" t="s">
        <v>18060</v>
      </c>
      <c r="E1159" s="9" t="s">
        <v>16896</v>
      </c>
      <c r="F1159" s="1" t="s">
        <v>16897</v>
      </c>
      <c r="G1159" s="1" t="s">
        <v>1183</v>
      </c>
      <c r="H1159" s="1" t="s">
        <v>16899</v>
      </c>
      <c r="I1159" s="9" t="s">
        <v>18061</v>
      </c>
      <c r="J1159" s="1" t="s">
        <v>18062</v>
      </c>
      <c r="K1159" s="1" t="s">
        <v>151</v>
      </c>
      <c r="L1159" s="1" t="s">
        <v>496</v>
      </c>
      <c r="M1159" s="1" t="s">
        <v>6043</v>
      </c>
      <c r="N1159" s="1" t="s">
        <v>217</v>
      </c>
      <c r="O1159" s="1" t="s">
        <v>14262</v>
      </c>
      <c r="P1159" s="1" t="s">
        <v>6044</v>
      </c>
      <c r="Q1159" s="1" t="s">
        <v>18063</v>
      </c>
      <c r="R1159" s="1" t="s">
        <v>259</v>
      </c>
      <c r="S1159" s="9" t="s">
        <v>12763</v>
      </c>
      <c r="T1159" s="1" t="s">
        <v>217</v>
      </c>
      <c r="U1159" s="1" t="s">
        <v>217</v>
      </c>
      <c r="V1159" s="1" t="s">
        <v>217</v>
      </c>
      <c r="W1159" s="1" t="s">
        <v>217</v>
      </c>
      <c r="X1159" s="1" t="s">
        <v>217</v>
      </c>
      <c r="Y1159" s="9" t="s">
        <v>12763</v>
      </c>
      <c r="Z1159" s="1" t="s">
        <v>18064</v>
      </c>
      <c r="AA1159" s="10">
        <v>700000.0</v>
      </c>
      <c r="AB1159" s="1" t="s">
        <v>18065</v>
      </c>
      <c r="AC1159" s="10">
        <v>1000000.0</v>
      </c>
      <c r="AD1159" s="1" t="s">
        <v>6043</v>
      </c>
      <c r="AF1159" s="10">
        <v>5000000.0</v>
      </c>
      <c r="AG1159" s="1">
        <v>7.153355977E9</v>
      </c>
      <c r="AJ1159" s="1">
        <v>160.0</v>
      </c>
      <c r="AK1159" s="1">
        <v>54.0</v>
      </c>
      <c r="AL1159" s="1" t="s">
        <v>16904</v>
      </c>
      <c r="AM1159" s="1" t="s">
        <v>18066</v>
      </c>
      <c r="AN1159" s="7" t="s">
        <v>18067</v>
      </c>
      <c r="AO1159" s="8" t="str">
        <f>HYPERLINK("https://docs.google.com/document/d/15yNU7lwxTRHPyXZJZ6xb9bHZO_qjX5qqh-4AUp3Pj8U/edit?usp=drivesdk","Al-Wildan Holding_M. Anas Ubaidillah, S. Pd._-")</f>
        <v>Al-Wildan Holding_M. Anas Ubaidillah, S. Pd._-</v>
      </c>
      <c r="AP1159" s="1" t="s">
        <v>18068</v>
      </c>
    </row>
    <row r="1160">
      <c r="A1160" s="6">
        <v>45687.93423893518</v>
      </c>
      <c r="B1160" s="7" t="s">
        <v>18069</v>
      </c>
      <c r="C1160" s="8" t="s">
        <v>18070</v>
      </c>
      <c r="D1160" s="1" t="s">
        <v>16313</v>
      </c>
      <c r="E1160" s="9" t="s">
        <v>16314</v>
      </c>
      <c r="F1160" s="1" t="s">
        <v>16315</v>
      </c>
      <c r="G1160" s="1" t="s">
        <v>1183</v>
      </c>
      <c r="H1160" s="1" t="s">
        <v>4493</v>
      </c>
      <c r="I1160" s="9" t="s">
        <v>18071</v>
      </c>
      <c r="J1160" s="1" t="s">
        <v>4209</v>
      </c>
      <c r="K1160" s="1" t="s">
        <v>151</v>
      </c>
      <c r="L1160" s="1" t="s">
        <v>256</v>
      </c>
      <c r="M1160" s="1" t="s">
        <v>6043</v>
      </c>
      <c r="O1160" s="1" t="s">
        <v>14262</v>
      </c>
      <c r="P1160" s="1" t="s">
        <v>6044</v>
      </c>
      <c r="Z1160" s="1" t="s">
        <v>18072</v>
      </c>
      <c r="AA1160" s="10">
        <v>1000000.0</v>
      </c>
      <c r="AF1160" s="10">
        <v>7000000.0</v>
      </c>
      <c r="AG1160" s="1">
        <v>7.187884548E9</v>
      </c>
      <c r="AI1160" s="1" t="s">
        <v>18073</v>
      </c>
      <c r="AJ1160" s="1">
        <v>166.0</v>
      </c>
      <c r="AK1160" s="1">
        <v>63.0</v>
      </c>
      <c r="AL1160" s="1" t="s">
        <v>16320</v>
      </c>
      <c r="AM1160" s="1" t="s">
        <v>18074</v>
      </c>
      <c r="AN1160" s="7" t="s">
        <v>18075</v>
      </c>
      <c r="AO1160" s="8" t="str">
        <f>HYPERLINK("https://docs.google.com/document/d/1PIAgZc_nlBgp30Ehdy3boibB6vmLnkWTBXmCWILZfT4/edit?usp=drivesdk","Al-Wildan Holding_Yayan Anzar Fauji_")</f>
        <v>Al-Wildan Holding_Yayan Anzar Fauji_</v>
      </c>
      <c r="AP1160" s="1" t="s">
        <v>18076</v>
      </c>
    </row>
    <row r="1161">
      <c r="A1161" s="6">
        <v>45695.48838587963</v>
      </c>
      <c r="B1161" s="7" t="s">
        <v>18077</v>
      </c>
      <c r="C1161" s="8" t="s">
        <v>18078</v>
      </c>
      <c r="D1161" s="1" t="s">
        <v>18079</v>
      </c>
      <c r="E1161" s="9" t="s">
        <v>18080</v>
      </c>
      <c r="F1161" s="1" t="s">
        <v>18081</v>
      </c>
      <c r="G1161" s="1" t="s">
        <v>18082</v>
      </c>
      <c r="H1161" s="1" t="s">
        <v>7115</v>
      </c>
      <c r="I1161" s="9" t="s">
        <v>18083</v>
      </c>
      <c r="J1161" s="1" t="s">
        <v>18084</v>
      </c>
      <c r="K1161" s="1" t="s">
        <v>102</v>
      </c>
      <c r="L1161" s="1" t="s">
        <v>103</v>
      </c>
      <c r="M1161" s="1" t="s">
        <v>13917</v>
      </c>
      <c r="N1161" s="1" t="s">
        <v>13918</v>
      </c>
      <c r="O1161" s="1" t="s">
        <v>9794</v>
      </c>
      <c r="P1161" s="1" t="s">
        <v>237</v>
      </c>
      <c r="Q1161" s="1" t="s">
        <v>3145</v>
      </c>
      <c r="R1161" s="1" t="s">
        <v>18085</v>
      </c>
      <c r="S1161" s="1" t="s">
        <v>740</v>
      </c>
      <c r="Z1161" s="1" t="s">
        <v>18086</v>
      </c>
      <c r="AA1161" s="10">
        <v>6200000.0</v>
      </c>
      <c r="AB1161" s="1" t="s">
        <v>18087</v>
      </c>
      <c r="AC1161" s="10">
        <v>6700000.0</v>
      </c>
      <c r="AD1161" s="1" t="s">
        <v>18088</v>
      </c>
      <c r="AE1161" s="10">
        <v>4000000.0</v>
      </c>
      <c r="AF1161" s="10">
        <v>6500000.0</v>
      </c>
      <c r="AH1161" s="1">
        <v>5.0723075103E10</v>
      </c>
      <c r="AI1161" s="1" t="s">
        <v>18089</v>
      </c>
      <c r="AJ1161" s="1">
        <v>170.0</v>
      </c>
      <c r="AK1161" s="1">
        <v>75.0</v>
      </c>
      <c r="AL1161" s="1" t="s">
        <v>18090</v>
      </c>
      <c r="AM1161" s="1" t="s">
        <v>18091</v>
      </c>
      <c r="AN1161" s="7" t="s">
        <v>18092</v>
      </c>
      <c r="AO1161" s="8" t="str">
        <f>HYPERLINK("https://docs.google.com/document/d/11fqaD7ifw_jeKLxTCHagIXz4fDYz7C8_7PpAvSa1OMk/edit?usp=drivesdk","Al-Wildan 4 Lebak Bulus_HADI AULIA RACHMAN S.Or_PJOK")</f>
        <v>Al-Wildan 4 Lebak Bulus_HADI AULIA RACHMAN S.Or_PJOK</v>
      </c>
      <c r="AP1161" s="1" t="s">
        <v>18093</v>
      </c>
    </row>
    <row r="1162">
      <c r="A1162" s="6">
        <v>45701.43925581018</v>
      </c>
      <c r="B1162" s="7" t="s">
        <v>18094</v>
      </c>
      <c r="C1162" s="8" t="s">
        <v>18095</v>
      </c>
      <c r="D1162" s="1" t="s">
        <v>18096</v>
      </c>
      <c r="E1162" s="9" t="s">
        <v>18097</v>
      </c>
      <c r="F1162" s="1" t="s">
        <v>18098</v>
      </c>
      <c r="G1162" s="1" t="s">
        <v>18099</v>
      </c>
      <c r="H1162" s="1" t="s">
        <v>18100</v>
      </c>
      <c r="I1162" s="9" t="s">
        <v>18101</v>
      </c>
      <c r="J1162" s="1" t="s">
        <v>18102</v>
      </c>
      <c r="K1162" s="1" t="s">
        <v>102</v>
      </c>
      <c r="L1162" s="1" t="s">
        <v>103</v>
      </c>
      <c r="M1162" s="1" t="s">
        <v>104</v>
      </c>
      <c r="N1162" s="1" t="s">
        <v>18103</v>
      </c>
      <c r="O1162" s="1" t="s">
        <v>127</v>
      </c>
      <c r="P1162" s="1" t="s">
        <v>14439</v>
      </c>
      <c r="Q1162" s="1" t="s">
        <v>18104</v>
      </c>
      <c r="R1162" s="1" t="s">
        <v>17715</v>
      </c>
      <c r="S1162" s="9" t="s">
        <v>18105</v>
      </c>
      <c r="T1162" s="1" t="s">
        <v>217</v>
      </c>
      <c r="U1162" s="1" t="s">
        <v>217</v>
      </c>
      <c r="V1162" s="1" t="s">
        <v>217</v>
      </c>
      <c r="W1162" s="1" t="s">
        <v>217</v>
      </c>
      <c r="X1162" s="1" t="s">
        <v>217</v>
      </c>
      <c r="Z1162" s="1" t="s">
        <v>18106</v>
      </c>
      <c r="AA1162" s="10">
        <v>3800000.0</v>
      </c>
      <c r="AB1162" s="1" t="s">
        <v>9900</v>
      </c>
      <c r="AC1162" s="10">
        <v>4000000.0</v>
      </c>
      <c r="AF1162" s="1" t="s">
        <v>18107</v>
      </c>
      <c r="AG1162" s="1">
        <v>7.199410107E9</v>
      </c>
      <c r="AJ1162" s="1">
        <v>165.0</v>
      </c>
      <c r="AK1162" s="1">
        <v>55.0</v>
      </c>
      <c r="AL1162" s="1" t="s">
        <v>18108</v>
      </c>
      <c r="AM1162" s="1" t="s">
        <v>18109</v>
      </c>
      <c r="AN1162" s="7" t="s">
        <v>18110</v>
      </c>
      <c r="AO1162" s="8" t="str">
        <f>HYPERLINK("https://docs.google.com/document/d/1Up5ydZPlU5rNFTFZyHHqSrf041A16qZKMDeVaP3OV2w/edit?usp=drivesdk","Al-Wildan 22 Makassar_Rusdi Kasim Badang_Bahasa Arab dan Mapel Agama Islam lainnya. ")</f>
        <v>Al-Wildan 22 Makassar_Rusdi Kasim Badang_Bahasa Arab dan Mapel Agama Islam lainnya. </v>
      </c>
      <c r="AP1162" s="1" t="s">
        <v>18111</v>
      </c>
    </row>
    <row r="1163">
      <c r="A1163" s="6">
        <v>45701.50089717592</v>
      </c>
      <c r="B1163" s="7" t="s">
        <v>18112</v>
      </c>
      <c r="C1163" s="8" t="s">
        <v>18113</v>
      </c>
      <c r="D1163" s="1" t="s">
        <v>18114</v>
      </c>
      <c r="E1163" s="9" t="s">
        <v>18115</v>
      </c>
      <c r="F1163" s="1" t="s">
        <v>18116</v>
      </c>
      <c r="G1163" s="1" t="s">
        <v>18117</v>
      </c>
      <c r="H1163" s="1" t="s">
        <v>169</v>
      </c>
      <c r="I1163" s="9" t="s">
        <v>18118</v>
      </c>
      <c r="J1163" s="1" t="s">
        <v>18119</v>
      </c>
      <c r="K1163" s="1" t="s">
        <v>102</v>
      </c>
      <c r="L1163" s="1" t="s">
        <v>256</v>
      </c>
      <c r="M1163" s="1" t="s">
        <v>104</v>
      </c>
      <c r="N1163" s="1" t="s">
        <v>152</v>
      </c>
      <c r="O1163" s="1" t="s">
        <v>9794</v>
      </c>
      <c r="P1163" s="1" t="s">
        <v>11207</v>
      </c>
      <c r="Q1163" s="1" t="s">
        <v>2721</v>
      </c>
      <c r="R1163" s="1" t="s">
        <v>12297</v>
      </c>
      <c r="S1163" s="1">
        <v>3.31</v>
      </c>
      <c r="T1163" s="1" t="s">
        <v>18120</v>
      </c>
      <c r="U1163" s="1" t="s">
        <v>1790</v>
      </c>
      <c r="V1163" s="1">
        <v>3.67</v>
      </c>
      <c r="Z1163" s="1" t="s">
        <v>18121</v>
      </c>
      <c r="AA1163" s="10">
        <v>7500000.0</v>
      </c>
      <c r="AB1163" s="1" t="s">
        <v>18122</v>
      </c>
      <c r="AC1163" s="10">
        <v>7000000.0</v>
      </c>
      <c r="AD1163" s="1" t="s">
        <v>18123</v>
      </c>
      <c r="AE1163" s="10">
        <v>6500000.0</v>
      </c>
      <c r="AF1163" s="10">
        <v>7000000.0</v>
      </c>
      <c r="AG1163" s="1">
        <v>0.0</v>
      </c>
      <c r="AH1163" s="9" t="s">
        <v>18124</v>
      </c>
      <c r="AI1163" s="1" t="s">
        <v>159</v>
      </c>
      <c r="AJ1163" s="1">
        <v>160.0</v>
      </c>
      <c r="AK1163" s="1">
        <v>75.0</v>
      </c>
      <c r="AL1163" s="1" t="s">
        <v>18125</v>
      </c>
      <c r="AM1163" s="1" t="s">
        <v>18126</v>
      </c>
      <c r="AN1163" s="7" t="s">
        <v>18127</v>
      </c>
      <c r="AO1163" s="8" t="str">
        <f>HYPERLINK("https://docs.google.com/document/d/1VNhTchqeIEqAtuzImteFgnybFQrq7yToJRNwcbbnBes/edit?usp=drivesdk","Al-Wildan 16 Ciledug_Friska Arismayang, S.S.,M.Pd_Bahasa Inggris")</f>
        <v>Al-Wildan 16 Ciledug_Friska Arismayang, S.S.,M.Pd_Bahasa Inggris</v>
      </c>
      <c r="AP1163" s="1" t="s">
        <v>18128</v>
      </c>
    </row>
    <row r="1164">
      <c r="A1164" s="6">
        <v>45705.38759182871</v>
      </c>
      <c r="B1164" s="7" t="s">
        <v>18129</v>
      </c>
      <c r="C1164" s="8" t="s">
        <v>18130</v>
      </c>
      <c r="D1164" s="1" t="s">
        <v>18131</v>
      </c>
      <c r="E1164" s="9" t="s">
        <v>18132</v>
      </c>
      <c r="F1164" s="1" t="s">
        <v>18133</v>
      </c>
      <c r="G1164" s="1" t="s">
        <v>18134</v>
      </c>
      <c r="H1164" s="1" t="s">
        <v>12107</v>
      </c>
      <c r="I1164" s="9" t="s">
        <v>18135</v>
      </c>
      <c r="J1164" s="1" t="s">
        <v>18136</v>
      </c>
      <c r="K1164" s="1" t="s">
        <v>151</v>
      </c>
      <c r="L1164" s="1" t="s">
        <v>103</v>
      </c>
      <c r="M1164" s="1" t="s">
        <v>104</v>
      </c>
      <c r="N1164" s="1" t="s">
        <v>552</v>
      </c>
      <c r="O1164" s="1" t="s">
        <v>236</v>
      </c>
      <c r="P1164" s="1" t="s">
        <v>7162</v>
      </c>
      <c r="Q1164" s="1" t="s">
        <v>4908</v>
      </c>
      <c r="R1164" s="1" t="s">
        <v>410</v>
      </c>
      <c r="S1164" s="1" t="s">
        <v>4479</v>
      </c>
      <c r="Z1164" s="1" t="s">
        <v>18137</v>
      </c>
      <c r="AA1164" s="10">
        <v>4000000.0</v>
      </c>
      <c r="AB1164" s="1" t="s">
        <v>18138</v>
      </c>
      <c r="AC1164" s="10">
        <v>3000000.0</v>
      </c>
      <c r="AF1164" s="1" t="s">
        <v>8053</v>
      </c>
      <c r="AG1164" s="1">
        <v>7.237519986E9</v>
      </c>
      <c r="AJ1164" s="1">
        <v>167.0</v>
      </c>
      <c r="AK1164" s="1">
        <v>70.0</v>
      </c>
      <c r="AL1164" s="1" t="s">
        <v>18139</v>
      </c>
      <c r="AM1164" s="1" t="s">
        <v>18140</v>
      </c>
      <c r="AN1164" s="7" t="s">
        <v>18141</v>
      </c>
      <c r="AO1164" s="8" t="str">
        <f>HYPERLINK("https://docs.google.com/document/d/1nH01xjoeDOMgVfaZPuetZV9QLdZv834DojODTYfb08M/edit?usp=drivesdk","Al-Wildan 7 Serang_Anantha Ivan Wijaya,S.Pd._Fisika")</f>
        <v>Al-Wildan 7 Serang_Anantha Ivan Wijaya,S.Pd._Fisika</v>
      </c>
      <c r="AP1164" s="1" t="s">
        <v>18142</v>
      </c>
    </row>
    <row r="1165">
      <c r="A1165" s="6">
        <v>45709.58639563658</v>
      </c>
      <c r="B1165" s="7" t="s">
        <v>18143</v>
      </c>
      <c r="C1165" s="8" t="s">
        <v>18144</v>
      </c>
      <c r="D1165" s="1" t="s">
        <v>18145</v>
      </c>
      <c r="E1165" s="1" t="s">
        <v>18146</v>
      </c>
      <c r="F1165" s="1" t="s">
        <v>18147</v>
      </c>
      <c r="G1165" s="1" t="s">
        <v>18148</v>
      </c>
      <c r="H1165" s="1" t="s">
        <v>18149</v>
      </c>
      <c r="I1165" s="9" t="s">
        <v>4833</v>
      </c>
      <c r="J1165" s="1" t="s">
        <v>5413</v>
      </c>
      <c r="K1165" s="1" t="s">
        <v>151</v>
      </c>
      <c r="L1165" s="1" t="s">
        <v>256</v>
      </c>
      <c r="M1165" s="1" t="s">
        <v>104</v>
      </c>
      <c r="N1165" s="1" t="s">
        <v>18150</v>
      </c>
      <c r="O1165" s="1" t="s">
        <v>106</v>
      </c>
      <c r="P1165" s="1" t="s">
        <v>5712</v>
      </c>
      <c r="Q1165" s="1" t="s">
        <v>18151</v>
      </c>
      <c r="R1165" s="1" t="s">
        <v>18152</v>
      </c>
      <c r="S1165" s="1" t="s">
        <v>277</v>
      </c>
      <c r="T1165" s="1" t="s">
        <v>2927</v>
      </c>
      <c r="U1165" s="1" t="s">
        <v>18152</v>
      </c>
      <c r="V1165" s="1" t="s">
        <v>1366</v>
      </c>
      <c r="AF1165" s="10">
        <v>5000000.0</v>
      </c>
      <c r="AH1165" s="1">
        <v>1.460012740796E12</v>
      </c>
      <c r="AI1165" s="1" t="s">
        <v>4483</v>
      </c>
      <c r="AJ1165" s="1">
        <v>163.0</v>
      </c>
      <c r="AK1165" s="1">
        <v>63.0</v>
      </c>
      <c r="AL1165" s="1" t="s">
        <v>18153</v>
      </c>
      <c r="AM1165" s="1" t="s">
        <v>18154</v>
      </c>
      <c r="AN1165" s="7" t="s">
        <v>18155</v>
      </c>
      <c r="AO1165" s="8" t="str">
        <f>HYPERLINK("https://docs.google.com/document/d/16QbUmOBm4KXdS9ASSITqeJ9dx2V2lST86vIFZ1TMFr0/edit?usp=drivesdk","Al-Wildan 3 BSD City_Taqwa Aditya Atmaja, B.Sc., M.Si._Sains")</f>
        <v>Al-Wildan 3 BSD City_Taqwa Aditya Atmaja, B.Sc., M.Si._Sains</v>
      </c>
      <c r="AP1165" s="1" t="s">
        <v>18156</v>
      </c>
    </row>
    <row r="1166">
      <c r="A1166" s="6">
        <v>45709.616631689816</v>
      </c>
      <c r="B1166" s="7" t="s">
        <v>18157</v>
      </c>
      <c r="C1166" s="8" t="s">
        <v>18158</v>
      </c>
      <c r="D1166" s="1" t="s">
        <v>18159</v>
      </c>
      <c r="E1166" s="9" t="s">
        <v>18160</v>
      </c>
      <c r="F1166" s="1" t="s">
        <v>18161</v>
      </c>
      <c r="G1166" s="1" t="s">
        <v>18162</v>
      </c>
      <c r="H1166" s="1" t="s">
        <v>18163</v>
      </c>
      <c r="I1166" s="9" t="s">
        <v>18164</v>
      </c>
      <c r="J1166" s="1" t="s">
        <v>13596</v>
      </c>
      <c r="K1166" s="1" t="s">
        <v>151</v>
      </c>
      <c r="L1166" s="1" t="s">
        <v>329</v>
      </c>
      <c r="M1166" s="1" t="s">
        <v>104</v>
      </c>
      <c r="N1166" s="1" t="s">
        <v>1523</v>
      </c>
      <c r="O1166" s="1" t="s">
        <v>236</v>
      </c>
      <c r="P1166" s="1" t="s">
        <v>107</v>
      </c>
      <c r="Q1166" s="1" t="s">
        <v>18165</v>
      </c>
      <c r="R1166" s="1" t="s">
        <v>1521</v>
      </c>
      <c r="S1166" s="1" t="s">
        <v>5590</v>
      </c>
      <c r="T1166" s="1" t="s">
        <v>6590</v>
      </c>
      <c r="U1166" s="1" t="s">
        <v>1521</v>
      </c>
      <c r="V1166" s="1" t="s">
        <v>9479</v>
      </c>
      <c r="Z1166" s="1" t="s">
        <v>18166</v>
      </c>
      <c r="AA1166" s="10">
        <v>3000000.0</v>
      </c>
      <c r="AB1166" s="1" t="s">
        <v>18167</v>
      </c>
      <c r="AC1166" s="10">
        <v>1200000.0</v>
      </c>
      <c r="AD1166" s="1" t="s">
        <v>18168</v>
      </c>
      <c r="AE1166" s="10">
        <v>960000.0</v>
      </c>
      <c r="AF1166" s="10">
        <v>8000000.0</v>
      </c>
      <c r="AH1166" s="1">
        <v>1.110022066258E12</v>
      </c>
      <c r="AI1166" s="1" t="s">
        <v>2119</v>
      </c>
      <c r="AJ1166" s="1">
        <v>159.0</v>
      </c>
      <c r="AK1166" s="1">
        <v>62.0</v>
      </c>
      <c r="AL1166" s="1" t="s">
        <v>18169</v>
      </c>
      <c r="AM1166" s="1" t="s">
        <v>18170</v>
      </c>
      <c r="AN1166" s="7" t="s">
        <v>18171</v>
      </c>
      <c r="AO1166" s="8" t="str">
        <f>HYPERLINK("https://docs.google.com/document/d/1obHzVmmqagq2MEG4XjPa0PZcGceLWEM8rbkRNZzLsi8/edit?usp=drivesdk","Al-Wildan 1 Gading Serpong_Syaza Syahana, S.Pd., M.Pd_Kimia")</f>
        <v>Al-Wildan 1 Gading Serpong_Syaza Syahana, S.Pd., M.Pd_Kimia</v>
      </c>
      <c r="AP1166" s="1" t="s">
        <v>18172</v>
      </c>
    </row>
    <row r="1167">
      <c r="A1167" s="6">
        <v>45714.39160872685</v>
      </c>
      <c r="B1167" s="7" t="s">
        <v>18173</v>
      </c>
      <c r="C1167" s="8" t="s">
        <v>18174</v>
      </c>
      <c r="D1167" s="1" t="s">
        <v>18175</v>
      </c>
      <c r="E1167" s="9" t="s">
        <v>18176</v>
      </c>
      <c r="F1167" s="1" t="s">
        <v>18177</v>
      </c>
      <c r="G1167" s="1" t="s">
        <v>18178</v>
      </c>
      <c r="H1167" s="1" t="s">
        <v>9599</v>
      </c>
      <c r="I1167" s="9" t="s">
        <v>18179</v>
      </c>
      <c r="J1167" s="1" t="s">
        <v>392</v>
      </c>
      <c r="K1167" s="1" t="s">
        <v>151</v>
      </c>
      <c r="L1167" s="1" t="s">
        <v>256</v>
      </c>
      <c r="M1167" s="1" t="s">
        <v>13917</v>
      </c>
      <c r="N1167" s="1" t="s">
        <v>18180</v>
      </c>
      <c r="O1167" s="1" t="s">
        <v>312</v>
      </c>
      <c r="P1167" s="1" t="s">
        <v>237</v>
      </c>
      <c r="Q1167" s="1" t="s">
        <v>18181</v>
      </c>
      <c r="R1167" s="1" t="s">
        <v>9796</v>
      </c>
      <c r="S1167" s="1" t="s">
        <v>9749</v>
      </c>
      <c r="Z1167" s="1" t="s">
        <v>18182</v>
      </c>
      <c r="AA1167" s="10">
        <v>1500000.0</v>
      </c>
      <c r="AF1167" s="10">
        <v>6000000.0</v>
      </c>
      <c r="AG1167" s="1">
        <v>7.261867243E9</v>
      </c>
      <c r="AH1167" s="1">
        <v>1.887004666E9</v>
      </c>
      <c r="AI1167" s="1" t="s">
        <v>18183</v>
      </c>
      <c r="AJ1167" s="1">
        <v>174.0</v>
      </c>
      <c r="AK1167" s="1">
        <v>70.0</v>
      </c>
      <c r="AL1167" s="1" t="s">
        <v>18184</v>
      </c>
      <c r="AM1167" s="1" t="s">
        <v>18185</v>
      </c>
      <c r="AN1167" s="7" t="s">
        <v>18186</v>
      </c>
      <c r="AO1167" s="8" t="str">
        <f>HYPERLINK("https://docs.google.com/document/d/1GK8V_fCuip326z4C1WBSi2IPAMgNlvgpXS2BvARzVIE/edit?usp=drivesdk","Al-Wildan 4 Lebak Bulus_Muhammad Maulana S.Pd_Guru olahraga/Penjaskes")</f>
        <v>Al-Wildan 4 Lebak Bulus_Muhammad Maulana S.Pd_Guru olahraga/Penjaskes</v>
      </c>
      <c r="AP1167" s="1" t="s">
        <v>18187</v>
      </c>
    </row>
    <row r="1168">
      <c r="A1168" s="6">
        <v>45727.61364043981</v>
      </c>
      <c r="B1168" s="7" t="s">
        <v>18188</v>
      </c>
      <c r="C1168" s="8" t="s">
        <v>18189</v>
      </c>
      <c r="D1168" s="1" t="s">
        <v>18190</v>
      </c>
      <c r="E1168" s="9" t="s">
        <v>18191</v>
      </c>
      <c r="F1168" s="1" t="s">
        <v>18192</v>
      </c>
      <c r="G1168" s="1" t="s">
        <v>18193</v>
      </c>
      <c r="H1168" s="1" t="s">
        <v>18194</v>
      </c>
      <c r="I1168" s="9" t="s">
        <v>18195</v>
      </c>
      <c r="J1168" s="1" t="s">
        <v>4209</v>
      </c>
      <c r="K1168" s="1" t="s">
        <v>151</v>
      </c>
      <c r="L1168" s="1" t="s">
        <v>256</v>
      </c>
      <c r="M1168" s="1" t="s">
        <v>104</v>
      </c>
      <c r="N1168" s="1" t="s">
        <v>18196</v>
      </c>
      <c r="O1168" s="1" t="s">
        <v>312</v>
      </c>
      <c r="P1168" s="1" t="s">
        <v>6533</v>
      </c>
      <c r="Q1168" s="1" t="s">
        <v>18197</v>
      </c>
      <c r="R1168" s="1" t="s">
        <v>15489</v>
      </c>
      <c r="S1168" s="1">
        <v>4.72</v>
      </c>
      <c r="Z1168" s="1" t="s">
        <v>18198</v>
      </c>
      <c r="AA1168" s="10">
        <v>3500000.0</v>
      </c>
      <c r="AB1168" s="1" t="s">
        <v>18199</v>
      </c>
      <c r="AC1168" s="10">
        <v>1500000.0</v>
      </c>
      <c r="AD1168" s="1" t="s">
        <v>18200</v>
      </c>
      <c r="AE1168" s="10">
        <v>800000.0</v>
      </c>
      <c r="AF1168" s="1" t="s">
        <v>5254</v>
      </c>
      <c r="AG1168" s="1">
        <v>1.116487586E9</v>
      </c>
      <c r="AJ1168" s="1">
        <v>168.0</v>
      </c>
      <c r="AK1168" s="1">
        <v>55.0</v>
      </c>
      <c r="AL1168" s="1" t="s">
        <v>18201</v>
      </c>
      <c r="AM1168" s="1" t="s">
        <v>18202</v>
      </c>
      <c r="AN1168" s="7" t="s">
        <v>18203</v>
      </c>
      <c r="AO1168" s="8" t="str">
        <f>HYPERLINK("https://docs.google.com/document/d/1OfyeQ2ujoeREji5OqnGw1wIhhGi6Gyhqn9NWuG_vcVo/edit?usp=drivesdk","Al-Wildan 5 Benhil_Eirlyn Zildjian, B.BA_Alquran, Diniayah dan Bahasa Arab")</f>
        <v>Al-Wildan 5 Benhil_Eirlyn Zildjian, B.BA_Alquran, Diniayah dan Bahasa Arab</v>
      </c>
      <c r="AP1168" s="1" t="s">
        <v>18204</v>
      </c>
    </row>
    <row r="1169">
      <c r="A1169" s="6">
        <v>45729.98156086805</v>
      </c>
      <c r="B1169" s="7" t="s">
        <v>18205</v>
      </c>
      <c r="C1169" s="8" t="s">
        <v>18206</v>
      </c>
      <c r="D1169" s="1" t="s">
        <v>18207</v>
      </c>
      <c r="E1169" s="9" t="s">
        <v>18208</v>
      </c>
      <c r="F1169" s="1" t="s">
        <v>18209</v>
      </c>
      <c r="G1169" s="1" t="s">
        <v>18210</v>
      </c>
      <c r="H1169" s="1" t="s">
        <v>4585</v>
      </c>
      <c r="I1169" s="9" t="s">
        <v>18211</v>
      </c>
      <c r="J1169" s="1" t="s">
        <v>610</v>
      </c>
      <c r="K1169" s="1" t="s">
        <v>102</v>
      </c>
      <c r="L1169" s="1" t="s">
        <v>103</v>
      </c>
      <c r="M1169" s="1" t="s">
        <v>104</v>
      </c>
      <c r="N1169" s="1" t="s">
        <v>126</v>
      </c>
      <c r="O1169" s="1" t="s">
        <v>127</v>
      </c>
      <c r="P1169" s="1" t="s">
        <v>14439</v>
      </c>
      <c r="Q1169" s="1" t="s">
        <v>18212</v>
      </c>
      <c r="R1169" s="1" t="s">
        <v>5304</v>
      </c>
      <c r="S1169" s="1" t="s">
        <v>2181</v>
      </c>
      <c r="T1169" s="1" t="s">
        <v>18213</v>
      </c>
      <c r="U1169" s="1" t="s">
        <v>5304</v>
      </c>
      <c r="V1169" s="1" t="s">
        <v>6418</v>
      </c>
      <c r="Z1169" s="1" t="s">
        <v>18214</v>
      </c>
      <c r="AA1169" s="10">
        <v>960000.0</v>
      </c>
      <c r="AB1169" s="1" t="s">
        <v>18215</v>
      </c>
      <c r="AC1169" s="10">
        <v>355000.0</v>
      </c>
      <c r="AD1169" s="1" t="s">
        <v>18216</v>
      </c>
      <c r="AE1169" s="10">
        <v>4500000.0</v>
      </c>
      <c r="AF1169" s="10">
        <v>6500000.0</v>
      </c>
      <c r="AG1169" s="1">
        <v>7.180612593E9</v>
      </c>
      <c r="AJ1169" s="1">
        <v>175.0</v>
      </c>
      <c r="AK1169" s="1">
        <v>72.0</v>
      </c>
      <c r="AL1169" s="1" t="s">
        <v>18217</v>
      </c>
      <c r="AM1169" s="1" t="s">
        <v>18218</v>
      </c>
      <c r="AN1169" s="7" t="s">
        <v>18219</v>
      </c>
      <c r="AO1169" s="8" t="str">
        <f>HYPERLINK("https://docs.google.com/document/d/10GQXqtWdky4vER8IuPzW5MHTKacNrio0CazOoZT8SIw/edit?usp=drivesdk","Al-Wildan 22 Makassar_Alif Rezky, S.Pd., M.Pd._Matematika")</f>
        <v>Al-Wildan 22 Makassar_Alif Rezky, S.Pd., M.Pd._Matematika</v>
      </c>
      <c r="AP1169" s="1" t="s">
        <v>18220</v>
      </c>
    </row>
    <row r="1170">
      <c r="A1170" s="6">
        <v>45757.62216809028</v>
      </c>
      <c r="B1170" s="7" t="s">
        <v>18221</v>
      </c>
      <c r="C1170" s="8" t="s">
        <v>18222</v>
      </c>
      <c r="D1170" s="1" t="s">
        <v>18223</v>
      </c>
      <c r="E1170" s="1">
        <v>6.28515988178E12</v>
      </c>
      <c r="F1170" s="1" t="s">
        <v>18224</v>
      </c>
      <c r="G1170" s="1" t="s">
        <v>18225</v>
      </c>
      <c r="H1170" s="1" t="s">
        <v>6779</v>
      </c>
      <c r="I1170" s="9" t="s">
        <v>18226</v>
      </c>
      <c r="J1170" s="1" t="s">
        <v>8731</v>
      </c>
      <c r="K1170" s="1" t="s">
        <v>151</v>
      </c>
      <c r="L1170" s="1" t="s">
        <v>103</v>
      </c>
      <c r="M1170" s="1" t="s">
        <v>104</v>
      </c>
      <c r="N1170" s="1" t="s">
        <v>126</v>
      </c>
      <c r="O1170" s="1" t="s">
        <v>127</v>
      </c>
      <c r="P1170" s="1" t="s">
        <v>11168</v>
      </c>
      <c r="Q1170" s="1" t="s">
        <v>18227</v>
      </c>
      <c r="R1170" s="1" t="s">
        <v>18228</v>
      </c>
      <c r="S1170" s="1" t="s">
        <v>1730</v>
      </c>
      <c r="Z1170" s="1" t="s">
        <v>18229</v>
      </c>
      <c r="AA1170" s="10">
        <v>1.6E7</v>
      </c>
      <c r="AB1170" s="1" t="s">
        <v>18230</v>
      </c>
      <c r="AC1170" s="10">
        <v>1.2E7</v>
      </c>
      <c r="AD1170" s="1" t="s">
        <v>18231</v>
      </c>
      <c r="AE1170" s="10">
        <v>7000000.0</v>
      </c>
      <c r="AF1170" s="10">
        <v>8500000.0</v>
      </c>
      <c r="AG1170" s="1">
        <v>7.224987964E9</v>
      </c>
      <c r="AH1170" s="1">
        <v>7.641445812E9</v>
      </c>
      <c r="AI1170" s="1" t="s">
        <v>222</v>
      </c>
      <c r="AJ1170" s="1">
        <v>176.0</v>
      </c>
      <c r="AK1170" s="1">
        <v>65.0</v>
      </c>
      <c r="AL1170" s="1" t="s">
        <v>18232</v>
      </c>
      <c r="AM1170" s="1" t="s">
        <v>18233</v>
      </c>
      <c r="AN1170" s="7" t="s">
        <v>18234</v>
      </c>
      <c r="AO1170" s="8" t="str">
        <f>HYPERLINK("https://docs.google.com/document/d/1JACQJ3en3ii6Qwl3LuP_5R_rWGpgGmu5Y2S-9zHqyEg/edit?usp=drivesdk","Al-Wildan 8 Parung_Fakhri Daffa Arrahman, S. T._Matematika")</f>
        <v>Al-Wildan 8 Parung_Fakhri Daffa Arrahman, S. T._Matematika</v>
      </c>
      <c r="AP1170" s="1" t="s">
        <v>18235</v>
      </c>
    </row>
    <row r="1171">
      <c r="A1171" s="6">
        <v>45757.64008166667</v>
      </c>
      <c r="B1171" s="7" t="s">
        <v>18236</v>
      </c>
      <c r="C1171" s="8" t="s">
        <v>18237</v>
      </c>
      <c r="D1171" s="1" t="s">
        <v>18238</v>
      </c>
      <c r="E1171" s="9" t="s">
        <v>18239</v>
      </c>
      <c r="F1171" s="1" t="s">
        <v>18240</v>
      </c>
      <c r="G1171" s="1" t="s">
        <v>18241</v>
      </c>
      <c r="H1171" s="1" t="s">
        <v>148</v>
      </c>
      <c r="I1171" s="9" t="s">
        <v>18242</v>
      </c>
      <c r="J1171" s="1" t="s">
        <v>6813</v>
      </c>
      <c r="K1171" s="1" t="s">
        <v>102</v>
      </c>
      <c r="L1171" s="1" t="s">
        <v>103</v>
      </c>
      <c r="M1171" s="1" t="s">
        <v>104</v>
      </c>
      <c r="N1171" s="1" t="s">
        <v>18243</v>
      </c>
      <c r="O1171" s="1" t="s">
        <v>9794</v>
      </c>
      <c r="P1171" s="1" t="s">
        <v>6659</v>
      </c>
      <c r="Q1171" s="1" t="s">
        <v>3666</v>
      </c>
      <c r="R1171" s="1" t="s">
        <v>9636</v>
      </c>
      <c r="S1171" s="1">
        <v>3.49</v>
      </c>
      <c r="T1171" s="1" t="s">
        <v>18244</v>
      </c>
      <c r="U1171" s="1" t="s">
        <v>9636</v>
      </c>
      <c r="V1171" s="1">
        <v>3.75</v>
      </c>
      <c r="W1171" s="1" t="s">
        <v>217</v>
      </c>
      <c r="X1171" s="1" t="s">
        <v>217</v>
      </c>
      <c r="Z1171" s="1" t="s">
        <v>18245</v>
      </c>
      <c r="AA1171" s="10">
        <v>500000.0</v>
      </c>
      <c r="AB1171" s="1" t="s">
        <v>18246</v>
      </c>
      <c r="AC1171" s="10">
        <v>2000000.0</v>
      </c>
      <c r="AD1171" s="1" t="s">
        <v>18247</v>
      </c>
      <c r="AE1171" s="10">
        <v>4000000.0</v>
      </c>
      <c r="AF1171" s="10">
        <v>8000000.0</v>
      </c>
      <c r="AG1171" s="1">
        <v>8.04308681E9</v>
      </c>
      <c r="AJ1171" s="1">
        <v>177.0</v>
      </c>
      <c r="AK1171" s="1">
        <v>75.0</v>
      </c>
      <c r="AL1171" s="1" t="s">
        <v>18248</v>
      </c>
      <c r="AM1171" s="1" t="s">
        <v>18249</v>
      </c>
      <c r="AN1171" s="7" t="s">
        <v>18250</v>
      </c>
      <c r="AO1171" s="8" t="str">
        <f>HYPERLINK("https://docs.google.com/document/d/1G_EyKyF4MmL0H3tDPrXnJGotyWqJlf0fMflNLApVhMI/edit?usp=drivesdk","Al-Wildan 15 Kompas Indah, Tambun Bekasi._Muhammad Saman Nursakti, B.A., S.Pd., M.Pd._Bahasa Arab, Al-Quran, &amp; Diniyyah (Fikih, Hadis, SKI, &amp; Akidah Akhlak)")</f>
        <v>Al-Wildan 15 Kompas Indah, Tambun Bekasi._Muhammad Saman Nursakti, B.A., S.Pd., M.Pd._Bahasa Arab, Al-Quran, &amp; Diniyyah (Fikih, Hadis, SKI, &amp; Akidah Akhlak)</v>
      </c>
      <c r="AP1171" s="1" t="s">
        <v>18251</v>
      </c>
    </row>
    <row r="1172">
      <c r="A1172" s="6">
        <v>45758.53283138889</v>
      </c>
      <c r="B1172" s="7" t="s">
        <v>18252</v>
      </c>
      <c r="C1172" s="8" t="s">
        <v>18253</v>
      </c>
      <c r="D1172" s="1" t="s">
        <v>18254</v>
      </c>
      <c r="E1172" s="9" t="s">
        <v>18255</v>
      </c>
      <c r="F1172" s="1" t="s">
        <v>18256</v>
      </c>
      <c r="G1172" s="1" t="s">
        <v>18257</v>
      </c>
      <c r="H1172" s="1" t="s">
        <v>288</v>
      </c>
      <c r="I1172" s="9" t="s">
        <v>18258</v>
      </c>
      <c r="J1172" s="1" t="s">
        <v>10156</v>
      </c>
      <c r="K1172" s="1" t="s">
        <v>102</v>
      </c>
      <c r="L1172" s="1" t="s">
        <v>103</v>
      </c>
      <c r="M1172" s="1" t="s">
        <v>104</v>
      </c>
      <c r="N1172" s="1" t="s">
        <v>235</v>
      </c>
      <c r="O1172" s="1" t="s">
        <v>127</v>
      </c>
      <c r="P1172" s="1" t="s">
        <v>7162</v>
      </c>
      <c r="Q1172" s="1" t="s">
        <v>18259</v>
      </c>
      <c r="R1172" s="1" t="s">
        <v>18260</v>
      </c>
      <c r="S1172" s="1" t="s">
        <v>4097</v>
      </c>
      <c r="Z1172" s="1" t="s">
        <v>18261</v>
      </c>
      <c r="AA1172" s="10">
        <v>500000.0</v>
      </c>
      <c r="AH1172" s="9" t="s">
        <v>18262</v>
      </c>
      <c r="AI1172" s="1" t="s">
        <v>18263</v>
      </c>
      <c r="AJ1172" s="1">
        <v>163.0</v>
      </c>
      <c r="AK1172" s="1">
        <v>60.0</v>
      </c>
      <c r="AL1172" s="1" t="s">
        <v>18264</v>
      </c>
      <c r="AM1172" s="1" t="s">
        <v>18265</v>
      </c>
      <c r="AN1172" s="7" t="s">
        <v>18266</v>
      </c>
      <c r="AO1172" s="8" t="str">
        <f>HYPERLINK("https://docs.google.com/document/d/1_w_nnOn5gf7cghMKqR_D1okYy8wm6H9F-BABfk1aVt8/edit?usp=drivesdk","Al-Wildan 7 Serang_FURSANUL HAQ SYA'BAN LC_Bahasa Arab")</f>
        <v>Al-Wildan 7 Serang_FURSANUL HAQ SYA'BAN LC_Bahasa Arab</v>
      </c>
      <c r="AP1172" s="1" t="s">
        <v>18267</v>
      </c>
    </row>
    <row r="1173">
      <c r="A1173" s="6">
        <v>45769.81546265046</v>
      </c>
      <c r="B1173" s="7" t="s">
        <v>18268</v>
      </c>
      <c r="C1173" s="8" t="s">
        <v>18269</v>
      </c>
      <c r="D1173" s="1" t="s">
        <v>18270</v>
      </c>
      <c r="E1173" s="9" t="s">
        <v>18271</v>
      </c>
      <c r="F1173" s="1" t="s">
        <v>18272</v>
      </c>
      <c r="G1173" s="1" t="s">
        <v>18273</v>
      </c>
      <c r="H1173" s="1" t="s">
        <v>148</v>
      </c>
      <c r="I1173" s="9" t="s">
        <v>18274</v>
      </c>
      <c r="J1173" s="1" t="s">
        <v>11768</v>
      </c>
      <c r="K1173" s="1" t="s">
        <v>151</v>
      </c>
      <c r="L1173" s="1" t="s">
        <v>103</v>
      </c>
      <c r="M1173" s="1" t="s">
        <v>104</v>
      </c>
      <c r="N1173" s="1" t="s">
        <v>105</v>
      </c>
      <c r="O1173" s="1" t="s">
        <v>9794</v>
      </c>
      <c r="P1173" s="1" t="s">
        <v>6659</v>
      </c>
      <c r="Q1173" s="1" t="s">
        <v>153</v>
      </c>
      <c r="R1173" s="1" t="s">
        <v>906</v>
      </c>
      <c r="S1173" s="1" t="s">
        <v>9479</v>
      </c>
      <c r="Z1173" s="1" t="s">
        <v>18275</v>
      </c>
      <c r="AA1173" s="10">
        <v>3000000.0</v>
      </c>
      <c r="AB1173" s="1" t="s">
        <v>18276</v>
      </c>
      <c r="AC1173" s="10">
        <v>2000000.0</v>
      </c>
      <c r="AD1173" s="1" t="s">
        <v>18277</v>
      </c>
      <c r="AE1173" s="10">
        <v>1000000.0</v>
      </c>
      <c r="AF1173" s="10">
        <v>5500000.0</v>
      </c>
      <c r="AG1173" s="1">
        <v>9.17865147E9</v>
      </c>
      <c r="AJ1173" s="1">
        <v>156.0</v>
      </c>
      <c r="AK1173" s="1">
        <v>45.0</v>
      </c>
      <c r="AL1173" s="1" t="s">
        <v>18278</v>
      </c>
      <c r="AM1173" s="1" t="s">
        <v>18279</v>
      </c>
      <c r="AN1173" s="7" t="s">
        <v>18280</v>
      </c>
      <c r="AO1173" s="8" t="str">
        <f>HYPERLINK("https://docs.google.com/document/d/1qAU70I-oOfWhBMycpipGbaeAa2_v87I8FlhXjTrnb4E/edit?usp=drivesdk","Al-Wildan 15 Kompas Indah, Tambun Bekasi._Aulia Aziz Salsabilla, S.S._Bahasa Indonesia")</f>
        <v>Al-Wildan 15 Kompas Indah, Tambun Bekasi._Aulia Aziz Salsabilla, S.S._Bahasa Indonesia</v>
      </c>
      <c r="AP1173" s="1" t="s">
        <v>18281</v>
      </c>
    </row>
    <row r="1174">
      <c r="A1174" s="6">
        <v>45769.86097214121</v>
      </c>
      <c r="B1174" s="7" t="s">
        <v>18282</v>
      </c>
      <c r="C1174" s="8" t="s">
        <v>18283</v>
      </c>
      <c r="D1174" s="1" t="s">
        <v>18284</v>
      </c>
      <c r="E1174" s="9" t="s">
        <v>18285</v>
      </c>
      <c r="F1174" s="1" t="s">
        <v>18286</v>
      </c>
      <c r="G1174" s="1" t="s">
        <v>18287</v>
      </c>
      <c r="H1174" s="1" t="s">
        <v>944</v>
      </c>
      <c r="I1174" s="9" t="s">
        <v>18288</v>
      </c>
      <c r="J1174" s="1" t="s">
        <v>18289</v>
      </c>
      <c r="K1174" s="1" t="s">
        <v>102</v>
      </c>
      <c r="L1174" s="1" t="s">
        <v>103</v>
      </c>
      <c r="M1174" s="1" t="s">
        <v>104</v>
      </c>
      <c r="N1174" s="1" t="s">
        <v>18290</v>
      </c>
      <c r="O1174" s="1" t="s">
        <v>127</v>
      </c>
      <c r="P1174" s="1" t="s">
        <v>6659</v>
      </c>
      <c r="Q1174" s="1" t="s">
        <v>18291</v>
      </c>
      <c r="R1174" s="1" t="s">
        <v>193</v>
      </c>
      <c r="S1174" s="1" t="s">
        <v>18292</v>
      </c>
      <c r="T1174" s="1" t="s">
        <v>9493</v>
      </c>
      <c r="U1174" s="1" t="s">
        <v>18293</v>
      </c>
      <c r="V1174" s="1">
        <v>3.75</v>
      </c>
      <c r="Z1174" s="1" t="s">
        <v>18294</v>
      </c>
      <c r="AA1174" s="10">
        <v>4300000.0</v>
      </c>
      <c r="AB1174" s="1" t="s">
        <v>18295</v>
      </c>
      <c r="AC1174" s="10">
        <v>800000.0</v>
      </c>
      <c r="AD1174" s="1" t="s">
        <v>18296</v>
      </c>
      <c r="AE1174" s="10">
        <v>1000000.0</v>
      </c>
      <c r="AF1174" s="10">
        <v>5650000.0</v>
      </c>
      <c r="AG1174" s="1">
        <v>4.29161166E9</v>
      </c>
      <c r="AJ1174" s="1">
        <v>175.0</v>
      </c>
      <c r="AK1174" s="1">
        <v>70.0</v>
      </c>
      <c r="AL1174" s="1" t="s">
        <v>18297</v>
      </c>
      <c r="AM1174" s="1" t="s">
        <v>18298</v>
      </c>
      <c r="AN1174" s="7" t="s">
        <v>18299</v>
      </c>
      <c r="AO1174" s="8" t="str">
        <f>HYPERLINK("https://docs.google.com/document/d/1I5aP1_Wuu6PD1tAWC0MJ_QguqG6NzrLizybyGgiq7LU/edit?usp=drivesdk","Al-Wildan 15 Kompas Indah, Tambun Bekasi._Muh Rifqil Furqan, Lc. M.Si._Al Quran Diniyyah Arabic")</f>
        <v>Al-Wildan 15 Kompas Indah, Tambun Bekasi._Muh Rifqil Furqan, Lc. M.Si._Al Quran Diniyyah Arabic</v>
      </c>
      <c r="AP1174" s="1" t="s">
        <v>18300</v>
      </c>
    </row>
    <row r="1175">
      <c r="A1175" s="6">
        <v>45770.79506709491</v>
      </c>
      <c r="B1175" s="7" t="s">
        <v>18301</v>
      </c>
      <c r="C1175" s="8" t="s">
        <v>18302</v>
      </c>
      <c r="D1175" s="1" t="s">
        <v>18303</v>
      </c>
      <c r="E1175" s="9" t="s">
        <v>18304</v>
      </c>
      <c r="F1175" s="1" t="s">
        <v>18305</v>
      </c>
      <c r="G1175" s="1" t="s">
        <v>1555</v>
      </c>
      <c r="H1175" s="1" t="s">
        <v>1555</v>
      </c>
      <c r="I1175" s="9" t="s">
        <v>18306</v>
      </c>
      <c r="J1175" s="1" t="s">
        <v>17447</v>
      </c>
      <c r="K1175" s="1" t="s">
        <v>151</v>
      </c>
      <c r="L1175" s="1" t="s">
        <v>256</v>
      </c>
      <c r="M1175" s="1" t="s">
        <v>104</v>
      </c>
      <c r="N1175" s="1" t="s">
        <v>152</v>
      </c>
      <c r="O1175" s="1" t="s">
        <v>312</v>
      </c>
      <c r="P1175" s="1" t="s">
        <v>7991</v>
      </c>
      <c r="Q1175" s="1" t="s">
        <v>7410</v>
      </c>
      <c r="R1175" s="1" t="s">
        <v>172</v>
      </c>
      <c r="S1175" s="1" t="s">
        <v>7147</v>
      </c>
      <c r="T1175" s="1" t="s">
        <v>217</v>
      </c>
      <c r="U1175" s="1" t="s">
        <v>217</v>
      </c>
      <c r="V1175" s="1" t="s">
        <v>217</v>
      </c>
      <c r="W1175" s="1" t="s">
        <v>217</v>
      </c>
      <c r="X1175" s="1" t="s">
        <v>217</v>
      </c>
      <c r="Y1175" s="1">
        <v>0.0</v>
      </c>
      <c r="Z1175" s="1" t="s">
        <v>18307</v>
      </c>
      <c r="AA1175" s="10">
        <v>2500000.0</v>
      </c>
      <c r="AB1175" s="1" t="s">
        <v>18308</v>
      </c>
      <c r="AC1175" s="10">
        <v>1300000.0</v>
      </c>
      <c r="AD1175" s="1" t="s">
        <v>18309</v>
      </c>
      <c r="AE1175" s="10">
        <v>2000000.0</v>
      </c>
      <c r="AF1175" s="10">
        <v>5850000.0</v>
      </c>
      <c r="AG1175" s="1">
        <v>0.0</v>
      </c>
      <c r="AH1175" s="1">
        <v>1.770006853078E12</v>
      </c>
      <c r="AI1175" s="1" t="s">
        <v>2119</v>
      </c>
      <c r="AJ1175" s="1">
        <v>153.0</v>
      </c>
      <c r="AK1175" s="1">
        <v>48.0</v>
      </c>
      <c r="AL1175" s="1" t="s">
        <v>18310</v>
      </c>
      <c r="AM1175" s="1" t="s">
        <v>18311</v>
      </c>
      <c r="AN1175" s="7" t="s">
        <v>18312</v>
      </c>
      <c r="AO1175" s="8" t="str">
        <f>HYPERLINK("https://docs.google.com/document/d/1vUOsJ6WN6dKk9AWkk0cFu6y4bDzPtPRTce5q9QsN2xE/edit?usp=drivesdk","Al-Wildan 12 Bulak Kapal, Bekasi_Deina Putri Pardanita, S.Pd._Bahasa Inggris")</f>
        <v>Al-Wildan 12 Bulak Kapal, Bekasi_Deina Putri Pardanita, S.Pd._Bahasa Inggris</v>
      </c>
      <c r="AP1175" s="1" t="s">
        <v>18313</v>
      </c>
    </row>
    <row r="1176">
      <c r="A1176" s="6">
        <v>45771.59493173611</v>
      </c>
      <c r="B1176" s="7" t="s">
        <v>18314</v>
      </c>
      <c r="C1176" s="8" t="s">
        <v>18315</v>
      </c>
      <c r="D1176" s="1" t="s">
        <v>18316</v>
      </c>
      <c r="E1176" s="9" t="s">
        <v>18317</v>
      </c>
      <c r="F1176" s="1" t="s">
        <v>18318</v>
      </c>
      <c r="G1176" s="1" t="s">
        <v>18319</v>
      </c>
      <c r="H1176" s="1" t="s">
        <v>9013</v>
      </c>
      <c r="I1176" s="9" t="s">
        <v>18320</v>
      </c>
      <c r="J1176" s="1" t="s">
        <v>5874</v>
      </c>
      <c r="K1176" s="1" t="s">
        <v>151</v>
      </c>
      <c r="L1176" s="1" t="s">
        <v>103</v>
      </c>
      <c r="M1176" s="1" t="s">
        <v>104</v>
      </c>
      <c r="N1176" s="1" t="s">
        <v>18321</v>
      </c>
      <c r="O1176" s="1" t="s">
        <v>9794</v>
      </c>
      <c r="P1176" s="1" t="s">
        <v>17019</v>
      </c>
      <c r="Q1176" s="1" t="s">
        <v>18322</v>
      </c>
      <c r="R1176" s="1" t="s">
        <v>1523</v>
      </c>
      <c r="S1176" s="1" t="s">
        <v>363</v>
      </c>
      <c r="T1176" s="1" t="s">
        <v>2927</v>
      </c>
      <c r="U1176" s="1" t="s">
        <v>1523</v>
      </c>
      <c r="V1176" s="1" t="s">
        <v>4513</v>
      </c>
      <c r="W1176" s="1" t="s">
        <v>217</v>
      </c>
      <c r="X1176" s="1" t="s">
        <v>217</v>
      </c>
      <c r="Y1176" s="1">
        <v>0.0</v>
      </c>
      <c r="Z1176" s="1" t="s">
        <v>18323</v>
      </c>
      <c r="AA1176" s="10">
        <v>2900000.0</v>
      </c>
      <c r="AB1176" s="1" t="s">
        <v>18324</v>
      </c>
      <c r="AC1176" s="10">
        <v>4000000.0</v>
      </c>
      <c r="AD1176" s="1" t="s">
        <v>18325</v>
      </c>
      <c r="AE1176" s="10">
        <v>6000000.0</v>
      </c>
      <c r="AF1176" s="10">
        <v>7000000.0</v>
      </c>
      <c r="AG1176" s="1">
        <v>0.0</v>
      </c>
      <c r="AH1176" s="9" t="s">
        <v>18326</v>
      </c>
      <c r="AI1176" s="1" t="s">
        <v>222</v>
      </c>
      <c r="AJ1176" s="1">
        <v>156.0</v>
      </c>
      <c r="AK1176" s="1">
        <v>55.0</v>
      </c>
      <c r="AL1176" s="1" t="s">
        <v>18327</v>
      </c>
      <c r="AM1176" s="1" t="s">
        <v>18328</v>
      </c>
      <c r="AN1176" s="7" t="s">
        <v>18329</v>
      </c>
      <c r="AO1176" s="8" t="str">
        <f>HYPERLINK("https://docs.google.com/document/d/1QCsYP9mJZ47pJf5i63sExw1lsEoAjzlxrT65k5Q9AXc/edit?usp=drivesdk","Al-Wildan 20 Mataram_NELLY SAFITRI ANWARI_Sains dan Kimia")</f>
        <v>Al-Wildan 20 Mataram_NELLY SAFITRI ANWARI_Sains dan Kimia</v>
      </c>
      <c r="AP1176" s="1" t="s">
        <v>18330</v>
      </c>
    </row>
    <row r="1177">
      <c r="A1177" s="6">
        <v>45775.38118891204</v>
      </c>
      <c r="B1177" s="7" t="s">
        <v>18331</v>
      </c>
      <c r="C1177" s="8" t="s">
        <v>18332</v>
      </c>
      <c r="D1177" s="1" t="s">
        <v>18333</v>
      </c>
      <c r="E1177" s="9" t="s">
        <v>18334</v>
      </c>
      <c r="F1177" s="1" t="s">
        <v>18335</v>
      </c>
      <c r="G1177" s="1" t="s">
        <v>18336</v>
      </c>
      <c r="H1177" s="1" t="s">
        <v>4998</v>
      </c>
      <c r="I1177" s="9" t="s">
        <v>18337</v>
      </c>
      <c r="J1177" s="1" t="s">
        <v>150</v>
      </c>
      <c r="K1177" s="1" t="s">
        <v>151</v>
      </c>
      <c r="L1177" s="1" t="s">
        <v>827</v>
      </c>
      <c r="M1177" s="1" t="s">
        <v>104</v>
      </c>
      <c r="N1177" s="1" t="s">
        <v>18338</v>
      </c>
      <c r="O1177" s="1" t="s">
        <v>1202</v>
      </c>
      <c r="P1177" s="1" t="s">
        <v>17019</v>
      </c>
      <c r="Q1177" s="1" t="s">
        <v>18339</v>
      </c>
      <c r="R1177" s="1" t="s">
        <v>18340</v>
      </c>
      <c r="Z1177" s="1" t="s">
        <v>18341</v>
      </c>
      <c r="AA1177" s="10">
        <v>1000000.0</v>
      </c>
      <c r="AB1177" s="1" t="s">
        <v>18342</v>
      </c>
      <c r="AC1177" s="1" t="s">
        <v>18343</v>
      </c>
      <c r="AF1177" s="10">
        <v>5000000.0</v>
      </c>
      <c r="AG1177" s="1">
        <v>1.157130692E9</v>
      </c>
      <c r="AI1177" s="1" t="s">
        <v>4856</v>
      </c>
      <c r="AJ1177" s="1">
        <v>153.0</v>
      </c>
      <c r="AK1177" s="1">
        <v>37.0</v>
      </c>
      <c r="AL1177" s="1" t="s">
        <v>18344</v>
      </c>
      <c r="AM1177" s="1" t="s">
        <v>18345</v>
      </c>
      <c r="AN1177" s="7" t="s">
        <v>18346</v>
      </c>
      <c r="AO1177" s="8" t="str">
        <f>HYPERLINK("https://docs.google.com/document/d/1eSPJGp009n_XGbChPZCneA2Gj4Jvl4Rgm-fFetvwy8k/edit?usp=drivesdk","Al-Wildan 20 Mataram_FARHANAH_Guru Pelajaran Umum TK")</f>
        <v>Al-Wildan 20 Mataram_FARHANAH_Guru Pelajaran Umum TK</v>
      </c>
      <c r="AP1177" s="1" t="s">
        <v>18347</v>
      </c>
    </row>
    <row r="1178">
      <c r="A1178" s="6">
        <v>45775.41100630787</v>
      </c>
      <c r="B1178" s="7" t="s">
        <v>18348</v>
      </c>
      <c r="C1178" s="8" t="s">
        <v>18349</v>
      </c>
      <c r="D1178" s="1" t="s">
        <v>18350</v>
      </c>
      <c r="E1178" s="9" t="s">
        <v>18351</v>
      </c>
      <c r="F1178" s="1" t="s">
        <v>18352</v>
      </c>
      <c r="G1178" s="1" t="s">
        <v>18353</v>
      </c>
      <c r="H1178" s="1" t="s">
        <v>18354</v>
      </c>
      <c r="I1178" s="9" t="s">
        <v>18355</v>
      </c>
      <c r="J1178" s="1" t="s">
        <v>18356</v>
      </c>
      <c r="K1178" s="1" t="s">
        <v>102</v>
      </c>
      <c r="L1178" s="1" t="s">
        <v>103</v>
      </c>
      <c r="M1178" s="1" t="s">
        <v>17975</v>
      </c>
      <c r="N1178" s="1" t="s">
        <v>6090</v>
      </c>
      <c r="O1178" s="1" t="s">
        <v>106</v>
      </c>
      <c r="P1178" s="1" t="s">
        <v>17019</v>
      </c>
      <c r="Q1178" s="1" t="s">
        <v>18357</v>
      </c>
      <c r="R1178" s="1" t="s">
        <v>18358</v>
      </c>
      <c r="S1178" s="1">
        <v>84.38</v>
      </c>
      <c r="Z1178" s="1" t="s">
        <v>18359</v>
      </c>
      <c r="AA1178" s="1" t="s">
        <v>18360</v>
      </c>
      <c r="AB1178" s="1" t="s">
        <v>18361</v>
      </c>
      <c r="AC1178" s="1" t="s">
        <v>18360</v>
      </c>
      <c r="AD1178" s="1" t="s">
        <v>18361</v>
      </c>
      <c r="AE1178" s="1" t="s">
        <v>18360</v>
      </c>
      <c r="AF1178" s="1" t="s">
        <v>18362</v>
      </c>
      <c r="AH1178" s="1">
        <v>5.04030252401E12</v>
      </c>
      <c r="AI1178" s="1" t="s">
        <v>18363</v>
      </c>
      <c r="AJ1178" s="1">
        <v>165.0</v>
      </c>
      <c r="AK1178" s="1">
        <v>60.0</v>
      </c>
      <c r="AL1178" s="1" t="s">
        <v>18364</v>
      </c>
      <c r="AM1178" s="1" t="s">
        <v>18365</v>
      </c>
      <c r="AN1178" s="7" t="s">
        <v>18366</v>
      </c>
      <c r="AO1178" s="8" t="str">
        <f>HYPERLINK("https://docs.google.com/document/d/11WzbXqcuJa6Lh-gmbXWzQIpjX1oFL6jFt1I3x2ts8v0/edit?usp=drivesdk","Al-Wildan 20 Mataram_Abu Muhammad Agus Fachry, Lc._Agama")</f>
        <v>Al-Wildan 20 Mataram_Abu Muhammad Agus Fachry, Lc._Agama</v>
      </c>
      <c r="AP1178" s="1" t="s">
        <v>18367</v>
      </c>
    </row>
    <row r="1179">
      <c r="A1179" s="6">
        <v>45776.51397043982</v>
      </c>
      <c r="B1179" s="7" t="s">
        <v>18368</v>
      </c>
      <c r="C1179" s="8" t="s">
        <v>18369</v>
      </c>
      <c r="D1179" s="1" t="s">
        <v>18370</v>
      </c>
      <c r="E1179" s="9" t="s">
        <v>18371</v>
      </c>
      <c r="F1179" s="1" t="s">
        <v>18372</v>
      </c>
      <c r="G1179" s="1" t="s">
        <v>18373</v>
      </c>
      <c r="H1179" s="1" t="s">
        <v>9652</v>
      </c>
      <c r="I1179" s="1">
        <v>1.6081997E7</v>
      </c>
      <c r="J1179" s="1" t="s">
        <v>3221</v>
      </c>
      <c r="K1179" s="1" t="s">
        <v>151</v>
      </c>
      <c r="L1179" s="1" t="s">
        <v>103</v>
      </c>
      <c r="M1179" s="1" t="s">
        <v>104</v>
      </c>
      <c r="N1179" s="1" t="s">
        <v>18374</v>
      </c>
      <c r="O1179" s="1" t="s">
        <v>312</v>
      </c>
      <c r="P1179" s="1" t="s">
        <v>7991</v>
      </c>
      <c r="Q1179" s="1" t="s">
        <v>18375</v>
      </c>
      <c r="R1179" s="1" t="s">
        <v>172</v>
      </c>
      <c r="S1179" s="1" t="s">
        <v>110</v>
      </c>
      <c r="T1179" s="1" t="s">
        <v>18376</v>
      </c>
      <c r="U1179" s="1" t="s">
        <v>2584</v>
      </c>
      <c r="V1179" s="1" t="s">
        <v>2372</v>
      </c>
      <c r="Z1179" s="1" t="s">
        <v>18377</v>
      </c>
      <c r="AA1179" s="10">
        <v>5575000.0</v>
      </c>
      <c r="AF1179" s="10">
        <v>6500000.0</v>
      </c>
      <c r="AG1179" s="1">
        <v>7.307044328E9</v>
      </c>
      <c r="AJ1179" s="1">
        <v>157.0</v>
      </c>
      <c r="AK1179" s="1">
        <v>55.0</v>
      </c>
      <c r="AL1179" s="1" t="s">
        <v>18378</v>
      </c>
      <c r="AM1179" s="1" t="s">
        <v>18379</v>
      </c>
      <c r="AN1179" s="7" t="s">
        <v>18380</v>
      </c>
      <c r="AO1179" s="8" t="str">
        <f>HYPERLINK("https://docs.google.com/document/d/1m3QxNwHbbpf9rTqvW4zhG476lae08PTx6lVT4unGiA8/edit?usp=drivesdk","Al-Wildan 12 Bulak Kapal, Bekasi_Agwin Darwiyanti, M.Pd._Science, English and Math")</f>
        <v>Al-Wildan 12 Bulak Kapal, Bekasi_Agwin Darwiyanti, M.Pd._Science, English and Math</v>
      </c>
      <c r="AP1179" s="1" t="s">
        <v>18381</v>
      </c>
    </row>
    <row r="1180">
      <c r="A1180" s="6">
        <v>45776.60902979167</v>
      </c>
      <c r="B1180" s="7" t="s">
        <v>18382</v>
      </c>
      <c r="C1180" s="8" t="s">
        <v>18383</v>
      </c>
      <c r="D1180" s="1" t="s">
        <v>18384</v>
      </c>
      <c r="E1180" s="9" t="s">
        <v>8401</v>
      </c>
      <c r="F1180" s="1" t="s">
        <v>8402</v>
      </c>
      <c r="G1180" s="1" t="s">
        <v>18385</v>
      </c>
      <c r="H1180" s="1" t="s">
        <v>8404</v>
      </c>
      <c r="I1180" s="9" t="s">
        <v>8405</v>
      </c>
      <c r="J1180" s="1" t="s">
        <v>2783</v>
      </c>
      <c r="K1180" s="1" t="s">
        <v>102</v>
      </c>
      <c r="L1180" s="1" t="s">
        <v>256</v>
      </c>
      <c r="M1180" s="1" t="s">
        <v>104</v>
      </c>
      <c r="N1180" s="1" t="s">
        <v>18386</v>
      </c>
      <c r="O1180" s="1" t="s">
        <v>127</v>
      </c>
      <c r="P1180" s="1" t="s">
        <v>11168</v>
      </c>
      <c r="Q1180" s="1" t="s">
        <v>108</v>
      </c>
      <c r="R1180" s="1" t="s">
        <v>410</v>
      </c>
      <c r="S1180" s="1" t="s">
        <v>2465</v>
      </c>
      <c r="T1180" s="1" t="s">
        <v>108</v>
      </c>
      <c r="U1180" s="1" t="s">
        <v>18387</v>
      </c>
      <c r="V1180" s="1" t="s">
        <v>5399</v>
      </c>
      <c r="Z1180" s="1" t="s">
        <v>8407</v>
      </c>
      <c r="AA1180" s="10">
        <v>4000000.0</v>
      </c>
      <c r="AB1180" s="1" t="s">
        <v>18388</v>
      </c>
      <c r="AC1180" s="10">
        <v>4500000.0</v>
      </c>
      <c r="AD1180" s="1" t="s">
        <v>18389</v>
      </c>
      <c r="AE1180" s="10">
        <v>3000000.0</v>
      </c>
      <c r="AF1180" s="10">
        <v>7500000.0</v>
      </c>
      <c r="AG1180" s="1">
        <v>7.126478358E9</v>
      </c>
      <c r="AJ1180" s="1">
        <v>158.0</v>
      </c>
      <c r="AK1180" s="1">
        <v>64.0</v>
      </c>
      <c r="AL1180" s="1" t="s">
        <v>8408</v>
      </c>
      <c r="AM1180" s="1" t="s">
        <v>18390</v>
      </c>
      <c r="AN1180" s="7" t="s">
        <v>18391</v>
      </c>
      <c r="AO1180" s="8" t="str">
        <f>HYPERLINK("https://docs.google.com/document/d/17gxZss64TDu-qQ0rK1wyf1LR9k532Tk6VNmwsA_EXHo/edit?usp=drivesdk","Al-Wildan 8 Parung_Syarifah Hafizah, M.Pd._Science dan Mathematics")</f>
        <v>Al-Wildan 8 Parung_Syarifah Hafizah, M.Pd._Science dan Mathematics</v>
      </c>
      <c r="AP1180" s="1" t="s">
        <v>18392</v>
      </c>
    </row>
    <row r="1181">
      <c r="A1181" s="6">
        <v>45777.35705392361</v>
      </c>
      <c r="B1181" s="7" t="s">
        <v>18393</v>
      </c>
      <c r="C1181" s="8" t="s">
        <v>18394</v>
      </c>
      <c r="D1181" s="1" t="s">
        <v>18395</v>
      </c>
      <c r="E1181" s="9" t="s">
        <v>18396</v>
      </c>
      <c r="F1181" s="1" t="s">
        <v>18397</v>
      </c>
      <c r="G1181" s="1" t="s">
        <v>18398</v>
      </c>
      <c r="H1181" s="1" t="s">
        <v>4092</v>
      </c>
      <c r="I1181" s="1">
        <v>2.0041996E7</v>
      </c>
      <c r="J1181" s="1" t="s">
        <v>18399</v>
      </c>
      <c r="K1181" s="1" t="s">
        <v>151</v>
      </c>
      <c r="L1181" s="1" t="s">
        <v>103</v>
      </c>
      <c r="M1181" s="1" t="s">
        <v>104</v>
      </c>
      <c r="O1181" s="1" t="s">
        <v>312</v>
      </c>
      <c r="P1181" s="1" t="s">
        <v>107</v>
      </c>
      <c r="Q1181" s="1" t="s">
        <v>16541</v>
      </c>
      <c r="R1181" s="1" t="s">
        <v>6155</v>
      </c>
      <c r="S1181" s="1" t="s">
        <v>155</v>
      </c>
      <c r="Z1181" s="1" t="s">
        <v>18400</v>
      </c>
      <c r="AA1181" s="10">
        <v>5700000.0</v>
      </c>
      <c r="AF1181" s="10">
        <v>6500000.0</v>
      </c>
      <c r="AG1181" s="1">
        <v>3.00038538E8</v>
      </c>
      <c r="AI1181" s="1" t="s">
        <v>7997</v>
      </c>
      <c r="AJ1181" s="1">
        <v>157.0</v>
      </c>
      <c r="AK1181" s="1">
        <v>75.0</v>
      </c>
      <c r="AL1181" s="1" t="s">
        <v>18401</v>
      </c>
      <c r="AM1181" s="1" t="s">
        <v>18402</v>
      </c>
      <c r="AN1181" s="7" t="s">
        <v>18403</v>
      </c>
      <c r="AO1181" s="8" t="str">
        <f>HYPERLINK("https://docs.google.com/document/d/1G-cI8ndNzAktOArYb1eu7-tl1d0fouvw6g-Pv5xZ6ts/edit?usp=drivesdk","Al-Wildan 1 Gading Serpong_Luthfia Aufanzylla Anantyanda, S.M._")</f>
        <v>Al-Wildan 1 Gading Serpong_Luthfia Aufanzylla Anantyanda, S.M._</v>
      </c>
      <c r="AP1181" s="1" t="s">
        <v>18404</v>
      </c>
    </row>
    <row r="1182">
      <c r="A1182" s="6">
        <v>45777.5024496875</v>
      </c>
      <c r="B1182" s="7" t="s">
        <v>18405</v>
      </c>
      <c r="C1182" s="8" t="s">
        <v>18406</v>
      </c>
      <c r="D1182" s="1" t="s">
        <v>18407</v>
      </c>
      <c r="E1182" s="9" t="s">
        <v>18408</v>
      </c>
      <c r="F1182" s="1" t="s">
        <v>18409</v>
      </c>
      <c r="G1182" s="1" t="s">
        <v>18410</v>
      </c>
      <c r="H1182" s="1" t="s">
        <v>18411</v>
      </c>
      <c r="I1182" s="9" t="s">
        <v>18412</v>
      </c>
      <c r="J1182" s="1" t="s">
        <v>4834</v>
      </c>
      <c r="K1182" s="1" t="s">
        <v>151</v>
      </c>
      <c r="L1182" s="1" t="s">
        <v>103</v>
      </c>
      <c r="M1182" s="1" t="s">
        <v>104</v>
      </c>
      <c r="N1182" s="1" t="s">
        <v>18413</v>
      </c>
      <c r="O1182" s="1" t="s">
        <v>1202</v>
      </c>
      <c r="P1182" s="1" t="s">
        <v>17019</v>
      </c>
      <c r="Q1182" s="1" t="s">
        <v>18414</v>
      </c>
      <c r="R1182" s="1" t="s">
        <v>18415</v>
      </c>
      <c r="S1182" s="1" t="s">
        <v>8452</v>
      </c>
      <c r="Z1182" s="1" t="s">
        <v>18416</v>
      </c>
      <c r="AA1182" s="10">
        <v>1000000.0</v>
      </c>
      <c r="AH1182" s="1">
        <v>1.817069106E9</v>
      </c>
      <c r="AI1182" s="1" t="s">
        <v>159</v>
      </c>
      <c r="AJ1182" s="1">
        <v>155.0</v>
      </c>
      <c r="AK1182" s="1">
        <v>42.0</v>
      </c>
      <c r="AL1182" s="1" t="s">
        <v>18417</v>
      </c>
      <c r="AM1182" s="1" t="s">
        <v>18418</v>
      </c>
      <c r="AN1182" s="7" t="s">
        <v>18419</v>
      </c>
      <c r="AO1182" s="8" t="str">
        <f>HYPERLINK("https://docs.google.com/document/d/15ecOAAPQiaRRt7KOv8t-wFBC1k6CYbLpi_TiCEFiySM/edit?usp=drivesdk","Al-Wildan 20 Mataram_Yunita Rizqia S.Tp_pelajaran kelas (berhuitung, menulis, membaca) , doa keseharian, hadist, hafalan quran")</f>
        <v>Al-Wildan 20 Mataram_Yunita Rizqia S.Tp_pelajaran kelas (berhuitung, menulis, membaca) , doa keseharian, hadist, hafalan quran</v>
      </c>
      <c r="AP1182" s="1" t="s">
        <v>18420</v>
      </c>
    </row>
    <row r="1183">
      <c r="A1183" s="6">
        <v>45777.5815887037</v>
      </c>
      <c r="B1183" s="7" t="s">
        <v>18421</v>
      </c>
      <c r="C1183" s="8" t="s">
        <v>18422</v>
      </c>
      <c r="D1183" s="1" t="s">
        <v>18423</v>
      </c>
      <c r="E1183" s="9" t="s">
        <v>18424</v>
      </c>
      <c r="F1183" s="1" t="s">
        <v>18425</v>
      </c>
      <c r="G1183" s="1" t="s">
        <v>18426</v>
      </c>
      <c r="H1183" s="1" t="s">
        <v>18427</v>
      </c>
      <c r="I1183" s="9" t="s">
        <v>18428</v>
      </c>
      <c r="J1183" s="1">
        <v>25.0</v>
      </c>
      <c r="K1183" s="1" t="s">
        <v>151</v>
      </c>
      <c r="L1183" s="1" t="s">
        <v>103</v>
      </c>
      <c r="M1183" s="1" t="s">
        <v>104</v>
      </c>
      <c r="N1183" s="1" t="s">
        <v>152</v>
      </c>
      <c r="O1183" s="1" t="s">
        <v>1202</v>
      </c>
      <c r="P1183" s="1" t="s">
        <v>17019</v>
      </c>
      <c r="Q1183" s="1" t="s">
        <v>590</v>
      </c>
      <c r="R1183" s="1" t="s">
        <v>2584</v>
      </c>
      <c r="S1183" s="1" t="s">
        <v>411</v>
      </c>
      <c r="Z1183" s="1" t="s">
        <v>18429</v>
      </c>
      <c r="AA1183" s="10">
        <v>2400000.0</v>
      </c>
      <c r="AB1183" s="1" t="s">
        <v>18430</v>
      </c>
      <c r="AC1183" s="10">
        <v>1100000.0</v>
      </c>
      <c r="AD1183" s="1" t="s">
        <v>18431</v>
      </c>
      <c r="AE1183" s="10">
        <v>2500000.0</v>
      </c>
      <c r="AF1183" s="10">
        <v>5000000.0</v>
      </c>
      <c r="AH1183" s="1">
        <v>2.320625851E9</v>
      </c>
      <c r="AI1183" s="1" t="s">
        <v>222</v>
      </c>
      <c r="AJ1183" s="1">
        <v>160.0</v>
      </c>
      <c r="AK1183" s="1">
        <v>56.0</v>
      </c>
      <c r="AL1183" s="1" t="s">
        <v>18432</v>
      </c>
      <c r="AM1183" s="1" t="s">
        <v>18433</v>
      </c>
      <c r="AN1183" s="7" t="s">
        <v>18434</v>
      </c>
      <c r="AO1183" s="8" t="str">
        <f>HYPERLINK("https://docs.google.com/document/d/1g9Nc1B75jNDeA1j6mnDz8B9nT-gJYUP0PoMUYBwElPE/edit?usp=drivesdk","Al-Wildan 20 Mataram_Mia Adella Karnadi S.Pd_Bahasa Inggris")</f>
        <v>Al-Wildan 20 Mataram_Mia Adella Karnadi S.Pd_Bahasa Inggris</v>
      </c>
      <c r="AP1183" s="1" t="s">
        <v>18435</v>
      </c>
    </row>
    <row r="1184">
      <c r="A1184" s="6">
        <v>45777.85194199074</v>
      </c>
      <c r="B1184" s="7" t="s">
        <v>18436</v>
      </c>
      <c r="C1184" s="8" t="s">
        <v>18437</v>
      </c>
      <c r="D1184" s="1" t="s">
        <v>18438</v>
      </c>
      <c r="E1184" s="9" t="s">
        <v>18439</v>
      </c>
      <c r="F1184" s="1">
        <v>3.21601140498001E15</v>
      </c>
      <c r="G1184" s="1" t="s">
        <v>18440</v>
      </c>
      <c r="H1184" s="1" t="s">
        <v>169</v>
      </c>
      <c r="I1184" s="9" t="s">
        <v>18441</v>
      </c>
      <c r="J1184" s="1" t="s">
        <v>18442</v>
      </c>
      <c r="K1184" s="1" t="s">
        <v>102</v>
      </c>
      <c r="L1184" s="1" t="s">
        <v>103</v>
      </c>
      <c r="M1184" s="1" t="s">
        <v>13917</v>
      </c>
      <c r="N1184" s="1" t="s">
        <v>13918</v>
      </c>
      <c r="O1184" s="1" t="s">
        <v>312</v>
      </c>
      <c r="P1184" s="1" t="s">
        <v>7991</v>
      </c>
      <c r="Q1184" s="1" t="s">
        <v>9213</v>
      </c>
      <c r="R1184" s="1" t="s">
        <v>18443</v>
      </c>
      <c r="S1184" s="1" t="s">
        <v>1680</v>
      </c>
      <c r="Z1184" s="1" t="s">
        <v>18444</v>
      </c>
      <c r="AA1184" s="10">
        <v>1500000.0</v>
      </c>
      <c r="AB1184" s="1" t="s">
        <v>18445</v>
      </c>
      <c r="AC1184" s="10">
        <v>1000000.0</v>
      </c>
      <c r="AD1184" s="1" t="s">
        <v>18446</v>
      </c>
      <c r="AE1184" s="10">
        <v>1300000.0</v>
      </c>
      <c r="AF1184" s="10">
        <v>5000000.0</v>
      </c>
      <c r="AH1184" s="9" t="s">
        <v>18447</v>
      </c>
      <c r="AI1184" s="1" t="s">
        <v>18448</v>
      </c>
      <c r="AJ1184" s="1">
        <v>169.0</v>
      </c>
      <c r="AK1184" s="1">
        <v>78.0</v>
      </c>
      <c r="AL1184" s="1" t="s">
        <v>18449</v>
      </c>
      <c r="AM1184" s="1" t="s">
        <v>18450</v>
      </c>
      <c r="AN1184" s="7" t="s">
        <v>18451</v>
      </c>
      <c r="AO1184" s="8" t="str">
        <f>HYPERLINK("https://docs.google.com/document/d/1MipM7zDVtJxDbg93ozMqgZPJ5xQLutdPTn3GzdoFUIQ/edit?usp=drivesdk","Al-Wildan 12 Bulak Kapal, Bekasi_Achmad Faisal Azhari, S.Pd_PJOK")</f>
        <v>Al-Wildan 12 Bulak Kapal, Bekasi_Achmad Faisal Azhari, S.Pd_PJOK</v>
      </c>
      <c r="AP1184" s="1" t="s">
        <v>18452</v>
      </c>
    </row>
    <row r="1185">
      <c r="A1185" s="6">
        <v>45778.19255599537</v>
      </c>
      <c r="B1185" s="7" t="s">
        <v>18453</v>
      </c>
      <c r="C1185" s="8" t="s">
        <v>18454</v>
      </c>
      <c r="D1185" s="1" t="s">
        <v>18455</v>
      </c>
      <c r="E1185" s="9" t="s">
        <v>18456</v>
      </c>
      <c r="F1185" s="1" t="s">
        <v>18457</v>
      </c>
      <c r="G1185" s="1" t="s">
        <v>18458</v>
      </c>
      <c r="H1185" s="1" t="s">
        <v>18459</v>
      </c>
      <c r="I1185" s="9" t="s">
        <v>8428</v>
      </c>
      <c r="J1185" s="1" t="s">
        <v>6813</v>
      </c>
      <c r="K1185" s="1" t="s">
        <v>151</v>
      </c>
      <c r="L1185" s="1" t="s">
        <v>103</v>
      </c>
      <c r="M1185" s="1" t="s">
        <v>104</v>
      </c>
      <c r="N1185" s="1" t="s">
        <v>5303</v>
      </c>
      <c r="O1185" s="1" t="s">
        <v>106</v>
      </c>
      <c r="P1185" s="1" t="s">
        <v>14439</v>
      </c>
      <c r="Q1185" s="1" t="s">
        <v>18212</v>
      </c>
      <c r="R1185" s="1" t="s">
        <v>5304</v>
      </c>
      <c r="S1185" s="1" t="s">
        <v>155</v>
      </c>
      <c r="Z1185" s="1" t="s">
        <v>18460</v>
      </c>
      <c r="AA1185" s="10">
        <v>2200000.0</v>
      </c>
      <c r="AF1185" s="10">
        <v>3700000.0</v>
      </c>
      <c r="AG1185" s="1">
        <v>7.197421759E9</v>
      </c>
      <c r="AJ1185" s="1">
        <v>150.0</v>
      </c>
      <c r="AK1185" s="1">
        <v>47.0</v>
      </c>
      <c r="AL1185" s="1" t="s">
        <v>18461</v>
      </c>
      <c r="AM1185" s="1" t="s">
        <v>18462</v>
      </c>
      <c r="AN1185" s="7" t="s">
        <v>18463</v>
      </c>
      <c r="AO1185" s="8" t="str">
        <f>HYPERLINK("https://docs.google.com/document/d/1Ia37vLD0Fv0eKcEFuhxHls2uw26iX-X1vEywn2pXmr4/edit?usp=drivesdk","Al-Wildan 22 Makassar_Rania Aisyah Putri_Matematika ")</f>
        <v>Al-Wildan 22 Makassar_Rania Aisyah Putri_Matematika </v>
      </c>
      <c r="AP1185" s="1" t="s">
        <v>18464</v>
      </c>
    </row>
    <row r="1186">
      <c r="A1186" s="6">
        <v>45787.39899230324</v>
      </c>
      <c r="B1186" s="7" t="s">
        <v>18465</v>
      </c>
      <c r="C1186" s="8" t="s">
        <v>18466</v>
      </c>
      <c r="D1186" s="1" t="s">
        <v>18467</v>
      </c>
      <c r="E1186" s="9" t="s">
        <v>18408</v>
      </c>
      <c r="F1186" s="1" t="s">
        <v>18409</v>
      </c>
      <c r="G1186" s="1" t="s">
        <v>18410</v>
      </c>
      <c r="H1186" s="1" t="s">
        <v>18468</v>
      </c>
      <c r="I1186" s="9" t="s">
        <v>3881</v>
      </c>
      <c r="J1186" s="1" t="s">
        <v>309</v>
      </c>
      <c r="K1186" s="1" t="s">
        <v>151</v>
      </c>
      <c r="L1186" s="1" t="s">
        <v>103</v>
      </c>
      <c r="M1186" s="1" t="s">
        <v>104</v>
      </c>
      <c r="N1186" s="1" t="s">
        <v>18469</v>
      </c>
      <c r="O1186" s="1" t="s">
        <v>1202</v>
      </c>
      <c r="P1186" s="1" t="s">
        <v>17019</v>
      </c>
      <c r="Q1186" s="1" t="s">
        <v>590</v>
      </c>
      <c r="R1186" s="1" t="s">
        <v>18470</v>
      </c>
      <c r="S1186" s="1" t="s">
        <v>8452</v>
      </c>
      <c r="Z1186" s="1" t="s">
        <v>18471</v>
      </c>
      <c r="AA1186" s="10">
        <v>1000000.0</v>
      </c>
      <c r="AH1186" s="1">
        <v>1.817069106E9</v>
      </c>
      <c r="AI1186" s="1" t="s">
        <v>159</v>
      </c>
      <c r="AJ1186" s="1">
        <v>155.0</v>
      </c>
      <c r="AK1186" s="1">
        <v>42.0</v>
      </c>
      <c r="AL1186" s="1" t="s">
        <v>18417</v>
      </c>
      <c r="AM1186" s="1" t="s">
        <v>18472</v>
      </c>
      <c r="AN1186" s="7" t="s">
        <v>18473</v>
      </c>
      <c r="AO1186" s="8" t="str">
        <f>HYPERLINK("https://docs.google.com/document/d/1WJnk6Z_6S3XSR3nb-0J-mqcv4iIHawrmtAJFvYWGq9U/edit?usp=drivesdk","Al-Wildan 20 Mataram_Yunita Rizqia, S.Tp_english (TK) ")</f>
        <v>Al-Wildan 20 Mataram_Yunita Rizqia, S.Tp_english (TK) </v>
      </c>
      <c r="AP1186" s="1" t="s">
        <v>18474</v>
      </c>
    </row>
    <row r="1187">
      <c r="A1187" s="6">
        <v>45789.68661326389</v>
      </c>
      <c r="B1187" s="7" t="s">
        <v>18475</v>
      </c>
      <c r="C1187" s="8" t="s">
        <v>18476</v>
      </c>
      <c r="D1187" s="1" t="s">
        <v>18477</v>
      </c>
      <c r="E1187" s="9" t="s">
        <v>18478</v>
      </c>
      <c r="F1187" s="1" t="s">
        <v>18479</v>
      </c>
      <c r="G1187" s="1" t="s">
        <v>18480</v>
      </c>
      <c r="H1187" s="1" t="s">
        <v>703</v>
      </c>
      <c r="I1187" s="9" t="s">
        <v>18481</v>
      </c>
      <c r="J1187" s="1" t="s">
        <v>18482</v>
      </c>
      <c r="K1187" s="1" t="s">
        <v>151</v>
      </c>
      <c r="L1187" s="1" t="s">
        <v>103</v>
      </c>
      <c r="M1187" s="1" t="s">
        <v>104</v>
      </c>
      <c r="N1187" s="1" t="s">
        <v>18483</v>
      </c>
      <c r="O1187" s="1" t="s">
        <v>9794</v>
      </c>
      <c r="P1187" s="1" t="s">
        <v>17019</v>
      </c>
      <c r="Q1187" s="1" t="s">
        <v>18484</v>
      </c>
      <c r="R1187" s="1" t="s">
        <v>2584</v>
      </c>
      <c r="S1187" s="1" t="s">
        <v>1958</v>
      </c>
      <c r="T1187" s="1" t="s">
        <v>18484</v>
      </c>
      <c r="U1187" s="1" t="s">
        <v>172</v>
      </c>
      <c r="V1187" s="1" t="s">
        <v>1023</v>
      </c>
      <c r="Z1187" s="1" t="s">
        <v>18485</v>
      </c>
      <c r="AA1187" s="10">
        <v>800000.0</v>
      </c>
      <c r="AB1187" s="1" t="s">
        <v>18486</v>
      </c>
      <c r="AC1187" s="10">
        <v>1000000.0</v>
      </c>
      <c r="AF1187" s="10">
        <v>6000000.0</v>
      </c>
      <c r="AJ1187" s="1">
        <v>156.0</v>
      </c>
      <c r="AK1187" s="1">
        <v>52.0</v>
      </c>
      <c r="AL1187" s="1" t="s">
        <v>18487</v>
      </c>
      <c r="AM1187" s="1" t="s">
        <v>18488</v>
      </c>
      <c r="AN1187" s="7" t="s">
        <v>18489</v>
      </c>
      <c r="AO1187" s="8" t="str">
        <f>HYPERLINK("https://docs.google.com/document/d/1sIevQHZj8dyVY4tkdswHCuK-qTu4xeC-uTswYL924pQ/edit?usp=drivesdk","Al-Wildan 20 Mataram_Baiq Wimandari Safitri, M.Pd_Science, English, Mathematics ")</f>
        <v>Al-Wildan 20 Mataram_Baiq Wimandari Safitri, M.Pd_Science, English, Mathematics </v>
      </c>
      <c r="AP1187" s="1" t="s">
        <v>18490</v>
      </c>
    </row>
    <row r="1188">
      <c r="A1188" s="6">
        <v>45792.64210776621</v>
      </c>
      <c r="B1188" s="7" t="s">
        <v>18491</v>
      </c>
      <c r="C1188" s="8" t="s">
        <v>18492</v>
      </c>
      <c r="D1188" s="1" t="s">
        <v>18493</v>
      </c>
      <c r="E1188" s="9" t="s">
        <v>18494</v>
      </c>
      <c r="F1188" s="1" t="s">
        <v>18495</v>
      </c>
      <c r="G1188" s="1" t="s">
        <v>18496</v>
      </c>
      <c r="H1188" s="1" t="s">
        <v>18497</v>
      </c>
      <c r="I1188" s="9" t="s">
        <v>4763</v>
      </c>
      <c r="J1188" s="1" t="s">
        <v>18498</v>
      </c>
      <c r="K1188" s="1" t="s">
        <v>151</v>
      </c>
      <c r="L1188" s="1" t="s">
        <v>103</v>
      </c>
      <c r="M1188" s="1" t="s">
        <v>104</v>
      </c>
      <c r="N1188" s="1" t="s">
        <v>105</v>
      </c>
      <c r="O1188" s="1" t="s">
        <v>236</v>
      </c>
      <c r="P1188" s="1" t="s">
        <v>17019</v>
      </c>
      <c r="Q1188" s="1" t="s">
        <v>590</v>
      </c>
      <c r="R1188" s="1" t="s">
        <v>109</v>
      </c>
      <c r="S1188" s="1" t="s">
        <v>2372</v>
      </c>
      <c r="AF1188" s="10">
        <v>3750000.0</v>
      </c>
      <c r="AH1188" s="1">
        <v>4.77301006111535E14</v>
      </c>
      <c r="AI1188" s="1" t="s">
        <v>5466</v>
      </c>
      <c r="AJ1188" s="1">
        <v>175.0</v>
      </c>
      <c r="AK1188" s="1">
        <v>90.0</v>
      </c>
      <c r="AL1188" s="1" t="s">
        <v>18499</v>
      </c>
      <c r="AM1188" s="1" t="s">
        <v>18500</v>
      </c>
      <c r="AN1188" s="7" t="s">
        <v>18501</v>
      </c>
      <c r="AO1188" s="8" t="str">
        <f>HYPERLINK("https://docs.google.com/document/d/15CTVlGfJ7fK-WZRadlk6VWf_jPaNvaTXfmUkU5xwpHM/edit?usp=drivesdk","Al-Wildan 20 Mataram_Ardian Syahputra, S.Pd._Bahasa Indonesia")</f>
        <v>Al-Wildan 20 Mataram_Ardian Syahputra, S.Pd._Bahasa Indonesia</v>
      </c>
      <c r="AP1188" s="1" t="s">
        <v>18502</v>
      </c>
    </row>
    <row r="1189">
      <c r="A1189" s="6">
        <v>45793.5692249537</v>
      </c>
      <c r="B1189" s="7" t="s">
        <v>18503</v>
      </c>
      <c r="C1189" s="8" t="s">
        <v>18504</v>
      </c>
      <c r="D1189" s="1" t="s">
        <v>18505</v>
      </c>
      <c r="E1189" s="9" t="s">
        <v>18506</v>
      </c>
      <c r="F1189" s="1" t="s">
        <v>18507</v>
      </c>
      <c r="G1189" s="1" t="s">
        <v>18508</v>
      </c>
      <c r="H1189" s="1" t="s">
        <v>5247</v>
      </c>
      <c r="I1189" s="9" t="s">
        <v>18509</v>
      </c>
      <c r="J1189" s="1" t="s">
        <v>18510</v>
      </c>
      <c r="K1189" s="1" t="s">
        <v>151</v>
      </c>
      <c r="L1189" s="1" t="s">
        <v>256</v>
      </c>
      <c r="M1189" s="1" t="s">
        <v>6186</v>
      </c>
      <c r="O1189" s="1" t="s">
        <v>14334</v>
      </c>
      <c r="P1189" s="1" t="s">
        <v>7991</v>
      </c>
      <c r="Q1189" s="1" t="s">
        <v>108</v>
      </c>
      <c r="R1189" s="1" t="s">
        <v>425</v>
      </c>
      <c r="S1189" s="1" t="s">
        <v>6799</v>
      </c>
      <c r="Z1189" s="1" t="s">
        <v>18511</v>
      </c>
      <c r="AA1189" s="10">
        <v>2500000.0</v>
      </c>
      <c r="AB1189" s="1" t="s">
        <v>18512</v>
      </c>
      <c r="AC1189" s="10">
        <v>4000000.0</v>
      </c>
      <c r="AD1189" s="1" t="s">
        <v>18513</v>
      </c>
      <c r="AE1189" s="10">
        <v>650000.0</v>
      </c>
      <c r="AF1189" s="10">
        <v>4000000.0</v>
      </c>
      <c r="AH1189" s="1">
        <v>1.931265713E9</v>
      </c>
      <c r="AI1189" s="1" t="s">
        <v>159</v>
      </c>
      <c r="AJ1189" s="1">
        <v>154.0</v>
      </c>
      <c r="AK1189" s="1">
        <v>60.0</v>
      </c>
      <c r="AL1189" s="1" t="s">
        <v>18514</v>
      </c>
      <c r="AM1189" s="1" t="s">
        <v>18515</v>
      </c>
      <c r="AN1189" s="7" t="s">
        <v>18516</v>
      </c>
      <c r="AO1189" s="8" t="str">
        <f>HYPERLINK("https://docs.google.com/document/d/17AHDQuRwPE5ZrSWevsGD-zBuWb4zA8V0p7w6bEf9IBo/edit?usp=drivesdk","Al-Wildan 12 Bulak Kapal, Bekasi_Khaliza Amanda Alsyadira_")</f>
        <v>Al-Wildan 12 Bulak Kapal, Bekasi_Khaliza Amanda Alsyadira_</v>
      </c>
      <c r="AP1189" s="1" t="s">
        <v>18517</v>
      </c>
    </row>
    <row r="1190">
      <c r="A1190" s="6">
        <v>45794.31856561343</v>
      </c>
      <c r="B1190" s="7" t="s">
        <v>18518</v>
      </c>
      <c r="C1190" s="8" t="s">
        <v>18519</v>
      </c>
      <c r="D1190" s="1" t="s">
        <v>18520</v>
      </c>
      <c r="E1190" s="9" t="s">
        <v>18521</v>
      </c>
      <c r="F1190" s="1" t="s">
        <v>18522</v>
      </c>
      <c r="G1190" s="1" t="s">
        <v>18523</v>
      </c>
      <c r="H1190" s="1" t="s">
        <v>14658</v>
      </c>
      <c r="I1190" s="9" t="s">
        <v>18524</v>
      </c>
      <c r="J1190" s="1" t="s">
        <v>7921</v>
      </c>
      <c r="K1190" s="1" t="s">
        <v>151</v>
      </c>
      <c r="L1190" s="1" t="s">
        <v>103</v>
      </c>
      <c r="M1190" s="1" t="s">
        <v>104</v>
      </c>
      <c r="N1190" s="1" t="s">
        <v>1275</v>
      </c>
      <c r="O1190" s="1" t="s">
        <v>106</v>
      </c>
      <c r="P1190" s="1" t="s">
        <v>6659</v>
      </c>
      <c r="Q1190" s="1" t="s">
        <v>10945</v>
      </c>
      <c r="R1190" s="1" t="s">
        <v>1275</v>
      </c>
      <c r="S1190" s="1" t="s">
        <v>7975</v>
      </c>
      <c r="T1190" s="1" t="s">
        <v>10945</v>
      </c>
      <c r="U1190" s="1" t="s">
        <v>18525</v>
      </c>
      <c r="V1190" s="1" t="s">
        <v>2510</v>
      </c>
      <c r="Z1190" s="1" t="s">
        <v>18526</v>
      </c>
      <c r="AA1190" s="1">
        <v>6500000.0</v>
      </c>
      <c r="AB1190" s="1" t="s">
        <v>18527</v>
      </c>
      <c r="AC1190" s="1">
        <v>7800000.0</v>
      </c>
      <c r="AD1190" s="1" t="s">
        <v>18528</v>
      </c>
      <c r="AE1190" s="1">
        <v>4500000.0</v>
      </c>
      <c r="AG1190" s="1">
        <v>0.0</v>
      </c>
      <c r="AH1190" s="9" t="s">
        <v>18529</v>
      </c>
      <c r="AI1190" s="1" t="s">
        <v>159</v>
      </c>
      <c r="AJ1190" s="1">
        <v>151.0</v>
      </c>
      <c r="AK1190" s="1">
        <v>45.0</v>
      </c>
      <c r="AL1190" s="1" t="s">
        <v>18530</v>
      </c>
      <c r="AM1190" s="1" t="s">
        <v>18531</v>
      </c>
      <c r="AN1190" s="7" t="s">
        <v>18532</v>
      </c>
      <c r="AO1190" s="8" t="str">
        <f>HYPERLINK("https://docs.google.com/document/d/1eFGljLbCXQCSdJcNOy2t-kvcpqWjEDPR2p9RqOOf5ug/edit?usp=drivesdk","Al-Wildan 15 Kompas Indah, Tambun Bekasi._Finandya Fatihasari, S.Si., M.Agr., M.Biotech. _Biologi")</f>
        <v>Al-Wildan 15 Kompas Indah, Tambun Bekasi._Finandya Fatihasari, S.Si., M.Agr., M.Biotech. _Biologi</v>
      </c>
      <c r="AP1190" s="1" t="s">
        <v>18533</v>
      </c>
    </row>
    <row r="1191">
      <c r="A1191" s="6">
        <v>45794.379635034726</v>
      </c>
      <c r="B1191" s="7" t="s">
        <v>18534</v>
      </c>
      <c r="C1191" s="8" t="s">
        <v>18535</v>
      </c>
      <c r="D1191" s="1" t="s">
        <v>18536</v>
      </c>
      <c r="E1191" s="9" t="s">
        <v>18537</v>
      </c>
      <c r="F1191" s="1" t="s">
        <v>18538</v>
      </c>
      <c r="G1191" s="1" t="s">
        <v>18539</v>
      </c>
      <c r="H1191" s="1" t="s">
        <v>169</v>
      </c>
      <c r="I1191" s="9" t="s">
        <v>18540</v>
      </c>
      <c r="J1191" s="1" t="s">
        <v>18541</v>
      </c>
      <c r="K1191" s="1" t="s">
        <v>102</v>
      </c>
      <c r="L1191" s="1" t="s">
        <v>103</v>
      </c>
      <c r="M1191" s="1" t="s">
        <v>104</v>
      </c>
      <c r="N1191" s="1" t="s">
        <v>126</v>
      </c>
      <c r="O1191" s="1" t="s">
        <v>312</v>
      </c>
      <c r="P1191" s="1" t="s">
        <v>6091</v>
      </c>
      <c r="Q1191" s="1" t="s">
        <v>18542</v>
      </c>
      <c r="R1191" s="1" t="s">
        <v>14854</v>
      </c>
      <c r="S1191" s="1" t="s">
        <v>2510</v>
      </c>
      <c r="T1191" s="1" t="s">
        <v>18165</v>
      </c>
      <c r="U1191" s="1" t="s">
        <v>6816</v>
      </c>
      <c r="V1191" s="1" t="s">
        <v>753</v>
      </c>
      <c r="Z1191" s="1" t="s">
        <v>18543</v>
      </c>
      <c r="AA1191" s="10">
        <v>500000.0</v>
      </c>
      <c r="AB1191" s="1" t="s">
        <v>18544</v>
      </c>
      <c r="AC1191" s="10">
        <v>820000.0</v>
      </c>
      <c r="AD1191" s="1" t="s">
        <v>217</v>
      </c>
      <c r="AE1191" s="1" t="s">
        <v>217</v>
      </c>
      <c r="AF1191" s="1" t="s">
        <v>6858</v>
      </c>
      <c r="AG1191" s="1">
        <v>4.84920163E9</v>
      </c>
      <c r="AJ1191" s="1">
        <v>163.0</v>
      </c>
      <c r="AK1191" s="1">
        <v>85.0</v>
      </c>
      <c r="AL1191" s="1" t="s">
        <v>18545</v>
      </c>
      <c r="AM1191" s="1" t="s">
        <v>18546</v>
      </c>
      <c r="AN1191" s="7" t="s">
        <v>18547</v>
      </c>
      <c r="AO1191" s="8" t="str">
        <f>HYPERLINK("https://docs.google.com/document/d/17rEbpCey1XbP8VwaNi06rkACZIvLmLgA2AH_SFkPoYg/edit?usp=drivesdk","Al-Wildan 10 Cipinang, Jakarta Timur_Istiqomah As Sayfullooh A.Md.Kom, S.Pd, M.Pd_Matematika")</f>
        <v>Al-Wildan 10 Cipinang, Jakarta Timur_Istiqomah As Sayfullooh A.Md.Kom, S.Pd, M.Pd_Matematika</v>
      </c>
      <c r="AP1191" s="1" t="s">
        <v>18548</v>
      </c>
    </row>
    <row r="1192">
      <c r="A1192" s="6">
        <v>45794.42121512731</v>
      </c>
      <c r="B1192" s="7" t="s">
        <v>18549</v>
      </c>
      <c r="C1192" s="8" t="s">
        <v>18550</v>
      </c>
      <c r="D1192" s="1" t="s">
        <v>18551</v>
      </c>
      <c r="E1192" s="9" t="s">
        <v>18552</v>
      </c>
      <c r="F1192" s="1" t="s">
        <v>18553</v>
      </c>
      <c r="G1192" s="1" t="s">
        <v>18554</v>
      </c>
      <c r="H1192" s="1" t="s">
        <v>12107</v>
      </c>
      <c r="I1192" s="9" t="s">
        <v>18555</v>
      </c>
      <c r="J1192" s="1" t="s">
        <v>1557</v>
      </c>
      <c r="K1192" s="1" t="s">
        <v>151</v>
      </c>
      <c r="L1192" s="1" t="s">
        <v>329</v>
      </c>
      <c r="M1192" s="1" t="s">
        <v>104</v>
      </c>
      <c r="N1192" s="1" t="s">
        <v>18556</v>
      </c>
      <c r="O1192" s="1" t="s">
        <v>236</v>
      </c>
      <c r="P1192" s="1" t="s">
        <v>6091</v>
      </c>
      <c r="Q1192" s="1" t="s">
        <v>8085</v>
      </c>
      <c r="R1192" s="1" t="s">
        <v>2355</v>
      </c>
      <c r="S1192" s="9" t="s">
        <v>1747</v>
      </c>
      <c r="Z1192" s="1" t="s">
        <v>18557</v>
      </c>
      <c r="AA1192" s="10">
        <v>4000000.0</v>
      </c>
      <c r="AF1192" s="10">
        <v>5000000.0</v>
      </c>
      <c r="AG1192" s="1">
        <v>7.137732283E9</v>
      </c>
      <c r="AJ1192" s="1">
        <v>157.0</v>
      </c>
      <c r="AK1192" s="1">
        <v>65.0</v>
      </c>
      <c r="AL1192" s="1" t="s">
        <v>18558</v>
      </c>
      <c r="AM1192" s="1" t="s">
        <v>18559</v>
      </c>
      <c r="AN1192" s="7" t="s">
        <v>18560</v>
      </c>
      <c r="AO1192" s="8" t="str">
        <f>HYPERLINK("https://docs.google.com/document/d/1oms4SzcSH1hW3lOKTBuWcuaLzSkMSYo1IPJaI_VjnY0/edit?usp=drivesdk","Al-Wildan 10 Cipinang, Jakarta Timur_Mar'i, S.Pd._Bahasa arab dan diniyyah")</f>
        <v>Al-Wildan 10 Cipinang, Jakarta Timur_Mar'i, S.Pd._Bahasa arab dan diniyyah</v>
      </c>
      <c r="AP1192" s="1" t="s">
        <v>18561</v>
      </c>
    </row>
    <row r="1193">
      <c r="A1193" s="6">
        <v>45794.64832287037</v>
      </c>
      <c r="B1193" s="7" t="s">
        <v>18562</v>
      </c>
      <c r="C1193" s="8" t="s">
        <v>18563</v>
      </c>
      <c r="D1193" s="1" t="s">
        <v>18564</v>
      </c>
      <c r="E1193" s="9" t="s">
        <v>18565</v>
      </c>
      <c r="F1193" s="1">
        <v>5.20305811970001E14</v>
      </c>
      <c r="G1193" s="1" t="s">
        <v>18566</v>
      </c>
      <c r="H1193" s="1" t="s">
        <v>18567</v>
      </c>
      <c r="I1193" s="9" t="s">
        <v>18568</v>
      </c>
      <c r="J1193" s="1" t="s">
        <v>7839</v>
      </c>
      <c r="K1193" s="1" t="s">
        <v>151</v>
      </c>
      <c r="L1193" s="1" t="s">
        <v>496</v>
      </c>
      <c r="M1193" s="1" t="s">
        <v>8769</v>
      </c>
      <c r="O1193" s="1" t="s">
        <v>9794</v>
      </c>
      <c r="P1193" s="1" t="s">
        <v>17019</v>
      </c>
      <c r="Q1193" s="1" t="s">
        <v>18569</v>
      </c>
      <c r="R1193" s="1" t="s">
        <v>238</v>
      </c>
      <c r="S1193" s="1">
        <v>2.7</v>
      </c>
      <c r="Z1193" s="1" t="s">
        <v>18570</v>
      </c>
      <c r="AA1193" s="10">
        <v>1500000.0</v>
      </c>
      <c r="AF1193" s="10">
        <v>3000000.0</v>
      </c>
      <c r="AG1193" s="1">
        <v>7.274862097E9</v>
      </c>
      <c r="AI1193" s="1" t="s">
        <v>5113</v>
      </c>
      <c r="AJ1193" s="1">
        <v>149.0</v>
      </c>
      <c r="AK1193" s="1">
        <v>43.0</v>
      </c>
      <c r="AL1193" s="1" t="s">
        <v>18571</v>
      </c>
      <c r="AM1193" s="1" t="s">
        <v>18572</v>
      </c>
      <c r="AN1193" s="7" t="s">
        <v>18573</v>
      </c>
      <c r="AO1193" s="8" t="str">
        <f>HYPERLINK("https://docs.google.com/document/d/1X7d6O6UIZS-BLq0OOQZXlhSDFbSTSr8t1Xsal_YKmTw/edit?usp=drivesdk","Al-Wildan 20 Mataram_Wahyu Nur Azizah_")</f>
        <v>Al-Wildan 20 Mataram_Wahyu Nur Azizah_</v>
      </c>
      <c r="AP1193" s="1" t="s">
        <v>18574</v>
      </c>
    </row>
    <row r="1194">
      <c r="A1194" s="6">
        <v>45797.58623159722</v>
      </c>
      <c r="B1194" s="7" t="s">
        <v>18575</v>
      </c>
      <c r="C1194" s="8" t="s">
        <v>18576</v>
      </c>
      <c r="D1194" s="1" t="s">
        <v>18577</v>
      </c>
      <c r="E1194" s="9" t="s">
        <v>18578</v>
      </c>
      <c r="F1194" s="1" t="s">
        <v>18579</v>
      </c>
      <c r="G1194" s="1" t="s">
        <v>18580</v>
      </c>
      <c r="H1194" s="1" t="s">
        <v>11237</v>
      </c>
      <c r="I1194" s="9" t="s">
        <v>7895</v>
      </c>
      <c r="J1194" s="1" t="s">
        <v>826</v>
      </c>
      <c r="K1194" s="1" t="s">
        <v>151</v>
      </c>
      <c r="L1194" s="1" t="s">
        <v>103</v>
      </c>
      <c r="M1194" s="1" t="s">
        <v>104</v>
      </c>
      <c r="N1194" s="1" t="s">
        <v>1275</v>
      </c>
      <c r="O1194" s="1" t="s">
        <v>236</v>
      </c>
      <c r="P1194" s="1" t="s">
        <v>11207</v>
      </c>
      <c r="Q1194" s="1" t="s">
        <v>291</v>
      </c>
      <c r="R1194" s="1" t="s">
        <v>18581</v>
      </c>
      <c r="S1194" s="1" t="s">
        <v>2510</v>
      </c>
      <c r="T1194" s="1" t="s">
        <v>2927</v>
      </c>
      <c r="U1194" s="1" t="s">
        <v>1275</v>
      </c>
      <c r="V1194" s="1" t="s">
        <v>2510</v>
      </c>
      <c r="Z1194" s="1" t="s">
        <v>18582</v>
      </c>
      <c r="AA1194" s="10">
        <v>4500000.0</v>
      </c>
      <c r="AB1194" s="1" t="s">
        <v>18583</v>
      </c>
      <c r="AC1194" s="10">
        <v>5500000.0</v>
      </c>
      <c r="AF1194" s="10">
        <v>6000000.0</v>
      </c>
      <c r="AG1194" s="1">
        <v>7.125623047E9</v>
      </c>
      <c r="AJ1194" s="1">
        <v>155.0</v>
      </c>
      <c r="AK1194" s="1">
        <v>49.0</v>
      </c>
      <c r="AL1194" s="1" t="s">
        <v>18584</v>
      </c>
      <c r="AM1194" s="1" t="s">
        <v>18585</v>
      </c>
      <c r="AN1194" s="7" t="s">
        <v>18586</v>
      </c>
      <c r="AO1194" s="8" t="str">
        <f>HYPERLINK("https://docs.google.com/document/d/1vN0AlQtMagbXTA_4ujMkyAZYRqO2V8PCqGYJucqnpZg/edit?usp=drivesdk","Al-Wildan 16 Ciledug_Ita Utami, S.P., M.Si._Biologi")</f>
        <v>Al-Wildan 16 Ciledug_Ita Utami, S.P., M.Si._Biologi</v>
      </c>
      <c r="AP1194" s="1" t="s">
        <v>18587</v>
      </c>
    </row>
    <row r="1195">
      <c r="A1195" s="6">
        <v>45797.630909328705</v>
      </c>
      <c r="B1195" s="7" t="s">
        <v>18588</v>
      </c>
      <c r="C1195" s="8" t="s">
        <v>18589</v>
      </c>
      <c r="D1195" s="1" t="s">
        <v>18590</v>
      </c>
      <c r="E1195" s="9" t="s">
        <v>18591</v>
      </c>
      <c r="F1195" s="1" t="s">
        <v>18592</v>
      </c>
      <c r="G1195" s="1" t="s">
        <v>18593</v>
      </c>
      <c r="H1195" s="1" t="s">
        <v>3033</v>
      </c>
      <c r="I1195" s="9" t="s">
        <v>18594</v>
      </c>
      <c r="J1195" s="1" t="s">
        <v>7062</v>
      </c>
      <c r="K1195" s="1" t="s">
        <v>151</v>
      </c>
      <c r="L1195" s="1" t="s">
        <v>256</v>
      </c>
      <c r="M1195" s="1" t="s">
        <v>104</v>
      </c>
      <c r="N1195" s="1" t="s">
        <v>1523</v>
      </c>
      <c r="O1195" s="1" t="s">
        <v>236</v>
      </c>
      <c r="P1195" s="1" t="s">
        <v>6091</v>
      </c>
      <c r="Q1195" s="1" t="s">
        <v>11607</v>
      </c>
      <c r="R1195" s="1" t="s">
        <v>1521</v>
      </c>
      <c r="S1195" s="1" t="s">
        <v>6799</v>
      </c>
      <c r="T1195" s="1" t="s">
        <v>6011</v>
      </c>
      <c r="U1195" s="1" t="s">
        <v>1521</v>
      </c>
      <c r="V1195" s="1" t="s">
        <v>7779</v>
      </c>
      <c r="W1195" s="1" t="s">
        <v>1221</v>
      </c>
      <c r="X1195" s="1" t="s">
        <v>1221</v>
      </c>
      <c r="Y1195" s="1">
        <v>0.0</v>
      </c>
      <c r="Z1195" s="1" t="s">
        <v>18595</v>
      </c>
      <c r="AA1195" s="10">
        <v>1800000.0</v>
      </c>
      <c r="AB1195" s="1" t="s">
        <v>1221</v>
      </c>
      <c r="AC1195" s="1" t="s">
        <v>1221</v>
      </c>
      <c r="AD1195" s="1" t="s">
        <v>1221</v>
      </c>
      <c r="AE1195" s="1" t="s">
        <v>1221</v>
      </c>
      <c r="AF1195" s="10">
        <v>4500000.0</v>
      </c>
      <c r="AG1195" s="1">
        <v>8.45760936E9</v>
      </c>
      <c r="AJ1195" s="1">
        <v>162.0</v>
      </c>
      <c r="AK1195" s="1">
        <v>65.0</v>
      </c>
      <c r="AL1195" s="1" t="s">
        <v>18596</v>
      </c>
      <c r="AM1195" s="1" t="s">
        <v>18597</v>
      </c>
      <c r="AN1195" s="7" t="s">
        <v>18598</v>
      </c>
      <c r="AO1195" s="8" t="str">
        <f>HYPERLINK("https://docs.google.com/document/d/1y4DSUHSBV61vHt1cBt7JkMXPkgbU_FFBn7E7Y_VlinQ/edit?usp=drivesdk","Al-Wildan 10 Cipinang, Jakarta Timur_Ida Nurjelita Sani, M.Pd_Kimia")</f>
        <v>Al-Wildan 10 Cipinang, Jakarta Timur_Ida Nurjelita Sani, M.Pd_Kimia</v>
      </c>
      <c r="AP1195" s="1" t="s">
        <v>18599</v>
      </c>
    </row>
    <row r="1196">
      <c r="A1196" s="6">
        <v>45799.466727743056</v>
      </c>
      <c r="B1196" s="7" t="s">
        <v>18600</v>
      </c>
      <c r="C1196" s="8" t="s">
        <v>18601</v>
      </c>
      <c r="D1196" s="1" t="s">
        <v>18602</v>
      </c>
      <c r="E1196" s="9" t="s">
        <v>18603</v>
      </c>
      <c r="F1196" s="1" t="s">
        <v>18604</v>
      </c>
      <c r="G1196" s="1" t="s">
        <v>18605</v>
      </c>
      <c r="H1196" s="1" t="s">
        <v>1272</v>
      </c>
      <c r="I1196" s="9" t="s">
        <v>1647</v>
      </c>
      <c r="J1196" s="1" t="s">
        <v>826</v>
      </c>
      <c r="K1196" s="1" t="s">
        <v>151</v>
      </c>
      <c r="L1196" s="1" t="s">
        <v>103</v>
      </c>
      <c r="M1196" s="1" t="s">
        <v>104</v>
      </c>
      <c r="N1196" s="1" t="s">
        <v>152</v>
      </c>
      <c r="O1196" s="1" t="s">
        <v>9794</v>
      </c>
      <c r="P1196" s="1" t="s">
        <v>6659</v>
      </c>
      <c r="Q1196" s="1" t="s">
        <v>18606</v>
      </c>
      <c r="R1196" s="1" t="s">
        <v>172</v>
      </c>
      <c r="S1196" s="9" t="s">
        <v>16743</v>
      </c>
      <c r="T1196" s="1" t="s">
        <v>108</v>
      </c>
      <c r="U1196" s="1" t="s">
        <v>172</v>
      </c>
      <c r="V1196" s="1" t="s">
        <v>1524</v>
      </c>
      <c r="Z1196" s="1" t="s">
        <v>18607</v>
      </c>
      <c r="AA1196" s="1" t="s">
        <v>18608</v>
      </c>
      <c r="AB1196" s="1" t="s">
        <v>18609</v>
      </c>
      <c r="AC1196" s="1" t="s">
        <v>18610</v>
      </c>
      <c r="AD1196" s="1" t="s">
        <v>18611</v>
      </c>
      <c r="AE1196" s="1" t="s">
        <v>18612</v>
      </c>
      <c r="AF1196" s="1" t="s">
        <v>18613</v>
      </c>
      <c r="AH1196" s="1">
        <v>5.53061446E9</v>
      </c>
      <c r="AI1196" s="1" t="s">
        <v>18614</v>
      </c>
      <c r="AJ1196" s="1">
        <v>167.0</v>
      </c>
      <c r="AK1196" s="1">
        <v>70.0</v>
      </c>
      <c r="AL1196" s="1" t="s">
        <v>18615</v>
      </c>
      <c r="AM1196" s="1" t="s">
        <v>18616</v>
      </c>
      <c r="AN1196" s="7" t="s">
        <v>18617</v>
      </c>
      <c r="AO1196" s="8" t="str">
        <f>HYPERLINK("https://docs.google.com/document/d/1FzhoiMO7Y9W0Z_Rj5H7odyFwVKZWXpWfhBAT0znvQ_k/edit?usp=drivesdk","Al-Wildan 15 Kompas Indah, Tambun Bekasi._Hafizh Nurul Huda, M.Pd._Bahasa Inggris")</f>
        <v>Al-Wildan 15 Kompas Indah, Tambun Bekasi._Hafizh Nurul Huda, M.Pd._Bahasa Inggris</v>
      </c>
      <c r="AP1196" s="1" t="s">
        <v>18618</v>
      </c>
    </row>
    <row r="1197">
      <c r="A1197" s="6">
        <v>45799.51159122685</v>
      </c>
      <c r="B1197" s="7" t="s">
        <v>18619</v>
      </c>
      <c r="C1197" s="8" t="s">
        <v>18620</v>
      </c>
      <c r="D1197" s="1" t="s">
        <v>18621</v>
      </c>
      <c r="E1197" s="9" t="s">
        <v>18622</v>
      </c>
      <c r="F1197" s="1" t="s">
        <v>18623</v>
      </c>
      <c r="G1197" s="1" t="s">
        <v>18624</v>
      </c>
      <c r="H1197" s="1" t="s">
        <v>18625</v>
      </c>
      <c r="I1197" s="9" t="s">
        <v>18626</v>
      </c>
      <c r="J1197" s="1" t="s">
        <v>6548</v>
      </c>
      <c r="K1197" s="1" t="s">
        <v>151</v>
      </c>
      <c r="L1197" s="1" t="s">
        <v>329</v>
      </c>
      <c r="M1197" s="1" t="s">
        <v>8769</v>
      </c>
      <c r="O1197" s="1" t="s">
        <v>9794</v>
      </c>
      <c r="P1197" s="1" t="s">
        <v>14335</v>
      </c>
      <c r="Q1197" s="1" t="s">
        <v>18627</v>
      </c>
      <c r="R1197" s="1" t="s">
        <v>12676</v>
      </c>
      <c r="S1197" s="1">
        <v>3.53</v>
      </c>
      <c r="Z1197" s="1" t="s">
        <v>18628</v>
      </c>
      <c r="AA1197" s="10">
        <v>3500000.0</v>
      </c>
      <c r="AB1197" s="1" t="s">
        <v>18629</v>
      </c>
      <c r="AC1197" s="10">
        <v>850000.0</v>
      </c>
      <c r="AF1197" s="1" t="s">
        <v>18630</v>
      </c>
      <c r="AG1197" s="1">
        <v>7.263199965E9</v>
      </c>
      <c r="AJ1197" s="1">
        <v>150.0</v>
      </c>
      <c r="AK1197" s="1">
        <v>47.0</v>
      </c>
      <c r="AL1197" s="1" t="s">
        <v>18631</v>
      </c>
      <c r="AM1197" s="1" t="s">
        <v>18632</v>
      </c>
      <c r="AN1197" s="7" t="s">
        <v>18633</v>
      </c>
      <c r="AO1197" s="8" t="str">
        <f>HYPERLINK("https://docs.google.com/document/d/1l0jzGd82VLITlKxVJwv1HjoBAlhYcKpCCCZX86gTEgg/edit?usp=drivesdk","Al-Wildan 13 Tembalang, Bekasi_Riski Amelia Candra_")</f>
        <v>Al-Wildan 13 Tembalang, Bekasi_Riski Amelia Candra_</v>
      </c>
      <c r="AP1197" s="1" t="s">
        <v>18634</v>
      </c>
    </row>
    <row r="1198">
      <c r="A1198" s="6">
        <v>45799.66545850695</v>
      </c>
      <c r="B1198" s="7" t="s">
        <v>18635</v>
      </c>
      <c r="C1198" s="8" t="s">
        <v>18636</v>
      </c>
      <c r="D1198" s="1" t="s">
        <v>18637</v>
      </c>
      <c r="E1198" s="9" t="s">
        <v>18638</v>
      </c>
      <c r="F1198" s="1" t="s">
        <v>18639</v>
      </c>
      <c r="G1198" s="1" t="s">
        <v>18640</v>
      </c>
      <c r="H1198" s="1" t="s">
        <v>148</v>
      </c>
      <c r="I1198" s="9" t="s">
        <v>18641</v>
      </c>
      <c r="J1198" s="1" t="s">
        <v>11139</v>
      </c>
      <c r="K1198" s="1" t="s">
        <v>151</v>
      </c>
      <c r="L1198" s="1" t="s">
        <v>103</v>
      </c>
      <c r="M1198" s="1" t="s">
        <v>104</v>
      </c>
      <c r="N1198" s="1" t="s">
        <v>4312</v>
      </c>
      <c r="O1198" s="1" t="s">
        <v>9794</v>
      </c>
      <c r="P1198" s="1" t="s">
        <v>6187</v>
      </c>
      <c r="Q1198" s="1" t="s">
        <v>153</v>
      </c>
      <c r="R1198" s="1" t="s">
        <v>1523</v>
      </c>
      <c r="S1198" s="1" t="s">
        <v>2582</v>
      </c>
      <c r="Z1198" s="1" t="s">
        <v>18642</v>
      </c>
      <c r="AA1198" s="10">
        <v>3600000.0</v>
      </c>
      <c r="AF1198" s="10">
        <v>4600000.0</v>
      </c>
      <c r="AH1198" s="1">
        <v>8.831929758E9</v>
      </c>
      <c r="AI1198" s="1" t="s">
        <v>222</v>
      </c>
      <c r="AJ1198" s="1">
        <v>163.0</v>
      </c>
      <c r="AK1198" s="1">
        <v>56.0</v>
      </c>
      <c r="AL1198" s="1" t="s">
        <v>18643</v>
      </c>
      <c r="AM1198" s="1" t="s">
        <v>18644</v>
      </c>
      <c r="AN1198" s="7" t="s">
        <v>18645</v>
      </c>
      <c r="AO1198" s="8" t="str">
        <f>HYPERLINK("https://docs.google.com/document/d/1YBAPsGa2Det72IjtGeSQx0d2jwa9vd-IX7byylQVmT0/edit?usp=drivesdk","Al-Wildan 14 Bumi Mutiara, Bogor_Wafa Raihanah Arwa, S.Si._Science")</f>
        <v>Al-Wildan 14 Bumi Mutiara, Bogor_Wafa Raihanah Arwa, S.Si._Science</v>
      </c>
      <c r="AP1198" s="1" t="s">
        <v>18646</v>
      </c>
    </row>
    <row r="1199">
      <c r="A1199" s="6">
        <v>45799.879664340275</v>
      </c>
      <c r="B1199" s="7" t="s">
        <v>18647</v>
      </c>
      <c r="C1199" s="8" t="s">
        <v>18648</v>
      </c>
      <c r="D1199" s="1" t="s">
        <v>18649</v>
      </c>
      <c r="E1199" s="9" t="s">
        <v>18650</v>
      </c>
      <c r="F1199" s="1" t="s">
        <v>18651</v>
      </c>
      <c r="G1199" s="1" t="s">
        <v>18652</v>
      </c>
      <c r="H1199" s="1" t="s">
        <v>148</v>
      </c>
      <c r="I1199" s="9" t="s">
        <v>18653</v>
      </c>
      <c r="J1199" s="1" t="s">
        <v>407</v>
      </c>
      <c r="K1199" s="1" t="s">
        <v>151</v>
      </c>
      <c r="L1199" s="1" t="s">
        <v>256</v>
      </c>
      <c r="M1199" s="1" t="s">
        <v>104</v>
      </c>
      <c r="N1199" s="1" t="s">
        <v>18654</v>
      </c>
      <c r="O1199" s="1" t="s">
        <v>9794</v>
      </c>
      <c r="P1199" s="1" t="s">
        <v>14335</v>
      </c>
      <c r="Q1199" s="1" t="s">
        <v>1022</v>
      </c>
      <c r="R1199" s="1" t="s">
        <v>235</v>
      </c>
      <c r="S1199" s="1" t="s">
        <v>14890</v>
      </c>
      <c r="Z1199" s="1" t="s">
        <v>7599</v>
      </c>
      <c r="AA1199" s="10">
        <v>4000000.0</v>
      </c>
      <c r="AB1199" s="1" t="s">
        <v>1575</v>
      </c>
      <c r="AC1199" s="10">
        <v>1000000.0</v>
      </c>
      <c r="AD1199" s="1" t="s">
        <v>18655</v>
      </c>
      <c r="AE1199" s="10">
        <v>1000000.0</v>
      </c>
      <c r="AF1199" s="1" t="s">
        <v>18656</v>
      </c>
      <c r="AG1199" s="1">
        <v>1.117741418E9</v>
      </c>
      <c r="AJ1199" s="1">
        <v>166.0</v>
      </c>
      <c r="AK1199" s="1">
        <v>54.0</v>
      </c>
      <c r="AL1199" s="1" t="s">
        <v>18657</v>
      </c>
      <c r="AM1199" s="1" t="s">
        <v>18658</v>
      </c>
      <c r="AN1199" s="7" t="s">
        <v>18659</v>
      </c>
      <c r="AO1199" s="8" t="str">
        <f>HYPERLINK("https://docs.google.com/document/d/1EEaj08Ug0pBslOJhORirc7HzIfA5Ej_h33kxnGjCMH0/edit?usp=drivesdk","Al-Wildan 13 Tembalang, Bekasi_Raveeda Iftikhar Rahman, B.A._Alquran/Diniyyah/Bahasa Arab")</f>
        <v>Al-Wildan 13 Tembalang, Bekasi_Raveeda Iftikhar Rahman, B.A._Alquran/Diniyyah/Bahasa Arab</v>
      </c>
      <c r="AP1199" s="1" t="s">
        <v>18660</v>
      </c>
    </row>
    <row r="1200">
      <c r="A1200" s="6">
        <v>45800.51569339121</v>
      </c>
      <c r="B1200" s="7" t="s">
        <v>18661</v>
      </c>
      <c r="C1200" s="8" t="s">
        <v>18662</v>
      </c>
      <c r="D1200" s="1" t="s">
        <v>18663</v>
      </c>
      <c r="E1200" s="9" t="s">
        <v>18664</v>
      </c>
      <c r="F1200" s="1" t="s">
        <v>18665</v>
      </c>
      <c r="G1200" s="1" t="s">
        <v>18666</v>
      </c>
      <c r="H1200" s="1" t="s">
        <v>18667</v>
      </c>
      <c r="I1200" s="9" t="s">
        <v>18668</v>
      </c>
      <c r="J1200" s="1" t="s">
        <v>14112</v>
      </c>
      <c r="K1200" s="1" t="s">
        <v>102</v>
      </c>
      <c r="L1200" s="1" t="s">
        <v>496</v>
      </c>
      <c r="M1200" s="1" t="s">
        <v>5671</v>
      </c>
      <c r="O1200" s="1" t="s">
        <v>9794</v>
      </c>
      <c r="P1200" s="1" t="s">
        <v>17019</v>
      </c>
      <c r="Q1200" s="1" t="s">
        <v>7082</v>
      </c>
      <c r="R1200" s="1" t="s">
        <v>18669</v>
      </c>
      <c r="S1200" s="1">
        <v>3.54</v>
      </c>
      <c r="Z1200" s="1" t="s">
        <v>18670</v>
      </c>
      <c r="AA1200" s="10">
        <v>800000.0</v>
      </c>
      <c r="AB1200" s="1" t="s">
        <v>18671</v>
      </c>
      <c r="AC1200" s="1" t="s">
        <v>18672</v>
      </c>
      <c r="AF1200" s="10">
        <v>3000000.0</v>
      </c>
      <c r="AG1200" s="1">
        <v>7.178064716E9</v>
      </c>
      <c r="AJ1200" s="1">
        <v>171.0</v>
      </c>
      <c r="AK1200" s="1">
        <v>56.0</v>
      </c>
      <c r="AL1200" s="1" t="s">
        <v>18673</v>
      </c>
      <c r="AM1200" s="1" t="s">
        <v>18674</v>
      </c>
      <c r="AN1200" s="7" t="s">
        <v>18675</v>
      </c>
      <c r="AO1200" s="8" t="str">
        <f>HYPERLINK("https://docs.google.com/document/d/1pLCn1Zhe4HOibphSCkkOeBC74v9wGTk6RMusgeHqZ38/edit?usp=drivesdk","Al-Wildan 20 Mataram_Muh Maskuri Hardi S.Ag._")</f>
        <v>Al-Wildan 20 Mataram_Muh Maskuri Hardi S.Ag._</v>
      </c>
      <c r="AP1200" s="1" t="s">
        <v>18676</v>
      </c>
    </row>
    <row r="1201">
      <c r="A1201" s="6">
        <v>45800.560658622686</v>
      </c>
      <c r="B1201" s="7" t="s">
        <v>18677</v>
      </c>
      <c r="C1201" s="8" t="s">
        <v>18678</v>
      </c>
      <c r="D1201" s="1" t="s">
        <v>18621</v>
      </c>
      <c r="E1201" s="9" t="s">
        <v>18622</v>
      </c>
      <c r="F1201" s="1">
        <v>5.20309711290067E14</v>
      </c>
      <c r="G1201" s="1" t="s">
        <v>18679</v>
      </c>
      <c r="H1201" s="1" t="s">
        <v>18625</v>
      </c>
      <c r="I1201" s="9" t="s">
        <v>18626</v>
      </c>
      <c r="J1201" s="1" t="s">
        <v>6548</v>
      </c>
      <c r="K1201" s="1" t="s">
        <v>151</v>
      </c>
      <c r="L1201" s="1" t="s">
        <v>329</v>
      </c>
      <c r="M1201" s="1" t="s">
        <v>8769</v>
      </c>
      <c r="O1201" s="1" t="s">
        <v>127</v>
      </c>
      <c r="P1201" s="1" t="s">
        <v>14335</v>
      </c>
      <c r="Q1201" s="1" t="s">
        <v>18680</v>
      </c>
      <c r="R1201" s="1" t="s">
        <v>12676</v>
      </c>
      <c r="S1201" s="1">
        <v>3.53</v>
      </c>
      <c r="Z1201" s="1" t="s">
        <v>18681</v>
      </c>
      <c r="AA1201" s="10">
        <v>3500000.0</v>
      </c>
      <c r="AB1201" s="1" t="s">
        <v>18682</v>
      </c>
      <c r="AC1201" s="10">
        <v>850000.0</v>
      </c>
      <c r="AF1201" s="1" t="s">
        <v>18683</v>
      </c>
      <c r="AG1201" s="1">
        <v>7.263199965E9</v>
      </c>
      <c r="AJ1201" s="1">
        <v>150.0</v>
      </c>
      <c r="AK1201" s="1">
        <v>47.0</v>
      </c>
      <c r="AL1201" s="1" t="s">
        <v>18631</v>
      </c>
      <c r="AM1201" s="1" t="s">
        <v>18684</v>
      </c>
      <c r="AN1201" s="7" t="s">
        <v>18685</v>
      </c>
      <c r="AO1201" s="8" t="str">
        <f>HYPERLINK("https://docs.google.com/document/d/133M94BjuSv_eyBscqQC7-j767RWqT29EZjSD7AwPvT0/edit?usp=drivesdk","Al-Wildan 13 Tembalang, Bekasi_Riski Amelia Candra_")</f>
        <v>Al-Wildan 13 Tembalang, Bekasi_Riski Amelia Candra_</v>
      </c>
      <c r="AP1201" s="1" t="s">
        <v>18686</v>
      </c>
    </row>
    <row r="1202">
      <c r="A1202" s="6">
        <v>45801.222819780094</v>
      </c>
      <c r="B1202" s="7" t="s">
        <v>18687</v>
      </c>
      <c r="C1202" s="8" t="s">
        <v>18688</v>
      </c>
      <c r="D1202" s="1" t="s">
        <v>18689</v>
      </c>
      <c r="E1202" s="9" t="s">
        <v>18690</v>
      </c>
      <c r="F1202" s="1" t="s">
        <v>18691</v>
      </c>
      <c r="G1202" s="1" t="s">
        <v>18692</v>
      </c>
      <c r="H1202" s="1" t="s">
        <v>2076</v>
      </c>
      <c r="I1202" s="9" t="s">
        <v>2950</v>
      </c>
      <c r="J1202" s="1" t="s">
        <v>10389</v>
      </c>
      <c r="K1202" s="1" t="s">
        <v>151</v>
      </c>
      <c r="L1202" s="1" t="s">
        <v>103</v>
      </c>
      <c r="M1202" s="1" t="s">
        <v>104</v>
      </c>
      <c r="N1202" s="1" t="s">
        <v>771</v>
      </c>
      <c r="O1202" s="1" t="s">
        <v>9794</v>
      </c>
      <c r="P1202" s="1" t="s">
        <v>17019</v>
      </c>
      <c r="Q1202" s="1" t="s">
        <v>754</v>
      </c>
      <c r="R1202" s="1" t="s">
        <v>18693</v>
      </c>
      <c r="S1202" s="1" t="s">
        <v>1279</v>
      </c>
      <c r="Z1202" s="1" t="s">
        <v>18694</v>
      </c>
      <c r="AA1202" s="1" t="s">
        <v>18695</v>
      </c>
      <c r="AB1202" s="1" t="s">
        <v>18696</v>
      </c>
      <c r="AC1202" s="1" t="s">
        <v>18697</v>
      </c>
      <c r="AF1202" s="1" t="s">
        <v>242</v>
      </c>
      <c r="AG1202" s="1">
        <v>1.106440071E9</v>
      </c>
      <c r="AJ1202" s="1">
        <v>154.0</v>
      </c>
      <c r="AK1202" s="1">
        <v>64.0</v>
      </c>
      <c r="AL1202" s="1" t="s">
        <v>18698</v>
      </c>
      <c r="AM1202" s="1" t="s">
        <v>18699</v>
      </c>
      <c r="AN1202" s="7" t="s">
        <v>18700</v>
      </c>
      <c r="AO1202" s="8" t="str">
        <f>HYPERLINK("https://docs.google.com/document/d/1V6n4oJtNCklSPLRnrCYze8SszgpWsRkruMVx-QF9rKw/edit?usp=drivesdk","Al-Wildan 20 Mataram_NIA MAU'IZAH, S.S_English")</f>
        <v>Al-Wildan 20 Mataram_NIA MAU'IZAH, S.S_English</v>
      </c>
      <c r="AP1202" s="1" t="s">
        <v>18701</v>
      </c>
    </row>
    <row r="1203">
      <c r="A1203" s="6">
        <v>45805.55642259259</v>
      </c>
      <c r="B1203" s="7" t="s">
        <v>18702</v>
      </c>
      <c r="C1203" s="8" t="s">
        <v>18703</v>
      </c>
      <c r="D1203" s="1" t="s">
        <v>18704</v>
      </c>
      <c r="E1203" s="9" t="s">
        <v>18705</v>
      </c>
      <c r="F1203" s="1" t="s">
        <v>18706</v>
      </c>
      <c r="G1203" s="1" t="s">
        <v>18707</v>
      </c>
      <c r="H1203" s="1" t="s">
        <v>18708</v>
      </c>
      <c r="I1203" s="9" t="s">
        <v>18709</v>
      </c>
      <c r="J1203" s="1" t="s">
        <v>5330</v>
      </c>
      <c r="K1203" s="1" t="s">
        <v>151</v>
      </c>
      <c r="L1203" s="1" t="s">
        <v>103</v>
      </c>
      <c r="M1203" s="1" t="s">
        <v>8033</v>
      </c>
      <c r="O1203" s="1" t="s">
        <v>14262</v>
      </c>
      <c r="P1203" s="1" t="s">
        <v>5712</v>
      </c>
      <c r="Q1203" s="1" t="s">
        <v>18710</v>
      </c>
      <c r="R1203" s="1" t="s">
        <v>18711</v>
      </c>
      <c r="S1203" s="1">
        <v>3.79</v>
      </c>
      <c r="AG1203" s="1">
        <v>7.262033249E9</v>
      </c>
      <c r="AJ1203" s="1">
        <v>170.0</v>
      </c>
      <c r="AK1203" s="1">
        <v>57.0</v>
      </c>
      <c r="AL1203" s="1" t="s">
        <v>18712</v>
      </c>
      <c r="AM1203" s="1" t="s">
        <v>18713</v>
      </c>
      <c r="AN1203" s="7" t="s">
        <v>18714</v>
      </c>
      <c r="AO1203" s="8" t="str">
        <f>HYPERLINK("https://docs.google.com/document/d/1gnD1zuhiLRdTP7f2zTKVEX5ZR38FCP3nYB8pmENCTbg/edit?usp=drivesdk","Al-Wildan 3 BSD City_Faris S.Kom_")</f>
        <v>Al-Wildan 3 BSD City_Faris S.Kom_</v>
      </c>
      <c r="AP1203" s="1" t="s">
        <v>18715</v>
      </c>
    </row>
    <row r="1204">
      <c r="A1204" s="6">
        <v>45808.39599863426</v>
      </c>
      <c r="B1204" s="7" t="s">
        <v>18716</v>
      </c>
      <c r="C1204" s="8" t="s">
        <v>18717</v>
      </c>
      <c r="D1204" s="1" t="s">
        <v>18718</v>
      </c>
      <c r="E1204" s="9" t="s">
        <v>18719</v>
      </c>
      <c r="F1204" s="1" t="s">
        <v>18720</v>
      </c>
      <c r="G1204" s="1" t="s">
        <v>18721</v>
      </c>
      <c r="H1204" s="1" t="s">
        <v>18722</v>
      </c>
      <c r="I1204" s="9" t="s">
        <v>18723</v>
      </c>
      <c r="J1204" s="1" t="s">
        <v>13102</v>
      </c>
      <c r="K1204" s="1" t="s">
        <v>151</v>
      </c>
      <c r="L1204" s="1" t="s">
        <v>496</v>
      </c>
      <c r="M1204" s="1" t="s">
        <v>8769</v>
      </c>
      <c r="O1204" s="1" t="s">
        <v>127</v>
      </c>
      <c r="P1204" s="1" t="s">
        <v>14335</v>
      </c>
      <c r="Q1204" s="1" t="s">
        <v>18724</v>
      </c>
      <c r="R1204" s="1" t="s">
        <v>18725</v>
      </c>
      <c r="S1204" s="1" t="s">
        <v>18726</v>
      </c>
      <c r="Z1204" s="1" t="s">
        <v>18727</v>
      </c>
      <c r="AA1204" s="10">
        <v>1500000.0</v>
      </c>
      <c r="AF1204" s="10">
        <v>2500000.0</v>
      </c>
      <c r="AG1204" s="1">
        <v>7.267408674E9</v>
      </c>
      <c r="AJ1204" s="1">
        <v>155.0</v>
      </c>
      <c r="AK1204" s="1">
        <v>57.0</v>
      </c>
      <c r="AL1204" s="1" t="s">
        <v>18728</v>
      </c>
      <c r="AM1204" s="1" t="s">
        <v>18729</v>
      </c>
      <c r="AN1204" s="7" t="s">
        <v>18730</v>
      </c>
      <c r="AO1204" s="8" t="str">
        <f>HYPERLINK("https://docs.google.com/document/d/1K1zmbuecNi_Dp3IoR6jVfnOdXKRYfGP5wxIbP9gd3KM/edit?usp=drivesdk","Al-Wildan 13 Tembalang, Bekasi_Salsabila Azzahra _")</f>
        <v>Al-Wildan 13 Tembalang, Bekasi_Salsabila Azzahra _</v>
      </c>
      <c r="AP1204" s="1" t="s">
        <v>18731</v>
      </c>
    </row>
    <row r="1205">
      <c r="A1205" s="6">
        <v>45808.45971855324</v>
      </c>
      <c r="B1205" s="7" t="s">
        <v>18732</v>
      </c>
      <c r="C1205" s="8" t="s">
        <v>18733</v>
      </c>
      <c r="D1205" s="1" t="s">
        <v>18734</v>
      </c>
      <c r="E1205" s="9" t="s">
        <v>18735</v>
      </c>
      <c r="F1205" s="1" t="s">
        <v>18736</v>
      </c>
      <c r="G1205" s="1" t="s">
        <v>18737</v>
      </c>
      <c r="H1205" s="1" t="s">
        <v>4493</v>
      </c>
      <c r="I1205" s="9" t="s">
        <v>18738</v>
      </c>
      <c r="J1205" s="1" t="s">
        <v>12019</v>
      </c>
      <c r="K1205" s="1" t="s">
        <v>151</v>
      </c>
      <c r="L1205" s="1" t="s">
        <v>329</v>
      </c>
      <c r="M1205" s="1" t="s">
        <v>104</v>
      </c>
      <c r="N1205" s="1" t="s">
        <v>1634</v>
      </c>
      <c r="O1205" s="1" t="s">
        <v>127</v>
      </c>
      <c r="P1205" s="1" t="s">
        <v>6187</v>
      </c>
      <c r="Q1205" s="1" t="s">
        <v>5126</v>
      </c>
      <c r="R1205" s="1" t="s">
        <v>18739</v>
      </c>
      <c r="S1205" s="1">
        <v>3.29</v>
      </c>
      <c r="Z1205" s="1" t="s">
        <v>18740</v>
      </c>
      <c r="AA1205" s="10">
        <v>1200000.0</v>
      </c>
      <c r="AF1205" s="1" t="s">
        <v>18741</v>
      </c>
      <c r="AG1205" s="1">
        <v>9.71302417E9</v>
      </c>
      <c r="AJ1205" s="1">
        <v>163.0</v>
      </c>
      <c r="AK1205" s="1" t="s">
        <v>18742</v>
      </c>
      <c r="AL1205" s="1" t="s">
        <v>18743</v>
      </c>
      <c r="AM1205" s="1" t="s">
        <v>18744</v>
      </c>
      <c r="AN1205" s="7" t="s">
        <v>18745</v>
      </c>
      <c r="AO1205" s="8" t="str">
        <f>HYPERLINK("https://docs.google.com/document/d/1IwSk3KtNkq0tfQ3W0MsVttdVixcM4Y-siYXZu7Ealrw/edit?usp=drivesdk","Al-Wildan 14 Bumi Mutiara, Bogor_Salsabila Dzahabiyyah Adzra, S.Ag._Diniyah")</f>
        <v>Al-Wildan 14 Bumi Mutiara, Bogor_Salsabila Dzahabiyyah Adzra, S.Ag._Diniyah</v>
      </c>
      <c r="AP1205" s="1" t="s">
        <v>18746</v>
      </c>
    </row>
    <row r="1206">
      <c r="A1206" s="6">
        <v>45808.47355861111</v>
      </c>
      <c r="B1206" s="7" t="s">
        <v>18747</v>
      </c>
      <c r="C1206" s="8" t="s">
        <v>18748</v>
      </c>
      <c r="D1206" s="1" t="s">
        <v>18749</v>
      </c>
      <c r="E1206" s="9" t="s">
        <v>18750</v>
      </c>
      <c r="F1206" s="1" t="s">
        <v>18751</v>
      </c>
      <c r="G1206" s="1" t="s">
        <v>18752</v>
      </c>
      <c r="H1206" s="1" t="s">
        <v>18753</v>
      </c>
      <c r="I1206" s="9" t="s">
        <v>18754</v>
      </c>
      <c r="J1206" s="1" t="s">
        <v>5212</v>
      </c>
      <c r="K1206" s="1" t="s">
        <v>151</v>
      </c>
      <c r="L1206" s="1" t="s">
        <v>103</v>
      </c>
      <c r="M1206" s="1" t="s">
        <v>104</v>
      </c>
      <c r="N1206" s="1" t="s">
        <v>235</v>
      </c>
      <c r="O1206" s="1" t="s">
        <v>312</v>
      </c>
      <c r="P1206" s="1" t="s">
        <v>11207</v>
      </c>
      <c r="Q1206" s="1" t="s">
        <v>6768</v>
      </c>
      <c r="R1206" s="1" t="s">
        <v>2355</v>
      </c>
      <c r="S1206" s="1" t="s">
        <v>1364</v>
      </c>
      <c r="T1206" s="1" t="s">
        <v>18322</v>
      </c>
      <c r="U1206" s="1" t="s">
        <v>2355</v>
      </c>
      <c r="V1206" s="1" t="s">
        <v>6418</v>
      </c>
      <c r="Z1206" s="1" t="s">
        <v>18755</v>
      </c>
      <c r="AA1206" s="10">
        <v>2500000.0</v>
      </c>
      <c r="AB1206" s="1" t="s">
        <v>18756</v>
      </c>
      <c r="AC1206" s="10">
        <v>3000000.0</v>
      </c>
      <c r="AF1206" s="10">
        <v>7500000.0</v>
      </c>
      <c r="AG1206" s="1">
        <v>7.176682935E9</v>
      </c>
      <c r="AJ1206" s="1">
        <v>150.0</v>
      </c>
      <c r="AK1206" s="1">
        <v>48.0</v>
      </c>
      <c r="AL1206" s="1" t="s">
        <v>18757</v>
      </c>
      <c r="AM1206" s="1" t="s">
        <v>18758</v>
      </c>
      <c r="AN1206" s="7" t="s">
        <v>18759</v>
      </c>
      <c r="AO1206" s="8" t="str">
        <f>HYPERLINK("https://docs.google.com/document/d/1C3XBrlCRsjS_sM4BuPlNWvaE9R5iL9L8xahkpB4cSjQ/edit?usp=drivesdk","Al-Wildan 16 Ciledug_Rohana Ayu Fitri, M.Pd_Bahasa Arab")</f>
        <v>Al-Wildan 16 Ciledug_Rohana Ayu Fitri, M.Pd_Bahasa Arab</v>
      </c>
      <c r="AP1206" s="1" t="s">
        <v>18760</v>
      </c>
    </row>
    <row r="1207">
      <c r="A1207" s="6">
        <v>45808.5390012037</v>
      </c>
      <c r="B1207" s="7" t="s">
        <v>18761</v>
      </c>
      <c r="C1207" s="8" t="s">
        <v>18762</v>
      </c>
      <c r="D1207" s="1" t="s">
        <v>18763</v>
      </c>
      <c r="E1207" s="9" t="s">
        <v>18764</v>
      </c>
      <c r="F1207" s="1" t="s">
        <v>18765</v>
      </c>
      <c r="G1207" s="1" t="s">
        <v>18766</v>
      </c>
      <c r="H1207" s="1" t="s">
        <v>148</v>
      </c>
      <c r="I1207" s="9" t="s">
        <v>18767</v>
      </c>
      <c r="J1207" s="1">
        <v>25.0</v>
      </c>
      <c r="K1207" s="1" t="s">
        <v>151</v>
      </c>
      <c r="L1207" s="1" t="s">
        <v>103</v>
      </c>
      <c r="M1207" s="1" t="s">
        <v>13204</v>
      </c>
      <c r="O1207" s="1" t="s">
        <v>13406</v>
      </c>
      <c r="P1207" s="1" t="s">
        <v>237</v>
      </c>
      <c r="AA1207" s="1">
        <v>4000000.0</v>
      </c>
      <c r="AB1207" s="1" t="s">
        <v>18768</v>
      </c>
      <c r="AC1207" s="1">
        <v>4500000.0</v>
      </c>
      <c r="AF1207" s="1">
        <v>5000000.0</v>
      </c>
      <c r="AG1207" s="1">
        <v>8.54691813E9</v>
      </c>
      <c r="AI1207" s="1" t="s">
        <v>18769</v>
      </c>
      <c r="AJ1207" s="1">
        <v>163.0</v>
      </c>
      <c r="AK1207" s="1">
        <v>68.0</v>
      </c>
      <c r="AL1207" s="1" t="s">
        <v>18770</v>
      </c>
      <c r="AM1207" s="1" t="s">
        <v>18771</v>
      </c>
      <c r="AN1207" s="7" t="s">
        <v>18772</v>
      </c>
      <c r="AO1207" s="8" t="str">
        <f>HYPERLINK("https://docs.google.com/document/d/1fho_P5WpdamRkRlppODd_daBOElPlKi6KcU9L5Ed2is/edit?usp=drivesdk","Al-Wildan 4 Lebak Bulus_Muhammad rezky Apriansyah _")</f>
        <v>Al-Wildan 4 Lebak Bulus_Muhammad rezky Apriansyah _</v>
      </c>
      <c r="AP1207" s="1" t="s">
        <v>18773</v>
      </c>
    </row>
    <row r="1208">
      <c r="A1208" s="6">
        <v>45808.54688436343</v>
      </c>
      <c r="B1208" s="7" t="s">
        <v>18774</v>
      </c>
      <c r="C1208" s="8" t="s">
        <v>18775</v>
      </c>
      <c r="D1208" s="1" t="s">
        <v>18776</v>
      </c>
      <c r="E1208" s="9" t="s">
        <v>18777</v>
      </c>
      <c r="F1208" s="1" t="s">
        <v>18778</v>
      </c>
      <c r="G1208" s="1" t="s">
        <v>18779</v>
      </c>
      <c r="H1208" s="1" t="s">
        <v>1411</v>
      </c>
      <c r="I1208" s="1" t="s">
        <v>18780</v>
      </c>
      <c r="J1208" s="1" t="s">
        <v>5413</v>
      </c>
      <c r="K1208" s="1" t="s">
        <v>102</v>
      </c>
      <c r="L1208" s="1" t="s">
        <v>103</v>
      </c>
      <c r="M1208" s="1" t="s">
        <v>13204</v>
      </c>
      <c r="O1208" s="1" t="s">
        <v>13406</v>
      </c>
      <c r="P1208" s="1" t="s">
        <v>237</v>
      </c>
      <c r="Z1208" s="1" t="s">
        <v>18781</v>
      </c>
      <c r="AA1208" s="10">
        <v>4500000.0</v>
      </c>
      <c r="AB1208" s="1" t="s">
        <v>18782</v>
      </c>
      <c r="AC1208" s="10">
        <v>5000000.0</v>
      </c>
      <c r="AD1208" s="1" t="s">
        <v>18783</v>
      </c>
      <c r="AE1208" s="10">
        <v>4000000.0</v>
      </c>
      <c r="AF1208" s="10">
        <v>5500000.0</v>
      </c>
      <c r="AG1208" s="1">
        <v>8.54692089E9</v>
      </c>
      <c r="AJ1208" s="1">
        <v>170.0</v>
      </c>
      <c r="AK1208" s="1">
        <v>76.0</v>
      </c>
      <c r="AL1208" s="1" t="s">
        <v>18784</v>
      </c>
      <c r="AM1208" s="1" t="s">
        <v>18785</v>
      </c>
      <c r="AN1208" s="7" t="s">
        <v>18786</v>
      </c>
      <c r="AO1208" s="8" t="str">
        <f>HYPERLINK("https://docs.google.com/document/d/1ZZVmc3Lu7KdKrG9YrbqRbuNBaW_QW1Zig3gB0EeuPq4/edit?usp=drivesdk","Al-Wildan 4 Lebak Bulus_Fikri Dony Alamsyah _")</f>
        <v>Al-Wildan 4 Lebak Bulus_Fikri Dony Alamsyah _</v>
      </c>
      <c r="AP1208" s="1" t="s">
        <v>18787</v>
      </c>
    </row>
    <row r="1209">
      <c r="A1209" s="6">
        <v>45808.55462763889</v>
      </c>
      <c r="B1209" s="7" t="s">
        <v>18788</v>
      </c>
      <c r="C1209" s="8" t="s">
        <v>18789</v>
      </c>
      <c r="D1209" s="1" t="s">
        <v>18790</v>
      </c>
      <c r="E1209" s="9" t="s">
        <v>18791</v>
      </c>
      <c r="F1209" s="1" t="s">
        <v>18792</v>
      </c>
      <c r="G1209" s="1" t="s">
        <v>18793</v>
      </c>
      <c r="H1209" s="1" t="s">
        <v>18794</v>
      </c>
      <c r="I1209" s="9" t="s">
        <v>18795</v>
      </c>
      <c r="J1209" s="1" t="s">
        <v>3619</v>
      </c>
      <c r="K1209" s="1" t="s">
        <v>102</v>
      </c>
      <c r="L1209" s="1" t="s">
        <v>103</v>
      </c>
      <c r="M1209" s="1" t="s">
        <v>18796</v>
      </c>
      <c r="O1209" s="1" t="s">
        <v>9794</v>
      </c>
      <c r="P1209" s="1" t="s">
        <v>237</v>
      </c>
      <c r="Z1209" s="1" t="s">
        <v>18797</v>
      </c>
      <c r="AA1209" s="10">
        <v>5000000.0</v>
      </c>
      <c r="AB1209" s="1" t="s">
        <v>18797</v>
      </c>
      <c r="AC1209" s="10">
        <v>5000000.0</v>
      </c>
      <c r="AD1209" s="1" t="s">
        <v>18797</v>
      </c>
      <c r="AE1209" s="10">
        <v>5000000.0</v>
      </c>
      <c r="AG1209" s="1">
        <v>7.192767363E9</v>
      </c>
      <c r="AI1209" s="1" t="s">
        <v>18798</v>
      </c>
      <c r="AJ1209" s="1">
        <v>157.0</v>
      </c>
      <c r="AK1209" s="1">
        <v>62.0</v>
      </c>
      <c r="AL1209" s="1" t="s">
        <v>18799</v>
      </c>
      <c r="AM1209" s="1" t="s">
        <v>18800</v>
      </c>
      <c r="AN1209" s="7" t="s">
        <v>18801</v>
      </c>
      <c r="AO1209" s="8" t="str">
        <f>HYPERLINK("https://docs.google.com/document/d/1N9ERqrcJs9RGxMaKyOecN5r0I_2Y0hnNvJr8CrRRCdk/edit?usp=drivesdk","Al-Wildan 4 Lebak Bulus_KASTONO_")</f>
        <v>Al-Wildan 4 Lebak Bulus_KASTONO_</v>
      </c>
      <c r="AP1209" s="1" t="s">
        <v>18802</v>
      </c>
    </row>
    <row r="1210">
      <c r="A1210" s="6">
        <v>45808.55750815972</v>
      </c>
      <c r="B1210" s="7" t="s">
        <v>18803</v>
      </c>
      <c r="C1210" s="8" t="s">
        <v>18804</v>
      </c>
      <c r="D1210" s="1" t="s">
        <v>18805</v>
      </c>
      <c r="E1210" s="9" t="s">
        <v>18806</v>
      </c>
      <c r="F1210" s="1" t="s">
        <v>251</v>
      </c>
      <c r="G1210" s="1" t="s">
        <v>18807</v>
      </c>
      <c r="H1210" s="1" t="s">
        <v>253</v>
      </c>
      <c r="I1210" s="9" t="s">
        <v>254</v>
      </c>
      <c r="J1210" s="1" t="s">
        <v>18808</v>
      </c>
      <c r="K1210" s="1" t="s">
        <v>102</v>
      </c>
      <c r="L1210" s="1" t="s">
        <v>103</v>
      </c>
      <c r="M1210" s="1" t="s">
        <v>18809</v>
      </c>
      <c r="N1210" s="1" t="s">
        <v>18810</v>
      </c>
      <c r="O1210" s="1" t="s">
        <v>312</v>
      </c>
      <c r="P1210" s="1" t="s">
        <v>237</v>
      </c>
      <c r="Q1210" s="1" t="s">
        <v>18811</v>
      </c>
      <c r="R1210" s="1" t="s">
        <v>1623</v>
      </c>
      <c r="S1210" s="1">
        <v>3.45</v>
      </c>
      <c r="T1210" s="1" t="s">
        <v>12837</v>
      </c>
      <c r="U1210" s="1" t="s">
        <v>10527</v>
      </c>
      <c r="V1210" s="1">
        <v>3.49</v>
      </c>
      <c r="W1210" s="1" t="s">
        <v>12837</v>
      </c>
      <c r="X1210" s="1" t="s">
        <v>18812</v>
      </c>
      <c r="Y1210" s="1" t="s">
        <v>1087</v>
      </c>
      <c r="Z1210" s="1" t="s">
        <v>18813</v>
      </c>
      <c r="AA1210" s="10">
        <v>4000000.0</v>
      </c>
      <c r="AB1210" s="1" t="s">
        <v>18814</v>
      </c>
      <c r="AC1210" s="10">
        <v>5000000.0</v>
      </c>
      <c r="AF1210" s="10">
        <v>8000000.0</v>
      </c>
      <c r="AG1210" s="1">
        <v>7.176576728E9</v>
      </c>
      <c r="AJ1210" s="1">
        <v>174.0</v>
      </c>
      <c r="AK1210" s="1">
        <v>72.0</v>
      </c>
      <c r="AL1210" s="1" t="s">
        <v>18815</v>
      </c>
      <c r="AM1210" s="1" t="s">
        <v>18816</v>
      </c>
      <c r="AN1210" s="7" t="s">
        <v>18817</v>
      </c>
      <c r="AO1210" s="8" t="str">
        <f>HYPERLINK("https://docs.google.com/document/d/1vjeLT_HxNMuyKux3MD1gIRHnepy2u0R-Bw1y-Fze9Uw/edit?usp=drivesdk","Al-Wildan 4 Lebak Bulus_Dr. (Cand) Martin Daniel, M. A. _QDA")</f>
        <v>Al-Wildan 4 Lebak Bulus_Dr. (Cand) Martin Daniel, M. A. _QDA</v>
      </c>
      <c r="AP1210" s="1" t="s">
        <v>18818</v>
      </c>
    </row>
    <row r="1211">
      <c r="A1211" s="6">
        <v>45808.56833042824</v>
      </c>
      <c r="B1211" s="7" t="s">
        <v>18819</v>
      </c>
      <c r="C1211" s="8" t="s">
        <v>18820</v>
      </c>
      <c r="D1211" s="1" t="s">
        <v>18821</v>
      </c>
      <c r="E1211" s="9" t="s">
        <v>18822</v>
      </c>
      <c r="F1211" s="1" t="s">
        <v>18823</v>
      </c>
      <c r="G1211" s="1" t="s">
        <v>18824</v>
      </c>
      <c r="H1211" s="1" t="s">
        <v>1411</v>
      </c>
      <c r="I1211" s="9" t="s">
        <v>18825</v>
      </c>
      <c r="J1211" s="1">
        <v>27.0</v>
      </c>
      <c r="K1211" s="1" t="s">
        <v>102</v>
      </c>
      <c r="L1211" s="1" t="s">
        <v>103</v>
      </c>
      <c r="M1211" s="1" t="s">
        <v>13204</v>
      </c>
      <c r="O1211" s="1" t="s">
        <v>13406</v>
      </c>
      <c r="P1211" s="1" t="s">
        <v>237</v>
      </c>
      <c r="Q1211" s="1" t="s">
        <v>18826</v>
      </c>
      <c r="Z1211" s="1" t="s">
        <v>18827</v>
      </c>
      <c r="AA1211" s="1" t="s">
        <v>18828</v>
      </c>
      <c r="AB1211" s="1" t="s">
        <v>13393</v>
      </c>
      <c r="AC1211" s="10">
        <v>2000000.0</v>
      </c>
      <c r="AD1211" s="1" t="s">
        <v>18829</v>
      </c>
      <c r="AE1211" s="10">
        <v>3800000.0</v>
      </c>
      <c r="AF1211" s="10">
        <v>4300000.0</v>
      </c>
      <c r="AG1211" s="1">
        <v>7.167867019E9</v>
      </c>
      <c r="AJ1211" s="1">
        <v>157.0</v>
      </c>
      <c r="AK1211" s="1">
        <v>77.0</v>
      </c>
      <c r="AL1211" s="1" t="s">
        <v>18830</v>
      </c>
      <c r="AM1211" s="1" t="s">
        <v>18831</v>
      </c>
      <c r="AN1211" s="7" t="s">
        <v>18832</v>
      </c>
      <c r="AO1211" s="8" t="str">
        <f>HYPERLINK("https://docs.google.com/document/d/1kKFmk4jrtcsOvS-LVG-K9N8xoXqwlIp1nVeTA4fvHnE/edit?usp=drivesdk","Al-Wildan 4 Lebak Bulus_Rachmawati Mahda_")</f>
        <v>Al-Wildan 4 Lebak Bulus_Rachmawati Mahda_</v>
      </c>
      <c r="AP1211" s="1" t="s">
        <v>18833</v>
      </c>
    </row>
    <row r="1212">
      <c r="A1212" s="6">
        <v>45808.57617017361</v>
      </c>
      <c r="B1212" s="7" t="s">
        <v>18834</v>
      </c>
      <c r="C1212" s="8" t="s">
        <v>18835</v>
      </c>
      <c r="D1212" s="1" t="s">
        <v>18836</v>
      </c>
      <c r="E1212" s="9" t="s">
        <v>2259</v>
      </c>
      <c r="F1212" s="1" t="s">
        <v>2260</v>
      </c>
      <c r="G1212" s="1" t="s">
        <v>18837</v>
      </c>
      <c r="H1212" s="1" t="s">
        <v>148</v>
      </c>
      <c r="I1212" s="9" t="s">
        <v>18838</v>
      </c>
      <c r="J1212" s="1" t="s">
        <v>18839</v>
      </c>
      <c r="K1212" s="1" t="s">
        <v>102</v>
      </c>
      <c r="L1212" s="1" t="s">
        <v>103</v>
      </c>
      <c r="M1212" s="1" t="s">
        <v>213</v>
      </c>
      <c r="O1212" s="1" t="s">
        <v>312</v>
      </c>
      <c r="P1212" s="1" t="s">
        <v>237</v>
      </c>
      <c r="Q1212" s="1" t="s">
        <v>192</v>
      </c>
      <c r="R1212" s="1" t="s">
        <v>193</v>
      </c>
      <c r="S1212" s="1" t="s">
        <v>4462</v>
      </c>
      <c r="Z1212" s="1" t="s">
        <v>18840</v>
      </c>
      <c r="AA1212" s="10">
        <v>1.0E7</v>
      </c>
      <c r="AG1212" s="1">
        <v>8.54692283E9</v>
      </c>
      <c r="AJ1212" s="1">
        <v>165.0</v>
      </c>
      <c r="AK1212" s="1">
        <v>68.0</v>
      </c>
      <c r="AL1212" s="1" t="s">
        <v>18841</v>
      </c>
      <c r="AM1212" s="1" t="s">
        <v>18842</v>
      </c>
      <c r="AN1212" s="7" t="s">
        <v>18843</v>
      </c>
      <c r="AO1212" s="8" t="str">
        <f>HYPERLINK("https://docs.google.com/document/d/1Wwu03EFTYLnsLCgJz2KsnscooRsr-oBTI6srC8gKB40/edit?usp=drivesdk","Al-Wildan 4 Lebak Bulus_KHAIRUL ANAM, Lc._")</f>
        <v>Al-Wildan 4 Lebak Bulus_KHAIRUL ANAM, Lc._</v>
      </c>
      <c r="AP1212" s="1" t="s">
        <v>18844</v>
      </c>
    </row>
    <row r="1213">
      <c r="A1213" s="6">
        <v>45808.578293784725</v>
      </c>
      <c r="B1213" s="7" t="s">
        <v>18845</v>
      </c>
      <c r="C1213" s="8" t="s">
        <v>18846</v>
      </c>
      <c r="D1213" s="1" t="s">
        <v>18847</v>
      </c>
      <c r="E1213" s="9" t="s">
        <v>18848</v>
      </c>
      <c r="F1213" s="1" t="s">
        <v>18849</v>
      </c>
      <c r="G1213" s="1" t="s">
        <v>18850</v>
      </c>
      <c r="H1213" s="1" t="s">
        <v>169</v>
      </c>
      <c r="I1213" s="9" t="s">
        <v>18851</v>
      </c>
      <c r="J1213" s="1" t="s">
        <v>4279</v>
      </c>
      <c r="K1213" s="1" t="s">
        <v>102</v>
      </c>
      <c r="L1213" s="1" t="s">
        <v>256</v>
      </c>
      <c r="M1213" s="1" t="s">
        <v>13204</v>
      </c>
      <c r="O1213" s="1" t="s">
        <v>13406</v>
      </c>
      <c r="P1213" s="1" t="s">
        <v>237</v>
      </c>
      <c r="Z1213" s="1" t="s">
        <v>18852</v>
      </c>
      <c r="AA1213" s="10">
        <v>3500000.0</v>
      </c>
      <c r="AB1213" s="1" t="s">
        <v>18853</v>
      </c>
      <c r="AC1213" s="10">
        <v>3800000.0</v>
      </c>
      <c r="AF1213" s="10">
        <v>4300000.0</v>
      </c>
      <c r="AG1213" s="1">
        <v>7.207075242E9</v>
      </c>
      <c r="AI1213" s="1" t="s">
        <v>5113</v>
      </c>
      <c r="AJ1213" s="1">
        <v>157.0</v>
      </c>
      <c r="AK1213" s="1">
        <v>70.0</v>
      </c>
      <c r="AL1213" s="1" t="s">
        <v>18854</v>
      </c>
      <c r="AM1213" s="1" t="s">
        <v>18855</v>
      </c>
      <c r="AN1213" s="7" t="s">
        <v>18856</v>
      </c>
      <c r="AO1213" s="8" t="str">
        <f>HYPERLINK("https://docs.google.com/document/d/16VN3hvbRRwZVKe1WvjGBlhl0lNEIBmRqGJ9BB-Cr1MM/edit?usp=drivesdk","Al-Wildan 4 Lebak Bulus_Sandra Aryani Putri_")</f>
        <v>Al-Wildan 4 Lebak Bulus_Sandra Aryani Putri_</v>
      </c>
      <c r="AP1213" s="1" t="s">
        <v>18857</v>
      </c>
    </row>
    <row r="1214">
      <c r="A1214" s="6">
        <v>45808.582591631945</v>
      </c>
      <c r="B1214" s="7" t="s">
        <v>18858</v>
      </c>
      <c r="C1214" s="8" t="s">
        <v>18859</v>
      </c>
      <c r="D1214" s="1" t="s">
        <v>18860</v>
      </c>
      <c r="E1214" s="9" t="s">
        <v>18861</v>
      </c>
      <c r="F1214" s="1" t="s">
        <v>18862</v>
      </c>
      <c r="G1214" s="1" t="s">
        <v>18863</v>
      </c>
      <c r="H1214" s="1" t="s">
        <v>1411</v>
      </c>
      <c r="I1214" s="9" t="s">
        <v>18864</v>
      </c>
      <c r="J1214" s="1" t="s">
        <v>18865</v>
      </c>
      <c r="K1214" s="1" t="s">
        <v>102</v>
      </c>
      <c r="L1214" s="1" t="s">
        <v>256</v>
      </c>
      <c r="M1214" s="1" t="s">
        <v>13204</v>
      </c>
      <c r="O1214" s="1" t="s">
        <v>13406</v>
      </c>
      <c r="P1214" s="1" t="s">
        <v>237</v>
      </c>
      <c r="Z1214" s="1" t="s">
        <v>18866</v>
      </c>
      <c r="AA1214" s="10">
        <v>2500000.0</v>
      </c>
      <c r="AB1214" s="1" t="s">
        <v>18867</v>
      </c>
      <c r="AC1214" s="10">
        <v>3500000.0</v>
      </c>
      <c r="AD1214" s="1" t="s">
        <v>18867</v>
      </c>
      <c r="AE1214" s="10">
        <v>4200000.0</v>
      </c>
      <c r="AF1214" s="10">
        <v>4300000.0</v>
      </c>
      <c r="AG1214" s="1">
        <v>7.167876042E9</v>
      </c>
      <c r="AI1214" s="1" t="s">
        <v>10433</v>
      </c>
      <c r="AJ1214" s="1">
        <v>149.0</v>
      </c>
      <c r="AK1214" s="1">
        <v>61.0</v>
      </c>
      <c r="AL1214" s="1" t="s">
        <v>18868</v>
      </c>
      <c r="AM1214" s="1" t="s">
        <v>18869</v>
      </c>
      <c r="AN1214" s="7" t="s">
        <v>18870</v>
      </c>
      <c r="AO1214" s="8" t="str">
        <f>HYPERLINK("https://docs.google.com/document/d/1OJfQwWOKz-Zp8e4B5WQGTrUeWsILwq1tyFvsWEqLGEA/edit?usp=drivesdk","Al-Wildan 4 Lebak Bulus_WIWI SUMBOGO_")</f>
        <v>Al-Wildan 4 Lebak Bulus_WIWI SUMBOGO_</v>
      </c>
      <c r="AP1214" s="1" t="s">
        <v>18871</v>
      </c>
    </row>
    <row r="1215">
      <c r="A1215" s="6">
        <v>45808.58784252315</v>
      </c>
      <c r="B1215" s="7" t="s">
        <v>18872</v>
      </c>
      <c r="C1215" s="8" t="s">
        <v>18873</v>
      </c>
      <c r="D1215" s="1" t="s">
        <v>18874</v>
      </c>
      <c r="E1215" s="9" t="s">
        <v>18875</v>
      </c>
      <c r="F1215" s="1" t="s">
        <v>18876</v>
      </c>
      <c r="G1215" s="1" t="s">
        <v>18877</v>
      </c>
      <c r="H1215" s="1" t="s">
        <v>99</v>
      </c>
      <c r="I1215" s="9" t="s">
        <v>18878</v>
      </c>
      <c r="J1215" s="1" t="s">
        <v>4654</v>
      </c>
      <c r="K1215" s="1" t="s">
        <v>102</v>
      </c>
      <c r="L1215" s="1" t="s">
        <v>103</v>
      </c>
      <c r="M1215" s="1" t="s">
        <v>104</v>
      </c>
      <c r="N1215" s="1" t="s">
        <v>18879</v>
      </c>
      <c r="O1215" s="1" t="s">
        <v>9794</v>
      </c>
      <c r="P1215" s="1" t="s">
        <v>11207</v>
      </c>
      <c r="Q1215" s="1" t="s">
        <v>18880</v>
      </c>
      <c r="R1215" s="1" t="s">
        <v>2355</v>
      </c>
      <c r="S1215" s="1">
        <v>3.89</v>
      </c>
      <c r="Z1215" s="1" t="s">
        <v>18881</v>
      </c>
      <c r="AA1215" s="10">
        <v>2500000.0</v>
      </c>
      <c r="AB1215" s="1" t="s">
        <v>18882</v>
      </c>
      <c r="AC1215" s="10">
        <v>1500000.0</v>
      </c>
      <c r="AD1215" s="1" t="s">
        <v>18883</v>
      </c>
      <c r="AE1215" s="10">
        <v>3500000.0</v>
      </c>
      <c r="AF1215" s="10">
        <v>7000000.0</v>
      </c>
      <c r="AH1215" s="1">
        <v>8.990679682E9</v>
      </c>
      <c r="AI1215" s="1" t="s">
        <v>14192</v>
      </c>
      <c r="AJ1215" s="1">
        <v>167.0</v>
      </c>
      <c r="AK1215" s="1">
        <v>75.0</v>
      </c>
      <c r="AL1215" s="1" t="s">
        <v>18884</v>
      </c>
      <c r="AM1215" s="1" t="s">
        <v>18885</v>
      </c>
      <c r="AN1215" s="7" t="s">
        <v>18886</v>
      </c>
      <c r="AO1215" s="8" t="str">
        <f>HYPERLINK("https://docs.google.com/document/d/1L9LPaqRSDQdVU1csntWmBRrNFJszYkAPSAT2kMFIy2M/edit?usp=drivesdk","Al-Wildan 16 Ciledug_Muhammad Al Qori, S.Pd._ADA = Alquran, Diniyyah, Arabic")</f>
        <v>Al-Wildan 16 Ciledug_Muhammad Al Qori, S.Pd._ADA = Alquran, Diniyyah, Arabic</v>
      </c>
      <c r="AP1215" s="1" t="s">
        <v>18887</v>
      </c>
    </row>
    <row r="1216">
      <c r="A1216" s="6">
        <v>45808.61046445602</v>
      </c>
      <c r="B1216" s="7" t="s">
        <v>18888</v>
      </c>
      <c r="C1216" s="8" t="s">
        <v>18889</v>
      </c>
      <c r="D1216" s="1" t="s">
        <v>18890</v>
      </c>
      <c r="E1216" s="9" t="s">
        <v>18891</v>
      </c>
      <c r="F1216" s="1" t="s">
        <v>7735</v>
      </c>
      <c r="G1216" s="1" t="s">
        <v>18892</v>
      </c>
      <c r="H1216" s="1" t="s">
        <v>18893</v>
      </c>
      <c r="I1216" s="9" t="s">
        <v>7737</v>
      </c>
      <c r="J1216" s="1" t="s">
        <v>12250</v>
      </c>
      <c r="K1216" s="1" t="s">
        <v>102</v>
      </c>
      <c r="L1216" s="1" t="s">
        <v>103</v>
      </c>
      <c r="M1216" s="1" t="s">
        <v>104</v>
      </c>
      <c r="N1216" s="1" t="s">
        <v>5233</v>
      </c>
      <c r="O1216" s="1" t="s">
        <v>312</v>
      </c>
      <c r="P1216" s="1" t="s">
        <v>237</v>
      </c>
      <c r="Q1216" s="1" t="s">
        <v>18894</v>
      </c>
      <c r="R1216" s="1" t="s">
        <v>8140</v>
      </c>
      <c r="S1216" s="1" t="s">
        <v>110</v>
      </c>
      <c r="T1216" s="1" t="s">
        <v>18895</v>
      </c>
      <c r="U1216" s="1" t="s">
        <v>8140</v>
      </c>
      <c r="V1216" s="1" t="s">
        <v>1279</v>
      </c>
      <c r="Z1216" s="1" t="s">
        <v>18896</v>
      </c>
      <c r="AA1216" s="10">
        <v>75000.0</v>
      </c>
      <c r="AB1216" s="1" t="s">
        <v>18897</v>
      </c>
      <c r="AC1216" s="10">
        <v>6400000.0</v>
      </c>
      <c r="AD1216" s="1" t="s">
        <v>18898</v>
      </c>
      <c r="AE1216" s="10">
        <v>6200000.0</v>
      </c>
      <c r="AF1216" s="10">
        <v>7000000.0</v>
      </c>
      <c r="AG1216" s="1">
        <v>9.85684921E9</v>
      </c>
      <c r="AJ1216" s="1">
        <v>170.0</v>
      </c>
      <c r="AK1216" s="1">
        <v>80.0</v>
      </c>
      <c r="AL1216" s="1" t="s">
        <v>7740</v>
      </c>
      <c r="AM1216" s="1" t="s">
        <v>18899</v>
      </c>
      <c r="AN1216" s="7" t="s">
        <v>18900</v>
      </c>
      <c r="AO1216" s="8" t="str">
        <f>HYPERLINK("https://docs.google.com/document/d/186akLkeRdJt-FRuGnbvGRRsj4w9h_ezvEPRWXdbjDWw/edit?usp=drivesdk","Al-Wildan 4 Lebak Bulus_Anri Ibrahim, M.Pd_Arabic ")</f>
        <v>Al-Wildan 4 Lebak Bulus_Anri Ibrahim, M.Pd_Arabic </v>
      </c>
      <c r="AP1216" s="1" t="s">
        <v>18901</v>
      </c>
    </row>
    <row r="1217">
      <c r="A1217" s="6">
        <v>45808.78449513889</v>
      </c>
      <c r="B1217" s="7" t="s">
        <v>18902</v>
      </c>
      <c r="C1217" s="8" t="s">
        <v>18903</v>
      </c>
      <c r="D1217" s="1" t="s">
        <v>18904</v>
      </c>
      <c r="E1217" s="9" t="s">
        <v>18905</v>
      </c>
      <c r="F1217" s="1" t="s">
        <v>18906</v>
      </c>
      <c r="G1217" s="1" t="s">
        <v>18907</v>
      </c>
      <c r="H1217" s="1" t="s">
        <v>169</v>
      </c>
      <c r="I1217" s="9" t="s">
        <v>18908</v>
      </c>
      <c r="J1217" s="1" t="s">
        <v>1327</v>
      </c>
      <c r="K1217" s="1" t="s">
        <v>102</v>
      </c>
      <c r="L1217" s="1" t="s">
        <v>103</v>
      </c>
      <c r="M1217" s="1" t="s">
        <v>13204</v>
      </c>
      <c r="O1217" s="1" t="s">
        <v>13406</v>
      </c>
      <c r="P1217" s="1" t="s">
        <v>237</v>
      </c>
      <c r="Z1217" s="1" t="s">
        <v>18909</v>
      </c>
      <c r="AA1217" s="10">
        <v>3500000.0</v>
      </c>
      <c r="AB1217" s="1" t="s">
        <v>18910</v>
      </c>
      <c r="AC1217" s="10">
        <v>5000000.0</v>
      </c>
      <c r="AD1217" s="1" t="s">
        <v>18911</v>
      </c>
      <c r="AE1217" s="10">
        <v>4000000.0</v>
      </c>
      <c r="AG1217" s="1">
        <v>7.207074815E9</v>
      </c>
      <c r="AI1217" s="1" t="s">
        <v>4856</v>
      </c>
      <c r="AJ1217" s="1">
        <v>170.0</v>
      </c>
      <c r="AK1217" s="1">
        <v>85.0</v>
      </c>
      <c r="AL1217" s="1" t="s">
        <v>18912</v>
      </c>
      <c r="AM1217" s="1" t="s">
        <v>18913</v>
      </c>
      <c r="AN1217" s="7" t="s">
        <v>18914</v>
      </c>
      <c r="AO1217" s="8" t="str">
        <f>HYPERLINK("https://docs.google.com/document/d/13MtyRZJ61JT-m6lcVQkh1scQ0qteaG4pkDoRshKJiC4/edit?usp=drivesdk","Al-Wildan 4 Lebak Bulus_Maulida Nurcahyani_")</f>
        <v>Al-Wildan 4 Lebak Bulus_Maulida Nurcahyani_</v>
      </c>
      <c r="AP1217" s="1" t="s">
        <v>18915</v>
      </c>
    </row>
    <row r="1218">
      <c r="A1218" s="6">
        <v>45808.80905386574</v>
      </c>
      <c r="B1218" s="7" t="s">
        <v>18916</v>
      </c>
      <c r="C1218" s="8" t="s">
        <v>18917</v>
      </c>
      <c r="D1218" s="1" t="s">
        <v>18918</v>
      </c>
      <c r="E1218" s="9" t="s">
        <v>18919</v>
      </c>
      <c r="F1218" s="1" t="s">
        <v>18920</v>
      </c>
      <c r="G1218" s="1" t="s">
        <v>18921</v>
      </c>
      <c r="H1218" s="1" t="s">
        <v>1411</v>
      </c>
      <c r="I1218" s="9" t="s">
        <v>18922</v>
      </c>
      <c r="J1218" s="1">
        <v>22.0</v>
      </c>
      <c r="K1218" s="1" t="s">
        <v>151</v>
      </c>
      <c r="L1218" s="1" t="s">
        <v>329</v>
      </c>
      <c r="M1218" s="1" t="s">
        <v>13204</v>
      </c>
      <c r="O1218" s="1" t="s">
        <v>13406</v>
      </c>
      <c r="P1218" s="1" t="s">
        <v>237</v>
      </c>
      <c r="Z1218" s="1" t="s">
        <v>18923</v>
      </c>
      <c r="AA1218" s="10">
        <v>4000000.0</v>
      </c>
      <c r="AB1218" s="1" t="s">
        <v>18924</v>
      </c>
      <c r="AC1218" s="10">
        <v>7000000.0</v>
      </c>
      <c r="AF1218" s="10">
        <v>5000000.0</v>
      </c>
      <c r="AG1218" s="1">
        <v>7.239366443E9</v>
      </c>
      <c r="AJ1218" s="1">
        <v>166.0</v>
      </c>
      <c r="AK1218" s="1">
        <v>53.0</v>
      </c>
      <c r="AL1218" s="1" t="s">
        <v>18925</v>
      </c>
      <c r="AM1218" s="1" t="s">
        <v>18926</v>
      </c>
      <c r="AN1218" s="7" t="s">
        <v>18927</v>
      </c>
      <c r="AO1218" s="8" t="str">
        <f>HYPERLINK("https://docs.google.com/document/d/1hWnYtAZeYssQLGyoaVQPMDCQEvbJjTYWY6uT2le3gd0/edit?usp=drivesdk","Al-Wildan 4 Lebak Bulus_ADHELIA Tri Rahayu _")</f>
        <v>Al-Wildan 4 Lebak Bulus_ADHELIA Tri Rahayu _</v>
      </c>
      <c r="AP1218" s="1" t="s">
        <v>18928</v>
      </c>
    </row>
    <row r="1219">
      <c r="A1219" s="6">
        <v>45808.82659503473</v>
      </c>
      <c r="B1219" s="7" t="s">
        <v>18929</v>
      </c>
      <c r="C1219" s="8" t="s">
        <v>18930</v>
      </c>
      <c r="D1219" s="1" t="s">
        <v>18931</v>
      </c>
      <c r="E1219" s="9" t="s">
        <v>18932</v>
      </c>
      <c r="F1219" s="1" t="s">
        <v>18933</v>
      </c>
      <c r="G1219" s="1" t="s">
        <v>18934</v>
      </c>
      <c r="H1219" s="1" t="s">
        <v>169</v>
      </c>
      <c r="I1219" s="9" t="s">
        <v>18935</v>
      </c>
      <c r="J1219" s="1" t="s">
        <v>4460</v>
      </c>
      <c r="K1219" s="1" t="s">
        <v>102</v>
      </c>
      <c r="L1219" s="1" t="s">
        <v>103</v>
      </c>
      <c r="M1219" s="1" t="s">
        <v>13807</v>
      </c>
      <c r="O1219" s="1" t="s">
        <v>13406</v>
      </c>
      <c r="P1219" s="1" t="s">
        <v>237</v>
      </c>
      <c r="Z1219" s="1" t="s">
        <v>18936</v>
      </c>
      <c r="AA1219" s="10">
        <v>1800000.0</v>
      </c>
      <c r="AB1219" s="1" t="s">
        <v>18937</v>
      </c>
      <c r="AC1219" s="10">
        <v>2000000.0</v>
      </c>
      <c r="AD1219" s="1" t="s">
        <v>18938</v>
      </c>
      <c r="AE1219" s="10">
        <v>2500000.0</v>
      </c>
      <c r="AG1219" s="1">
        <v>8.54692396E9</v>
      </c>
      <c r="AI1219" s="1" t="s">
        <v>18939</v>
      </c>
      <c r="AJ1219" s="1">
        <v>175.0</v>
      </c>
      <c r="AK1219" s="1">
        <v>80.0</v>
      </c>
      <c r="AL1219" s="1" t="s">
        <v>18940</v>
      </c>
      <c r="AM1219" s="1" t="s">
        <v>18941</v>
      </c>
      <c r="AN1219" s="7" t="s">
        <v>18942</v>
      </c>
      <c r="AO1219" s="8" t="str">
        <f>HYPERLINK("https://docs.google.com/document/d/1geJZBVpaebH35Qtr20P-fg9d_KDWnoq9wUQyjYMmDoo/edit?usp=drivesdk","Al-Wildan 4 Lebak Bulus_Derry eranio pratama_")</f>
        <v>Al-Wildan 4 Lebak Bulus_Derry eranio pratama_</v>
      </c>
      <c r="AP1219" s="1" t="s">
        <v>18943</v>
      </c>
    </row>
    <row r="1220">
      <c r="A1220" s="6">
        <v>45809.42730098379</v>
      </c>
      <c r="B1220" s="7" t="s">
        <v>18944</v>
      </c>
      <c r="C1220" s="8" t="s">
        <v>18945</v>
      </c>
      <c r="D1220" s="1" t="s">
        <v>18946</v>
      </c>
      <c r="E1220" s="9" t="s">
        <v>16195</v>
      </c>
      <c r="F1220" s="1" t="s">
        <v>16196</v>
      </c>
      <c r="G1220" s="1" t="s">
        <v>18947</v>
      </c>
      <c r="H1220" s="1" t="s">
        <v>169</v>
      </c>
      <c r="I1220" s="9" t="s">
        <v>16198</v>
      </c>
      <c r="J1220" s="1" t="s">
        <v>3619</v>
      </c>
      <c r="K1220" s="1" t="s">
        <v>151</v>
      </c>
      <c r="L1220" s="1" t="s">
        <v>496</v>
      </c>
      <c r="M1220" s="1" t="s">
        <v>104</v>
      </c>
      <c r="N1220" s="1" t="s">
        <v>18948</v>
      </c>
      <c r="O1220" s="1" t="s">
        <v>106</v>
      </c>
      <c r="P1220" s="1" t="s">
        <v>11207</v>
      </c>
      <c r="Q1220" s="1" t="s">
        <v>7082</v>
      </c>
      <c r="R1220" s="1" t="s">
        <v>499</v>
      </c>
      <c r="S1220" s="1" t="s">
        <v>1958</v>
      </c>
      <c r="T1220" s="1" t="s">
        <v>217</v>
      </c>
      <c r="U1220" s="1" t="s">
        <v>217</v>
      </c>
      <c r="V1220" s="1" t="s">
        <v>217</v>
      </c>
      <c r="W1220" s="1" t="s">
        <v>217</v>
      </c>
      <c r="X1220" s="1" t="s">
        <v>217</v>
      </c>
      <c r="Z1220" s="1" t="s">
        <v>18949</v>
      </c>
      <c r="AA1220" s="10">
        <v>2000000.0</v>
      </c>
      <c r="AB1220" s="1" t="s">
        <v>18950</v>
      </c>
      <c r="AC1220" s="10">
        <v>2500000.0</v>
      </c>
      <c r="AD1220" s="1" t="s">
        <v>18951</v>
      </c>
      <c r="AE1220" s="10">
        <v>3600000.0</v>
      </c>
      <c r="AF1220" s="10">
        <v>5000000.0</v>
      </c>
      <c r="AG1220" s="1">
        <v>8.46019453E9</v>
      </c>
      <c r="AI1220" s="1" t="s">
        <v>5113</v>
      </c>
      <c r="AJ1220" s="1">
        <v>168.0</v>
      </c>
      <c r="AK1220" s="1">
        <v>58.0</v>
      </c>
      <c r="AL1220" s="1" t="s">
        <v>18952</v>
      </c>
      <c r="AM1220" s="1" t="s">
        <v>18953</v>
      </c>
      <c r="AN1220" s="7" t="s">
        <v>18954</v>
      </c>
      <c r="AO1220" s="8" t="str">
        <f>HYPERLINK("https://docs.google.com/document/d/1hx_31AnjtqboAIBX5RJo5LffmrqKCfZbhQU_rAWLVBg/edit?usp=drivesdk","Al-Wildan 16 Ciledug_Nur Rohmah, S.Ag._Diniyyah, Arabic")</f>
        <v>Al-Wildan 16 Ciledug_Nur Rohmah, S.Ag._Diniyyah, Arabic</v>
      </c>
      <c r="AP1220" s="1" t="s">
        <v>18955</v>
      </c>
    </row>
    <row r="1221">
      <c r="A1221" s="6">
        <v>45809.46525671297</v>
      </c>
      <c r="B1221" s="7" t="s">
        <v>18956</v>
      </c>
      <c r="C1221" s="8" t="s">
        <v>18957</v>
      </c>
      <c r="D1221" s="1" t="s">
        <v>18958</v>
      </c>
      <c r="E1221" s="9" t="s">
        <v>18959</v>
      </c>
      <c r="F1221" s="1" t="s">
        <v>18960</v>
      </c>
      <c r="G1221" s="1" t="s">
        <v>18961</v>
      </c>
      <c r="H1221" s="1" t="s">
        <v>169</v>
      </c>
      <c r="I1221" s="9" t="s">
        <v>18962</v>
      </c>
      <c r="J1221" s="1" t="s">
        <v>18963</v>
      </c>
      <c r="K1221" s="1" t="s">
        <v>6075</v>
      </c>
      <c r="L1221" s="1" t="s">
        <v>103</v>
      </c>
      <c r="M1221" s="1" t="s">
        <v>13204</v>
      </c>
      <c r="O1221" s="1" t="s">
        <v>13406</v>
      </c>
      <c r="P1221" s="1" t="s">
        <v>237</v>
      </c>
      <c r="Z1221" s="1" t="s">
        <v>18964</v>
      </c>
      <c r="AA1221" s="1" t="s">
        <v>18965</v>
      </c>
      <c r="AB1221" s="1" t="s">
        <v>18966</v>
      </c>
      <c r="AC1221" s="1" t="s">
        <v>18965</v>
      </c>
      <c r="AD1221" s="1" t="s">
        <v>18967</v>
      </c>
      <c r="AE1221" s="1" t="s">
        <v>18965</v>
      </c>
      <c r="AF1221" s="1" t="s">
        <v>5655</v>
      </c>
      <c r="AG1221" s="1">
        <v>8.54690693E9</v>
      </c>
      <c r="AI1221" s="1" t="s">
        <v>10433</v>
      </c>
      <c r="AJ1221" s="1">
        <v>175.0</v>
      </c>
      <c r="AK1221" s="1">
        <v>57.0</v>
      </c>
      <c r="AL1221" s="1" t="s">
        <v>18968</v>
      </c>
      <c r="AM1221" s="1" t="s">
        <v>18969</v>
      </c>
      <c r="AN1221" s="7" t="s">
        <v>18970</v>
      </c>
      <c r="AO1221" s="8" t="str">
        <f>HYPERLINK("https://docs.google.com/document/d/15fj2LblxtdMY1ZPemcEgCsQXKkznB1d9V7u6fKiF7FM/edit?usp=drivesdk","Al-Wildan 4 Lebak Bulus_Munadih_")</f>
        <v>Al-Wildan 4 Lebak Bulus_Munadih_</v>
      </c>
      <c r="AP1221" s="1" t="s">
        <v>18971</v>
      </c>
    </row>
    <row r="1222">
      <c r="A1222" s="6">
        <v>45809.55236574074</v>
      </c>
      <c r="B1222" s="7" t="s">
        <v>18972</v>
      </c>
      <c r="C1222" s="8" t="s">
        <v>18973</v>
      </c>
      <c r="D1222" s="1" t="s">
        <v>18974</v>
      </c>
      <c r="E1222" s="9" t="s">
        <v>2563</v>
      </c>
      <c r="F1222" s="1" t="s">
        <v>2564</v>
      </c>
      <c r="G1222" s="1" t="s">
        <v>685</v>
      </c>
      <c r="H1222" s="1" t="s">
        <v>18975</v>
      </c>
      <c r="I1222" s="9" t="s">
        <v>2566</v>
      </c>
      <c r="J1222" s="1" t="s">
        <v>18976</v>
      </c>
      <c r="K1222" s="1" t="s">
        <v>102</v>
      </c>
      <c r="L1222" s="1" t="s">
        <v>256</v>
      </c>
      <c r="M1222" s="1" t="s">
        <v>104</v>
      </c>
      <c r="N1222" s="1" t="s">
        <v>18977</v>
      </c>
      <c r="O1222" s="1" t="s">
        <v>236</v>
      </c>
      <c r="P1222" s="1" t="s">
        <v>237</v>
      </c>
      <c r="Q1222" s="1" t="s">
        <v>192</v>
      </c>
      <c r="R1222" s="1" t="s">
        <v>707</v>
      </c>
      <c r="S1222" s="1" t="s">
        <v>14177</v>
      </c>
      <c r="Z1222" s="1" t="s">
        <v>18978</v>
      </c>
      <c r="AA1222" s="1">
        <v>8500000.0</v>
      </c>
      <c r="AB1222" s="1" t="s">
        <v>18979</v>
      </c>
      <c r="AC1222" s="1">
        <v>8000000.0</v>
      </c>
      <c r="AF1222" s="10">
        <v>1.0E7</v>
      </c>
      <c r="AG1222" s="1">
        <v>8.41057619E9</v>
      </c>
      <c r="AJ1222" s="1">
        <v>170.0</v>
      </c>
      <c r="AK1222" s="1">
        <v>100.0</v>
      </c>
      <c r="AL1222" s="1" t="s">
        <v>18980</v>
      </c>
      <c r="AM1222" s="1" t="s">
        <v>18981</v>
      </c>
      <c r="AN1222" s="7" t="s">
        <v>18982</v>
      </c>
      <c r="AO1222" s="8" t="str">
        <f>HYPERLINK("https://docs.google.com/document/d/1FiXGxTIE_wFgKVTRp8K5pdVzLT1mQ8SYcj4RNmOHghs/edit?usp=drivesdk","Al-Wildan 4 Lebak Bulus_Saddam Said Muchasin, Lc_Diniyyah dan Native")</f>
        <v>Al-Wildan 4 Lebak Bulus_Saddam Said Muchasin, Lc_Diniyyah dan Native</v>
      </c>
      <c r="AP1222" s="1" t="s">
        <v>18983</v>
      </c>
    </row>
    <row r="1223">
      <c r="A1223" s="6">
        <v>45810.29398585648</v>
      </c>
      <c r="B1223" s="7" t="s">
        <v>18984</v>
      </c>
      <c r="C1223" s="8" t="s">
        <v>18985</v>
      </c>
      <c r="D1223" s="1" t="s">
        <v>18986</v>
      </c>
      <c r="E1223" s="9" t="s">
        <v>18987</v>
      </c>
      <c r="F1223" s="1" t="s">
        <v>18988</v>
      </c>
      <c r="G1223" s="1" t="s">
        <v>18989</v>
      </c>
      <c r="H1223" s="1" t="s">
        <v>1411</v>
      </c>
      <c r="I1223" s="9" t="s">
        <v>18990</v>
      </c>
      <c r="J1223" s="1" t="s">
        <v>15720</v>
      </c>
      <c r="K1223" s="1" t="s">
        <v>151</v>
      </c>
      <c r="L1223" s="1" t="s">
        <v>827</v>
      </c>
      <c r="M1223" s="1" t="s">
        <v>13204</v>
      </c>
      <c r="O1223" s="1" t="s">
        <v>13406</v>
      </c>
      <c r="P1223" s="1" t="s">
        <v>237</v>
      </c>
      <c r="Z1223" s="1" t="s">
        <v>18991</v>
      </c>
      <c r="AA1223" s="10">
        <v>2600000.0</v>
      </c>
      <c r="AF1223" s="10">
        <v>4300000.0</v>
      </c>
      <c r="AG1223" s="1">
        <v>7.209683444E9</v>
      </c>
      <c r="AJ1223" s="1">
        <v>165.0</v>
      </c>
      <c r="AK1223" s="1">
        <v>80.0</v>
      </c>
      <c r="AL1223" s="1" t="s">
        <v>18992</v>
      </c>
      <c r="AM1223" s="1" t="s">
        <v>18993</v>
      </c>
      <c r="AN1223" s="7" t="s">
        <v>18994</v>
      </c>
      <c r="AO1223" s="8" t="str">
        <f>HYPERLINK("https://docs.google.com/document/d/17zsCa1F75Ajr5iprsyefEAR32I59nZmwsNoEmQQmPEA/edit?usp=drivesdk","Al-Wildan 4 Lebak Bulus_Jihan Fauziah _")</f>
        <v>Al-Wildan 4 Lebak Bulus_Jihan Fauziah _</v>
      </c>
      <c r="AP1223" s="1" t="s">
        <v>18995</v>
      </c>
    </row>
    <row r="1224">
      <c r="A1224" s="6">
        <v>45810.36132628472</v>
      </c>
      <c r="B1224" s="7" t="s">
        <v>18996</v>
      </c>
      <c r="C1224" s="8" t="s">
        <v>18997</v>
      </c>
      <c r="D1224" s="1" t="s">
        <v>18998</v>
      </c>
      <c r="E1224" s="9" t="s">
        <v>7286</v>
      </c>
      <c r="F1224" s="1" t="s">
        <v>7287</v>
      </c>
      <c r="G1224" s="1" t="s">
        <v>18999</v>
      </c>
      <c r="H1224" s="1" t="s">
        <v>7289</v>
      </c>
      <c r="I1224" s="9" t="s">
        <v>7290</v>
      </c>
      <c r="J1224" s="1" t="s">
        <v>19000</v>
      </c>
      <c r="K1224" s="1" t="s">
        <v>102</v>
      </c>
      <c r="L1224" s="1" t="s">
        <v>103</v>
      </c>
      <c r="M1224" s="1" t="s">
        <v>19001</v>
      </c>
      <c r="N1224" s="1" t="s">
        <v>19002</v>
      </c>
      <c r="O1224" s="1" t="s">
        <v>312</v>
      </c>
      <c r="P1224" s="1" t="s">
        <v>237</v>
      </c>
      <c r="Q1224" s="1" t="s">
        <v>811</v>
      </c>
      <c r="R1224" s="1" t="s">
        <v>193</v>
      </c>
      <c r="S1224" s="1">
        <v>3.94</v>
      </c>
      <c r="Z1224" s="1" t="s">
        <v>19003</v>
      </c>
      <c r="AC1224" s="10">
        <v>5300000.0</v>
      </c>
      <c r="AF1224" s="10">
        <v>6500000.0</v>
      </c>
      <c r="AG1224" s="1">
        <v>7.173567148E9</v>
      </c>
      <c r="AJ1224" s="1">
        <v>159.0</v>
      </c>
      <c r="AK1224" s="1">
        <v>75.0</v>
      </c>
      <c r="AL1224" s="1" t="s">
        <v>7296</v>
      </c>
      <c r="AM1224" s="1" t="s">
        <v>19004</v>
      </c>
      <c r="AN1224" s="7" t="s">
        <v>19005</v>
      </c>
      <c r="AO1224" s="8" t="str">
        <f>HYPERLINK("https://docs.google.com/document/d/1Z_VpG02uAk-YfcqzFhVEac7UwjXsnK88zRNI2O1Zqn8/edit?usp=drivesdk","Al-Wildan 4 Lebak Bulus_Muhammad Anzar, Lc_Guru Diniyah, Al-Quran, Bahasa Arab")</f>
        <v>Al-Wildan 4 Lebak Bulus_Muhammad Anzar, Lc_Guru Diniyah, Al-Quran, Bahasa Arab</v>
      </c>
      <c r="AP1224" s="1" t="s">
        <v>19006</v>
      </c>
    </row>
    <row r="1225">
      <c r="A1225" s="6">
        <v>45810.37998</v>
      </c>
      <c r="B1225" s="7" t="s">
        <v>19007</v>
      </c>
      <c r="C1225" s="8" t="s">
        <v>19008</v>
      </c>
      <c r="D1225" s="1" t="s">
        <v>19009</v>
      </c>
      <c r="E1225" s="9" t="s">
        <v>8543</v>
      </c>
      <c r="F1225" s="1" t="s">
        <v>8544</v>
      </c>
      <c r="G1225" s="1" t="s">
        <v>19010</v>
      </c>
      <c r="H1225" s="1" t="s">
        <v>1272</v>
      </c>
      <c r="I1225" s="9" t="s">
        <v>19011</v>
      </c>
      <c r="J1225" s="1">
        <v>26.0</v>
      </c>
      <c r="K1225" s="1" t="s">
        <v>102</v>
      </c>
      <c r="L1225" s="1" t="s">
        <v>329</v>
      </c>
      <c r="M1225" s="1" t="s">
        <v>104</v>
      </c>
      <c r="N1225" s="1" t="s">
        <v>19012</v>
      </c>
      <c r="O1225" s="1" t="s">
        <v>312</v>
      </c>
      <c r="P1225" s="1" t="s">
        <v>237</v>
      </c>
      <c r="Q1225" s="1" t="s">
        <v>19013</v>
      </c>
      <c r="R1225" s="1" t="s">
        <v>7309</v>
      </c>
      <c r="S1225" s="1" t="s">
        <v>8549</v>
      </c>
      <c r="T1225" s="1" t="s">
        <v>19014</v>
      </c>
      <c r="U1225" s="1" t="s">
        <v>8565</v>
      </c>
      <c r="V1225" s="1" t="s">
        <v>217</v>
      </c>
      <c r="W1225" s="1" t="s">
        <v>217</v>
      </c>
      <c r="X1225" s="1" t="s">
        <v>217</v>
      </c>
      <c r="Z1225" s="1" t="s">
        <v>19015</v>
      </c>
      <c r="AA1225" s="10">
        <v>200000.0</v>
      </c>
      <c r="AB1225" s="1" t="s">
        <v>19016</v>
      </c>
      <c r="AC1225" s="10">
        <v>4900000.0</v>
      </c>
      <c r="AD1225" s="1" t="s">
        <v>217</v>
      </c>
      <c r="AE1225" s="1" t="s">
        <v>217</v>
      </c>
      <c r="AF1225" s="10">
        <v>6500000.0</v>
      </c>
      <c r="AG1225" s="1">
        <v>6.83504261E9</v>
      </c>
      <c r="AI1225" s="1" t="s">
        <v>5113</v>
      </c>
      <c r="AJ1225" s="1">
        <v>169.0</v>
      </c>
      <c r="AK1225" s="1">
        <v>58.0</v>
      </c>
      <c r="AL1225" s="1" t="s">
        <v>19017</v>
      </c>
      <c r="AM1225" s="1" t="s">
        <v>19018</v>
      </c>
      <c r="AN1225" s="7" t="s">
        <v>19019</v>
      </c>
      <c r="AO1225" s="8" t="str">
        <f>HYPERLINK("https://docs.google.com/document/d/1LrLqDg6PXKcO8LquH1zboc66GJlxBzwjNohDBqCulfw/edit?usp=drivesdk","Al-Wildan 4 Lebak Bulus_Tubagus Rifqi Hasbi Fauzan S.Ag_Al-Quran, Arabic dan Diniyah")</f>
        <v>Al-Wildan 4 Lebak Bulus_Tubagus Rifqi Hasbi Fauzan S.Ag_Al-Quran, Arabic dan Diniyah</v>
      </c>
      <c r="AP1225" s="1" t="s">
        <v>19020</v>
      </c>
    </row>
    <row r="1226">
      <c r="A1226" s="6">
        <v>45810.394601631946</v>
      </c>
      <c r="B1226" s="7" t="s">
        <v>19021</v>
      </c>
      <c r="C1226" s="8" t="s">
        <v>19022</v>
      </c>
      <c r="D1226" s="1" t="s">
        <v>19023</v>
      </c>
      <c r="E1226" s="9" t="s">
        <v>5312</v>
      </c>
      <c r="F1226" s="1" t="s">
        <v>5313</v>
      </c>
      <c r="G1226" s="1" t="s">
        <v>19024</v>
      </c>
      <c r="H1226" s="1" t="s">
        <v>359</v>
      </c>
      <c r="I1226" s="9" t="s">
        <v>19025</v>
      </c>
      <c r="J1226" s="1">
        <v>28.0</v>
      </c>
      <c r="K1226" s="1" t="s">
        <v>102</v>
      </c>
      <c r="L1226" s="1" t="s">
        <v>329</v>
      </c>
      <c r="M1226" s="1" t="s">
        <v>104</v>
      </c>
      <c r="N1226" s="1" t="s">
        <v>3444</v>
      </c>
      <c r="O1226" s="1" t="s">
        <v>312</v>
      </c>
      <c r="P1226" s="1" t="s">
        <v>237</v>
      </c>
      <c r="Q1226" s="1" t="s">
        <v>19026</v>
      </c>
      <c r="R1226" s="1" t="s">
        <v>7309</v>
      </c>
      <c r="S1226" s="1" t="s">
        <v>2181</v>
      </c>
      <c r="T1226" s="1" t="s">
        <v>19027</v>
      </c>
      <c r="U1226" s="1" t="s">
        <v>259</v>
      </c>
      <c r="Z1226" s="1" t="s">
        <v>19028</v>
      </c>
      <c r="AG1226" s="1">
        <v>8.96653584E9</v>
      </c>
      <c r="AI1226" s="1" t="s">
        <v>5113</v>
      </c>
      <c r="AJ1226" s="1">
        <v>150.0</v>
      </c>
      <c r="AK1226" s="1">
        <v>56.0</v>
      </c>
      <c r="AL1226" s="1" t="s">
        <v>19029</v>
      </c>
      <c r="AM1226" s="1" t="s">
        <v>19030</v>
      </c>
      <c r="AN1226" s="7" t="s">
        <v>19031</v>
      </c>
      <c r="AO1226" s="8" t="str">
        <f>HYPERLINK("https://docs.google.com/document/d/1FrHqMLoke_1JfFGBHOcO_DKJ49U8h2Tad34TQVZw6Ek/edit?usp=drivesdk","Al-Wildan 4 Lebak Bulus_Amrina Rosyada S.Ag_Al-Quran")</f>
        <v>Al-Wildan 4 Lebak Bulus_Amrina Rosyada S.Ag_Al-Quran</v>
      </c>
      <c r="AP1226" s="1" t="s">
        <v>19032</v>
      </c>
    </row>
    <row r="1227">
      <c r="A1227" s="6">
        <v>45810.40032893518</v>
      </c>
      <c r="B1227" s="7" t="s">
        <v>19033</v>
      </c>
      <c r="C1227" s="8" t="s">
        <v>19034</v>
      </c>
      <c r="D1227" s="1" t="s">
        <v>19035</v>
      </c>
      <c r="E1227" s="9" t="s">
        <v>19036</v>
      </c>
      <c r="F1227" s="1">
        <v>3.17406170887001E15</v>
      </c>
      <c r="G1227" s="1" t="s">
        <v>19037</v>
      </c>
      <c r="H1227" s="1" t="s">
        <v>169</v>
      </c>
      <c r="I1227" s="9" t="s">
        <v>19038</v>
      </c>
      <c r="J1227" s="1" t="s">
        <v>19039</v>
      </c>
      <c r="K1227" s="1" t="s">
        <v>102</v>
      </c>
      <c r="L1227" s="1" t="s">
        <v>329</v>
      </c>
      <c r="M1227" s="1" t="s">
        <v>13807</v>
      </c>
      <c r="O1227" s="1" t="s">
        <v>13406</v>
      </c>
      <c r="P1227" s="1" t="s">
        <v>237</v>
      </c>
      <c r="Z1227" s="1" t="s">
        <v>19040</v>
      </c>
      <c r="AA1227" s="1">
        <v>400000.0</v>
      </c>
      <c r="AB1227" s="1" t="s">
        <v>19041</v>
      </c>
      <c r="AC1227" s="1">
        <v>600000.0</v>
      </c>
      <c r="AF1227" s="1" t="s">
        <v>19042</v>
      </c>
      <c r="AG1227" s="1">
        <v>8.54688095E9</v>
      </c>
      <c r="AI1227" s="1" t="s">
        <v>5113</v>
      </c>
      <c r="AJ1227" s="1">
        <v>174.0</v>
      </c>
      <c r="AK1227" s="1">
        <v>90.0</v>
      </c>
      <c r="AL1227" s="1" t="s">
        <v>19043</v>
      </c>
      <c r="AM1227" s="1" t="s">
        <v>19044</v>
      </c>
      <c r="AN1227" s="7" t="s">
        <v>19045</v>
      </c>
      <c r="AO1227" s="8" t="str">
        <f>HYPERLINK("https://docs.google.com/document/d/12WfJSF8wjcZsWQgFd3gFhxm0bvZrag-Zu1NFIAdGQ3k/edit?usp=drivesdk","Al-Wildan 4 Lebak Bulus_AGUS SONY_")</f>
        <v>Al-Wildan 4 Lebak Bulus_AGUS SONY_</v>
      </c>
      <c r="AP1227" s="1" t="s">
        <v>19046</v>
      </c>
    </row>
    <row r="1228">
      <c r="A1228" s="6">
        <v>45810.429111481484</v>
      </c>
      <c r="B1228" s="7" t="s">
        <v>19047</v>
      </c>
      <c r="C1228" s="8" t="s">
        <v>19048</v>
      </c>
      <c r="D1228" s="1" t="s">
        <v>19049</v>
      </c>
      <c r="E1228" s="9" t="s">
        <v>19050</v>
      </c>
      <c r="F1228" s="1" t="s">
        <v>19051</v>
      </c>
      <c r="G1228" s="1" t="s">
        <v>19052</v>
      </c>
      <c r="H1228" s="1" t="s">
        <v>169</v>
      </c>
      <c r="I1228" s="9" t="s">
        <v>19053</v>
      </c>
      <c r="J1228" s="1" t="s">
        <v>19054</v>
      </c>
      <c r="K1228" s="1" t="s">
        <v>102</v>
      </c>
      <c r="L1228" s="1" t="s">
        <v>103</v>
      </c>
      <c r="M1228" s="1" t="s">
        <v>13807</v>
      </c>
      <c r="O1228" s="1" t="s">
        <v>13406</v>
      </c>
      <c r="P1228" s="1" t="s">
        <v>237</v>
      </c>
      <c r="Z1228" s="1" t="s">
        <v>14805</v>
      </c>
      <c r="AA1228" s="10">
        <v>3500000.0</v>
      </c>
      <c r="AB1228" s="1" t="s">
        <v>14805</v>
      </c>
      <c r="AC1228" s="10">
        <v>4500000.0</v>
      </c>
      <c r="AD1228" s="1" t="s">
        <v>14805</v>
      </c>
      <c r="AE1228" s="10">
        <v>6000000.0</v>
      </c>
      <c r="AF1228" s="10">
        <v>5100000.0</v>
      </c>
      <c r="AG1228" s="1">
        <v>7.210921286E9</v>
      </c>
      <c r="AI1228" s="1" t="s">
        <v>5113</v>
      </c>
      <c r="AJ1228" s="1">
        <v>168.0</v>
      </c>
      <c r="AK1228" s="1">
        <v>70.0</v>
      </c>
      <c r="AL1228" s="1" t="s">
        <v>19055</v>
      </c>
      <c r="AM1228" s="1" t="s">
        <v>19056</v>
      </c>
      <c r="AN1228" s="7" t="s">
        <v>19057</v>
      </c>
      <c r="AO1228" s="8" t="str">
        <f>HYPERLINK("https://docs.google.com/document/d/1r16AKGHk4IBOKSSmDg11kVpO_0MwOrgnpb_-dt5ZEwc/edit?usp=drivesdk","Al-Wildan 4 Lebak Bulus_Dadang_")</f>
        <v>Al-Wildan 4 Lebak Bulus_Dadang_</v>
      </c>
      <c r="AP1228" s="1" t="s">
        <v>19058</v>
      </c>
    </row>
    <row r="1229">
      <c r="A1229" s="6">
        <v>45810.64650649305</v>
      </c>
      <c r="B1229" s="7" t="s">
        <v>19059</v>
      </c>
      <c r="C1229" s="8" t="s">
        <v>19060</v>
      </c>
      <c r="D1229" s="1" t="s">
        <v>19061</v>
      </c>
      <c r="E1229" s="9" t="s">
        <v>19062</v>
      </c>
      <c r="F1229" s="1" t="s">
        <v>19063</v>
      </c>
      <c r="G1229" s="1" t="s">
        <v>19064</v>
      </c>
      <c r="H1229" s="1" t="s">
        <v>3157</v>
      </c>
      <c r="I1229" s="9" t="s">
        <v>19065</v>
      </c>
      <c r="J1229" s="1" t="s">
        <v>16988</v>
      </c>
      <c r="K1229" s="1" t="s">
        <v>151</v>
      </c>
      <c r="L1229" s="1" t="s">
        <v>256</v>
      </c>
      <c r="M1229" s="1" t="s">
        <v>8033</v>
      </c>
      <c r="O1229" s="1" t="s">
        <v>14262</v>
      </c>
      <c r="P1229" s="1" t="s">
        <v>6091</v>
      </c>
      <c r="Q1229" s="1" t="s">
        <v>19066</v>
      </c>
      <c r="R1229" s="1" t="s">
        <v>19067</v>
      </c>
      <c r="S1229" s="1" t="s">
        <v>1524</v>
      </c>
      <c r="Z1229" s="1" t="s">
        <v>19068</v>
      </c>
      <c r="AA1229" s="10">
        <v>1250000.0</v>
      </c>
      <c r="AB1229" s="1" t="s">
        <v>19069</v>
      </c>
      <c r="AC1229" s="10">
        <v>4000000.0</v>
      </c>
      <c r="AF1229" s="10">
        <v>3000000.0</v>
      </c>
      <c r="AH1229" s="1">
        <v>1.80898379E9</v>
      </c>
      <c r="AI1229" s="1" t="s">
        <v>159</v>
      </c>
      <c r="AJ1229" s="1">
        <v>161.0</v>
      </c>
      <c r="AK1229" s="1">
        <v>65.0</v>
      </c>
      <c r="AL1229" s="1" t="s">
        <v>19070</v>
      </c>
      <c r="AM1229" s="1" t="s">
        <v>19071</v>
      </c>
      <c r="AN1229" s="7" t="s">
        <v>19072</v>
      </c>
      <c r="AO1229" s="8" t="str">
        <f>HYPERLINK("https://docs.google.com/document/d/1ITNRI1aCtIpMcf5DVi3Wcr-UTcUd0s5cjzR4l9RqyT0/edit?usp=drivesdk","Al-Wildan 10 Cipinang, Jakarta Timur_Tazkia Aulia S.Tr.Ap_")</f>
        <v>Al-Wildan 10 Cipinang, Jakarta Timur_Tazkia Aulia S.Tr.Ap_</v>
      </c>
      <c r="AP1229" s="1" t="s">
        <v>19073</v>
      </c>
    </row>
    <row r="1230">
      <c r="A1230" s="6">
        <v>45810.95912704861</v>
      </c>
      <c r="B1230" s="7" t="s">
        <v>19074</v>
      </c>
      <c r="C1230" s="8" t="s">
        <v>19075</v>
      </c>
      <c r="D1230" s="1" t="s">
        <v>3938</v>
      </c>
      <c r="E1230" s="9" t="s">
        <v>3939</v>
      </c>
      <c r="F1230" s="1" t="s">
        <v>3940</v>
      </c>
      <c r="G1230" s="1" t="s">
        <v>19076</v>
      </c>
      <c r="H1230" s="1" t="s">
        <v>2076</v>
      </c>
      <c r="I1230" s="9" t="s">
        <v>3941</v>
      </c>
      <c r="J1230" s="1" t="s">
        <v>6719</v>
      </c>
      <c r="K1230" s="1" t="s">
        <v>102</v>
      </c>
      <c r="L1230" s="1" t="s">
        <v>103</v>
      </c>
      <c r="M1230" s="1" t="s">
        <v>104</v>
      </c>
      <c r="N1230" s="1" t="s">
        <v>19077</v>
      </c>
      <c r="O1230" s="1" t="s">
        <v>312</v>
      </c>
      <c r="P1230" s="1" t="s">
        <v>237</v>
      </c>
      <c r="Q1230" s="1" t="s">
        <v>19078</v>
      </c>
      <c r="R1230" s="1" t="s">
        <v>19079</v>
      </c>
      <c r="S1230" s="1" t="s">
        <v>217</v>
      </c>
      <c r="T1230" s="1" t="s">
        <v>217</v>
      </c>
      <c r="U1230" s="1" t="s">
        <v>217</v>
      </c>
      <c r="V1230" s="1" t="s">
        <v>217</v>
      </c>
      <c r="W1230" s="1" t="s">
        <v>217</v>
      </c>
      <c r="X1230" s="1" t="s">
        <v>217</v>
      </c>
      <c r="Z1230" s="1" t="s">
        <v>19080</v>
      </c>
      <c r="AA1230" s="10">
        <v>450000.0</v>
      </c>
      <c r="AB1230" s="1" t="s">
        <v>19081</v>
      </c>
      <c r="AC1230" s="10">
        <v>6100000.0</v>
      </c>
      <c r="AD1230" s="1" t="s">
        <v>217</v>
      </c>
      <c r="AE1230" s="1" t="s">
        <v>217</v>
      </c>
      <c r="AF1230" s="10">
        <v>8000000.0</v>
      </c>
      <c r="AG1230" s="1">
        <v>6.1061962E9</v>
      </c>
      <c r="AJ1230" s="1">
        <v>176.0</v>
      </c>
      <c r="AK1230" s="1">
        <v>75.0</v>
      </c>
      <c r="AL1230" s="1" t="s">
        <v>19082</v>
      </c>
      <c r="AM1230" s="1" t="s">
        <v>19083</v>
      </c>
      <c r="AN1230" s="7" t="s">
        <v>19084</v>
      </c>
      <c r="AO1230" s="8" t="str">
        <f>HYPERLINK("https://docs.google.com/document/d/1k_dgiD7x0aqGHhdfCTi_jhhIrIXLwxhigINZ0SvxaQc/edit?usp=drivesdk","Al-Wildan 4 Lebak Bulus_Khadimul Haramain_Quran, Arabic, Diniyah")</f>
        <v>Al-Wildan 4 Lebak Bulus_Khadimul Haramain_Quran, Arabic, Diniyah</v>
      </c>
      <c r="AP1230" s="1" t="s">
        <v>19085</v>
      </c>
    </row>
    <row r="1231">
      <c r="A1231" s="6">
        <v>45811.383831597224</v>
      </c>
      <c r="B1231" s="7" t="s">
        <v>19086</v>
      </c>
      <c r="C1231" s="8" t="s">
        <v>19087</v>
      </c>
      <c r="D1231" s="1" t="s">
        <v>19088</v>
      </c>
      <c r="E1231" s="9" t="s">
        <v>8813</v>
      </c>
      <c r="F1231" s="1" t="s">
        <v>19089</v>
      </c>
      <c r="G1231" s="1" t="s">
        <v>19090</v>
      </c>
      <c r="H1231" s="1" t="s">
        <v>19091</v>
      </c>
      <c r="I1231" s="9" t="s">
        <v>8816</v>
      </c>
      <c r="J1231" s="1" t="s">
        <v>19092</v>
      </c>
      <c r="K1231" s="1" t="s">
        <v>102</v>
      </c>
      <c r="L1231" s="1" t="s">
        <v>329</v>
      </c>
      <c r="M1231" s="1" t="s">
        <v>104</v>
      </c>
      <c r="N1231" s="1" t="s">
        <v>19093</v>
      </c>
      <c r="O1231" s="1" t="s">
        <v>312</v>
      </c>
      <c r="P1231" s="1" t="s">
        <v>237</v>
      </c>
      <c r="Z1231" s="1" t="s">
        <v>19094</v>
      </c>
      <c r="AA1231" s="1">
        <v>4.3</v>
      </c>
      <c r="AF1231" s="10">
        <v>5000000.0</v>
      </c>
      <c r="AG1231" s="1">
        <v>7.188722061E9</v>
      </c>
      <c r="AJ1231" s="1">
        <v>169.0</v>
      </c>
      <c r="AK1231" s="1">
        <v>70.0</v>
      </c>
      <c r="AL1231" s="1" t="s">
        <v>8821</v>
      </c>
      <c r="AM1231" s="1" t="s">
        <v>19095</v>
      </c>
      <c r="AN1231" s="7" t="s">
        <v>19096</v>
      </c>
      <c r="AO1231" s="8" t="str">
        <f>HYPERLINK("https://docs.google.com/document/d/1qlwzcHs6pc8q-lEmgpm2Hgd_JFwBLtQe1_ZPX1B_Kas/edit?usp=drivesdk","Al-Wildan 4 Lebak Bulus_Rizki Ramadan _Al Qur’an ")</f>
        <v>Al-Wildan 4 Lebak Bulus_Rizki Ramadan _Al Qur’an </v>
      </c>
      <c r="AP1231" s="1" t="s">
        <v>19097</v>
      </c>
    </row>
    <row r="1232">
      <c r="A1232" s="6">
        <v>45813.52709780092</v>
      </c>
      <c r="B1232" s="7" t="s">
        <v>19098</v>
      </c>
      <c r="C1232" s="8" t="s">
        <v>19099</v>
      </c>
      <c r="D1232" s="1" t="s">
        <v>19100</v>
      </c>
      <c r="E1232" s="9" t="s">
        <v>19101</v>
      </c>
      <c r="F1232" s="1" t="s">
        <v>19102</v>
      </c>
      <c r="G1232" s="1" t="s">
        <v>19103</v>
      </c>
      <c r="H1232" s="1" t="s">
        <v>19104</v>
      </c>
      <c r="I1232" s="9" t="s">
        <v>19105</v>
      </c>
      <c r="J1232" s="1" t="s">
        <v>5447</v>
      </c>
      <c r="K1232" s="1" t="s">
        <v>151</v>
      </c>
      <c r="L1232" s="1" t="s">
        <v>827</v>
      </c>
      <c r="M1232" s="1" t="s">
        <v>6186</v>
      </c>
      <c r="O1232" s="1" t="s">
        <v>236</v>
      </c>
      <c r="P1232" s="1" t="s">
        <v>14335</v>
      </c>
      <c r="Q1232" s="1" t="s">
        <v>19106</v>
      </c>
      <c r="R1232" s="1" t="s">
        <v>19107</v>
      </c>
      <c r="S1232" s="1" t="s">
        <v>3589</v>
      </c>
      <c r="AF1232" s="10">
        <v>5000000.0</v>
      </c>
      <c r="AG1232" s="1">
        <v>8.98667119E9</v>
      </c>
      <c r="AJ1232" s="1">
        <v>164.0</v>
      </c>
      <c r="AK1232" s="1">
        <v>52.0</v>
      </c>
      <c r="AL1232" s="1" t="s">
        <v>19108</v>
      </c>
      <c r="AM1232" s="1" t="s">
        <v>19109</v>
      </c>
      <c r="AN1232" s="7" t="s">
        <v>19110</v>
      </c>
      <c r="AO1232" s="8" t="str">
        <f>HYPERLINK("https://docs.google.com/document/d/1WdIAJyq_yulaEVgDZtf82ITLtWlgYswyN8Bu2ehBswM/edit?usp=drivesdk","Al-Wildan 13 Tembalang, Bekasi_Citra Dinanty Putri Nugroho S. Tr. Tl_")</f>
        <v>Al-Wildan 13 Tembalang, Bekasi_Citra Dinanty Putri Nugroho S. Tr. Tl_</v>
      </c>
      <c r="AP1232" s="1" t="s">
        <v>19111</v>
      </c>
    </row>
    <row r="1233">
      <c r="A1233" s="6">
        <v>45813.54001680556</v>
      </c>
      <c r="B1233" s="7" t="s">
        <v>19112</v>
      </c>
      <c r="C1233" s="8" t="s">
        <v>19113</v>
      </c>
      <c r="D1233" s="1" t="s">
        <v>19114</v>
      </c>
      <c r="E1233" s="1" t="s">
        <v>19115</v>
      </c>
      <c r="F1233" s="1" t="s">
        <v>19116</v>
      </c>
      <c r="G1233" s="1" t="s">
        <v>19117</v>
      </c>
      <c r="H1233" s="1" t="s">
        <v>169</v>
      </c>
      <c r="I1233" s="1" t="s">
        <v>19118</v>
      </c>
      <c r="J1233" s="1" t="s">
        <v>19119</v>
      </c>
      <c r="K1233" s="1" t="s">
        <v>151</v>
      </c>
      <c r="L1233" s="1" t="s">
        <v>496</v>
      </c>
      <c r="M1233" s="1" t="s">
        <v>104</v>
      </c>
      <c r="N1233" s="1" t="s">
        <v>1978</v>
      </c>
      <c r="O1233" s="1" t="s">
        <v>236</v>
      </c>
      <c r="P1233" s="1" t="s">
        <v>11207</v>
      </c>
      <c r="Q1233" s="1" t="s">
        <v>16883</v>
      </c>
      <c r="R1233" s="1" t="s">
        <v>833</v>
      </c>
      <c r="S1233" s="1" t="s">
        <v>6799</v>
      </c>
      <c r="T1233" s="1" t="s">
        <v>16883</v>
      </c>
      <c r="U1233" s="1" t="s">
        <v>833</v>
      </c>
      <c r="V1233" s="1" t="s">
        <v>5523</v>
      </c>
      <c r="Z1233" s="1" t="s">
        <v>19120</v>
      </c>
      <c r="AA1233" s="10">
        <v>600000.0</v>
      </c>
      <c r="AB1233" s="1" t="s">
        <v>2326</v>
      </c>
      <c r="AC1233" s="10">
        <v>4000000.0</v>
      </c>
      <c r="AF1233" s="10">
        <v>5000000.0</v>
      </c>
      <c r="AH1233" s="1">
        <v>2.190326511E9</v>
      </c>
      <c r="AI1233" s="1" t="s">
        <v>222</v>
      </c>
      <c r="AJ1233" s="1">
        <v>158.0</v>
      </c>
      <c r="AK1233" s="1">
        <v>63.0</v>
      </c>
      <c r="AL1233" s="1" t="s">
        <v>19121</v>
      </c>
      <c r="AM1233" s="1" t="s">
        <v>19122</v>
      </c>
      <c r="AN1233" s="7" t="s">
        <v>19123</v>
      </c>
      <c r="AO1233" s="8" t="str">
        <f>HYPERLINK("https://docs.google.com/document/d/1Z8M1oF0Cs12niyeceK7Y3BLcmWTH3EJZLnlCigr4n64/edit?usp=drivesdk","Al-Wildan 16 Ciledug_Dwi Karunia Arti M.H_Ekonomi")</f>
        <v>Al-Wildan 16 Ciledug_Dwi Karunia Arti M.H_Ekonomi</v>
      </c>
      <c r="AP1233" s="1" t="s">
        <v>19124</v>
      </c>
    </row>
    <row r="1234">
      <c r="A1234" s="6">
        <v>45813.54999086805</v>
      </c>
      <c r="B1234" s="7" t="s">
        <v>19125</v>
      </c>
      <c r="C1234" s="8" t="s">
        <v>19126</v>
      </c>
      <c r="D1234" s="1" t="s">
        <v>19127</v>
      </c>
      <c r="E1234" s="9" t="s">
        <v>19128</v>
      </c>
      <c r="F1234" s="1" t="s">
        <v>19129</v>
      </c>
      <c r="G1234" s="1" t="s">
        <v>19130</v>
      </c>
      <c r="H1234" s="1" t="s">
        <v>19131</v>
      </c>
      <c r="I1234" s="9" t="s">
        <v>19132</v>
      </c>
      <c r="J1234" s="1">
        <v>25.0</v>
      </c>
      <c r="K1234" s="1" t="s">
        <v>151</v>
      </c>
      <c r="L1234" s="1" t="s">
        <v>329</v>
      </c>
      <c r="M1234" s="1" t="s">
        <v>104</v>
      </c>
      <c r="N1234" s="1" t="s">
        <v>15710</v>
      </c>
      <c r="O1234" s="1" t="s">
        <v>312</v>
      </c>
      <c r="P1234" s="1" t="s">
        <v>14439</v>
      </c>
      <c r="Q1234" s="1" t="s">
        <v>2354</v>
      </c>
      <c r="R1234" s="1" t="s">
        <v>15421</v>
      </c>
      <c r="S1234" s="1">
        <v>3.08</v>
      </c>
      <c r="Z1234" s="1" t="s">
        <v>19133</v>
      </c>
      <c r="AA1234" s="10">
        <v>1500000.0</v>
      </c>
      <c r="AB1234" s="1" t="s">
        <v>1575</v>
      </c>
      <c r="AC1234" s="10">
        <v>1500000.0</v>
      </c>
      <c r="AD1234" s="1" t="s">
        <v>19133</v>
      </c>
      <c r="AE1234" s="10">
        <v>5000000.0</v>
      </c>
      <c r="AF1234" s="10">
        <v>5000000.0</v>
      </c>
      <c r="AG1234" s="1">
        <v>7.169662244E9</v>
      </c>
      <c r="AJ1234" s="1">
        <v>155.0</v>
      </c>
      <c r="AK1234" s="1">
        <v>49.0</v>
      </c>
      <c r="AL1234" s="1" t="s">
        <v>19134</v>
      </c>
      <c r="AM1234" s="1" t="s">
        <v>19135</v>
      </c>
      <c r="AN1234" s="7" t="s">
        <v>19136</v>
      </c>
      <c r="AO1234" s="8" t="str">
        <f>HYPERLINK("https://docs.google.com/document/d/1PeaHe_TxieIte75aGAdjizvciBs-YmwtRgO6r9KdwuA/edit?usp=drivesdk","Al-Wildan 22 Makassar_Rabiah Ramadhani S.Sos_Arabic / Diniyyah")</f>
        <v>Al-Wildan 22 Makassar_Rabiah Ramadhani S.Sos_Arabic / Diniyyah</v>
      </c>
      <c r="AP1234" s="1" t="s">
        <v>19137</v>
      </c>
    </row>
    <row r="1235">
      <c r="A1235" s="6">
        <v>45813.55705577546</v>
      </c>
      <c r="B1235" s="7" t="s">
        <v>19138</v>
      </c>
      <c r="C1235" s="8" t="s">
        <v>19139</v>
      </c>
      <c r="D1235" s="1" t="s">
        <v>19140</v>
      </c>
      <c r="E1235" s="9" t="s">
        <v>19141</v>
      </c>
      <c r="F1235" s="1" t="s">
        <v>19142</v>
      </c>
      <c r="G1235" s="1" t="s">
        <v>19143</v>
      </c>
      <c r="H1235" s="1" t="s">
        <v>19144</v>
      </c>
      <c r="I1235" s="9" t="s">
        <v>19145</v>
      </c>
      <c r="J1235" s="1" t="s">
        <v>4834</v>
      </c>
      <c r="K1235" s="1" t="s">
        <v>151</v>
      </c>
      <c r="L1235" s="1" t="s">
        <v>256</v>
      </c>
      <c r="M1235" s="1" t="s">
        <v>104</v>
      </c>
      <c r="N1235" s="1" t="s">
        <v>2691</v>
      </c>
      <c r="O1235" s="1" t="s">
        <v>236</v>
      </c>
      <c r="P1235" s="1" t="s">
        <v>14439</v>
      </c>
      <c r="T1235" s="1" t="s">
        <v>19146</v>
      </c>
      <c r="Z1235" s="1" t="s">
        <v>19147</v>
      </c>
      <c r="AA1235" s="10">
        <v>700000.0</v>
      </c>
      <c r="AB1235" s="1" t="s">
        <v>10525</v>
      </c>
      <c r="AC1235" s="10">
        <v>1250000.0</v>
      </c>
      <c r="AF1235" s="1" t="s">
        <v>19148</v>
      </c>
      <c r="AG1235" s="1">
        <v>7.251906248E9</v>
      </c>
      <c r="AJ1235" s="1">
        <v>164.0</v>
      </c>
      <c r="AK1235" s="1">
        <v>56.0</v>
      </c>
      <c r="AL1235" s="1" t="s">
        <v>19149</v>
      </c>
      <c r="AM1235" s="1" t="s">
        <v>19150</v>
      </c>
      <c r="AN1235" s="7" t="s">
        <v>19151</v>
      </c>
      <c r="AO1235" s="8" t="str">
        <f>HYPERLINK("https://docs.google.com/document/d/1h0wQ09O8hgtByYEfBWqGOrPFH4wSpuxN0KkoAQEVK80/edit?usp=drivesdk","Al-Wildan 22 Makassar_La Aco_Al Quran")</f>
        <v>Al-Wildan 22 Makassar_La Aco_Al Quran</v>
      </c>
      <c r="AP1235" s="1" t="s">
        <v>19137</v>
      </c>
    </row>
    <row r="1236">
      <c r="A1236" s="6">
        <v>45813.57282980324</v>
      </c>
      <c r="B1236" s="7" t="s">
        <v>19152</v>
      </c>
      <c r="C1236" s="8" t="s">
        <v>19153</v>
      </c>
      <c r="D1236" s="1" t="s">
        <v>19154</v>
      </c>
      <c r="E1236" s="9" t="s">
        <v>19155</v>
      </c>
      <c r="F1236" s="1">
        <v>7.37110111192001E15</v>
      </c>
      <c r="G1236" s="1" t="s">
        <v>19156</v>
      </c>
      <c r="H1236" s="1" t="s">
        <v>18100</v>
      </c>
      <c r="I1236" s="9" t="s">
        <v>19157</v>
      </c>
      <c r="J1236" s="1" t="s">
        <v>9260</v>
      </c>
      <c r="K1236" s="1" t="s">
        <v>151</v>
      </c>
      <c r="L1236" s="1" t="s">
        <v>103</v>
      </c>
      <c r="M1236" s="1" t="s">
        <v>104</v>
      </c>
      <c r="N1236" s="1" t="s">
        <v>771</v>
      </c>
      <c r="O1236" s="1" t="s">
        <v>106</v>
      </c>
      <c r="P1236" s="1" t="s">
        <v>14439</v>
      </c>
      <c r="Q1236" s="1" t="s">
        <v>19158</v>
      </c>
      <c r="R1236" s="1" t="s">
        <v>6153</v>
      </c>
      <c r="S1236" s="1">
        <v>3.55</v>
      </c>
      <c r="Z1236" s="1" t="s">
        <v>3410</v>
      </c>
      <c r="AA1236" s="10">
        <v>4000000.0</v>
      </c>
      <c r="AF1236" s="10">
        <v>4000000.0</v>
      </c>
      <c r="AH1236" s="1">
        <v>1.689843495E9</v>
      </c>
      <c r="AI1236" s="1" t="s">
        <v>159</v>
      </c>
      <c r="AJ1236" s="1">
        <v>158.0</v>
      </c>
      <c r="AK1236" s="1">
        <v>75.0</v>
      </c>
      <c r="AL1236" s="1" t="s">
        <v>19159</v>
      </c>
      <c r="AM1236" s="1" t="s">
        <v>19160</v>
      </c>
      <c r="AN1236" s="7" t="s">
        <v>19161</v>
      </c>
      <c r="AO1236" s="8" t="str">
        <f>HYPERLINK("https://docs.google.com/document/d/1-DjbQ2-VZgiA6xQMIkg3E_HgBkb5aXNSjuQ3bee97UQ/edit?usp=drivesdk","Al-Wildan 22 Makassar_Muhammad Takdir Ali Syahbana, A.Md., S.E._English")</f>
        <v>Al-Wildan 22 Makassar_Muhammad Takdir Ali Syahbana, A.Md., S.E._English</v>
      </c>
      <c r="AP1236" s="1" t="s">
        <v>19162</v>
      </c>
    </row>
    <row r="1237">
      <c r="A1237" s="6">
        <v>45813.75597809028</v>
      </c>
      <c r="B1237" s="7" t="s">
        <v>19163</v>
      </c>
      <c r="C1237" s="8" t="s">
        <v>19164</v>
      </c>
      <c r="D1237" s="1" t="s">
        <v>19165</v>
      </c>
      <c r="E1237" s="9" t="s">
        <v>19166</v>
      </c>
      <c r="F1237" s="1" t="s">
        <v>19167</v>
      </c>
      <c r="G1237" s="1" t="s">
        <v>19168</v>
      </c>
      <c r="H1237" s="1" t="s">
        <v>359</v>
      </c>
      <c r="I1237" s="9" t="s">
        <v>19169</v>
      </c>
      <c r="J1237" s="1" t="s">
        <v>2851</v>
      </c>
      <c r="K1237" s="1" t="s">
        <v>151</v>
      </c>
      <c r="L1237" s="1" t="s">
        <v>103</v>
      </c>
      <c r="M1237" s="1" t="s">
        <v>104</v>
      </c>
      <c r="N1237" s="1" t="s">
        <v>552</v>
      </c>
      <c r="O1237" s="1" t="s">
        <v>9794</v>
      </c>
      <c r="P1237" s="1" t="s">
        <v>11207</v>
      </c>
      <c r="Q1237" s="1" t="s">
        <v>11943</v>
      </c>
      <c r="R1237" s="1" t="s">
        <v>552</v>
      </c>
      <c r="S1237" s="1" t="s">
        <v>3719</v>
      </c>
      <c r="T1237" s="1" t="s">
        <v>2927</v>
      </c>
      <c r="U1237" s="1" t="s">
        <v>6469</v>
      </c>
      <c r="V1237" s="1" t="s">
        <v>1668</v>
      </c>
      <c r="Z1237" s="1" t="s">
        <v>19170</v>
      </c>
      <c r="AA1237" s="10">
        <v>2500000.0</v>
      </c>
      <c r="AB1237" s="1" t="s">
        <v>19171</v>
      </c>
      <c r="AC1237" s="10">
        <v>2000000.0</v>
      </c>
      <c r="AF1237" s="10">
        <v>5000000.0</v>
      </c>
      <c r="AG1237" s="1">
        <v>7.139057494E9</v>
      </c>
      <c r="AI1237" s="1" t="s">
        <v>19172</v>
      </c>
      <c r="AJ1237" s="1">
        <v>152.0</v>
      </c>
      <c r="AK1237" s="1">
        <v>41.0</v>
      </c>
      <c r="AL1237" s="1" t="s">
        <v>19173</v>
      </c>
      <c r="AM1237" s="1" t="s">
        <v>19174</v>
      </c>
      <c r="AN1237" s="7" t="s">
        <v>19175</v>
      </c>
      <c r="AO1237" s="8" t="str">
        <f>HYPERLINK("https://docs.google.com/document/d/1s-PQTupEXFTp-hx8pFRDiBqeSvQD4iQ4PC6d6sipmEA/edit?usp=drivesdk","Al-Wildan 16 Ciledug_Anisah, M.Si._Fisika")</f>
        <v>Al-Wildan 16 Ciledug_Anisah, M.Si._Fisika</v>
      </c>
      <c r="AP1237" s="1" t="s">
        <v>19176</v>
      </c>
    </row>
    <row r="1238">
      <c r="A1238" s="6">
        <v>45814.34135508102</v>
      </c>
      <c r="B1238" s="7" t="s">
        <v>19177</v>
      </c>
      <c r="C1238" s="8" t="s">
        <v>19178</v>
      </c>
      <c r="D1238" s="1" t="s">
        <v>19179</v>
      </c>
      <c r="E1238" s="9" t="s">
        <v>19180</v>
      </c>
      <c r="F1238" s="1">
        <v>3.27510540100001E15</v>
      </c>
      <c r="G1238" s="1" t="s">
        <v>19181</v>
      </c>
      <c r="H1238" s="1" t="s">
        <v>169</v>
      </c>
      <c r="I1238" s="9" t="s">
        <v>19182</v>
      </c>
      <c r="J1238" s="1" t="s">
        <v>19183</v>
      </c>
      <c r="K1238" s="1" t="s">
        <v>102</v>
      </c>
      <c r="L1238" s="1" t="s">
        <v>103</v>
      </c>
      <c r="M1238" s="1" t="s">
        <v>104</v>
      </c>
      <c r="N1238" s="1" t="s">
        <v>552</v>
      </c>
      <c r="O1238" s="1" t="s">
        <v>236</v>
      </c>
      <c r="P1238" s="1" t="s">
        <v>6187</v>
      </c>
      <c r="Q1238" s="1" t="s">
        <v>4528</v>
      </c>
      <c r="R1238" s="1" t="s">
        <v>410</v>
      </c>
      <c r="S1238" s="1" t="s">
        <v>726</v>
      </c>
      <c r="Z1238" s="1" t="s">
        <v>19184</v>
      </c>
      <c r="AA1238" s="10">
        <v>5500000.0</v>
      </c>
      <c r="AF1238" s="10">
        <v>6000000.0</v>
      </c>
      <c r="AH1238" s="1">
        <v>1.670002537404E12</v>
      </c>
      <c r="AI1238" s="1" t="s">
        <v>2119</v>
      </c>
      <c r="AJ1238" s="1">
        <v>160.0</v>
      </c>
      <c r="AK1238" s="1">
        <v>78.0</v>
      </c>
      <c r="AL1238" s="1" t="s">
        <v>19185</v>
      </c>
      <c r="AM1238" s="1" t="s">
        <v>19186</v>
      </c>
      <c r="AN1238" s="7" t="s">
        <v>19187</v>
      </c>
      <c r="AO1238" s="8" t="str">
        <f>HYPERLINK("https://docs.google.com/document/d/1dOaqpxjnuDrOpJjCPnscxHTGGl9TxTYuFaHtdiLVipc/edit?usp=drivesdk","Al-Wildan 14 Bumi Mutiara, Bogor_Jayanti Eka Sari Ningsih, S.Pd_Fisika")</f>
        <v>Al-Wildan 14 Bumi Mutiara, Bogor_Jayanti Eka Sari Ningsih, S.Pd_Fisika</v>
      </c>
      <c r="AP1238" s="1" t="s">
        <v>19188</v>
      </c>
    </row>
    <row r="1239">
      <c r="A1239" s="6">
        <v>45814.52473306713</v>
      </c>
      <c r="B1239" s="7" t="s">
        <v>19189</v>
      </c>
      <c r="C1239" s="8" t="s">
        <v>19190</v>
      </c>
      <c r="D1239" s="1" t="s">
        <v>19191</v>
      </c>
      <c r="E1239" s="9" t="s">
        <v>19192</v>
      </c>
      <c r="F1239" s="1" t="s">
        <v>19193</v>
      </c>
      <c r="G1239" s="1" t="s">
        <v>685</v>
      </c>
      <c r="H1239" s="1" t="s">
        <v>4139</v>
      </c>
      <c r="I1239" s="9" t="s">
        <v>19194</v>
      </c>
      <c r="J1239" s="1" t="s">
        <v>12325</v>
      </c>
      <c r="K1239" s="1" t="s">
        <v>102</v>
      </c>
      <c r="L1239" s="1" t="s">
        <v>256</v>
      </c>
      <c r="M1239" s="1" t="s">
        <v>104</v>
      </c>
      <c r="N1239" s="1" t="s">
        <v>19195</v>
      </c>
      <c r="O1239" s="1" t="s">
        <v>127</v>
      </c>
      <c r="P1239" s="1" t="s">
        <v>7991</v>
      </c>
      <c r="Q1239" s="1" t="s">
        <v>3237</v>
      </c>
      <c r="R1239" s="1" t="s">
        <v>2355</v>
      </c>
      <c r="S1239" s="1" t="s">
        <v>2372</v>
      </c>
      <c r="Z1239" s="1" t="s">
        <v>19196</v>
      </c>
      <c r="AA1239" s="10">
        <v>4700000.0</v>
      </c>
      <c r="AF1239" s="10">
        <v>5700000.0</v>
      </c>
      <c r="AG1239" s="1">
        <v>7.132463144E9</v>
      </c>
      <c r="AJ1239" s="1">
        <v>170.0</v>
      </c>
      <c r="AK1239" s="1">
        <v>80.0</v>
      </c>
      <c r="AL1239" s="1" t="s">
        <v>19197</v>
      </c>
      <c r="AM1239" s="1" t="s">
        <v>19198</v>
      </c>
      <c r="AN1239" s="7" t="s">
        <v>19199</v>
      </c>
      <c r="AO1239" s="8" t="str">
        <f>HYPERLINK("https://docs.google.com/document/d/1FjxSFi0df2Leboi2r82lvSqKPMI3S94lGVZ2oxZsX_U/edit?usp=drivesdk","Al-Wildan 12 Bulak Kapal, Bekasi_T Hadi Fitra, S.Pd._Arabic, Alquran dan Diniyah")</f>
        <v>Al-Wildan 12 Bulak Kapal, Bekasi_T Hadi Fitra, S.Pd._Arabic, Alquran dan Diniyah</v>
      </c>
      <c r="AP1239" s="1" t="s">
        <v>19200</v>
      </c>
    </row>
    <row r="1240">
      <c r="A1240" s="6">
        <v>45814.61934350694</v>
      </c>
      <c r="B1240" s="7" t="s">
        <v>19201</v>
      </c>
      <c r="C1240" s="8" t="s">
        <v>19202</v>
      </c>
      <c r="D1240" s="1" t="s">
        <v>19203</v>
      </c>
      <c r="E1240" s="9" t="s">
        <v>19204</v>
      </c>
      <c r="F1240" s="1" t="s">
        <v>19205</v>
      </c>
      <c r="G1240" s="1" t="s">
        <v>19206</v>
      </c>
      <c r="H1240" s="1" t="s">
        <v>1310</v>
      </c>
      <c r="I1240" s="9" t="s">
        <v>19207</v>
      </c>
      <c r="J1240" s="1" t="s">
        <v>18510</v>
      </c>
      <c r="K1240" s="1" t="s">
        <v>151</v>
      </c>
      <c r="L1240" s="1" t="s">
        <v>103</v>
      </c>
      <c r="M1240" s="1" t="s">
        <v>104</v>
      </c>
      <c r="N1240" s="1" t="s">
        <v>19208</v>
      </c>
      <c r="O1240" s="1" t="s">
        <v>106</v>
      </c>
      <c r="P1240" s="1" t="s">
        <v>6659</v>
      </c>
      <c r="Q1240" s="1" t="s">
        <v>14049</v>
      </c>
      <c r="R1240" s="1" t="s">
        <v>2355</v>
      </c>
      <c r="S1240" s="9" t="s">
        <v>6782</v>
      </c>
      <c r="Z1240" s="1" t="s">
        <v>19209</v>
      </c>
      <c r="AA1240" s="10">
        <v>2100000.0</v>
      </c>
      <c r="AB1240" s="1" t="s">
        <v>2232</v>
      </c>
      <c r="AC1240" s="10">
        <v>800000.0</v>
      </c>
      <c r="AF1240" s="10">
        <v>4800000.0</v>
      </c>
      <c r="AG1240" s="1">
        <v>7.187175989E9</v>
      </c>
      <c r="AJ1240" s="1">
        <v>169.0</v>
      </c>
      <c r="AK1240" s="1">
        <v>58.0</v>
      </c>
      <c r="AL1240" s="1" t="s">
        <v>19210</v>
      </c>
      <c r="AM1240" s="1" t="s">
        <v>19211</v>
      </c>
      <c r="AN1240" s="7" t="s">
        <v>19212</v>
      </c>
      <c r="AO1240" s="8" t="str">
        <f>HYPERLINK("https://docs.google.com/document/d/10U7GGwiFKKGM2csB6p6VW92oGwTg8rrXuTabfQ6oFn8/edit?usp=drivesdk","Al-Wildan 15 Kompas Indah, Tambun Bekasi._Feri Ihmawan Nurfauzi S.Pd_Al Quran, Diniyah, Arabic ( A.D.A )")</f>
        <v>Al-Wildan 15 Kompas Indah, Tambun Bekasi._Feri Ihmawan Nurfauzi S.Pd_Al Quran, Diniyah, Arabic ( A.D.A )</v>
      </c>
      <c r="AP1240" s="1" t="s">
        <v>19213</v>
      </c>
    </row>
    <row r="1241">
      <c r="A1241" s="6">
        <v>45817.60236471065</v>
      </c>
      <c r="B1241" s="7" t="s">
        <v>19214</v>
      </c>
      <c r="C1241" s="8" t="s">
        <v>19215</v>
      </c>
      <c r="D1241" s="1" t="s">
        <v>19216</v>
      </c>
      <c r="E1241" s="9" t="s">
        <v>19217</v>
      </c>
      <c r="F1241" s="1" t="s">
        <v>19218</v>
      </c>
      <c r="G1241" s="1" t="s">
        <v>19219</v>
      </c>
      <c r="H1241" s="1" t="s">
        <v>567</v>
      </c>
      <c r="I1241" s="9" t="s">
        <v>19220</v>
      </c>
      <c r="J1241" s="1" t="s">
        <v>724</v>
      </c>
      <c r="K1241" s="1" t="s">
        <v>102</v>
      </c>
      <c r="L1241" s="1" t="s">
        <v>103</v>
      </c>
      <c r="M1241" s="1" t="s">
        <v>104</v>
      </c>
      <c r="N1241" s="1" t="s">
        <v>19221</v>
      </c>
      <c r="O1241" s="1" t="s">
        <v>106</v>
      </c>
      <c r="P1241" s="1" t="s">
        <v>7991</v>
      </c>
      <c r="Q1241" s="1" t="s">
        <v>1505</v>
      </c>
      <c r="R1241" s="1" t="s">
        <v>2249</v>
      </c>
      <c r="S1241" s="1">
        <v>4.49</v>
      </c>
      <c r="Z1241" s="1" t="s">
        <v>19222</v>
      </c>
      <c r="AA1241" s="10">
        <v>3500000.0</v>
      </c>
      <c r="AB1241" s="1" t="s">
        <v>19223</v>
      </c>
      <c r="AC1241" s="10">
        <v>4000000.0</v>
      </c>
      <c r="AF1241" s="10">
        <v>5000000.0</v>
      </c>
      <c r="AG1241" s="1">
        <v>6.14282557E9</v>
      </c>
      <c r="AI1241" s="1" t="s">
        <v>4856</v>
      </c>
      <c r="AJ1241" s="1">
        <v>167.0</v>
      </c>
      <c r="AK1241" s="1">
        <v>67.0</v>
      </c>
      <c r="AL1241" s="1" t="s">
        <v>19224</v>
      </c>
      <c r="AM1241" s="1" t="s">
        <v>19225</v>
      </c>
      <c r="AN1241" s="7" t="s">
        <v>19226</v>
      </c>
      <c r="AO1241" s="8" t="str">
        <f>HYPERLINK("https://docs.google.com/document/d/1pgD3dUjnS53q4g1RXU5lmZp5zfF6L8BBE_5I-5o-8UM/edit?usp=drivesdk","Al-Wildan 12 Bulak Kapal, Bekasi_Sayid Hanif Ayatullah, B.A._Arabiyyah, Diniyyah, Al-Qur'an")</f>
        <v>Al-Wildan 12 Bulak Kapal, Bekasi_Sayid Hanif Ayatullah, B.A._Arabiyyah, Diniyyah, Al-Qur'an</v>
      </c>
      <c r="AP1241" s="1" t="s">
        <v>19227</v>
      </c>
    </row>
    <row r="1242">
      <c r="A1242" s="6">
        <v>45817.71125663194</v>
      </c>
      <c r="B1242" s="7" t="s">
        <v>19228</v>
      </c>
      <c r="C1242" s="8" t="s">
        <v>19229</v>
      </c>
      <c r="D1242" s="1" t="s">
        <v>19216</v>
      </c>
      <c r="E1242" s="9" t="s">
        <v>19217</v>
      </c>
      <c r="F1242" s="1" t="s">
        <v>19218</v>
      </c>
      <c r="G1242" s="1" t="s">
        <v>19230</v>
      </c>
      <c r="H1242" s="1" t="s">
        <v>567</v>
      </c>
      <c r="I1242" s="9" t="s">
        <v>19220</v>
      </c>
      <c r="J1242" s="1" t="s">
        <v>724</v>
      </c>
      <c r="K1242" s="1" t="s">
        <v>102</v>
      </c>
      <c r="L1242" s="1" t="s">
        <v>103</v>
      </c>
      <c r="M1242" s="1" t="s">
        <v>104</v>
      </c>
      <c r="N1242" s="1" t="s">
        <v>19221</v>
      </c>
      <c r="O1242" s="1" t="s">
        <v>106</v>
      </c>
      <c r="P1242" s="1" t="s">
        <v>7991</v>
      </c>
      <c r="Q1242" s="1" t="s">
        <v>1505</v>
      </c>
      <c r="R1242" s="1" t="s">
        <v>2249</v>
      </c>
      <c r="S1242" s="1">
        <v>4.49</v>
      </c>
      <c r="Z1242" s="1" t="s">
        <v>19231</v>
      </c>
      <c r="AA1242" s="10">
        <v>3500000.0</v>
      </c>
      <c r="AB1242" s="1" t="s">
        <v>7599</v>
      </c>
      <c r="AC1242" s="10">
        <v>4000000.0</v>
      </c>
      <c r="AF1242" s="10">
        <v>5000000.0</v>
      </c>
      <c r="AG1242" s="1">
        <v>6.14282557E9</v>
      </c>
      <c r="AI1242" s="1" t="s">
        <v>4856</v>
      </c>
      <c r="AJ1242" s="1">
        <v>167.0</v>
      </c>
      <c r="AK1242" s="1">
        <v>67.0</v>
      </c>
      <c r="AL1242" s="1" t="s">
        <v>19224</v>
      </c>
      <c r="AM1242" s="1" t="s">
        <v>19232</v>
      </c>
      <c r="AN1242" s="7" t="s">
        <v>19233</v>
      </c>
      <c r="AO1242" s="8" t="str">
        <f>HYPERLINK("https://docs.google.com/document/d/1qtr_Oa7hixAjX3kff8cUEilv35BC0arP10SkgMoruU0/edit?usp=drivesdk","Al-Wildan 12 Bulak Kapal, Bekasi_Sayid Hanif Ayatullah, B.A._Arabiyyah, Diniyyah, Al-Qur'an")</f>
        <v>Al-Wildan 12 Bulak Kapal, Bekasi_Sayid Hanif Ayatullah, B.A._Arabiyyah, Diniyyah, Al-Qur'an</v>
      </c>
      <c r="AP1242" s="1" t="s">
        <v>19234</v>
      </c>
    </row>
    <row r="1243">
      <c r="A1243" s="6">
        <v>45817.83736269676</v>
      </c>
      <c r="B1243" s="7" t="s">
        <v>19235</v>
      </c>
      <c r="C1243" s="8" t="s">
        <v>19236</v>
      </c>
      <c r="D1243" s="1" t="s">
        <v>19237</v>
      </c>
      <c r="E1243" s="9" t="s">
        <v>19238</v>
      </c>
      <c r="F1243" s="1" t="s">
        <v>19239</v>
      </c>
      <c r="G1243" s="1" t="s">
        <v>19240</v>
      </c>
      <c r="H1243" s="1" t="s">
        <v>169</v>
      </c>
      <c r="I1243" s="9" t="s">
        <v>19241</v>
      </c>
      <c r="J1243" s="1" t="s">
        <v>423</v>
      </c>
      <c r="K1243" s="1" t="s">
        <v>151</v>
      </c>
      <c r="L1243" s="1" t="s">
        <v>827</v>
      </c>
      <c r="M1243" s="1" t="s">
        <v>104</v>
      </c>
      <c r="N1243" s="1" t="s">
        <v>19242</v>
      </c>
      <c r="O1243" s="1" t="s">
        <v>9794</v>
      </c>
      <c r="P1243" s="1" t="s">
        <v>107</v>
      </c>
      <c r="Q1243" s="1" t="s">
        <v>19243</v>
      </c>
      <c r="R1243" s="1" t="s">
        <v>19244</v>
      </c>
      <c r="S1243" s="1" t="s">
        <v>277</v>
      </c>
      <c r="Z1243" s="1" t="s">
        <v>19245</v>
      </c>
      <c r="AA1243" s="10">
        <v>2000000.0</v>
      </c>
      <c r="AB1243" s="1" t="s">
        <v>19246</v>
      </c>
      <c r="AC1243" s="10">
        <v>3050000.0</v>
      </c>
      <c r="AD1243" s="1" t="s">
        <v>19247</v>
      </c>
      <c r="AE1243" s="10">
        <v>1000000.0</v>
      </c>
      <c r="AF1243" s="1" t="s">
        <v>1066</v>
      </c>
      <c r="AG1243" s="1">
        <v>8.49999277E9</v>
      </c>
      <c r="AJ1243" s="1">
        <v>159.0</v>
      </c>
      <c r="AK1243" s="1">
        <v>55.0</v>
      </c>
      <c r="AL1243" s="1" t="s">
        <v>19248</v>
      </c>
      <c r="AM1243" s="1" t="s">
        <v>19249</v>
      </c>
      <c r="AN1243" s="7" t="s">
        <v>19250</v>
      </c>
      <c r="AO1243" s="8" t="str">
        <f>HYPERLINK("https://docs.google.com/document/d/1-ExMIXWWcXS-YHFppNGoRgxZ-oU4xrPIo5kGqBQtag0/edit?usp=drivesdk","Al-Wildan 1 Gading Serpong_Sayyidatu Rifdah Berelvi Khairani, B.A_Al Qur'an, Diniyyah, Arabic")</f>
        <v>Al-Wildan 1 Gading Serpong_Sayyidatu Rifdah Berelvi Khairani, B.A_Al Qur'an, Diniyyah, Arabic</v>
      </c>
      <c r="AP1243" s="1" t="s">
        <v>19251</v>
      </c>
    </row>
    <row r="1244">
      <c r="A1244" s="6">
        <v>45818.61102675926</v>
      </c>
      <c r="B1244" s="7" t="s">
        <v>19252</v>
      </c>
      <c r="C1244" s="8" t="s">
        <v>19253</v>
      </c>
      <c r="D1244" s="1" t="s">
        <v>19254</v>
      </c>
      <c r="E1244" s="9" t="s">
        <v>387</v>
      </c>
      <c r="F1244" s="1" t="s">
        <v>388</v>
      </c>
      <c r="G1244" s="1" t="s">
        <v>1183</v>
      </c>
      <c r="H1244" s="1" t="s">
        <v>390</v>
      </c>
      <c r="I1244" s="9" t="s">
        <v>19255</v>
      </c>
      <c r="J1244" s="1" t="s">
        <v>3619</v>
      </c>
      <c r="K1244" s="1" t="s">
        <v>102</v>
      </c>
      <c r="L1244" s="1" t="s">
        <v>103</v>
      </c>
      <c r="M1244" s="1" t="s">
        <v>104</v>
      </c>
      <c r="N1244" s="1" t="s">
        <v>235</v>
      </c>
      <c r="O1244" s="1" t="s">
        <v>106</v>
      </c>
      <c r="P1244" s="1" t="s">
        <v>5712</v>
      </c>
      <c r="Q1244" s="1" t="s">
        <v>5555</v>
      </c>
      <c r="R1244" s="1" t="s">
        <v>2355</v>
      </c>
      <c r="S1244" s="1">
        <v>3.71</v>
      </c>
      <c r="Z1244" s="1" t="s">
        <v>7599</v>
      </c>
      <c r="AA1244" s="10">
        <v>6980000.0</v>
      </c>
      <c r="AF1244" s="10">
        <v>8950000.0</v>
      </c>
      <c r="AG1244" s="1">
        <v>7.168147729E9</v>
      </c>
      <c r="AI1244" s="1" t="s">
        <v>4856</v>
      </c>
      <c r="AJ1244" s="1">
        <v>175.0</v>
      </c>
      <c r="AK1244" s="1">
        <v>80.0</v>
      </c>
      <c r="AL1244" s="1" t="s">
        <v>19256</v>
      </c>
      <c r="AM1244" s="1" t="s">
        <v>19257</v>
      </c>
      <c r="AN1244" s="7" t="s">
        <v>19258</v>
      </c>
      <c r="AO1244" s="8" t="str">
        <f>HYPERLINK("https://docs.google.com/document/d/13heWhEbATGPcmdRYY4z9SVpeCfuHo2fdhEqUXdyxg7o/edit?usp=drivesdk","Al-Wildan 3 BSD City_Salman Abu Al Khair, S.Pd._Bahasa Arab")</f>
        <v>Al-Wildan 3 BSD City_Salman Abu Al Khair, S.Pd._Bahasa Arab</v>
      </c>
      <c r="AP1244" s="1" t="s">
        <v>19259</v>
      </c>
    </row>
    <row r="1245">
      <c r="A1245" s="6">
        <v>45818.619340289355</v>
      </c>
      <c r="B1245" s="7" t="s">
        <v>19260</v>
      </c>
      <c r="C1245" s="8" t="s">
        <v>19261</v>
      </c>
      <c r="D1245" s="1" t="s">
        <v>19262</v>
      </c>
      <c r="E1245" s="9" t="s">
        <v>19263</v>
      </c>
      <c r="F1245" s="1" t="s">
        <v>19264</v>
      </c>
      <c r="G1245" s="1" t="s">
        <v>19265</v>
      </c>
      <c r="H1245" s="1" t="s">
        <v>19266</v>
      </c>
      <c r="I1245" s="1" t="s">
        <v>19267</v>
      </c>
      <c r="J1245" s="1" t="s">
        <v>7823</v>
      </c>
      <c r="K1245" s="1" t="s">
        <v>151</v>
      </c>
      <c r="L1245" s="1" t="s">
        <v>256</v>
      </c>
      <c r="M1245" s="1" t="s">
        <v>104</v>
      </c>
      <c r="N1245" s="1" t="s">
        <v>19268</v>
      </c>
      <c r="O1245" s="1" t="s">
        <v>312</v>
      </c>
      <c r="P1245" s="1" t="s">
        <v>107</v>
      </c>
      <c r="Q1245" s="1" t="s">
        <v>8611</v>
      </c>
      <c r="R1245" s="1" t="s">
        <v>19269</v>
      </c>
      <c r="S1245" s="1" t="s">
        <v>19270</v>
      </c>
      <c r="Z1245" s="1" t="s">
        <v>19271</v>
      </c>
      <c r="AA1245" s="1" t="s">
        <v>8053</v>
      </c>
      <c r="AF1245" s="1" t="s">
        <v>14664</v>
      </c>
      <c r="AG1245" s="1">
        <v>7.153286463E9</v>
      </c>
      <c r="AJ1245" s="1">
        <v>151.0</v>
      </c>
      <c r="AK1245" s="1">
        <v>48.0</v>
      </c>
      <c r="AL1245" s="1" t="s">
        <v>19272</v>
      </c>
      <c r="AM1245" s="1" t="s">
        <v>19273</v>
      </c>
      <c r="AN1245" s="7" t="s">
        <v>19274</v>
      </c>
      <c r="AO1245" s="8" t="str">
        <f>HYPERLINK("https://docs.google.com/document/d/1dmejkhhi3wXlQkbCq1MdXqLhauTaiH7mHTnS7T3J0hw/edit?usp=drivesdk","Al-Wildan 1 Gading Serpong_Dhea Maitsa Rajni_Guru Al-Qur’an")</f>
        <v>Al-Wildan 1 Gading Serpong_Dhea Maitsa Rajni_Guru Al-Qur’an</v>
      </c>
      <c r="AP1245" s="1" t="s">
        <v>19275</v>
      </c>
    </row>
    <row r="1246">
      <c r="A1246" s="6">
        <v>45818.71672737268</v>
      </c>
      <c r="B1246" s="7" t="s">
        <v>19276</v>
      </c>
      <c r="C1246" s="8" t="s">
        <v>19277</v>
      </c>
      <c r="D1246" s="1" t="s">
        <v>19278</v>
      </c>
      <c r="E1246" s="9" t="s">
        <v>1755</v>
      </c>
      <c r="F1246" s="1" t="s">
        <v>1756</v>
      </c>
      <c r="G1246" s="1" t="s">
        <v>19279</v>
      </c>
      <c r="H1246" s="1" t="s">
        <v>1758</v>
      </c>
      <c r="I1246" s="9" t="s">
        <v>19280</v>
      </c>
      <c r="J1246" s="1" t="s">
        <v>12091</v>
      </c>
      <c r="K1246" s="1" t="s">
        <v>102</v>
      </c>
      <c r="L1246" s="1" t="s">
        <v>103</v>
      </c>
      <c r="M1246" s="1" t="s">
        <v>18809</v>
      </c>
      <c r="N1246" s="1" t="s">
        <v>1623</v>
      </c>
      <c r="O1246" s="1" t="s">
        <v>236</v>
      </c>
      <c r="P1246" s="1" t="s">
        <v>5712</v>
      </c>
      <c r="Q1246" s="1" t="s">
        <v>811</v>
      </c>
      <c r="R1246" s="1" t="s">
        <v>193</v>
      </c>
      <c r="Z1246" s="1" t="s">
        <v>19281</v>
      </c>
      <c r="AG1246" s="1">
        <v>6.98001E9</v>
      </c>
      <c r="AJ1246" s="1">
        <v>172.0</v>
      </c>
      <c r="AK1246" s="1">
        <v>67.0</v>
      </c>
      <c r="AL1246" s="1" t="s">
        <v>19282</v>
      </c>
      <c r="AM1246" s="1" t="s">
        <v>19283</v>
      </c>
      <c r="AN1246" s="7" t="s">
        <v>19284</v>
      </c>
      <c r="AO1246" s="8" t="str">
        <f>HYPERLINK("https://docs.google.com/document/d/18mPI9d1k4XTCKbfAuvSfVa-YqHeIW89sDqu5hipPIAk/edit?usp=drivesdk","Al-Wildan 3 BSD City_M SIDIK VASNI, Lc._PAI")</f>
        <v>Al-Wildan 3 BSD City_M SIDIK VASNI, Lc._PAI</v>
      </c>
      <c r="AP1246" s="1" t="s">
        <v>19285</v>
      </c>
    </row>
    <row r="1247">
      <c r="A1247" s="6">
        <v>45819.372980925924</v>
      </c>
      <c r="B1247" s="7" t="s">
        <v>19286</v>
      </c>
      <c r="C1247" s="8" t="s">
        <v>19287</v>
      </c>
      <c r="D1247" s="1" t="s">
        <v>19288</v>
      </c>
      <c r="E1247" s="9" t="s">
        <v>19128</v>
      </c>
      <c r="F1247" s="1" t="s">
        <v>19129</v>
      </c>
      <c r="G1247" s="1" t="s">
        <v>19289</v>
      </c>
      <c r="H1247" s="1" t="s">
        <v>19131</v>
      </c>
      <c r="I1247" s="9" t="s">
        <v>19290</v>
      </c>
      <c r="J1247" s="1" t="s">
        <v>2352</v>
      </c>
      <c r="K1247" s="1" t="s">
        <v>151</v>
      </c>
      <c r="L1247" s="1" t="s">
        <v>256</v>
      </c>
      <c r="M1247" s="1" t="s">
        <v>104</v>
      </c>
      <c r="N1247" s="1" t="s">
        <v>19291</v>
      </c>
      <c r="O1247" s="1" t="s">
        <v>312</v>
      </c>
      <c r="P1247" s="1" t="s">
        <v>14439</v>
      </c>
      <c r="Q1247" s="1" t="s">
        <v>3237</v>
      </c>
      <c r="R1247" s="1" t="s">
        <v>19292</v>
      </c>
      <c r="S1247" s="9" t="s">
        <v>4421</v>
      </c>
      <c r="Z1247" s="1" t="s">
        <v>19293</v>
      </c>
      <c r="AA1247" s="10">
        <v>3000000.0</v>
      </c>
      <c r="AF1247" s="10">
        <v>5000000.0</v>
      </c>
      <c r="AG1247" s="1">
        <v>7.169662244E9</v>
      </c>
      <c r="AJ1247" s="1">
        <v>156.0</v>
      </c>
      <c r="AK1247" s="1">
        <v>49.0</v>
      </c>
      <c r="AL1247" s="1" t="s">
        <v>19134</v>
      </c>
      <c r="AM1247" s="1" t="s">
        <v>19294</v>
      </c>
      <c r="AN1247" s="7" t="s">
        <v>19295</v>
      </c>
      <c r="AO1247" s="8" t="str">
        <f>HYPERLINK("https://docs.google.com/document/d/1r9rGXG1m3y_L_pCq_-9klMBQVdf_INiETsvda6FjNpk/edit?usp=drivesdk","Al-Wildan 22 Makassar_Rabiah Ramadhani Syarif S.Sos_Arabic / Diniyyah ")</f>
        <v>Al-Wildan 22 Makassar_Rabiah Ramadhani Syarif S.Sos_Arabic / Diniyyah </v>
      </c>
      <c r="AP1247" s="1" t="s">
        <v>19296</v>
      </c>
    </row>
    <row r="1248">
      <c r="A1248" s="6">
        <v>45819.58591700232</v>
      </c>
      <c r="B1248" s="7" t="s">
        <v>19297</v>
      </c>
      <c r="C1248" s="8" t="s">
        <v>19298</v>
      </c>
      <c r="D1248" s="1" t="s">
        <v>19299</v>
      </c>
      <c r="E1248" s="9" t="s">
        <v>19300</v>
      </c>
      <c r="F1248" s="1" t="s">
        <v>19301</v>
      </c>
      <c r="G1248" s="1" t="s">
        <v>19302</v>
      </c>
      <c r="H1248" s="1" t="s">
        <v>3157</v>
      </c>
      <c r="I1248" s="9" t="s">
        <v>19303</v>
      </c>
      <c r="J1248" s="1">
        <v>29.0</v>
      </c>
      <c r="K1248" s="1" t="s">
        <v>151</v>
      </c>
      <c r="L1248" s="1" t="s">
        <v>103</v>
      </c>
      <c r="M1248" s="1" t="s">
        <v>104</v>
      </c>
      <c r="N1248" s="1" t="s">
        <v>19304</v>
      </c>
      <c r="O1248" s="1" t="s">
        <v>9794</v>
      </c>
      <c r="P1248" s="1" t="s">
        <v>6659</v>
      </c>
      <c r="Q1248" s="1" t="s">
        <v>19305</v>
      </c>
      <c r="R1248" s="1" t="s">
        <v>238</v>
      </c>
      <c r="S1248" s="1" t="s">
        <v>1084</v>
      </c>
      <c r="T1248" s="1" t="s">
        <v>19306</v>
      </c>
      <c r="U1248" s="1" t="s">
        <v>18293</v>
      </c>
      <c r="Z1248" s="1" t="s">
        <v>19307</v>
      </c>
      <c r="AA1248" s="10">
        <v>3500000.0</v>
      </c>
      <c r="AF1248" s="10">
        <v>5000000.0</v>
      </c>
      <c r="AG1248" s="1">
        <v>7.293617966E9</v>
      </c>
      <c r="AI1248" s="1" t="s">
        <v>5113</v>
      </c>
      <c r="AJ1248" s="1">
        <v>172.0</v>
      </c>
      <c r="AK1248" s="1">
        <v>73.0</v>
      </c>
      <c r="AL1248" s="1" t="s">
        <v>19308</v>
      </c>
      <c r="AM1248" s="1" t="s">
        <v>19309</v>
      </c>
      <c r="AN1248" s="7" t="s">
        <v>19310</v>
      </c>
      <c r="AO1248" s="8" t="str">
        <f>HYPERLINK("https://docs.google.com/document/d/1tzaNfks3GTeZrX1310bTywSsDSYjWsjQrc2qT3bGkBY/edit?usp=drivesdk","Al-Wildan 15 Kompas Indah, Tambun Bekasi._Rian Sahputra, Lc._Arabic dan diniyyah")</f>
        <v>Al-Wildan 15 Kompas Indah, Tambun Bekasi._Rian Sahputra, Lc._Arabic dan diniyyah</v>
      </c>
      <c r="AP1248" s="1" t="s">
        <v>19311</v>
      </c>
    </row>
    <row r="1249">
      <c r="A1249" s="6">
        <v>45821.62926877315</v>
      </c>
      <c r="B1249" s="7" t="s">
        <v>19312</v>
      </c>
      <c r="C1249" s="8" t="s">
        <v>19313</v>
      </c>
      <c r="D1249" s="1" t="s">
        <v>19314</v>
      </c>
      <c r="E1249" s="9" t="s">
        <v>19315</v>
      </c>
      <c r="F1249" s="1" t="s">
        <v>19316</v>
      </c>
      <c r="G1249" s="1" t="s">
        <v>19317</v>
      </c>
      <c r="H1249" s="1" t="s">
        <v>169</v>
      </c>
      <c r="I1249" s="9" t="s">
        <v>19318</v>
      </c>
      <c r="J1249" s="1">
        <v>31.0</v>
      </c>
      <c r="K1249" s="1" t="s">
        <v>151</v>
      </c>
      <c r="L1249" s="1" t="s">
        <v>103</v>
      </c>
      <c r="M1249" s="1" t="s">
        <v>13204</v>
      </c>
      <c r="O1249" s="1" t="s">
        <v>13406</v>
      </c>
      <c r="P1249" s="1" t="s">
        <v>237</v>
      </c>
      <c r="Z1249" s="1" t="s">
        <v>19319</v>
      </c>
      <c r="AA1249" s="10">
        <v>4500000.0</v>
      </c>
      <c r="AF1249" s="10">
        <v>5000000.0</v>
      </c>
      <c r="AG1249" s="1">
        <v>7.209683444E9</v>
      </c>
      <c r="AJ1249" s="1">
        <v>170.0</v>
      </c>
      <c r="AK1249" s="1">
        <v>75.0</v>
      </c>
      <c r="AL1249" s="1" t="s">
        <v>19320</v>
      </c>
      <c r="AM1249" s="1" t="s">
        <v>19321</v>
      </c>
      <c r="AN1249" s="7" t="s">
        <v>19322</v>
      </c>
      <c r="AO1249" s="8" t="str">
        <f>HYPERLINK("https://docs.google.com/document/d/1S2yQxLP1eALHG-yfHim814IyKotlH0pB-Cu8viNEps8/edit?usp=drivesdk","Al-Wildan 4 Lebak Bulus_Andika_")</f>
        <v>Al-Wildan 4 Lebak Bulus_Andika_</v>
      </c>
      <c r="AP1249" s="1" t="s">
        <v>19323</v>
      </c>
    </row>
    <row r="1250">
      <c r="A1250" s="6">
        <v>45823.32620935186</v>
      </c>
      <c r="B1250" s="7" t="s">
        <v>19324</v>
      </c>
      <c r="C1250" s="8" t="s">
        <v>19325</v>
      </c>
      <c r="D1250" s="1" t="s">
        <v>19326</v>
      </c>
      <c r="E1250" s="9" t="s">
        <v>19327</v>
      </c>
      <c r="F1250" s="1" t="s">
        <v>19328</v>
      </c>
      <c r="G1250" s="1" t="s">
        <v>6897</v>
      </c>
      <c r="H1250" s="1" t="s">
        <v>6897</v>
      </c>
      <c r="I1250" s="9" t="s">
        <v>19329</v>
      </c>
      <c r="J1250" s="1" t="s">
        <v>19330</v>
      </c>
      <c r="K1250" s="1" t="s">
        <v>102</v>
      </c>
      <c r="L1250" s="1" t="s">
        <v>103</v>
      </c>
      <c r="M1250" s="1" t="s">
        <v>13204</v>
      </c>
      <c r="O1250" s="1" t="s">
        <v>13406</v>
      </c>
      <c r="P1250" s="1" t="s">
        <v>237</v>
      </c>
      <c r="Z1250" s="1" t="s">
        <v>19331</v>
      </c>
      <c r="AA1250" s="10">
        <v>6000000.0</v>
      </c>
      <c r="AB1250" s="1" t="s">
        <v>19332</v>
      </c>
      <c r="AC1250" s="10">
        <v>4700000.0</v>
      </c>
      <c r="AF1250" s="10">
        <v>5000000.0</v>
      </c>
      <c r="AG1250" s="1">
        <v>7.209676626E9</v>
      </c>
      <c r="AI1250" s="1" t="s">
        <v>16512</v>
      </c>
      <c r="AJ1250" s="1">
        <v>167.0</v>
      </c>
      <c r="AK1250" s="1">
        <v>63.0</v>
      </c>
      <c r="AL1250" s="1" t="s">
        <v>19333</v>
      </c>
      <c r="AM1250" s="1" t="s">
        <v>19334</v>
      </c>
      <c r="AN1250" s="7" t="s">
        <v>19335</v>
      </c>
      <c r="AO1250" s="8" t="str">
        <f>HYPERLINK("https://docs.google.com/document/d/1YZs1nOVSbNPfWsitCson51iu2PYuhUsp4jfei8JpUTg/edit?usp=drivesdk","Al-Wildan 4 Lebak Bulus_Hadan Mustikin _")</f>
        <v>Al-Wildan 4 Lebak Bulus_Hadan Mustikin _</v>
      </c>
      <c r="AP1250" s="1" t="s">
        <v>19336</v>
      </c>
    </row>
    <row r="1251">
      <c r="A1251" s="6">
        <v>45823.51073944445</v>
      </c>
      <c r="B1251" s="7" t="s">
        <v>19337</v>
      </c>
      <c r="C1251" s="8" t="s">
        <v>19338</v>
      </c>
      <c r="D1251" s="1" t="s">
        <v>19339</v>
      </c>
      <c r="E1251" s="9" t="s">
        <v>19340</v>
      </c>
      <c r="F1251" s="1" t="s">
        <v>19341</v>
      </c>
      <c r="G1251" s="1" t="s">
        <v>19342</v>
      </c>
      <c r="H1251" s="1" t="s">
        <v>19343</v>
      </c>
      <c r="I1251" s="9" t="s">
        <v>19344</v>
      </c>
      <c r="J1251" s="1">
        <v>29.0</v>
      </c>
      <c r="K1251" s="1" t="s">
        <v>151</v>
      </c>
      <c r="L1251" s="1" t="s">
        <v>103</v>
      </c>
      <c r="M1251" s="1" t="s">
        <v>13204</v>
      </c>
      <c r="O1251" s="1" t="s">
        <v>13406</v>
      </c>
      <c r="P1251" s="1" t="s">
        <v>237</v>
      </c>
      <c r="Z1251" s="1" t="s">
        <v>19345</v>
      </c>
      <c r="AA1251" s="1">
        <v>4000000.0</v>
      </c>
      <c r="AF1251" s="1">
        <v>4000000.0</v>
      </c>
      <c r="AG1251" s="1">
        <v>7.209676715E9</v>
      </c>
      <c r="AI1251" s="1" t="s">
        <v>5113</v>
      </c>
      <c r="AJ1251" s="1">
        <v>160.0</v>
      </c>
      <c r="AK1251" s="1">
        <v>60.0</v>
      </c>
      <c r="AL1251" s="1" t="s">
        <v>19346</v>
      </c>
      <c r="AM1251" s="1" t="s">
        <v>19347</v>
      </c>
      <c r="AN1251" s="7" t="s">
        <v>19348</v>
      </c>
      <c r="AO1251" s="8" t="str">
        <f>HYPERLINK("https://docs.google.com/document/d/1-s8eEMgLVCJx_s0hk_sTwbp3p1SQXivXfgKmO_LDMUE/edit?usp=drivesdk","Al-Wildan 4 Lebak Bulus_Ahmad zaelani _")</f>
        <v>Al-Wildan 4 Lebak Bulus_Ahmad zaelani _</v>
      </c>
      <c r="AP1251" s="1" t="s">
        <v>19349</v>
      </c>
    </row>
    <row r="1252">
      <c r="A1252" s="6">
        <v>45824.65793516204</v>
      </c>
      <c r="B1252" s="7" t="s">
        <v>19350</v>
      </c>
      <c r="C1252" s="8" t="s">
        <v>19351</v>
      </c>
      <c r="D1252" s="1" t="s">
        <v>19352</v>
      </c>
      <c r="E1252" s="9" t="s">
        <v>19353</v>
      </c>
      <c r="F1252" s="1" t="s">
        <v>19354</v>
      </c>
      <c r="G1252" s="1" t="s">
        <v>19355</v>
      </c>
      <c r="H1252" s="1" t="s">
        <v>3280</v>
      </c>
      <c r="I1252" s="9" t="s">
        <v>19356</v>
      </c>
      <c r="J1252" s="1" t="s">
        <v>19357</v>
      </c>
      <c r="K1252" s="1" t="s">
        <v>102</v>
      </c>
      <c r="L1252" s="1" t="s">
        <v>103</v>
      </c>
      <c r="M1252" s="1" t="s">
        <v>104</v>
      </c>
      <c r="N1252" s="1" t="s">
        <v>19358</v>
      </c>
      <c r="O1252" s="1" t="s">
        <v>127</v>
      </c>
      <c r="P1252" s="1" t="s">
        <v>107</v>
      </c>
      <c r="Q1252" s="1" t="s">
        <v>1449</v>
      </c>
      <c r="Z1252" s="1" t="s">
        <v>19359</v>
      </c>
      <c r="AA1252" s="1" t="s">
        <v>19360</v>
      </c>
      <c r="AJ1252" s="1">
        <v>165.0</v>
      </c>
      <c r="AK1252" s="1">
        <v>75.0</v>
      </c>
      <c r="AL1252" s="1" t="s">
        <v>19361</v>
      </c>
      <c r="AM1252" s="1" t="s">
        <v>19362</v>
      </c>
      <c r="AN1252" s="7" t="s">
        <v>19363</v>
      </c>
      <c r="AO1252" s="8" t="str">
        <f>HYPERLINK("https://docs.google.com/document/d/1EBy6ym14cnlvL0QgZ9XVDi2gEXK6lySnUWWI9KywGTY/edit?usp=drivesdk","Al-Wildan 1 Gading Serpong_Nadia Alkhatib _Quran ")</f>
        <v>Al-Wildan 1 Gading Serpong_Nadia Alkhatib _Quran </v>
      </c>
      <c r="AP1252" s="1" t="s">
        <v>19364</v>
      </c>
    </row>
    <row r="1253">
      <c r="A1253" s="6">
        <v>45825.65714925926</v>
      </c>
      <c r="B1253" s="7" t="s">
        <v>19365</v>
      </c>
      <c r="C1253" s="8" t="s">
        <v>19366</v>
      </c>
      <c r="D1253" s="1" t="s">
        <v>19367</v>
      </c>
      <c r="E1253" s="9" t="s">
        <v>19368</v>
      </c>
      <c r="F1253" s="1" t="s">
        <v>19369</v>
      </c>
      <c r="G1253" s="1" t="s">
        <v>19370</v>
      </c>
      <c r="H1253" s="1" t="s">
        <v>19371</v>
      </c>
      <c r="I1253" s="1" t="s">
        <v>19372</v>
      </c>
      <c r="J1253" s="1">
        <v>21.0</v>
      </c>
      <c r="K1253" s="1" t="s">
        <v>151</v>
      </c>
      <c r="L1253" s="1" t="s">
        <v>103</v>
      </c>
      <c r="M1253" s="1" t="s">
        <v>13204</v>
      </c>
      <c r="O1253" s="1" t="s">
        <v>13406</v>
      </c>
      <c r="P1253" s="1" t="s">
        <v>237</v>
      </c>
      <c r="AF1253" s="10">
        <v>5000000.0</v>
      </c>
      <c r="AG1253" s="1">
        <v>7.290525718E9</v>
      </c>
      <c r="AI1253" s="1" t="s">
        <v>5113</v>
      </c>
      <c r="AJ1253" s="1">
        <v>155.0</v>
      </c>
      <c r="AK1253" s="1">
        <v>55.0</v>
      </c>
      <c r="AL1253" s="1" t="s">
        <v>19373</v>
      </c>
      <c r="AM1253" s="1" t="s">
        <v>19374</v>
      </c>
      <c r="AN1253" s="7" t="s">
        <v>19375</v>
      </c>
      <c r="AO1253" s="8" t="str">
        <f>HYPERLINK("https://docs.google.com/document/d/1oTKtJpRWUtzUkaBtXbjeF8YGmFcHflC5jUdEbjhGwLU/edit?usp=drivesdk","Al-Wildan 4 Lebak Bulus_CHAERUL FEBRIAN _")</f>
        <v>Al-Wildan 4 Lebak Bulus_CHAERUL FEBRIAN _</v>
      </c>
      <c r="AP1253" s="1" t="s">
        <v>19376</v>
      </c>
    </row>
    <row r="1254">
      <c r="A1254" s="6">
        <v>45825.65773771991</v>
      </c>
      <c r="B1254" s="7" t="s">
        <v>19377</v>
      </c>
      <c r="C1254" s="8" t="s">
        <v>19378</v>
      </c>
      <c r="D1254" s="1" t="s">
        <v>19379</v>
      </c>
      <c r="E1254" s="9" t="s">
        <v>19380</v>
      </c>
      <c r="F1254" s="1">
        <v>3.17406270397001E15</v>
      </c>
      <c r="G1254" s="1" t="s">
        <v>19381</v>
      </c>
      <c r="H1254" s="1" t="s">
        <v>1411</v>
      </c>
      <c r="I1254" s="9" t="s">
        <v>19382</v>
      </c>
      <c r="J1254" s="1">
        <v>28.0</v>
      </c>
      <c r="K1254" s="1" t="s">
        <v>151</v>
      </c>
      <c r="L1254" s="1" t="s">
        <v>329</v>
      </c>
      <c r="M1254" s="1" t="s">
        <v>13204</v>
      </c>
      <c r="O1254" s="1" t="s">
        <v>13406</v>
      </c>
      <c r="P1254" s="1" t="s">
        <v>237</v>
      </c>
      <c r="Z1254" s="1" t="s">
        <v>19383</v>
      </c>
      <c r="AB1254" s="1" t="s">
        <v>19384</v>
      </c>
      <c r="AC1254" s="1">
        <v>2000000.0</v>
      </c>
      <c r="AE1254" s="1">
        <v>2000000.0</v>
      </c>
      <c r="AF1254" s="1">
        <v>4000000.0</v>
      </c>
      <c r="AG1254" s="1">
        <v>7.207084551E9</v>
      </c>
      <c r="AI1254" s="1" t="s">
        <v>8790</v>
      </c>
      <c r="AJ1254" s="1">
        <v>167.0</v>
      </c>
      <c r="AK1254" s="1">
        <v>60.0</v>
      </c>
      <c r="AL1254" s="1" t="s">
        <v>19385</v>
      </c>
      <c r="AM1254" s="1" t="s">
        <v>19386</v>
      </c>
      <c r="AN1254" s="7" t="s">
        <v>19387</v>
      </c>
      <c r="AO1254" s="8" t="str">
        <f>HYPERLINK("https://docs.google.com/document/d/1VId61JxFqjChJzjZCm9RvRebvtK6UYGKPlYvYN07c8E/edit?usp=drivesdk","Al-Wildan 4 Lebak Bulus_Fahri Kamniansyah _")</f>
        <v>Al-Wildan 4 Lebak Bulus_Fahri Kamniansyah _</v>
      </c>
      <c r="AP1254" s="1" t="s">
        <v>19388</v>
      </c>
    </row>
    <row r="1255">
      <c r="A1255" s="6">
        <v>45832.54174141204</v>
      </c>
      <c r="B1255" s="7" t="s">
        <v>19389</v>
      </c>
      <c r="C1255" s="8" t="s">
        <v>19390</v>
      </c>
      <c r="D1255" s="1" t="s">
        <v>19391</v>
      </c>
      <c r="E1255" s="9" t="s">
        <v>19392</v>
      </c>
      <c r="F1255" s="1" t="s">
        <v>19393</v>
      </c>
      <c r="G1255" s="1" t="s">
        <v>2076</v>
      </c>
      <c r="H1255" s="1" t="s">
        <v>2076</v>
      </c>
      <c r="I1255" s="9" t="s">
        <v>19394</v>
      </c>
      <c r="J1255" s="1" t="s">
        <v>392</v>
      </c>
      <c r="K1255" s="1" t="s">
        <v>151</v>
      </c>
      <c r="L1255" s="1" t="s">
        <v>103</v>
      </c>
      <c r="M1255" s="1" t="s">
        <v>104</v>
      </c>
      <c r="N1255" s="1" t="s">
        <v>5303</v>
      </c>
      <c r="O1255" s="1" t="s">
        <v>127</v>
      </c>
      <c r="P1255" s="1" t="s">
        <v>17019</v>
      </c>
      <c r="Q1255" s="1" t="s">
        <v>18484</v>
      </c>
      <c r="R1255" s="1" t="s">
        <v>126</v>
      </c>
      <c r="S1255" s="1" t="s">
        <v>411</v>
      </c>
      <c r="Z1255" s="1" t="s">
        <v>19395</v>
      </c>
      <c r="AH1255" s="9" t="s">
        <v>19396</v>
      </c>
      <c r="AI1255" s="1" t="s">
        <v>2407</v>
      </c>
      <c r="AJ1255" s="1">
        <v>148.0</v>
      </c>
      <c r="AK1255" s="1">
        <v>40.0</v>
      </c>
      <c r="AL1255" s="1" t="s">
        <v>19397</v>
      </c>
      <c r="AM1255" s="1" t="s">
        <v>19398</v>
      </c>
      <c r="AN1255" s="7" t="s">
        <v>19399</v>
      </c>
      <c r="AO1255" s="8" t="str">
        <f>HYPERLINK("https://docs.google.com/document/d/1K95se4wU0RJWJKgN94HyZnEMfBEuOJWxVd5Azl4uN5k/edit?usp=drivesdk","Al-Wildan 20 Mataram_Bela Zainun Yatin, S.Mat._Matematika ")</f>
        <v>Al-Wildan 20 Mataram_Bela Zainun Yatin, S.Mat._Matematika </v>
      </c>
      <c r="AP1255" s="1" t="s">
        <v>19400</v>
      </c>
    </row>
    <row r="1256">
      <c r="A1256" s="6">
        <v>45832.585385439816</v>
      </c>
      <c r="B1256" s="7" t="s">
        <v>19401</v>
      </c>
      <c r="C1256" s="8" t="s">
        <v>19402</v>
      </c>
      <c r="D1256" s="1" t="s">
        <v>19403</v>
      </c>
      <c r="E1256" s="9" t="s">
        <v>19404</v>
      </c>
      <c r="F1256" s="1" t="s">
        <v>19405</v>
      </c>
      <c r="G1256" s="1" t="s">
        <v>19406</v>
      </c>
      <c r="H1256" s="1" t="s">
        <v>19407</v>
      </c>
      <c r="I1256" s="9" t="s">
        <v>16987</v>
      </c>
      <c r="J1256" s="1" t="s">
        <v>4209</v>
      </c>
      <c r="K1256" s="1" t="s">
        <v>151</v>
      </c>
      <c r="L1256" s="1" t="s">
        <v>496</v>
      </c>
      <c r="M1256" s="1" t="s">
        <v>8769</v>
      </c>
      <c r="O1256" s="1" t="s">
        <v>127</v>
      </c>
      <c r="P1256" s="1" t="s">
        <v>17019</v>
      </c>
      <c r="Q1256" s="1" t="s">
        <v>3584</v>
      </c>
      <c r="R1256" s="1" t="s">
        <v>3583</v>
      </c>
      <c r="S1256" s="1" t="s">
        <v>15052</v>
      </c>
      <c r="AF1256" s="10">
        <v>2000000.0</v>
      </c>
      <c r="AG1256" s="1">
        <v>7.215081577E9</v>
      </c>
      <c r="AJ1256" s="1">
        <v>153.0</v>
      </c>
      <c r="AK1256" s="1">
        <v>47.0</v>
      </c>
      <c r="AL1256" s="1" t="s">
        <v>19408</v>
      </c>
      <c r="AM1256" s="1" t="s">
        <v>19409</v>
      </c>
      <c r="AN1256" s="7" t="s">
        <v>19410</v>
      </c>
      <c r="AO1256" s="8" t="str">
        <f>HYPERLINK("https://docs.google.com/document/d/1-UFfar4mxQxMSAVQQeD1IEE0kfvw1nzOQzEVYNG4hfY/edit?usp=drivesdk","Al-Wildan 20 Mataram_Ana Febrianti B.A_")</f>
        <v>Al-Wildan 20 Mataram_Ana Febrianti B.A_</v>
      </c>
      <c r="AP1256" s="1" t="s">
        <v>19411</v>
      </c>
    </row>
    <row r="1257">
      <c r="A1257" s="6">
        <v>45832.72259355324</v>
      </c>
      <c r="B1257" s="7" t="s">
        <v>19412</v>
      </c>
      <c r="C1257" s="8" t="s">
        <v>19413</v>
      </c>
      <c r="D1257" s="1" t="s">
        <v>19414</v>
      </c>
      <c r="E1257" s="9" t="s">
        <v>19415</v>
      </c>
      <c r="F1257" s="1" t="s">
        <v>19416</v>
      </c>
      <c r="G1257" s="1" t="s">
        <v>19417</v>
      </c>
      <c r="H1257" s="1" t="s">
        <v>2689</v>
      </c>
      <c r="I1257" s="9" t="s">
        <v>19418</v>
      </c>
      <c r="J1257" s="1" t="s">
        <v>3929</v>
      </c>
      <c r="K1257" s="1" t="s">
        <v>102</v>
      </c>
      <c r="L1257" s="1" t="s">
        <v>103</v>
      </c>
      <c r="M1257" s="1" t="s">
        <v>13917</v>
      </c>
      <c r="N1257" s="1" t="s">
        <v>15312</v>
      </c>
      <c r="O1257" s="1" t="s">
        <v>312</v>
      </c>
      <c r="P1257" s="1" t="s">
        <v>11207</v>
      </c>
      <c r="Q1257" s="1" t="s">
        <v>19419</v>
      </c>
      <c r="R1257" s="1" t="s">
        <v>19420</v>
      </c>
      <c r="S1257" s="1" t="s">
        <v>277</v>
      </c>
      <c r="Z1257" s="1" t="s">
        <v>19421</v>
      </c>
      <c r="AA1257" s="10">
        <v>4000000.0</v>
      </c>
      <c r="AB1257" s="1" t="s">
        <v>19422</v>
      </c>
      <c r="AC1257" s="10">
        <v>1500000.0</v>
      </c>
      <c r="AD1257" s="1" t="s">
        <v>19423</v>
      </c>
      <c r="AE1257" s="10">
        <v>1000000.0</v>
      </c>
      <c r="AF1257" s="10">
        <v>5000000.0</v>
      </c>
      <c r="AG1257" s="1">
        <v>7.241069828E9</v>
      </c>
      <c r="AJ1257" s="1">
        <v>160.0</v>
      </c>
      <c r="AK1257" s="1">
        <v>58.0</v>
      </c>
      <c r="AL1257" s="1" t="s">
        <v>19424</v>
      </c>
      <c r="AM1257" s="1" t="s">
        <v>19425</v>
      </c>
      <c r="AN1257" s="7" t="s">
        <v>19426</v>
      </c>
      <c r="AO1257" s="8" t="str">
        <f>HYPERLINK("https://docs.google.com/document/d/16f9XTOZIubkIcI_g7Pnc9Qcp7fM8-Si4BYZMmktjyuw/edit?usp=drivesdk","Al-Wildan 16 Ciledug_Dini Apriyani Sopiah S.Or_Pendidikan Jasmani Olahraga dan Kesehatan")</f>
        <v>Al-Wildan 16 Ciledug_Dini Apriyani Sopiah S.Or_Pendidikan Jasmani Olahraga dan Kesehatan</v>
      </c>
      <c r="AP1257" s="1" t="s">
        <v>19427</v>
      </c>
    </row>
    <row r="1258">
      <c r="A1258" s="6">
        <v>45832.73195929398</v>
      </c>
      <c r="B1258" s="7" t="s">
        <v>19428</v>
      </c>
      <c r="C1258" s="8" t="s">
        <v>19429</v>
      </c>
      <c r="D1258" s="1" t="s">
        <v>19414</v>
      </c>
      <c r="E1258" s="9" t="s">
        <v>19415</v>
      </c>
      <c r="F1258" s="1" t="s">
        <v>19416</v>
      </c>
      <c r="G1258" s="1" t="s">
        <v>19430</v>
      </c>
      <c r="H1258" s="1" t="s">
        <v>169</v>
      </c>
      <c r="I1258" s="9" t="s">
        <v>19418</v>
      </c>
      <c r="J1258" s="1" t="s">
        <v>3929</v>
      </c>
      <c r="K1258" s="1" t="s">
        <v>102</v>
      </c>
      <c r="L1258" s="1" t="s">
        <v>103</v>
      </c>
      <c r="M1258" s="1" t="s">
        <v>13917</v>
      </c>
      <c r="N1258" s="1" t="s">
        <v>15312</v>
      </c>
      <c r="O1258" s="1" t="s">
        <v>312</v>
      </c>
      <c r="P1258" s="1" t="s">
        <v>11207</v>
      </c>
      <c r="Q1258" s="1" t="s">
        <v>108</v>
      </c>
      <c r="R1258" s="1" t="s">
        <v>19420</v>
      </c>
      <c r="S1258" s="1" t="s">
        <v>277</v>
      </c>
      <c r="Z1258" s="1" t="s">
        <v>19431</v>
      </c>
      <c r="AA1258" s="10">
        <v>1000000.0</v>
      </c>
      <c r="AB1258" s="1" t="s">
        <v>19432</v>
      </c>
      <c r="AC1258" s="10">
        <v>1500000.0</v>
      </c>
      <c r="AD1258" s="1" t="s">
        <v>19433</v>
      </c>
      <c r="AE1258" s="10">
        <v>4000000.0</v>
      </c>
      <c r="AF1258" s="10">
        <v>5000000.0</v>
      </c>
      <c r="AG1258" s="1">
        <v>7.241069828E9</v>
      </c>
      <c r="AJ1258" s="1">
        <v>160.0</v>
      </c>
      <c r="AK1258" s="1">
        <v>58.0</v>
      </c>
      <c r="AL1258" s="1" t="s">
        <v>19424</v>
      </c>
      <c r="AM1258" s="1" t="s">
        <v>19434</v>
      </c>
      <c r="AN1258" s="7" t="s">
        <v>19435</v>
      </c>
      <c r="AO1258" s="8" t="str">
        <f>HYPERLINK("https://docs.google.com/document/d/1YcZ7P2OMXqDu9d6AsqdRF-3cqxIMVbf6VYdUAAOL3WE/edit?usp=drivesdk","Al-Wildan 16 Ciledug_Dini Apriyani Sopiah S.Or_Pendidikan Jasmani Olahraga dan Kesehatan")</f>
        <v>Al-Wildan 16 Ciledug_Dini Apriyani Sopiah S.Or_Pendidikan Jasmani Olahraga dan Kesehatan</v>
      </c>
      <c r="AP1258" s="1" t="s">
        <v>19436</v>
      </c>
    </row>
    <row r="1259">
      <c r="A1259" s="6">
        <v>45832.948644930555</v>
      </c>
      <c r="B1259" s="7" t="s">
        <v>19437</v>
      </c>
      <c r="C1259" s="8" t="s">
        <v>19438</v>
      </c>
      <c r="D1259" s="1" t="s">
        <v>19439</v>
      </c>
      <c r="E1259" s="9" t="s">
        <v>19440</v>
      </c>
      <c r="F1259" s="1" t="s">
        <v>19441</v>
      </c>
      <c r="G1259" s="1" t="s">
        <v>19442</v>
      </c>
      <c r="H1259" s="1" t="s">
        <v>2578</v>
      </c>
      <c r="I1259" s="9" t="s">
        <v>5463</v>
      </c>
      <c r="J1259" s="1" t="s">
        <v>628</v>
      </c>
      <c r="K1259" s="1" t="s">
        <v>102</v>
      </c>
      <c r="L1259" s="1" t="s">
        <v>827</v>
      </c>
      <c r="M1259" s="1" t="s">
        <v>104</v>
      </c>
      <c r="N1259" s="1" t="s">
        <v>126</v>
      </c>
      <c r="O1259" s="1" t="s">
        <v>312</v>
      </c>
      <c r="P1259" s="1" t="s">
        <v>17019</v>
      </c>
      <c r="Q1259" s="1" t="s">
        <v>19443</v>
      </c>
      <c r="R1259" s="1" t="s">
        <v>6220</v>
      </c>
      <c r="S1259" s="1" t="s">
        <v>2369</v>
      </c>
      <c r="T1259" s="1" t="s">
        <v>19444</v>
      </c>
      <c r="U1259" s="1" t="s">
        <v>6010</v>
      </c>
      <c r="V1259" s="1" t="s">
        <v>4021</v>
      </c>
      <c r="Z1259" s="1" t="s">
        <v>19445</v>
      </c>
      <c r="AA1259" s="10">
        <v>3000000.0</v>
      </c>
      <c r="AB1259" s="1" t="s">
        <v>19446</v>
      </c>
      <c r="AC1259" s="10">
        <v>2000000.0</v>
      </c>
      <c r="AF1259" s="10">
        <v>5000000.0</v>
      </c>
      <c r="AH1259" s="9" t="s">
        <v>19447</v>
      </c>
      <c r="AI1259" s="1" t="s">
        <v>9002</v>
      </c>
      <c r="AJ1259" s="1">
        <v>157.0</v>
      </c>
      <c r="AK1259" s="1">
        <v>54.0</v>
      </c>
      <c r="AL1259" s="1" t="s">
        <v>19448</v>
      </c>
      <c r="AM1259" s="1" t="s">
        <v>19449</v>
      </c>
      <c r="AN1259" s="7" t="s">
        <v>19450</v>
      </c>
      <c r="AO1259" s="8" t="str">
        <f>HYPERLINK("https://docs.google.com/document/d/14XmQiW1kRXOTKI0yk2Grp0jDNXiSeRuTBD6WWoLM9SY/edit?usp=drivesdk","Al-Wildan 20 Mataram_Anggun Wahyuni, S.T.,M.Sc_Matematika")</f>
        <v>Al-Wildan 20 Mataram_Anggun Wahyuni, S.T.,M.Sc_Matematika</v>
      </c>
      <c r="AP1259" s="1" t="s">
        <v>19451</v>
      </c>
    </row>
    <row r="1260">
      <c r="A1260" s="6">
        <v>45833.56006121528</v>
      </c>
      <c r="B1260" s="7" t="s">
        <v>19452</v>
      </c>
      <c r="C1260" s="8" t="s">
        <v>19453</v>
      </c>
      <c r="D1260" s="1" t="s">
        <v>19454</v>
      </c>
      <c r="E1260" s="9" t="s">
        <v>19455</v>
      </c>
      <c r="F1260" s="1" t="s">
        <v>19456</v>
      </c>
      <c r="G1260" s="1" t="s">
        <v>4585</v>
      </c>
      <c r="H1260" s="1" t="s">
        <v>4585</v>
      </c>
      <c r="I1260" s="9" t="s">
        <v>19457</v>
      </c>
      <c r="J1260" s="1">
        <v>37.0</v>
      </c>
      <c r="K1260" s="1" t="s">
        <v>102</v>
      </c>
      <c r="L1260" s="1" t="s">
        <v>103</v>
      </c>
      <c r="M1260" s="1" t="s">
        <v>104</v>
      </c>
      <c r="N1260" s="1" t="s">
        <v>235</v>
      </c>
      <c r="O1260" s="1" t="s">
        <v>312</v>
      </c>
      <c r="P1260" s="1" t="s">
        <v>14439</v>
      </c>
      <c r="Q1260" s="1" t="s">
        <v>19458</v>
      </c>
      <c r="R1260" s="1" t="s">
        <v>7896</v>
      </c>
      <c r="S1260" s="1" t="s">
        <v>1612</v>
      </c>
      <c r="Z1260" s="1" t="s">
        <v>19459</v>
      </c>
      <c r="AA1260" s="10">
        <v>4000000.0</v>
      </c>
      <c r="AB1260" s="1" t="s">
        <v>19460</v>
      </c>
      <c r="AC1260" s="10">
        <v>5000000.0</v>
      </c>
      <c r="AF1260" s="1" t="s">
        <v>19461</v>
      </c>
      <c r="AG1260" s="1">
        <v>8.56033816E9</v>
      </c>
      <c r="AJ1260" s="1">
        <v>168.0</v>
      </c>
      <c r="AK1260" s="1">
        <v>62.0</v>
      </c>
      <c r="AL1260" s="1" t="s">
        <v>19462</v>
      </c>
      <c r="AM1260" s="1" t="s">
        <v>19463</v>
      </c>
      <c r="AN1260" s="7" t="s">
        <v>19464</v>
      </c>
      <c r="AO1260" s="8" t="str">
        <f>HYPERLINK("https://docs.google.com/document/d/1c96-giu-akcv-W9ZMUVzkRfCv7bHhrxMFOmVTqOOgRc/edit?usp=drivesdk","Al-Wildan 22 Makassar_Ahmad ahsan natsir.Lc, S.PdI_Bahasa Arab")</f>
        <v>Al-Wildan 22 Makassar_Ahmad ahsan natsir.Lc, S.PdI_Bahasa Arab</v>
      </c>
      <c r="AP1260" s="1" t="s">
        <v>19465</v>
      </c>
    </row>
    <row r="1261">
      <c r="A1261" s="6">
        <v>45833.59559347222</v>
      </c>
      <c r="B1261" s="7" t="s">
        <v>19466</v>
      </c>
      <c r="C1261" s="8" t="s">
        <v>19467</v>
      </c>
      <c r="D1261" s="1" t="s">
        <v>19468</v>
      </c>
      <c r="E1261" s="9" t="s">
        <v>19469</v>
      </c>
      <c r="F1261" s="1" t="s">
        <v>19470</v>
      </c>
      <c r="G1261" s="1" t="s">
        <v>19471</v>
      </c>
      <c r="H1261" s="1" t="s">
        <v>19472</v>
      </c>
      <c r="I1261" s="9" t="s">
        <v>19473</v>
      </c>
      <c r="J1261" s="1" t="s">
        <v>7424</v>
      </c>
      <c r="K1261" s="1" t="s">
        <v>151</v>
      </c>
      <c r="L1261" s="1" t="s">
        <v>103</v>
      </c>
      <c r="M1261" s="1" t="s">
        <v>104</v>
      </c>
      <c r="N1261" s="1" t="s">
        <v>4312</v>
      </c>
      <c r="O1261" s="1" t="s">
        <v>9794</v>
      </c>
      <c r="P1261" s="1" t="s">
        <v>14439</v>
      </c>
      <c r="Q1261" s="1" t="s">
        <v>19474</v>
      </c>
      <c r="R1261" s="1" t="s">
        <v>989</v>
      </c>
      <c r="S1261" s="1" t="s">
        <v>8998</v>
      </c>
      <c r="T1261" s="1" t="s">
        <v>19475</v>
      </c>
      <c r="U1261" s="1" t="s">
        <v>989</v>
      </c>
      <c r="V1261" s="1" t="s">
        <v>6418</v>
      </c>
      <c r="Z1261" s="1" t="s">
        <v>19476</v>
      </c>
      <c r="AA1261" s="10">
        <v>500000.0</v>
      </c>
      <c r="AF1261" s="10">
        <v>4000000.0</v>
      </c>
      <c r="AH1261" s="1">
        <v>1.943819362E9</v>
      </c>
      <c r="AI1261" s="1" t="s">
        <v>159</v>
      </c>
      <c r="AJ1261" s="1">
        <v>158.0</v>
      </c>
      <c r="AK1261" s="1">
        <v>59.0</v>
      </c>
      <c r="AL1261" s="1" t="s">
        <v>19477</v>
      </c>
      <c r="AM1261" s="1" t="s">
        <v>19478</v>
      </c>
      <c r="AN1261" s="7" t="s">
        <v>19479</v>
      </c>
      <c r="AO1261" s="8" t="str">
        <f>HYPERLINK("https://docs.google.com/document/d/1U-M1X2xKCULi4ofi8Cld07MUbDO5fypaaNQqc4dR5XY/edit?usp=drivesdk","Al-Wildan 22 Makassar_Nurul Annisa Husain, S.Pd. Gr., M.Pd._Science")</f>
        <v>Al-Wildan 22 Makassar_Nurul Annisa Husain, S.Pd. Gr., M.Pd._Science</v>
      </c>
      <c r="AP1261" s="1" t="s">
        <v>19480</v>
      </c>
    </row>
    <row r="1262">
      <c r="A1262" s="6">
        <v>45833.632399270835</v>
      </c>
      <c r="B1262" s="7" t="s">
        <v>19481</v>
      </c>
      <c r="C1262" s="8" t="s">
        <v>19482</v>
      </c>
      <c r="D1262" s="1" t="s">
        <v>19483</v>
      </c>
      <c r="E1262" s="9" t="s">
        <v>19484</v>
      </c>
      <c r="F1262" s="1" t="s">
        <v>19485</v>
      </c>
      <c r="G1262" s="1" t="s">
        <v>19486</v>
      </c>
      <c r="H1262" s="1" t="s">
        <v>15811</v>
      </c>
      <c r="I1262" s="9" t="s">
        <v>19487</v>
      </c>
      <c r="J1262" s="1" t="s">
        <v>12360</v>
      </c>
      <c r="K1262" s="1" t="s">
        <v>151</v>
      </c>
      <c r="L1262" s="1" t="s">
        <v>329</v>
      </c>
      <c r="M1262" s="1" t="s">
        <v>104</v>
      </c>
      <c r="N1262" s="1" t="s">
        <v>8581</v>
      </c>
      <c r="O1262" s="1" t="s">
        <v>127</v>
      </c>
      <c r="P1262" s="1" t="s">
        <v>5712</v>
      </c>
      <c r="Q1262" s="1" t="s">
        <v>3361</v>
      </c>
      <c r="R1262" s="1" t="s">
        <v>19488</v>
      </c>
      <c r="S1262" s="1" t="s">
        <v>155</v>
      </c>
      <c r="Z1262" s="1" t="s">
        <v>19489</v>
      </c>
      <c r="AA1262" s="10">
        <v>5000000.0</v>
      </c>
      <c r="AF1262" s="10">
        <v>5000000.0</v>
      </c>
      <c r="AG1262" s="1">
        <v>7.152113778E9</v>
      </c>
      <c r="AI1262" s="1" t="s">
        <v>5113</v>
      </c>
      <c r="AJ1262" s="1">
        <v>168.0</v>
      </c>
      <c r="AK1262" s="1">
        <v>55.0</v>
      </c>
      <c r="AL1262" s="1" t="s">
        <v>19490</v>
      </c>
      <c r="AM1262" s="1" t="s">
        <v>19491</v>
      </c>
      <c r="AN1262" s="7" t="s">
        <v>19492</v>
      </c>
      <c r="AO1262" s="8" t="str">
        <f>HYPERLINK("https://docs.google.com/document/d/1pDF--5THmnUxcQaVcvtiPSoe-O2wNPnxV-4x-9hAt1E/edit?usp=drivesdk","Al-Wildan 3 BSD City_Abu Bakar Nurrahman, S. Ag._Al-Qur'an ")</f>
        <v>Al-Wildan 3 BSD City_Abu Bakar Nurrahman, S. Ag._Al-Qur'an </v>
      </c>
      <c r="AP1262" s="1" t="s">
        <v>19493</v>
      </c>
    </row>
    <row r="1263">
      <c r="A1263" s="6">
        <v>45833.64038224537</v>
      </c>
      <c r="B1263" s="7" t="s">
        <v>19494</v>
      </c>
      <c r="C1263" s="8" t="s">
        <v>19495</v>
      </c>
      <c r="D1263" s="1" t="s">
        <v>19496</v>
      </c>
      <c r="E1263" s="9" t="s">
        <v>19497</v>
      </c>
      <c r="F1263" s="1" t="s">
        <v>19498</v>
      </c>
      <c r="G1263" s="1" t="s">
        <v>19499</v>
      </c>
      <c r="H1263" s="1" t="s">
        <v>7160</v>
      </c>
      <c r="I1263" s="9" t="s">
        <v>19500</v>
      </c>
      <c r="J1263" s="1" t="s">
        <v>7941</v>
      </c>
      <c r="K1263" s="1" t="s">
        <v>151</v>
      </c>
      <c r="L1263" s="1" t="s">
        <v>103</v>
      </c>
      <c r="M1263" s="1" t="s">
        <v>104</v>
      </c>
      <c r="N1263" s="1" t="s">
        <v>1275</v>
      </c>
      <c r="O1263" s="1" t="s">
        <v>106</v>
      </c>
      <c r="P1263" s="1" t="s">
        <v>11207</v>
      </c>
      <c r="Q1263" s="1" t="s">
        <v>291</v>
      </c>
      <c r="R1263" s="1" t="s">
        <v>989</v>
      </c>
      <c r="S1263" s="1" t="s">
        <v>1730</v>
      </c>
      <c r="AF1263" s="10">
        <v>4800000.0</v>
      </c>
      <c r="AH1263" s="1">
        <v>8.47938249E8</v>
      </c>
      <c r="AI1263" s="1" t="s">
        <v>159</v>
      </c>
      <c r="AJ1263" s="1">
        <v>180.0</v>
      </c>
      <c r="AK1263" s="1">
        <v>62.0</v>
      </c>
      <c r="AL1263" s="1" t="s">
        <v>19501</v>
      </c>
      <c r="AM1263" s="1" t="s">
        <v>19502</v>
      </c>
      <c r="AN1263" s="7" t="s">
        <v>19503</v>
      </c>
      <c r="AO1263" s="8" t="str">
        <f>HYPERLINK("https://docs.google.com/document/d/1SAp5Ukv9ZEFLuOSXyREztitDqQhhMNqW79qvH1rrqdY/edit?usp=drivesdk","Al-Wildan 16 Ciledug_Akbar Rafiq Sholeh, S.Pd._Biologi")</f>
        <v>Al-Wildan 16 Ciledug_Akbar Rafiq Sholeh, S.Pd._Biologi</v>
      </c>
      <c r="AP1263" s="1" t="s">
        <v>19504</v>
      </c>
    </row>
    <row r="1264">
      <c r="A1264" s="6">
        <v>45833.76303828704</v>
      </c>
      <c r="B1264" s="7" t="s">
        <v>19505</v>
      </c>
      <c r="C1264" s="8" t="s">
        <v>19506</v>
      </c>
      <c r="D1264" s="1" t="s">
        <v>19507</v>
      </c>
      <c r="E1264" s="9" t="s">
        <v>19508</v>
      </c>
      <c r="F1264" s="1" t="s">
        <v>19509</v>
      </c>
      <c r="G1264" s="1" t="s">
        <v>3075</v>
      </c>
      <c r="H1264" s="1" t="s">
        <v>19510</v>
      </c>
      <c r="I1264" s="9" t="s">
        <v>19511</v>
      </c>
      <c r="J1264" s="1">
        <v>29.0</v>
      </c>
      <c r="K1264" s="1" t="s">
        <v>102</v>
      </c>
      <c r="L1264" s="1" t="s">
        <v>329</v>
      </c>
      <c r="M1264" s="1" t="s">
        <v>104</v>
      </c>
      <c r="N1264" s="1" t="s">
        <v>19512</v>
      </c>
      <c r="O1264" s="1" t="s">
        <v>106</v>
      </c>
      <c r="P1264" s="1" t="s">
        <v>5712</v>
      </c>
      <c r="Q1264" s="1" t="s">
        <v>19513</v>
      </c>
      <c r="R1264" s="1" t="s">
        <v>18725</v>
      </c>
      <c r="S1264" s="1">
        <v>3.77</v>
      </c>
      <c r="Z1264" s="1" t="s">
        <v>19514</v>
      </c>
      <c r="AF1264" s="1" t="s">
        <v>19515</v>
      </c>
      <c r="AG1264" s="1">
        <v>4.56578958E9</v>
      </c>
      <c r="AJ1264" s="1">
        <v>163.0</v>
      </c>
      <c r="AK1264" s="1">
        <v>65.0</v>
      </c>
      <c r="AL1264" s="1" t="s">
        <v>19516</v>
      </c>
      <c r="AM1264" s="1" t="s">
        <v>19517</v>
      </c>
      <c r="AN1264" s="7" t="s">
        <v>19518</v>
      </c>
      <c r="AO1264" s="8" t="str">
        <f>HYPERLINK("https://docs.google.com/document/d/1tPJU3XL-XXPxEhLhmOxVtU7pobHo9x4xIGd96sq_bto/edit?usp=drivesdk","Al-Wildan 3 BSD City_Ahmad Hadi Sultoni _AL-QUR’AN ")</f>
        <v>Al-Wildan 3 BSD City_Ahmad Hadi Sultoni _AL-QUR’AN </v>
      </c>
      <c r="AP1264" s="1" t="s">
        <v>19519</v>
      </c>
    </row>
    <row r="1265">
      <c r="A1265" s="6">
        <v>45833.79928056713</v>
      </c>
      <c r="B1265" s="7" t="s">
        <v>19520</v>
      </c>
      <c r="C1265" s="8" t="s">
        <v>19521</v>
      </c>
      <c r="D1265" s="1" t="s">
        <v>19522</v>
      </c>
      <c r="E1265" s="9" t="s">
        <v>19523</v>
      </c>
      <c r="F1265" s="1" t="s">
        <v>19524</v>
      </c>
      <c r="G1265" s="1" t="s">
        <v>19525</v>
      </c>
      <c r="H1265" s="1" t="s">
        <v>4139</v>
      </c>
      <c r="I1265" s="9" t="s">
        <v>1573</v>
      </c>
      <c r="J1265" s="1" t="s">
        <v>12019</v>
      </c>
      <c r="K1265" s="1" t="s">
        <v>151</v>
      </c>
      <c r="L1265" s="1" t="s">
        <v>329</v>
      </c>
      <c r="M1265" s="1" t="s">
        <v>104</v>
      </c>
      <c r="N1265" s="1" t="s">
        <v>2197</v>
      </c>
      <c r="O1265" s="1" t="s">
        <v>236</v>
      </c>
      <c r="P1265" s="1" t="s">
        <v>5712</v>
      </c>
      <c r="Q1265" s="1" t="s">
        <v>19526</v>
      </c>
      <c r="R1265" s="1" t="s">
        <v>10527</v>
      </c>
      <c r="S1265" s="1" t="s">
        <v>9882</v>
      </c>
      <c r="Z1265" s="1" t="s">
        <v>13278</v>
      </c>
      <c r="AF1265" s="10">
        <v>2500000.0</v>
      </c>
      <c r="AG1265" s="1">
        <v>7.142885748E9</v>
      </c>
      <c r="AJ1265" s="1">
        <v>169.0</v>
      </c>
      <c r="AK1265" s="1">
        <v>85.0</v>
      </c>
      <c r="AL1265" s="1" t="s">
        <v>19527</v>
      </c>
      <c r="AM1265" s="1" t="s">
        <v>19528</v>
      </c>
      <c r="AN1265" s="7" t="s">
        <v>19529</v>
      </c>
      <c r="AO1265" s="8" t="str">
        <f>HYPERLINK("https://docs.google.com/document/d/1sOzQXVQdy0nLroY6kRBLIKNaEXsxOXc3l7XW5bABNlk/edit?usp=drivesdk","Al-Wildan 3 BSD City_Imam Saimun, S.Ag._Al-Qur'an")</f>
        <v>Al-Wildan 3 BSD City_Imam Saimun, S.Ag._Al-Qur'an</v>
      </c>
      <c r="AP1265" s="1" t="s">
        <v>19530</v>
      </c>
    </row>
    <row r="1266">
      <c r="A1266" s="6">
        <v>45833.81211842592</v>
      </c>
      <c r="B1266" s="7" t="s">
        <v>19531</v>
      </c>
      <c r="C1266" s="8" t="s">
        <v>19532</v>
      </c>
      <c r="D1266" s="1" t="s">
        <v>19533</v>
      </c>
      <c r="E1266" s="9" t="s">
        <v>19534</v>
      </c>
      <c r="F1266" s="1" t="s">
        <v>19535</v>
      </c>
      <c r="G1266" s="1" t="s">
        <v>3075</v>
      </c>
      <c r="H1266" s="1" t="s">
        <v>19536</v>
      </c>
      <c r="I1266" s="9" t="s">
        <v>19537</v>
      </c>
      <c r="J1266" s="1" t="s">
        <v>6606</v>
      </c>
      <c r="K1266" s="1" t="s">
        <v>151</v>
      </c>
      <c r="L1266" s="1" t="s">
        <v>329</v>
      </c>
      <c r="M1266" s="1" t="s">
        <v>104</v>
      </c>
      <c r="N1266" s="1" t="s">
        <v>7307</v>
      </c>
      <c r="O1266" s="1" t="s">
        <v>236</v>
      </c>
      <c r="P1266" s="1" t="s">
        <v>5712</v>
      </c>
      <c r="Q1266" s="1" t="s">
        <v>19538</v>
      </c>
      <c r="R1266" s="1" t="s">
        <v>18725</v>
      </c>
      <c r="S1266" s="1" t="s">
        <v>6303</v>
      </c>
      <c r="Z1266" s="1" t="s">
        <v>19539</v>
      </c>
      <c r="AA1266" s="10">
        <v>2500000.0</v>
      </c>
      <c r="AF1266" s="10">
        <v>5000000.0</v>
      </c>
      <c r="AG1266" s="1">
        <v>7.173440728E9</v>
      </c>
      <c r="AJ1266" s="1">
        <v>169.0</v>
      </c>
      <c r="AK1266" s="1">
        <v>56.0</v>
      </c>
      <c r="AL1266" s="1" t="s">
        <v>19540</v>
      </c>
      <c r="AM1266" s="1" t="s">
        <v>19541</v>
      </c>
      <c r="AN1266" s="7" t="s">
        <v>19542</v>
      </c>
      <c r="AO1266" s="8" t="str">
        <f>HYPERLINK("https://docs.google.com/document/d/17InnGotfx4DnsIh2chqnp1KzxnbZ19y8bf81rHc8JaA/edit?usp=drivesdk","Al-Wildan 3 BSD City_Muhammad Faqqih El Fawwaz S.Ag_Al-Quran ")</f>
        <v>Al-Wildan 3 BSD City_Muhammad Faqqih El Fawwaz S.Ag_Al-Quran </v>
      </c>
      <c r="AP1266" s="1" t="s">
        <v>19543</v>
      </c>
    </row>
    <row r="1267">
      <c r="A1267" s="6">
        <v>45833.8121953588</v>
      </c>
      <c r="B1267" s="7" t="s">
        <v>19544</v>
      </c>
      <c r="C1267" s="8" t="s">
        <v>19545</v>
      </c>
      <c r="D1267" s="1" t="s">
        <v>19546</v>
      </c>
      <c r="E1267" s="9" t="s">
        <v>19547</v>
      </c>
      <c r="F1267" s="1" t="s">
        <v>19548</v>
      </c>
      <c r="G1267" s="1" t="s">
        <v>19549</v>
      </c>
      <c r="H1267" s="1" t="s">
        <v>4139</v>
      </c>
      <c r="I1267" s="9" t="s">
        <v>17974</v>
      </c>
      <c r="J1267" s="1" t="s">
        <v>5330</v>
      </c>
      <c r="K1267" s="1" t="s">
        <v>151</v>
      </c>
      <c r="L1267" s="1" t="s">
        <v>329</v>
      </c>
      <c r="M1267" s="1" t="s">
        <v>104</v>
      </c>
      <c r="N1267" s="1" t="s">
        <v>3444</v>
      </c>
      <c r="O1267" s="1" t="s">
        <v>127</v>
      </c>
      <c r="P1267" s="1" t="s">
        <v>5712</v>
      </c>
      <c r="Q1267" s="1" t="s">
        <v>19550</v>
      </c>
      <c r="R1267" s="1" t="s">
        <v>7309</v>
      </c>
      <c r="S1267" s="1" t="s">
        <v>110</v>
      </c>
      <c r="Z1267" s="1" t="s">
        <v>19551</v>
      </c>
      <c r="AA1267" s="10">
        <v>2500000.0</v>
      </c>
      <c r="AF1267" s="10">
        <v>5000000.0</v>
      </c>
      <c r="AG1267" s="1">
        <v>7.176564649E9</v>
      </c>
      <c r="AJ1267" s="1">
        <v>169.0</v>
      </c>
      <c r="AK1267" s="1">
        <v>57.0</v>
      </c>
      <c r="AL1267" s="1" t="s">
        <v>19552</v>
      </c>
      <c r="AM1267" s="1" t="s">
        <v>19553</v>
      </c>
      <c r="AN1267" s="7" t="s">
        <v>19554</v>
      </c>
      <c r="AO1267" s="8" t="str">
        <f>HYPERLINK("https://docs.google.com/document/d/1mCtGq1kN_IPAD976djjnyLAcXr8UkmGHWLjKVgHwGPw/edit?usp=drivesdk","Al-Wildan 3 BSD City_Nilzon Farhan Fadila, S.Ag_Al-Quran")</f>
        <v>Al-Wildan 3 BSD City_Nilzon Farhan Fadila, S.Ag_Al-Quran</v>
      </c>
      <c r="AP1267" s="1" t="s">
        <v>19543</v>
      </c>
    </row>
    <row r="1268">
      <c r="A1268" s="6">
        <v>45833.816194375</v>
      </c>
      <c r="B1268" s="7" t="s">
        <v>19555</v>
      </c>
      <c r="C1268" s="8" t="s">
        <v>19556</v>
      </c>
      <c r="D1268" s="1" t="s">
        <v>19557</v>
      </c>
      <c r="E1268" s="9" t="s">
        <v>19558</v>
      </c>
      <c r="F1268" s="1" t="s">
        <v>19559</v>
      </c>
      <c r="G1268" s="1" t="s">
        <v>2949</v>
      </c>
      <c r="H1268" s="1" t="s">
        <v>1018</v>
      </c>
      <c r="I1268" s="9" t="s">
        <v>19560</v>
      </c>
      <c r="J1268" s="1" t="s">
        <v>6398</v>
      </c>
      <c r="K1268" s="1" t="s">
        <v>151</v>
      </c>
      <c r="L1268" s="1" t="s">
        <v>329</v>
      </c>
      <c r="M1268" s="1" t="s">
        <v>104</v>
      </c>
      <c r="N1268" s="1" t="s">
        <v>3444</v>
      </c>
      <c r="O1268" s="1" t="s">
        <v>106</v>
      </c>
      <c r="P1268" s="1" t="s">
        <v>5712</v>
      </c>
      <c r="Q1268" s="1" t="s">
        <v>19550</v>
      </c>
      <c r="R1268" s="1" t="s">
        <v>7309</v>
      </c>
      <c r="S1268" s="1" t="s">
        <v>5523</v>
      </c>
      <c r="Z1268" s="1" t="s">
        <v>19561</v>
      </c>
      <c r="AA1268" s="10">
        <v>2500000.0</v>
      </c>
      <c r="AF1268" s="10">
        <v>5000000.0</v>
      </c>
      <c r="AG1268" s="1">
        <v>7.174596478E9</v>
      </c>
      <c r="AJ1268" s="1">
        <v>165.0</v>
      </c>
      <c r="AK1268" s="1">
        <v>66.0</v>
      </c>
      <c r="AL1268" s="1" t="s">
        <v>19562</v>
      </c>
      <c r="AM1268" s="1" t="s">
        <v>19563</v>
      </c>
      <c r="AN1268" s="7" t="s">
        <v>19564</v>
      </c>
      <c r="AO1268" s="8" t="str">
        <f>HYPERLINK("https://docs.google.com/document/d/1jDNZM0NXjxGW08OKLNac0I1QyhJQcpJBEQ31uRZvJq0/edit?usp=drivesdk","Al-Wildan 3 BSD City_Muhammad Haidar, S.Ag._Al-Quran")</f>
        <v>Al-Wildan 3 BSD City_Muhammad Haidar, S.Ag._Al-Quran</v>
      </c>
      <c r="AP1268" s="1" t="s">
        <v>19565</v>
      </c>
    </row>
    <row r="1269">
      <c r="A1269" s="6">
        <v>45833.85811134259</v>
      </c>
      <c r="B1269" s="7" t="s">
        <v>19566</v>
      </c>
      <c r="C1269" s="8" t="s">
        <v>19567</v>
      </c>
      <c r="D1269" s="1" t="s">
        <v>19568</v>
      </c>
      <c r="E1269" s="9" t="s">
        <v>19569</v>
      </c>
      <c r="F1269" s="1" t="s">
        <v>19570</v>
      </c>
      <c r="G1269" s="1" t="s">
        <v>19571</v>
      </c>
      <c r="H1269" s="1" t="s">
        <v>19572</v>
      </c>
      <c r="I1269" s="9" t="s">
        <v>19573</v>
      </c>
      <c r="J1269" s="1" t="s">
        <v>14081</v>
      </c>
      <c r="K1269" s="1" t="s">
        <v>151</v>
      </c>
      <c r="L1269" s="1" t="s">
        <v>103</v>
      </c>
      <c r="M1269" s="1" t="s">
        <v>104</v>
      </c>
      <c r="N1269" s="1" t="s">
        <v>15176</v>
      </c>
      <c r="O1269" s="1" t="s">
        <v>106</v>
      </c>
      <c r="P1269" s="1" t="s">
        <v>6659</v>
      </c>
      <c r="Q1269" s="1" t="s">
        <v>19574</v>
      </c>
      <c r="R1269" s="1" t="s">
        <v>19575</v>
      </c>
      <c r="S1269" s="9" t="s">
        <v>14190</v>
      </c>
      <c r="AF1269" s="10">
        <v>3800000.0</v>
      </c>
      <c r="AG1269" s="1">
        <v>7.296829115E9</v>
      </c>
      <c r="AI1269" s="1" t="s">
        <v>5561</v>
      </c>
      <c r="AJ1269" s="1">
        <v>171.0</v>
      </c>
      <c r="AK1269" s="1">
        <v>62.0</v>
      </c>
      <c r="AL1269" s="1" t="s">
        <v>19576</v>
      </c>
      <c r="AM1269" s="1" t="s">
        <v>19577</v>
      </c>
      <c r="AN1269" s="7" t="s">
        <v>19578</v>
      </c>
      <c r="AO1269" s="8" t="str">
        <f>HYPERLINK("https://docs.google.com/document/d/1RlvCvrRo0S056oRtNKt6jCZprqGQRphkb5o5bMxgKPI/edit?usp=drivesdk","Al-Wildan 15 Kompas Indah, Tambun Bekasi._Ramzi, S.H_ADA")</f>
        <v>Al-Wildan 15 Kompas Indah, Tambun Bekasi._Ramzi, S.H_ADA</v>
      </c>
      <c r="AP1269" s="1" t="s">
        <v>19579</v>
      </c>
    </row>
    <row r="1270">
      <c r="A1270" s="6">
        <v>45833.8662178125</v>
      </c>
      <c r="B1270" s="7" t="s">
        <v>19580</v>
      </c>
      <c r="C1270" s="8" t="s">
        <v>19581</v>
      </c>
      <c r="D1270" s="1" t="s">
        <v>19522</v>
      </c>
      <c r="E1270" s="9" t="s">
        <v>19523</v>
      </c>
      <c r="F1270" s="1" t="s">
        <v>19524</v>
      </c>
      <c r="G1270" s="1" t="s">
        <v>19525</v>
      </c>
      <c r="H1270" s="1" t="s">
        <v>4139</v>
      </c>
      <c r="I1270" s="9" t="s">
        <v>1573</v>
      </c>
      <c r="J1270" s="1" t="s">
        <v>12019</v>
      </c>
      <c r="K1270" s="1" t="s">
        <v>151</v>
      </c>
      <c r="L1270" s="1" t="s">
        <v>329</v>
      </c>
      <c r="M1270" s="1" t="s">
        <v>104</v>
      </c>
      <c r="N1270" s="1" t="s">
        <v>2197</v>
      </c>
      <c r="O1270" s="1" t="s">
        <v>236</v>
      </c>
      <c r="P1270" s="1" t="s">
        <v>5712</v>
      </c>
      <c r="Q1270" s="1" t="s">
        <v>19582</v>
      </c>
      <c r="R1270" s="1" t="s">
        <v>19583</v>
      </c>
      <c r="S1270" s="1" t="s">
        <v>9882</v>
      </c>
      <c r="Z1270" s="1" t="s">
        <v>19584</v>
      </c>
      <c r="AF1270" s="10">
        <v>5000000.0</v>
      </c>
      <c r="AG1270" s="1">
        <v>7.142885748E9</v>
      </c>
      <c r="AJ1270" s="1">
        <v>169.0</v>
      </c>
      <c r="AK1270" s="1">
        <v>85.0</v>
      </c>
      <c r="AL1270" s="1" t="s">
        <v>19527</v>
      </c>
      <c r="AM1270" s="1" t="s">
        <v>19585</v>
      </c>
      <c r="AN1270" s="7" t="s">
        <v>19586</v>
      </c>
      <c r="AO1270" s="8" t="str">
        <f>HYPERLINK("https://docs.google.com/document/d/1wFiXOo7B5MtMndUD2DXHTN-tIWPTLX8kJQpIecHJGIE/edit?usp=drivesdk","Al-Wildan 3 BSD City_Imam Saimun, S.Ag._Al-Qur'an")</f>
        <v>Al-Wildan 3 BSD City_Imam Saimun, S.Ag._Al-Qur'an</v>
      </c>
      <c r="AP1270" s="1" t="s">
        <v>19587</v>
      </c>
    </row>
    <row r="1271">
      <c r="A1271" s="6">
        <v>45834.38814916667</v>
      </c>
      <c r="B1271" s="7" t="s">
        <v>19588</v>
      </c>
      <c r="C1271" s="8" t="s">
        <v>19589</v>
      </c>
      <c r="D1271" s="1" t="s">
        <v>19590</v>
      </c>
      <c r="E1271" s="9" t="s">
        <v>19591</v>
      </c>
      <c r="F1271" s="1" t="s">
        <v>19592</v>
      </c>
      <c r="G1271" s="1" t="s">
        <v>253</v>
      </c>
      <c r="H1271" s="1" t="s">
        <v>19593</v>
      </c>
      <c r="I1271" s="9" t="s">
        <v>19594</v>
      </c>
      <c r="J1271" s="1" t="s">
        <v>12360</v>
      </c>
      <c r="K1271" s="1" t="s">
        <v>151</v>
      </c>
      <c r="L1271" s="1" t="s">
        <v>496</v>
      </c>
      <c r="M1271" s="1" t="s">
        <v>8769</v>
      </c>
      <c r="O1271" s="1" t="s">
        <v>127</v>
      </c>
      <c r="P1271" s="1" t="s">
        <v>14335</v>
      </c>
      <c r="Q1271" s="1" t="s">
        <v>19595</v>
      </c>
      <c r="R1271" s="1" t="s">
        <v>2355</v>
      </c>
      <c r="S1271" s="1" t="s">
        <v>6799</v>
      </c>
      <c r="Z1271" s="1" t="s">
        <v>19596</v>
      </c>
      <c r="AA1271" s="10">
        <v>1350000.0</v>
      </c>
      <c r="AB1271" s="1" t="s">
        <v>19596</v>
      </c>
      <c r="AC1271" s="10">
        <v>1800000.0</v>
      </c>
      <c r="AF1271" s="10">
        <v>3000000.0</v>
      </c>
      <c r="AG1271" s="1">
        <v>7.241490461E9</v>
      </c>
      <c r="AI1271" s="1" t="s">
        <v>5113</v>
      </c>
      <c r="AJ1271" s="1">
        <v>152.0</v>
      </c>
      <c r="AK1271" s="1">
        <v>45.0</v>
      </c>
      <c r="AL1271" s="1" t="s">
        <v>19597</v>
      </c>
      <c r="AM1271" s="1" t="s">
        <v>19598</v>
      </c>
      <c r="AN1271" s="7" t="s">
        <v>19599</v>
      </c>
      <c r="AO1271" s="8" t="str">
        <f>HYPERLINK("https://docs.google.com/document/d/1TdD2bNmeRJC6Va-EL2vsdO8dRHC4875iiPtLySHaKiE/edit?usp=drivesdk","Al-Wildan 13 Tembalang, Bekasi_Intan Cahya Hidayatullah, S.Pd_")</f>
        <v>Al-Wildan 13 Tembalang, Bekasi_Intan Cahya Hidayatullah, S.Pd_</v>
      </c>
      <c r="AP1271" s="1" t="s">
        <v>19600</v>
      </c>
    </row>
    <row r="1272">
      <c r="A1272" s="6">
        <v>45834.40551803241</v>
      </c>
      <c r="B1272" s="7" t="s">
        <v>19601</v>
      </c>
      <c r="C1272" s="8" t="s">
        <v>19602</v>
      </c>
      <c r="D1272" s="1" t="s">
        <v>19603</v>
      </c>
      <c r="E1272" s="9" t="s">
        <v>19604</v>
      </c>
      <c r="F1272" s="1" t="s">
        <v>19605</v>
      </c>
      <c r="G1272" s="1" t="s">
        <v>19606</v>
      </c>
      <c r="H1272" s="1" t="s">
        <v>1255</v>
      </c>
      <c r="I1272" s="9" t="s">
        <v>19607</v>
      </c>
      <c r="J1272" s="1" t="s">
        <v>12233</v>
      </c>
      <c r="K1272" s="1" t="s">
        <v>102</v>
      </c>
      <c r="L1272" s="1" t="s">
        <v>103</v>
      </c>
      <c r="M1272" s="1" t="s">
        <v>104</v>
      </c>
      <c r="N1272" s="1" t="s">
        <v>19608</v>
      </c>
      <c r="O1272" s="1" t="s">
        <v>312</v>
      </c>
      <c r="P1272" s="1" t="s">
        <v>6533</v>
      </c>
      <c r="Q1272" s="1" t="s">
        <v>19609</v>
      </c>
      <c r="R1272" s="1" t="s">
        <v>19610</v>
      </c>
      <c r="S1272" s="1" t="s">
        <v>19611</v>
      </c>
      <c r="Z1272" s="1" t="s">
        <v>19612</v>
      </c>
      <c r="AA1272" s="1" t="s">
        <v>19613</v>
      </c>
      <c r="AB1272" s="1" t="s">
        <v>19614</v>
      </c>
      <c r="AC1272" s="1" t="s">
        <v>19613</v>
      </c>
      <c r="AD1272" s="1" t="s">
        <v>19615</v>
      </c>
      <c r="AE1272" s="1" t="s">
        <v>19616</v>
      </c>
      <c r="AF1272" s="1" t="s">
        <v>19617</v>
      </c>
      <c r="AH1272" s="9" t="s">
        <v>19618</v>
      </c>
      <c r="AI1272" s="1" t="s">
        <v>159</v>
      </c>
      <c r="AJ1272" s="1">
        <v>170.0</v>
      </c>
      <c r="AK1272" s="1">
        <v>60.0</v>
      </c>
      <c r="AL1272" s="1" t="s">
        <v>19619</v>
      </c>
      <c r="AM1272" s="1" t="s">
        <v>19620</v>
      </c>
      <c r="AN1272" s="7" t="s">
        <v>19621</v>
      </c>
      <c r="AO1272" s="8" t="str">
        <f>HYPERLINK("https://docs.google.com/document/d/1_nZknHujQLsk1PER8Gkg5oIlbsK9EB7c3cGC8S1j31c/edit?usp=drivesdk","Al-Wildan 5 Benhil_Ilham Taufik Himawan_Arabic, Dinyah, Alquran")</f>
        <v>Al-Wildan 5 Benhil_Ilham Taufik Himawan_Arabic, Dinyah, Alquran</v>
      </c>
      <c r="AP1272" s="1" t="s">
        <v>19622</v>
      </c>
    </row>
    <row r="1273">
      <c r="A1273" s="6">
        <v>45835.759295462965</v>
      </c>
      <c r="B1273" s="7" t="s">
        <v>19623</v>
      </c>
      <c r="C1273" s="8" t="s">
        <v>19624</v>
      </c>
      <c r="D1273" s="1" t="s">
        <v>19625</v>
      </c>
      <c r="E1273" s="9" t="s">
        <v>19626</v>
      </c>
      <c r="F1273" s="1" t="s">
        <v>19627</v>
      </c>
      <c r="G1273" s="1" t="s">
        <v>19628</v>
      </c>
      <c r="H1273" s="1" t="s">
        <v>169</v>
      </c>
      <c r="I1273" s="9" t="s">
        <v>1976</v>
      </c>
      <c r="J1273" s="1" t="s">
        <v>3619</v>
      </c>
      <c r="K1273" s="1" t="s">
        <v>151</v>
      </c>
      <c r="L1273" s="1" t="s">
        <v>310</v>
      </c>
      <c r="M1273" s="1" t="s">
        <v>104</v>
      </c>
      <c r="N1273" s="1" t="s">
        <v>2401</v>
      </c>
      <c r="O1273" s="1" t="s">
        <v>127</v>
      </c>
      <c r="P1273" s="1" t="s">
        <v>5712</v>
      </c>
      <c r="Q1273" s="1" t="s">
        <v>3361</v>
      </c>
      <c r="R1273" s="1" t="s">
        <v>19629</v>
      </c>
      <c r="S1273" s="1">
        <v>3.77</v>
      </c>
      <c r="Z1273" s="1" t="s">
        <v>4386</v>
      </c>
      <c r="AG1273" s="1">
        <v>1.179966256E9</v>
      </c>
      <c r="AJ1273" s="1">
        <v>167.0</v>
      </c>
      <c r="AK1273" s="1">
        <v>60.0</v>
      </c>
      <c r="AL1273" s="1" t="s">
        <v>19630</v>
      </c>
      <c r="AM1273" s="1" t="s">
        <v>19631</v>
      </c>
      <c r="AN1273" s="7" t="s">
        <v>19632</v>
      </c>
      <c r="AO1273" s="8" t="str">
        <f>HYPERLINK("https://docs.google.com/document/d/1mAZM41BP15vFyE7c2DRea4F7ik3iVkRo-GEB_V5HJHU/edit?usp=drivesdk","Al-Wildan 3 BSD City_Faris Nazal Akbar, S.Ag._Al-qur'an")</f>
        <v>Al-Wildan 3 BSD City_Faris Nazal Akbar, S.Ag._Al-qur'an</v>
      </c>
      <c r="AP1273" s="1" t="s">
        <v>19633</v>
      </c>
    </row>
    <row r="1274">
      <c r="A1274" s="6">
        <v>45838.45284550926</v>
      </c>
      <c r="B1274" s="7" t="s">
        <v>19634</v>
      </c>
      <c r="C1274" s="8" t="s">
        <v>19635</v>
      </c>
      <c r="D1274" s="1" t="s">
        <v>19636</v>
      </c>
      <c r="E1274" s="9" t="s">
        <v>19637</v>
      </c>
      <c r="F1274" s="1" t="s">
        <v>19638</v>
      </c>
      <c r="G1274" s="1" t="s">
        <v>19639</v>
      </c>
      <c r="H1274" s="1" t="s">
        <v>169</v>
      </c>
      <c r="I1274" s="9" t="s">
        <v>6135</v>
      </c>
      <c r="J1274" s="1">
        <v>31.0</v>
      </c>
      <c r="K1274" s="1" t="s">
        <v>102</v>
      </c>
      <c r="L1274" s="1" t="s">
        <v>103</v>
      </c>
      <c r="M1274" s="1" t="s">
        <v>104</v>
      </c>
      <c r="N1274" s="1" t="s">
        <v>439</v>
      </c>
      <c r="O1274" s="1" t="s">
        <v>236</v>
      </c>
      <c r="P1274" s="1" t="s">
        <v>6091</v>
      </c>
      <c r="Q1274" s="1" t="s">
        <v>108</v>
      </c>
      <c r="R1274" s="1" t="s">
        <v>441</v>
      </c>
      <c r="S1274" s="1">
        <v>3.52</v>
      </c>
      <c r="Z1274" s="1" t="s">
        <v>19640</v>
      </c>
      <c r="AA1274" s="1">
        <v>2700000.0</v>
      </c>
      <c r="AB1274" s="1" t="s">
        <v>19641</v>
      </c>
      <c r="AC1274" s="1">
        <v>3000000.0</v>
      </c>
      <c r="AD1274" s="1" t="s">
        <v>19642</v>
      </c>
      <c r="AE1274" s="1">
        <v>3000000.0</v>
      </c>
      <c r="AF1274" s="1">
        <v>6000000.0</v>
      </c>
      <c r="AG1274" s="1">
        <v>7.106542346E9</v>
      </c>
      <c r="AJ1274" s="1">
        <v>160.0</v>
      </c>
      <c r="AK1274" s="1">
        <v>54.0</v>
      </c>
      <c r="AL1274" s="1" t="s">
        <v>19643</v>
      </c>
      <c r="AM1274" s="1" t="s">
        <v>19644</v>
      </c>
      <c r="AN1274" s="7" t="s">
        <v>19645</v>
      </c>
      <c r="AO1274" s="8" t="str">
        <f>HYPERLINK("https://docs.google.com/document/d/1mse6EzCLI7ByBjcLoLnKJZ9xKLq45ho5EVohuoNC_aY/edit?usp=drivesdk","Al-Wildan 10 Cipinang, Jakarta Timur_Resti Habibah, S.Pd_Sosiologi")</f>
        <v>Al-Wildan 10 Cipinang, Jakarta Timur_Resti Habibah, S.Pd_Sosiologi</v>
      </c>
      <c r="AP1274" s="1" t="s">
        <v>19646</v>
      </c>
    </row>
    <row r="1275">
      <c r="A1275" s="6">
        <v>45838.49148898148</v>
      </c>
      <c r="B1275" s="7" t="s">
        <v>19647</v>
      </c>
      <c r="C1275" s="8" t="s">
        <v>19648</v>
      </c>
      <c r="D1275" s="1" t="s">
        <v>19649</v>
      </c>
      <c r="E1275" s="9" t="s">
        <v>19650</v>
      </c>
      <c r="F1275" s="1" t="s">
        <v>19651</v>
      </c>
      <c r="G1275" s="1" t="s">
        <v>19652</v>
      </c>
      <c r="H1275" s="1" t="s">
        <v>19653</v>
      </c>
      <c r="I1275" s="9" t="s">
        <v>19654</v>
      </c>
      <c r="J1275" s="1">
        <v>31.0</v>
      </c>
      <c r="K1275" s="1" t="s">
        <v>102</v>
      </c>
      <c r="L1275" s="1" t="s">
        <v>103</v>
      </c>
      <c r="M1275" s="1" t="s">
        <v>104</v>
      </c>
      <c r="N1275" s="1" t="s">
        <v>3583</v>
      </c>
      <c r="O1275" s="1" t="s">
        <v>236</v>
      </c>
      <c r="P1275" s="1" t="s">
        <v>7162</v>
      </c>
      <c r="Q1275" s="1" t="s">
        <v>19655</v>
      </c>
      <c r="R1275" s="1" t="s">
        <v>19656</v>
      </c>
      <c r="S1275" s="1" t="s">
        <v>1612</v>
      </c>
      <c r="Z1275" s="1" t="s">
        <v>19657</v>
      </c>
      <c r="AA1275" s="10">
        <v>2000000.0</v>
      </c>
      <c r="AB1275" s="1" t="s">
        <v>19658</v>
      </c>
      <c r="AC1275" s="10">
        <v>2500000.0</v>
      </c>
      <c r="AD1275" s="1" t="s">
        <v>19659</v>
      </c>
      <c r="AE1275" s="10">
        <v>2700000.0</v>
      </c>
      <c r="AF1275" s="10">
        <v>4000000.0</v>
      </c>
      <c r="AG1275" s="1">
        <v>9.76212303E9</v>
      </c>
      <c r="AJ1275" s="1">
        <v>171.0</v>
      </c>
      <c r="AK1275" s="1">
        <v>65.0</v>
      </c>
      <c r="AL1275" s="1" t="s">
        <v>19660</v>
      </c>
      <c r="AM1275" s="1" t="s">
        <v>19661</v>
      </c>
      <c r="AN1275" s="7" t="s">
        <v>19662</v>
      </c>
      <c r="AO1275" s="8" t="str">
        <f>HYPERLINK("https://docs.google.com/document/d/1w3Zh3xx833XTXk9z5yQjMUU0bQV7CAAi1MW6pdDHvhU/edit?usp=drivesdk","Al-Wildan 7 Serang_Asro Mulyono, Lc., S.H_Bahasa Arab ")</f>
        <v>Al-Wildan 7 Serang_Asro Mulyono, Lc., S.H_Bahasa Arab </v>
      </c>
      <c r="AP1275" s="1" t="s">
        <v>19663</v>
      </c>
    </row>
    <row r="1276">
      <c r="A1276" s="6">
        <v>45838.51066635417</v>
      </c>
      <c r="B1276" s="7" t="s">
        <v>19664</v>
      </c>
      <c r="C1276" s="8" t="s">
        <v>19665</v>
      </c>
      <c r="D1276" s="1" t="s">
        <v>19666</v>
      </c>
      <c r="E1276" s="9" t="s">
        <v>19667</v>
      </c>
      <c r="F1276" s="1" t="s">
        <v>19668</v>
      </c>
      <c r="G1276" s="1" t="s">
        <v>19669</v>
      </c>
      <c r="H1276" s="1" t="s">
        <v>6812</v>
      </c>
      <c r="I1276" s="9" t="s">
        <v>19670</v>
      </c>
      <c r="J1276" s="1" t="s">
        <v>14112</v>
      </c>
      <c r="K1276" s="1" t="s">
        <v>151</v>
      </c>
      <c r="L1276" s="1" t="s">
        <v>329</v>
      </c>
      <c r="M1276" s="1" t="s">
        <v>104</v>
      </c>
      <c r="N1276" s="1" t="s">
        <v>19671</v>
      </c>
      <c r="O1276" s="1" t="s">
        <v>127</v>
      </c>
      <c r="P1276" s="1" t="s">
        <v>14335</v>
      </c>
      <c r="Q1276" s="1" t="s">
        <v>19672</v>
      </c>
      <c r="R1276" s="1" t="s">
        <v>459</v>
      </c>
      <c r="S1276" s="1" t="s">
        <v>363</v>
      </c>
      <c r="Z1276" s="1" t="s">
        <v>19673</v>
      </c>
      <c r="AA1276" s="1" t="s">
        <v>19674</v>
      </c>
      <c r="AB1276" s="1" t="s">
        <v>19675</v>
      </c>
      <c r="AC1276" s="1" t="s">
        <v>19676</v>
      </c>
      <c r="AF1276" s="1" t="s">
        <v>19677</v>
      </c>
      <c r="AG1276" s="1">
        <v>7.233955056E9</v>
      </c>
      <c r="AJ1276" s="1">
        <v>155.0</v>
      </c>
      <c r="AK1276" s="1">
        <v>49.0</v>
      </c>
      <c r="AL1276" s="1" t="s">
        <v>19678</v>
      </c>
      <c r="AM1276" s="1" t="s">
        <v>19679</v>
      </c>
      <c r="AN1276" s="7" t="s">
        <v>19680</v>
      </c>
      <c r="AO1276" s="8" t="str">
        <f>HYPERLINK("https://docs.google.com/document/d/1kZc5MjBsLalv5VXb3H8czv9mvV363WOIII47SeeS12s/edit?usp=drivesdk","Al-Wildan 13 Tembalang, Bekasi_Indah Oktaviani, S.Pd._IPS/Ekonomi")</f>
        <v>Al-Wildan 13 Tembalang, Bekasi_Indah Oktaviani, S.Pd._IPS/Ekonomi</v>
      </c>
      <c r="AP1276" s="1" t="s">
        <v>19681</v>
      </c>
    </row>
    <row r="1277">
      <c r="A1277" s="6">
        <v>45838.57658262731</v>
      </c>
      <c r="B1277" s="7" t="s">
        <v>19682</v>
      </c>
      <c r="C1277" s="8" t="s">
        <v>19683</v>
      </c>
      <c r="D1277" s="1" t="s">
        <v>19684</v>
      </c>
      <c r="E1277" s="9" t="s">
        <v>19685</v>
      </c>
      <c r="F1277" s="1" t="s">
        <v>19686</v>
      </c>
      <c r="G1277" s="1" t="s">
        <v>19687</v>
      </c>
      <c r="H1277" s="1" t="s">
        <v>722</v>
      </c>
      <c r="I1277" s="9" t="s">
        <v>19688</v>
      </c>
      <c r="J1277" s="1" t="s">
        <v>2131</v>
      </c>
      <c r="K1277" s="1" t="s">
        <v>151</v>
      </c>
      <c r="L1277" s="1" t="s">
        <v>329</v>
      </c>
      <c r="M1277" s="1" t="s">
        <v>104</v>
      </c>
      <c r="N1277" s="1" t="s">
        <v>1275</v>
      </c>
      <c r="O1277" s="1" t="s">
        <v>236</v>
      </c>
      <c r="P1277" s="1" t="s">
        <v>6091</v>
      </c>
      <c r="Q1277" s="1" t="s">
        <v>19689</v>
      </c>
      <c r="R1277" s="1" t="s">
        <v>989</v>
      </c>
      <c r="S1277" s="1" t="s">
        <v>3589</v>
      </c>
      <c r="Z1277" s="1" t="s">
        <v>19690</v>
      </c>
      <c r="AA1277" s="1" t="s">
        <v>19691</v>
      </c>
      <c r="AF1277" s="10">
        <v>8000000.0</v>
      </c>
      <c r="AH1277" s="1">
        <v>3.460666014E9</v>
      </c>
      <c r="AI1277" s="1" t="s">
        <v>19692</v>
      </c>
      <c r="AJ1277" s="1">
        <v>163.0</v>
      </c>
      <c r="AK1277" s="1">
        <v>43.0</v>
      </c>
      <c r="AL1277" s="1" t="s">
        <v>19693</v>
      </c>
      <c r="AM1277" s="1" t="s">
        <v>19694</v>
      </c>
      <c r="AN1277" s="7" t="s">
        <v>19695</v>
      </c>
      <c r="AO1277" s="8" t="str">
        <f>HYPERLINK("https://docs.google.com/document/d/1iA7-EnAHRkB60i2K7SGt0wCwVihppE37A4vHPQGOgb0/edit?usp=drivesdk","Al-Wildan 10 Cipinang, Jakarta Timur_Anggia Fitri Damayanti, S.Pd._Biologi")</f>
        <v>Al-Wildan 10 Cipinang, Jakarta Timur_Anggia Fitri Damayanti, S.Pd._Biologi</v>
      </c>
      <c r="AP1277" s="1" t="s">
        <v>19696</v>
      </c>
    </row>
    <row r="1278">
      <c r="A1278" s="6">
        <v>45838.73868358796</v>
      </c>
      <c r="B1278" s="7" t="s">
        <v>19697</v>
      </c>
      <c r="C1278" s="8" t="s">
        <v>19698</v>
      </c>
      <c r="D1278" s="1" t="s">
        <v>19699</v>
      </c>
      <c r="E1278" s="9" t="s">
        <v>19700</v>
      </c>
      <c r="F1278" s="1" t="s">
        <v>19701</v>
      </c>
      <c r="G1278" s="1" t="s">
        <v>19702</v>
      </c>
      <c r="H1278" s="1" t="s">
        <v>2076</v>
      </c>
      <c r="I1278" s="9" t="s">
        <v>12018</v>
      </c>
      <c r="J1278" s="1" t="s">
        <v>610</v>
      </c>
      <c r="K1278" s="1" t="s">
        <v>151</v>
      </c>
      <c r="L1278" s="1" t="s">
        <v>103</v>
      </c>
      <c r="M1278" s="1" t="s">
        <v>104</v>
      </c>
      <c r="N1278" s="1" t="s">
        <v>771</v>
      </c>
      <c r="O1278" s="1" t="s">
        <v>312</v>
      </c>
      <c r="P1278" s="1" t="s">
        <v>17019</v>
      </c>
      <c r="Q1278" s="1" t="s">
        <v>811</v>
      </c>
      <c r="R1278" s="1" t="s">
        <v>707</v>
      </c>
      <c r="S1278" s="1" t="s">
        <v>19703</v>
      </c>
      <c r="Z1278" s="1" t="s">
        <v>19704</v>
      </c>
      <c r="AA1278" s="10">
        <v>1200000.0</v>
      </c>
      <c r="AF1278" s="10">
        <v>3000000.0</v>
      </c>
      <c r="AG1278" s="1">
        <v>4.96235595E9</v>
      </c>
      <c r="AJ1278" s="1">
        <v>162.0</v>
      </c>
      <c r="AK1278" s="1">
        <v>65.0</v>
      </c>
      <c r="AL1278" s="1" t="s">
        <v>19705</v>
      </c>
      <c r="AM1278" s="1" t="s">
        <v>19706</v>
      </c>
      <c r="AN1278" s="7" t="s">
        <v>19707</v>
      </c>
      <c r="AO1278" s="8" t="str">
        <f>HYPERLINK("https://docs.google.com/document/d/15NrV2UuO5M5OGAED633i-R8mokK0UEnqTLp-op1qReI/edit?usp=drivesdk","Al-Wildan 20 Mataram_Nurlaili Azizah, Lc. _English")</f>
        <v>Al-Wildan 20 Mataram_Nurlaili Azizah, Lc. _English</v>
      </c>
      <c r="AP1278" s="1" t="s">
        <v>19708</v>
      </c>
    </row>
    <row r="1279">
      <c r="A1279" s="6">
        <v>45838.76250431713</v>
      </c>
      <c r="B1279" s="7" t="s">
        <v>19709</v>
      </c>
      <c r="C1279" s="8" t="s">
        <v>19710</v>
      </c>
      <c r="D1279" s="1" t="s">
        <v>19711</v>
      </c>
      <c r="E1279" s="9" t="s">
        <v>19712</v>
      </c>
      <c r="F1279" s="1" t="s">
        <v>19713</v>
      </c>
      <c r="G1279" s="1" t="s">
        <v>19714</v>
      </c>
      <c r="H1279" s="1" t="s">
        <v>2076</v>
      </c>
      <c r="I1279" s="9" t="s">
        <v>19715</v>
      </c>
      <c r="J1279" s="1" t="s">
        <v>423</v>
      </c>
      <c r="K1279" s="1" t="s">
        <v>151</v>
      </c>
      <c r="L1279" s="1" t="s">
        <v>329</v>
      </c>
      <c r="M1279" s="1" t="s">
        <v>104</v>
      </c>
      <c r="N1279" s="1" t="s">
        <v>19716</v>
      </c>
      <c r="O1279" s="1" t="s">
        <v>127</v>
      </c>
      <c r="P1279" s="1" t="s">
        <v>14335</v>
      </c>
      <c r="Q1279" s="1" t="s">
        <v>1022</v>
      </c>
      <c r="R1279" s="1" t="s">
        <v>1611</v>
      </c>
      <c r="S1279" s="1" t="s">
        <v>134</v>
      </c>
      <c r="Z1279" s="1" t="s">
        <v>19717</v>
      </c>
      <c r="AA1279" s="10">
        <v>600000.0</v>
      </c>
      <c r="AB1279" s="1" t="s">
        <v>19717</v>
      </c>
      <c r="AC1279" s="10">
        <v>500000.0</v>
      </c>
      <c r="AD1279" s="1" t="s">
        <v>19718</v>
      </c>
      <c r="AE1279" s="1" t="s">
        <v>19719</v>
      </c>
      <c r="AF1279" s="10">
        <v>4500000.0</v>
      </c>
      <c r="AG1279" s="1">
        <v>7.265555367E9</v>
      </c>
      <c r="AJ1279" s="1">
        <v>161.0</v>
      </c>
      <c r="AK1279" s="1">
        <v>46.0</v>
      </c>
      <c r="AL1279" s="1" t="s">
        <v>19720</v>
      </c>
      <c r="AM1279" s="1" t="s">
        <v>19721</v>
      </c>
      <c r="AN1279" s="7" t="s">
        <v>19722</v>
      </c>
      <c r="AO1279" s="8" t="str">
        <f>HYPERLINK("https://docs.google.com/document/d/1FKMcI4eNImagvrfWEdlPMt3cG72uFkWX-cg4OMqgN8M/edit?usp=drivesdk","Al-Wildan 13 Tembalang, Bekasi_Mutiatun Walidaini, B.A._A. D. A")</f>
        <v>Al-Wildan 13 Tembalang, Bekasi_Mutiatun Walidaini, B.A._A. D. A</v>
      </c>
      <c r="AP1279" s="1" t="s">
        <v>19723</v>
      </c>
    </row>
    <row r="1280">
      <c r="A1280" s="6">
        <v>45838.78332707176</v>
      </c>
      <c r="B1280" s="7" t="s">
        <v>19724</v>
      </c>
      <c r="C1280" s="8" t="s">
        <v>19725</v>
      </c>
      <c r="D1280" s="1" t="s">
        <v>19726</v>
      </c>
      <c r="E1280" s="9" t="s">
        <v>19727</v>
      </c>
      <c r="F1280" s="1" t="s">
        <v>19728</v>
      </c>
      <c r="G1280" s="1" t="s">
        <v>19729</v>
      </c>
      <c r="H1280" s="1" t="s">
        <v>19730</v>
      </c>
      <c r="I1280" s="9" t="s">
        <v>4446</v>
      </c>
      <c r="J1280" s="1" t="s">
        <v>19731</v>
      </c>
      <c r="K1280" s="1" t="s">
        <v>151</v>
      </c>
      <c r="L1280" s="1" t="s">
        <v>827</v>
      </c>
      <c r="M1280" s="1" t="s">
        <v>424</v>
      </c>
      <c r="O1280" s="1" t="s">
        <v>9794</v>
      </c>
      <c r="P1280" s="1" t="s">
        <v>6187</v>
      </c>
      <c r="Q1280" s="1" t="s">
        <v>19732</v>
      </c>
      <c r="R1280" s="1" t="s">
        <v>19733</v>
      </c>
      <c r="S1280" s="1" t="s">
        <v>19734</v>
      </c>
      <c r="Z1280" s="1" t="s">
        <v>19735</v>
      </c>
      <c r="AA1280" s="10">
        <v>1697850.0</v>
      </c>
      <c r="AF1280" s="10">
        <v>5000000.0</v>
      </c>
      <c r="AH1280" s="1">
        <v>2.730007462E9</v>
      </c>
      <c r="AI1280" s="1" t="s">
        <v>7412</v>
      </c>
      <c r="AJ1280" s="1">
        <v>150.0</v>
      </c>
      <c r="AK1280" s="1">
        <v>56.0</v>
      </c>
      <c r="AL1280" s="1" t="s">
        <v>19736</v>
      </c>
      <c r="AM1280" s="1" t="s">
        <v>19737</v>
      </c>
      <c r="AN1280" s="7" t="s">
        <v>19738</v>
      </c>
      <c r="AO1280" s="8" t="str">
        <f>HYPERLINK("https://docs.google.com/document/d/1eM7wPNZZXcHfc-Snnw9z4n_9VnkNEx4ICZtJjCryb04/edit?usp=drivesdk","Al-Wildan 14 Bumi Mutiara, Bogor_Rizka Nur Hamidah, S.Pd_")</f>
        <v>Al-Wildan 14 Bumi Mutiara, Bogor_Rizka Nur Hamidah, S.Pd_</v>
      </c>
      <c r="AP1280" s="1" t="s">
        <v>19739</v>
      </c>
    </row>
    <row r="1281">
      <c r="A1281" s="6">
        <v>45839.417952442134</v>
      </c>
      <c r="B1281" s="7" t="s">
        <v>19740</v>
      </c>
      <c r="C1281" s="8" t="s">
        <v>19741</v>
      </c>
      <c r="D1281" s="1" t="s">
        <v>19742</v>
      </c>
      <c r="E1281" s="9" t="s">
        <v>19743</v>
      </c>
      <c r="F1281" s="1" t="s">
        <v>19744</v>
      </c>
      <c r="G1281" s="1" t="s">
        <v>7492</v>
      </c>
      <c r="H1281" s="1" t="s">
        <v>7492</v>
      </c>
      <c r="I1281" s="9" t="s">
        <v>19745</v>
      </c>
      <c r="J1281" s="1" t="s">
        <v>2676</v>
      </c>
      <c r="K1281" s="1" t="s">
        <v>102</v>
      </c>
      <c r="L1281" s="1" t="s">
        <v>103</v>
      </c>
      <c r="M1281" s="1" t="s">
        <v>104</v>
      </c>
      <c r="N1281" s="1" t="s">
        <v>274</v>
      </c>
      <c r="O1281" s="1" t="s">
        <v>236</v>
      </c>
      <c r="P1281" s="1" t="s">
        <v>7162</v>
      </c>
      <c r="Q1281" s="1" t="s">
        <v>811</v>
      </c>
      <c r="R1281" s="1" t="s">
        <v>1611</v>
      </c>
      <c r="S1281" s="1" t="s">
        <v>19746</v>
      </c>
      <c r="Z1281" s="1" t="s">
        <v>19747</v>
      </c>
      <c r="AA1281" s="10">
        <v>4000000.0</v>
      </c>
      <c r="AB1281" s="1" t="s">
        <v>19748</v>
      </c>
      <c r="AC1281" s="10">
        <v>2000000.0</v>
      </c>
      <c r="AF1281" s="1" t="s">
        <v>19749</v>
      </c>
      <c r="AG1281" s="1">
        <v>5.03427792E9</v>
      </c>
      <c r="AJ1281" s="1">
        <v>167.0</v>
      </c>
      <c r="AK1281" s="1">
        <v>55.0</v>
      </c>
      <c r="AL1281" s="1" t="s">
        <v>19750</v>
      </c>
      <c r="AM1281" s="1" t="s">
        <v>19751</v>
      </c>
      <c r="AN1281" s="7" t="s">
        <v>19752</v>
      </c>
      <c r="AO1281" s="8" t="str">
        <f>HYPERLINK("https://docs.google.com/document/d/1JiCvCKvTiTM3HTE-ufKkPy7GCbcpqNmRU1bknIHu8ak/edit?usp=drivesdk","Al-Wildan 7 Serang_Ahmad haviy hizbullah, B.A._Diniyyah")</f>
        <v>Al-Wildan 7 Serang_Ahmad haviy hizbullah, B.A._Diniyyah</v>
      </c>
      <c r="AP1281" s="1" t="s">
        <v>19753</v>
      </c>
    </row>
    <row r="1282">
      <c r="A1282" s="6">
        <v>45839.429902187505</v>
      </c>
      <c r="B1282" s="7" t="s">
        <v>19754</v>
      </c>
      <c r="C1282" s="8" t="s">
        <v>19755</v>
      </c>
      <c r="D1282" s="1" t="s">
        <v>19756</v>
      </c>
      <c r="E1282" s="1" t="s">
        <v>19757</v>
      </c>
      <c r="F1282" s="1" t="s">
        <v>19758</v>
      </c>
      <c r="G1282" s="1" t="s">
        <v>19759</v>
      </c>
      <c r="H1282" s="1" t="s">
        <v>19760</v>
      </c>
      <c r="I1282" s="9" t="s">
        <v>1444</v>
      </c>
      <c r="J1282" s="1" t="s">
        <v>19761</v>
      </c>
      <c r="K1282" s="1" t="s">
        <v>102</v>
      </c>
      <c r="L1282" s="1" t="s">
        <v>256</v>
      </c>
      <c r="M1282" s="1" t="s">
        <v>104</v>
      </c>
      <c r="N1282" s="1" t="s">
        <v>5860</v>
      </c>
      <c r="O1282" s="1" t="s">
        <v>127</v>
      </c>
      <c r="P1282" s="1" t="s">
        <v>5712</v>
      </c>
      <c r="Q1282" s="1" t="s">
        <v>19762</v>
      </c>
      <c r="R1282" s="1" t="s">
        <v>19763</v>
      </c>
      <c r="S1282" s="1" t="s">
        <v>19764</v>
      </c>
      <c r="T1282" s="1" t="s">
        <v>19765</v>
      </c>
      <c r="U1282" s="1" t="s">
        <v>19766</v>
      </c>
      <c r="V1282" s="1" t="s">
        <v>19767</v>
      </c>
      <c r="W1282" s="1" t="s">
        <v>19765</v>
      </c>
      <c r="X1282" s="1" t="s">
        <v>19766</v>
      </c>
      <c r="Y1282" s="1" t="s">
        <v>4021</v>
      </c>
      <c r="Z1282" s="1" t="s">
        <v>19768</v>
      </c>
      <c r="AA1282" s="10">
        <v>1.59E7</v>
      </c>
      <c r="AB1282" s="1" t="s">
        <v>19769</v>
      </c>
      <c r="AC1282" s="10">
        <v>1.74E7</v>
      </c>
      <c r="AF1282" s="10">
        <v>1.7E7</v>
      </c>
      <c r="AH1282" s="1">
        <v>1.431010055225E14</v>
      </c>
      <c r="AI1282" s="1" t="s">
        <v>2407</v>
      </c>
      <c r="AJ1282" s="1">
        <v>170.0</v>
      </c>
      <c r="AK1282" s="1">
        <v>80.0</v>
      </c>
      <c r="AL1282" s="1" t="s">
        <v>19770</v>
      </c>
      <c r="AM1282" s="1" t="s">
        <v>19771</v>
      </c>
      <c r="AN1282" s="7" t="s">
        <v>19772</v>
      </c>
      <c r="AO1282" s="8" t="str">
        <f>HYPERLINK("https://docs.google.com/document/d/1oZpHXHw2e1Xj7B2lJZx4w1vSOas3cQI5ZmZkcjB-xro/edit?usp=drivesdk","Al-Wildan 3 BSD City_Dr. Tausiff Firaque Mohammad_Physics")</f>
        <v>Al-Wildan 3 BSD City_Dr. Tausiff Firaque Mohammad_Physics</v>
      </c>
      <c r="AP1282" s="1" t="s">
        <v>19773</v>
      </c>
    </row>
    <row r="1283">
      <c r="A1283" s="6">
        <v>45841.39954737268</v>
      </c>
      <c r="B1283" s="7" t="s">
        <v>19774</v>
      </c>
      <c r="C1283" s="8" t="s">
        <v>19775</v>
      </c>
      <c r="D1283" s="1" t="s">
        <v>19776</v>
      </c>
      <c r="E1283" s="9" t="s">
        <v>19777</v>
      </c>
      <c r="F1283" s="1" t="s">
        <v>19778</v>
      </c>
      <c r="G1283" s="1" t="s">
        <v>19779</v>
      </c>
      <c r="H1283" s="1" t="s">
        <v>99</v>
      </c>
      <c r="I1283" s="9" t="s">
        <v>19780</v>
      </c>
      <c r="J1283" s="1" t="s">
        <v>19781</v>
      </c>
      <c r="K1283" s="1" t="s">
        <v>151</v>
      </c>
      <c r="L1283" s="1" t="s">
        <v>103</v>
      </c>
      <c r="M1283" s="1" t="s">
        <v>104</v>
      </c>
      <c r="N1283" s="1" t="s">
        <v>3444</v>
      </c>
      <c r="O1283" s="1" t="s">
        <v>127</v>
      </c>
      <c r="P1283" s="1" t="s">
        <v>5712</v>
      </c>
      <c r="Q1283" s="1" t="s">
        <v>19782</v>
      </c>
      <c r="R1283" s="1" t="s">
        <v>259</v>
      </c>
      <c r="AG1283" s="1">
        <v>1.179970239E9</v>
      </c>
      <c r="AJ1283" s="1">
        <v>171.0</v>
      </c>
      <c r="AK1283" s="1">
        <v>118.0</v>
      </c>
      <c r="AL1283" s="1" t="s">
        <v>19783</v>
      </c>
      <c r="AM1283" s="1" t="s">
        <v>19784</v>
      </c>
      <c r="AN1283" s="7" t="s">
        <v>19785</v>
      </c>
      <c r="AO1283" s="8" t="str">
        <f>HYPERLINK("https://docs.google.com/document/d/1xzHwtd90vFB2kpIwJyCRwxAs7EK7_Jqr8wOoj8wYQoA/edit?usp=drivesdk","Al-Wildan 3 BSD City_Muhamad Ilham Hafizh, S. Pd._Al-Quran")</f>
        <v>Al-Wildan 3 BSD City_Muhamad Ilham Hafizh, S. Pd._Al-Quran</v>
      </c>
      <c r="AP1283" s="1" t="s">
        <v>19786</v>
      </c>
    </row>
    <row r="1284">
      <c r="A1284" s="6">
        <v>45841.413154699076</v>
      </c>
      <c r="B1284" s="7" t="s">
        <v>19787</v>
      </c>
      <c r="C1284" s="8" t="s">
        <v>19788</v>
      </c>
      <c r="D1284" s="1" t="s">
        <v>19789</v>
      </c>
      <c r="E1284" s="9" t="s">
        <v>19790</v>
      </c>
      <c r="F1284" s="1" t="s">
        <v>19791</v>
      </c>
      <c r="G1284" s="1" t="s">
        <v>19792</v>
      </c>
      <c r="H1284" s="1" t="s">
        <v>19793</v>
      </c>
      <c r="I1284" s="9" t="s">
        <v>19794</v>
      </c>
      <c r="J1284" s="1" t="s">
        <v>9763</v>
      </c>
      <c r="K1284" s="1" t="s">
        <v>102</v>
      </c>
      <c r="L1284" s="1" t="s">
        <v>256</v>
      </c>
      <c r="M1284" s="1" t="s">
        <v>18809</v>
      </c>
      <c r="N1284" s="1" t="s">
        <v>12172</v>
      </c>
      <c r="O1284" s="1" t="s">
        <v>312</v>
      </c>
      <c r="P1284" s="1" t="s">
        <v>237</v>
      </c>
      <c r="Q1284" s="1" t="s">
        <v>19795</v>
      </c>
      <c r="R1284" s="1" t="s">
        <v>238</v>
      </c>
      <c r="S1284" s="1">
        <v>3.36</v>
      </c>
      <c r="Z1284" s="1" t="s">
        <v>19796</v>
      </c>
      <c r="AA1284" s="10">
        <v>3300000.0</v>
      </c>
      <c r="AF1284" s="10">
        <v>6000000.0</v>
      </c>
      <c r="AG1284" s="1">
        <v>3.78700831E9</v>
      </c>
      <c r="AJ1284" s="1">
        <v>170.0</v>
      </c>
      <c r="AK1284" s="1">
        <v>65.0</v>
      </c>
      <c r="AL1284" s="1" t="s">
        <v>19797</v>
      </c>
      <c r="AM1284" s="1" t="s">
        <v>19798</v>
      </c>
      <c r="AN1284" s="7" t="s">
        <v>19799</v>
      </c>
      <c r="AO1284" s="8" t="str">
        <f>HYPERLINK("https://docs.google.com/document/d/1N2eLOsn-MU2Mr_rf_I8xKPjGPdgEwcf6OpiouFHb6Gg/edit?usp=drivesdk","Al-Wildan 4 Lebak Bulus_Muhamad sobirin,S.S,G.r_bahasa inggris")</f>
        <v>Al-Wildan 4 Lebak Bulus_Muhamad sobirin,S.S,G.r_bahasa inggris</v>
      </c>
      <c r="AP1284" s="1" t="s">
        <v>19800</v>
      </c>
    </row>
    <row r="1285">
      <c r="A1285" s="6">
        <v>45841.48074111111</v>
      </c>
      <c r="B1285" s="7" t="s">
        <v>19801</v>
      </c>
      <c r="C1285" s="8" t="s">
        <v>19802</v>
      </c>
      <c r="D1285" s="1" t="s">
        <v>19803</v>
      </c>
      <c r="E1285" s="9" t="s">
        <v>19804</v>
      </c>
      <c r="F1285" s="1" t="s">
        <v>19805</v>
      </c>
      <c r="G1285" s="1" t="s">
        <v>19806</v>
      </c>
      <c r="H1285" s="1" t="s">
        <v>19807</v>
      </c>
      <c r="I1285" s="9" t="s">
        <v>19808</v>
      </c>
      <c r="J1285" s="1" t="s">
        <v>19809</v>
      </c>
      <c r="K1285" s="1" t="s">
        <v>102</v>
      </c>
      <c r="L1285" s="1" t="s">
        <v>256</v>
      </c>
      <c r="M1285" s="1" t="s">
        <v>104</v>
      </c>
      <c r="N1285" s="1" t="s">
        <v>19810</v>
      </c>
      <c r="O1285" s="1" t="s">
        <v>236</v>
      </c>
      <c r="P1285" s="1" t="s">
        <v>6187</v>
      </c>
      <c r="Q1285" s="1" t="s">
        <v>19811</v>
      </c>
      <c r="R1285" s="1" t="s">
        <v>19812</v>
      </c>
      <c r="S1285" s="1">
        <v>2.99</v>
      </c>
      <c r="Z1285" s="1" t="s">
        <v>19813</v>
      </c>
      <c r="AA1285" s="10">
        <v>5400000.0</v>
      </c>
      <c r="AB1285" s="1" t="s">
        <v>19813</v>
      </c>
      <c r="AC1285" s="10">
        <v>5400000.0</v>
      </c>
      <c r="AD1285" s="1" t="s">
        <v>19813</v>
      </c>
      <c r="AE1285" s="10">
        <v>5400000.0</v>
      </c>
      <c r="AF1285" s="1" t="s">
        <v>19814</v>
      </c>
      <c r="AG1285" s="1">
        <v>5.89433239E9</v>
      </c>
      <c r="AJ1285" s="1">
        <v>170.0</v>
      </c>
      <c r="AK1285" s="1">
        <v>64.0</v>
      </c>
      <c r="AL1285" s="1" t="s">
        <v>19815</v>
      </c>
      <c r="AM1285" s="1" t="s">
        <v>19816</v>
      </c>
      <c r="AN1285" s="7" t="s">
        <v>19817</v>
      </c>
      <c r="AO1285" s="8" t="str">
        <f>HYPERLINK("https://docs.google.com/document/d/1neZi3Nz29OgjBUE6uROmY6y7UlN5XHFjD1xp2CHvqxU/edit?usp=drivesdk","Al-Wildan 14 Bumi Mutiara, Bogor_ABDUL WAHAB, S.E_ECONOMICS, SOCIOLOGY , ENGLISH")</f>
        <v>Al-Wildan 14 Bumi Mutiara, Bogor_ABDUL WAHAB, S.E_ECONOMICS, SOCIOLOGY , ENGLISH</v>
      </c>
      <c r="AP1285" s="1" t="s">
        <v>19818</v>
      </c>
    </row>
    <row r="1286">
      <c r="A1286" s="6">
        <v>45841.55319844907</v>
      </c>
      <c r="B1286" s="7" t="s">
        <v>19819</v>
      </c>
      <c r="C1286" s="8" t="s">
        <v>19820</v>
      </c>
      <c r="D1286" s="1" t="s">
        <v>19821</v>
      </c>
      <c r="E1286" s="9" t="s">
        <v>19822</v>
      </c>
      <c r="F1286" s="1" t="s">
        <v>19823</v>
      </c>
      <c r="G1286" s="1" t="s">
        <v>19824</v>
      </c>
      <c r="H1286" s="1" t="s">
        <v>19825</v>
      </c>
      <c r="I1286" s="9" t="s">
        <v>19826</v>
      </c>
      <c r="J1286" s="1" t="s">
        <v>986</v>
      </c>
      <c r="K1286" s="1" t="s">
        <v>151</v>
      </c>
      <c r="L1286" s="1" t="s">
        <v>103</v>
      </c>
      <c r="M1286" s="1" t="s">
        <v>104</v>
      </c>
      <c r="N1286" s="1" t="s">
        <v>987</v>
      </c>
      <c r="O1286" s="1" t="s">
        <v>236</v>
      </c>
      <c r="P1286" s="1" t="s">
        <v>17019</v>
      </c>
      <c r="Q1286" s="1" t="s">
        <v>590</v>
      </c>
      <c r="R1286" s="1" t="s">
        <v>19827</v>
      </c>
      <c r="S1286" s="1" t="s">
        <v>110</v>
      </c>
      <c r="Z1286" s="1" t="s">
        <v>19828</v>
      </c>
      <c r="AA1286" s="10">
        <v>4.0E7</v>
      </c>
      <c r="AB1286" s="1" t="s">
        <v>19829</v>
      </c>
      <c r="AC1286" s="10">
        <v>1500000.0</v>
      </c>
      <c r="AD1286" s="1" t="s">
        <v>19830</v>
      </c>
      <c r="AE1286" s="10">
        <v>1000000.0</v>
      </c>
      <c r="AF1286" s="1" t="s">
        <v>11730</v>
      </c>
      <c r="AJ1286" s="1">
        <v>155.0</v>
      </c>
      <c r="AK1286" s="1">
        <v>60.0</v>
      </c>
      <c r="AL1286" s="1" t="s">
        <v>19831</v>
      </c>
      <c r="AM1286" s="1" t="s">
        <v>19832</v>
      </c>
      <c r="AN1286" s="7" t="s">
        <v>19833</v>
      </c>
      <c r="AO1286" s="8" t="str">
        <f>HYPERLINK("https://docs.google.com/document/d/1CRBWdSvwNqF95P-TNtUDjDLa-fs55GpKJx9KgF3eyIU/edit?usp=drivesdk","Al-Wildan 20 Mataram_Athifah S.Si_Biology")</f>
        <v>Al-Wildan 20 Mataram_Athifah S.Si_Biology</v>
      </c>
      <c r="AP1286" s="1" t="s">
        <v>19834</v>
      </c>
    </row>
    <row r="1287">
      <c r="A1287" s="6">
        <v>45842.60733752315</v>
      </c>
      <c r="B1287" s="7" t="s">
        <v>19835</v>
      </c>
      <c r="C1287" s="8" t="s">
        <v>19836</v>
      </c>
      <c r="D1287" s="1" t="s">
        <v>19837</v>
      </c>
      <c r="E1287" s="9" t="s">
        <v>19838</v>
      </c>
      <c r="F1287" s="1" t="s">
        <v>19839</v>
      </c>
      <c r="G1287" s="1" t="s">
        <v>19840</v>
      </c>
      <c r="H1287" s="1" t="s">
        <v>169</v>
      </c>
      <c r="I1287" s="9" t="s">
        <v>19841</v>
      </c>
      <c r="J1287" s="1" t="s">
        <v>13868</v>
      </c>
      <c r="K1287" s="1" t="s">
        <v>151</v>
      </c>
      <c r="L1287" s="1" t="s">
        <v>496</v>
      </c>
      <c r="M1287" s="1" t="s">
        <v>8769</v>
      </c>
      <c r="N1287" s="1" t="s">
        <v>1221</v>
      </c>
      <c r="O1287" s="1" t="s">
        <v>127</v>
      </c>
      <c r="P1287" s="1" t="s">
        <v>11207</v>
      </c>
      <c r="Q1287" s="1" t="s">
        <v>8547</v>
      </c>
      <c r="R1287" s="1" t="s">
        <v>18725</v>
      </c>
      <c r="S1287" s="1" t="s">
        <v>1958</v>
      </c>
      <c r="T1287" s="1" t="s">
        <v>217</v>
      </c>
      <c r="U1287" s="1" t="s">
        <v>217</v>
      </c>
      <c r="V1287" s="1" t="s">
        <v>217</v>
      </c>
      <c r="W1287" s="1" t="s">
        <v>217</v>
      </c>
      <c r="X1287" s="1" t="s">
        <v>217</v>
      </c>
      <c r="Y1287" s="1">
        <v>0.0</v>
      </c>
      <c r="Z1287" s="1" t="s">
        <v>19842</v>
      </c>
      <c r="AA1287" s="1" t="s">
        <v>217</v>
      </c>
      <c r="AB1287" s="1" t="s">
        <v>217</v>
      </c>
      <c r="AC1287" s="1" t="s">
        <v>217</v>
      </c>
      <c r="AD1287" s="1" t="s">
        <v>217</v>
      </c>
      <c r="AE1287" s="1" t="s">
        <v>217</v>
      </c>
      <c r="AF1287" s="10">
        <v>4500000.0</v>
      </c>
      <c r="AG1287" s="1">
        <v>7.153867806E9</v>
      </c>
      <c r="AH1287" s="1">
        <v>0.0</v>
      </c>
      <c r="AI1287" s="1" t="s">
        <v>5113</v>
      </c>
      <c r="AJ1287" s="1">
        <v>173.0</v>
      </c>
      <c r="AK1287" s="1">
        <v>58.0</v>
      </c>
      <c r="AL1287" s="1" t="s">
        <v>19843</v>
      </c>
      <c r="AM1287" s="1" t="s">
        <v>19844</v>
      </c>
      <c r="AN1287" s="7" t="s">
        <v>19845</v>
      </c>
      <c r="AO1287" s="8" t="str">
        <f>HYPERLINK("https://docs.google.com/document/d/1l2ZFHQurc7DXQONej_LBt_7uz1_lCiZyS9roFlUKb80/edit?usp=drivesdk","Al-Wildan 16 Ciledug_AD Laila Khasanah Nurrahmah, Lc., S.Ag._.")</f>
        <v>Al-Wildan 16 Ciledug_AD Laila Khasanah Nurrahmah, Lc., S.Ag._.</v>
      </c>
      <c r="AP1287" s="1" t="s">
        <v>19846</v>
      </c>
    </row>
    <row r="1288">
      <c r="A1288" s="6">
        <v>45842.61168267361</v>
      </c>
      <c r="B1288" s="7" t="s">
        <v>19847</v>
      </c>
      <c r="C1288" s="8" t="s">
        <v>19848</v>
      </c>
      <c r="D1288" s="1" t="s">
        <v>19849</v>
      </c>
      <c r="E1288" s="9" t="s">
        <v>19850</v>
      </c>
      <c r="F1288" s="1" t="s">
        <v>19851</v>
      </c>
      <c r="G1288" s="1" t="s">
        <v>19852</v>
      </c>
      <c r="H1288" s="1" t="s">
        <v>685</v>
      </c>
      <c r="I1288" s="9" t="s">
        <v>19853</v>
      </c>
      <c r="J1288" s="1" t="s">
        <v>12063</v>
      </c>
      <c r="K1288" s="1" t="s">
        <v>102</v>
      </c>
      <c r="L1288" s="1" t="s">
        <v>103</v>
      </c>
      <c r="M1288" s="1" t="s">
        <v>104</v>
      </c>
      <c r="N1288" s="1" t="s">
        <v>152</v>
      </c>
      <c r="O1288" s="1" t="s">
        <v>127</v>
      </c>
      <c r="P1288" s="1" t="s">
        <v>11168</v>
      </c>
      <c r="Q1288" s="1" t="s">
        <v>19854</v>
      </c>
      <c r="R1288" s="1" t="s">
        <v>172</v>
      </c>
      <c r="S1288" s="1" t="s">
        <v>2369</v>
      </c>
      <c r="Z1288" s="1" t="s">
        <v>3410</v>
      </c>
      <c r="AA1288" s="10">
        <v>4600000.0</v>
      </c>
      <c r="AF1288" s="10">
        <v>5000000.0</v>
      </c>
      <c r="AH1288" s="9" t="s">
        <v>19855</v>
      </c>
      <c r="AI1288" s="1" t="s">
        <v>222</v>
      </c>
      <c r="AJ1288" s="1">
        <v>168.0</v>
      </c>
      <c r="AK1288" s="1">
        <v>71.0</v>
      </c>
      <c r="AL1288" s="1" t="s">
        <v>19856</v>
      </c>
      <c r="AM1288" s="1" t="s">
        <v>19857</v>
      </c>
      <c r="AN1288" s="7" t="s">
        <v>19858</v>
      </c>
      <c r="AO1288" s="8" t="str">
        <f>HYPERLINK("https://docs.google.com/document/d/1kqZnHUanQ0FoaspFjM0SrmYUhBpfUhZzwEuPaohfU9g/edit?usp=drivesdk","Al-Wildan 8 Parung_Q Kamilan, S.Pd._Bahasa Inggris")</f>
        <v>Al-Wildan 8 Parung_Q Kamilan, S.Pd._Bahasa Inggris</v>
      </c>
      <c r="AP1288" s="1" t="s">
        <v>19859</v>
      </c>
    </row>
    <row r="1289">
      <c r="A1289" s="6">
        <v>45843.4051019676</v>
      </c>
      <c r="B1289" s="7" t="s">
        <v>19860</v>
      </c>
      <c r="C1289" s="8" t="s">
        <v>19861</v>
      </c>
      <c r="D1289" s="1" t="s">
        <v>19862</v>
      </c>
      <c r="E1289" s="9" t="s">
        <v>19863</v>
      </c>
      <c r="F1289" s="1" t="s">
        <v>19864</v>
      </c>
      <c r="G1289" s="1" t="s">
        <v>19865</v>
      </c>
      <c r="H1289" s="1" t="s">
        <v>148</v>
      </c>
      <c r="I1289" s="9" t="s">
        <v>19866</v>
      </c>
      <c r="J1289" s="1" t="s">
        <v>19867</v>
      </c>
      <c r="K1289" s="1" t="s">
        <v>102</v>
      </c>
      <c r="L1289" s="1" t="s">
        <v>103</v>
      </c>
      <c r="M1289" s="1" t="s">
        <v>104</v>
      </c>
      <c r="N1289" s="1" t="s">
        <v>17680</v>
      </c>
      <c r="O1289" s="1" t="s">
        <v>312</v>
      </c>
      <c r="P1289" s="1" t="s">
        <v>237</v>
      </c>
      <c r="Q1289" s="1" t="s">
        <v>19868</v>
      </c>
      <c r="R1289" s="1" t="s">
        <v>19869</v>
      </c>
      <c r="S1289" s="1" t="s">
        <v>6661</v>
      </c>
      <c r="Z1289" s="1" t="s">
        <v>2326</v>
      </c>
      <c r="AA1289" s="1">
        <v>3000000.0</v>
      </c>
      <c r="AF1289" s="1">
        <v>5000000.0</v>
      </c>
      <c r="AG1289" s="1">
        <v>7.211579425E9</v>
      </c>
      <c r="AJ1289" s="1">
        <v>165.0</v>
      </c>
      <c r="AK1289" s="1">
        <v>77.0</v>
      </c>
      <c r="AL1289" s="1" t="s">
        <v>19870</v>
      </c>
      <c r="AM1289" s="1" t="s">
        <v>19871</v>
      </c>
      <c r="AN1289" s="7" t="s">
        <v>19872</v>
      </c>
      <c r="AO1289" s="8" t="str">
        <f>HYPERLINK("https://docs.google.com/document/d/1hKbsyYWGEnfNJET-6eNT4CXnitWkg_3GHEoutXoRYfg/edit?usp=drivesdk","Al-Wildan 4 Lebak Bulus_Muhammad Rijal Abdurahman, S.M._S.E.M")</f>
        <v>Al-Wildan 4 Lebak Bulus_Muhammad Rijal Abdurahman, S.M._S.E.M</v>
      </c>
      <c r="AP1289" s="1" t="s">
        <v>19873</v>
      </c>
    </row>
    <row r="1290">
      <c r="A1290" s="6">
        <v>45843.61437173611</v>
      </c>
      <c r="B1290" s="7" t="s">
        <v>19874</v>
      </c>
      <c r="C1290" s="8" t="s">
        <v>19875</v>
      </c>
      <c r="D1290" s="1" t="s">
        <v>19876</v>
      </c>
      <c r="E1290" s="9" t="s">
        <v>19877</v>
      </c>
      <c r="F1290" s="1" t="s">
        <v>19878</v>
      </c>
      <c r="G1290" s="1" t="s">
        <v>19879</v>
      </c>
      <c r="H1290" s="1" t="s">
        <v>4092</v>
      </c>
      <c r="I1290" s="9" t="s">
        <v>19880</v>
      </c>
      <c r="J1290" s="1" t="s">
        <v>18136</v>
      </c>
      <c r="K1290" s="1" t="s">
        <v>151</v>
      </c>
      <c r="L1290" s="1" t="s">
        <v>256</v>
      </c>
      <c r="M1290" s="1" t="s">
        <v>104</v>
      </c>
      <c r="N1290" s="1" t="s">
        <v>552</v>
      </c>
      <c r="O1290" s="1" t="s">
        <v>127</v>
      </c>
      <c r="P1290" s="1" t="s">
        <v>11168</v>
      </c>
      <c r="Q1290" s="1" t="s">
        <v>19881</v>
      </c>
      <c r="R1290" s="1" t="s">
        <v>410</v>
      </c>
      <c r="S1290" s="1" t="s">
        <v>134</v>
      </c>
      <c r="T1290" s="1" t="s">
        <v>217</v>
      </c>
      <c r="U1290" s="1" t="s">
        <v>217</v>
      </c>
      <c r="V1290" s="1" t="s">
        <v>217</v>
      </c>
      <c r="W1290" s="1" t="s">
        <v>217</v>
      </c>
      <c r="X1290" s="1" t="s">
        <v>217</v>
      </c>
      <c r="Z1290" s="1" t="s">
        <v>19882</v>
      </c>
      <c r="AA1290" s="10">
        <v>3000000.0</v>
      </c>
      <c r="AF1290" s="10">
        <v>6000000.0</v>
      </c>
      <c r="AH1290" s="1">
        <v>1.336293E9</v>
      </c>
      <c r="AI1290" s="1" t="s">
        <v>159</v>
      </c>
      <c r="AJ1290" s="1">
        <v>154.0</v>
      </c>
      <c r="AK1290" s="1">
        <v>42.0</v>
      </c>
      <c r="AL1290" s="1" t="s">
        <v>19883</v>
      </c>
      <c r="AM1290" s="1" t="s">
        <v>19884</v>
      </c>
      <c r="AN1290" s="7" t="s">
        <v>19885</v>
      </c>
      <c r="AO1290" s="8" t="str">
        <f>HYPERLINK("https://docs.google.com/document/d/1qOpHDGXM9C39y4YRKbex1u1K22vAqIHsagdPufr0MPs/edit?usp=drivesdk","Al-Wildan 8 Parung_Aulia Salsabilla, S.Pd._Fisika")</f>
        <v>Al-Wildan 8 Parung_Aulia Salsabilla, S.Pd._Fisika</v>
      </c>
      <c r="AP1290" s="1" t="s">
        <v>19886</v>
      </c>
    </row>
    <row r="1291">
      <c r="A1291" s="6">
        <v>45843.71167395833</v>
      </c>
      <c r="B1291" s="7" t="s">
        <v>19887</v>
      </c>
      <c r="C1291" s="8" t="s">
        <v>19888</v>
      </c>
      <c r="D1291" s="1" t="s">
        <v>19889</v>
      </c>
      <c r="E1291" s="9" t="s">
        <v>19890</v>
      </c>
      <c r="F1291" s="1" t="s">
        <v>19891</v>
      </c>
      <c r="G1291" s="1" t="s">
        <v>19892</v>
      </c>
      <c r="H1291" s="1" t="s">
        <v>5230</v>
      </c>
      <c r="I1291" s="9" t="s">
        <v>19893</v>
      </c>
      <c r="J1291" s="1" t="s">
        <v>19894</v>
      </c>
      <c r="K1291" s="1" t="s">
        <v>151</v>
      </c>
      <c r="L1291" s="1" t="s">
        <v>256</v>
      </c>
      <c r="M1291" s="1" t="s">
        <v>424</v>
      </c>
      <c r="O1291" s="1" t="s">
        <v>9794</v>
      </c>
      <c r="P1291" s="1" t="s">
        <v>6091</v>
      </c>
      <c r="Q1291" s="1" t="s">
        <v>153</v>
      </c>
      <c r="R1291" s="1" t="s">
        <v>425</v>
      </c>
      <c r="S1291" s="1" t="s">
        <v>1364</v>
      </c>
      <c r="Z1291" s="1" t="s">
        <v>19895</v>
      </c>
      <c r="AA1291" s="1" t="s">
        <v>19896</v>
      </c>
      <c r="AB1291" s="1" t="s">
        <v>19897</v>
      </c>
      <c r="AC1291" s="10">
        <v>400000.0</v>
      </c>
      <c r="AF1291" s="1" t="s">
        <v>19898</v>
      </c>
      <c r="AG1291" s="1">
        <v>1.115145973E9</v>
      </c>
      <c r="AJ1291" s="1">
        <v>156.0</v>
      </c>
      <c r="AK1291" s="1">
        <v>43.0</v>
      </c>
      <c r="AL1291" s="1" t="s">
        <v>19899</v>
      </c>
      <c r="AM1291" s="1" t="s">
        <v>19900</v>
      </c>
      <c r="AN1291" s="7" t="s">
        <v>19901</v>
      </c>
      <c r="AO1291" s="8" t="str">
        <f>HYPERLINK("https://docs.google.com/document/d/1nH95y4l8FxnbmeDFXDa8irAx4YtwVSnityZv4SE3Oj0/edit?usp=drivesdk","Al-Wildan 10 Cipinang, Jakarta Timur_Firana Fadzan, S.Pd._")</f>
        <v>Al-Wildan 10 Cipinang, Jakarta Timur_Firana Fadzan, S.Pd._</v>
      </c>
      <c r="AP1291" s="1" t="s">
        <v>19902</v>
      </c>
    </row>
    <row r="1292">
      <c r="A1292" s="6">
        <v>45843.72151539352</v>
      </c>
      <c r="B1292" s="7" t="s">
        <v>19903</v>
      </c>
      <c r="C1292" s="8" t="s">
        <v>19904</v>
      </c>
      <c r="D1292" s="1" t="s">
        <v>19905</v>
      </c>
      <c r="E1292" s="9" t="s">
        <v>19906</v>
      </c>
      <c r="F1292" s="1" t="s">
        <v>19907</v>
      </c>
      <c r="G1292" s="1" t="s">
        <v>19908</v>
      </c>
      <c r="H1292" s="1" t="s">
        <v>19909</v>
      </c>
      <c r="I1292" s="9" t="s">
        <v>19910</v>
      </c>
      <c r="J1292" s="1" t="s">
        <v>4777</v>
      </c>
      <c r="K1292" s="1" t="s">
        <v>151</v>
      </c>
      <c r="L1292" s="1" t="s">
        <v>103</v>
      </c>
      <c r="M1292" s="1" t="s">
        <v>104</v>
      </c>
      <c r="N1292" s="1" t="s">
        <v>13445</v>
      </c>
      <c r="O1292" s="1" t="s">
        <v>127</v>
      </c>
      <c r="P1292" s="1" t="s">
        <v>6091</v>
      </c>
      <c r="Q1292" s="1" t="s">
        <v>19911</v>
      </c>
      <c r="R1292" s="1" t="s">
        <v>130</v>
      </c>
      <c r="S1292" s="1" t="s">
        <v>12268</v>
      </c>
      <c r="Z1292" s="1" t="s">
        <v>19912</v>
      </c>
      <c r="AA1292" s="10">
        <v>4500000.0</v>
      </c>
      <c r="AB1292" s="1" t="s">
        <v>19913</v>
      </c>
      <c r="AC1292" s="10">
        <v>1000000.0</v>
      </c>
      <c r="AF1292" s="1" t="s">
        <v>891</v>
      </c>
      <c r="AG1292" s="1">
        <v>7.316578696E9</v>
      </c>
      <c r="AJ1292" s="1">
        <v>163.0</v>
      </c>
      <c r="AK1292" s="1">
        <v>55.0</v>
      </c>
      <c r="AL1292" s="1" t="s">
        <v>19914</v>
      </c>
      <c r="AM1292" s="1" t="s">
        <v>19915</v>
      </c>
      <c r="AN1292" s="7" t="s">
        <v>19916</v>
      </c>
      <c r="AO1292" s="8" t="str">
        <f>HYPERLINK("https://docs.google.com/document/d/1d3VxGkWn9u71-wzZj1YyN8-ZCw88R6RxyF4kdmxNXHE/edit?usp=drivesdk","Al-Wildan 10 Cipinang, Jakarta Timur_Belinda Azalia, S.Pd._Guru Matematika")</f>
        <v>Al-Wildan 10 Cipinang, Jakarta Timur_Belinda Azalia, S.Pd._Guru Matematika</v>
      </c>
      <c r="AP1292" s="1" t="s">
        <v>19917</v>
      </c>
    </row>
    <row r="1293">
      <c r="A1293" s="6">
        <v>45843.859403078706</v>
      </c>
      <c r="B1293" s="7" t="s">
        <v>19918</v>
      </c>
      <c r="C1293" s="8" t="s">
        <v>19919</v>
      </c>
      <c r="D1293" s="1" t="s">
        <v>19920</v>
      </c>
      <c r="E1293" s="9" t="s">
        <v>19921</v>
      </c>
      <c r="F1293" s="1" t="s">
        <v>19922</v>
      </c>
      <c r="G1293" s="1" t="s">
        <v>359</v>
      </c>
      <c r="H1293" s="1" t="s">
        <v>359</v>
      </c>
      <c r="I1293" s="9" t="s">
        <v>19923</v>
      </c>
      <c r="J1293" s="1" t="s">
        <v>170</v>
      </c>
      <c r="K1293" s="1" t="s">
        <v>151</v>
      </c>
      <c r="L1293" s="1" t="s">
        <v>329</v>
      </c>
      <c r="M1293" s="1" t="s">
        <v>104</v>
      </c>
      <c r="N1293" s="1" t="s">
        <v>4312</v>
      </c>
      <c r="O1293" s="1" t="s">
        <v>312</v>
      </c>
      <c r="P1293" s="1" t="s">
        <v>237</v>
      </c>
      <c r="Q1293" s="1" t="s">
        <v>19924</v>
      </c>
      <c r="R1293" s="1" t="s">
        <v>19925</v>
      </c>
      <c r="S1293" s="1" t="s">
        <v>831</v>
      </c>
      <c r="T1293" s="1" t="s">
        <v>217</v>
      </c>
      <c r="U1293" s="1" t="s">
        <v>217</v>
      </c>
      <c r="W1293" s="1" t="s">
        <v>217</v>
      </c>
      <c r="X1293" s="1" t="s">
        <v>217</v>
      </c>
      <c r="Z1293" s="1" t="s">
        <v>19926</v>
      </c>
      <c r="AA1293" s="10">
        <v>4000000.0</v>
      </c>
      <c r="AB1293" s="1" t="s">
        <v>19927</v>
      </c>
      <c r="AC1293" s="10">
        <v>4000000.0</v>
      </c>
      <c r="AD1293" s="1" t="s">
        <v>19928</v>
      </c>
      <c r="AE1293" s="10">
        <v>4500000.0</v>
      </c>
      <c r="AF1293" s="10">
        <v>6000000.0</v>
      </c>
      <c r="AG1293" s="1">
        <v>7.126043575E9</v>
      </c>
      <c r="AI1293" s="1" t="s">
        <v>5113</v>
      </c>
      <c r="AJ1293" s="1">
        <v>154.0</v>
      </c>
      <c r="AK1293" s="1">
        <v>60.0</v>
      </c>
      <c r="AL1293" s="1" t="s">
        <v>19929</v>
      </c>
      <c r="AM1293" s="1" t="s">
        <v>19930</v>
      </c>
      <c r="AN1293" s="7" t="s">
        <v>19931</v>
      </c>
      <c r="AO1293" s="8" t="str">
        <f>HYPERLINK("https://docs.google.com/document/d/11A19NYUGMTHusqvYeZ3HrdYNM06ARjNhx16uwaQzzL8/edit?usp=drivesdk","Al-Wildan 4 Lebak Bulus_Mona Srianisah, S.TP_Science")</f>
        <v>Al-Wildan 4 Lebak Bulus_Mona Srianisah, S.TP_Science</v>
      </c>
      <c r="AP1293" s="1" t="s">
        <v>19932</v>
      </c>
    </row>
    <row r="1294">
      <c r="A1294" s="6">
        <v>45844.394452141205</v>
      </c>
      <c r="B1294" s="7" t="s">
        <v>19933</v>
      </c>
      <c r="C1294" s="8" t="s">
        <v>19934</v>
      </c>
      <c r="D1294" s="1" t="s">
        <v>19935</v>
      </c>
      <c r="E1294" s="9" t="s">
        <v>19936</v>
      </c>
      <c r="F1294" s="1" t="s">
        <v>19937</v>
      </c>
      <c r="G1294" s="1" t="s">
        <v>19938</v>
      </c>
      <c r="H1294" s="1" t="s">
        <v>99</v>
      </c>
      <c r="I1294" s="9" t="s">
        <v>19939</v>
      </c>
      <c r="J1294" s="1" t="s">
        <v>290</v>
      </c>
      <c r="K1294" s="1" t="s">
        <v>151</v>
      </c>
      <c r="L1294" s="1" t="s">
        <v>103</v>
      </c>
      <c r="M1294" s="1" t="s">
        <v>104</v>
      </c>
      <c r="N1294" s="1" t="s">
        <v>126</v>
      </c>
      <c r="O1294" s="1" t="s">
        <v>9794</v>
      </c>
      <c r="P1294" s="1" t="s">
        <v>6091</v>
      </c>
      <c r="Q1294" s="1" t="s">
        <v>19940</v>
      </c>
      <c r="R1294" s="1" t="s">
        <v>126</v>
      </c>
      <c r="S1294" s="1" t="s">
        <v>969</v>
      </c>
      <c r="Z1294" s="1" t="s">
        <v>19941</v>
      </c>
      <c r="AA1294" s="10">
        <v>3500000.0</v>
      </c>
      <c r="AB1294" s="1" t="s">
        <v>19942</v>
      </c>
      <c r="AC1294" s="10">
        <v>3000000.0</v>
      </c>
      <c r="AF1294" s="10">
        <v>5390000.0</v>
      </c>
      <c r="AG1294" s="1">
        <v>7.200997397E9</v>
      </c>
      <c r="AJ1294" s="1">
        <v>178.0</v>
      </c>
      <c r="AK1294" s="1">
        <v>85.0</v>
      </c>
      <c r="AL1294" s="1" t="s">
        <v>19943</v>
      </c>
      <c r="AM1294" s="1" t="s">
        <v>19944</v>
      </c>
      <c r="AN1294" s="7" t="s">
        <v>19945</v>
      </c>
      <c r="AO1294" s="8" t="str">
        <f>HYPERLINK("https://docs.google.com/document/d/1-QyVm93qLFrFrWNM3OhZnHWAMzGOeen-zr8QXMZyf-o/edit?usp=drivesdk","Al-Wildan 10 Cipinang, Jakarta Timur_Nafis Saiful Arsyi, S.Mat._Matematika")</f>
        <v>Al-Wildan 10 Cipinang, Jakarta Timur_Nafis Saiful Arsyi, S.Mat._Matematika</v>
      </c>
      <c r="AP1294" s="1" t="s">
        <v>19946</v>
      </c>
    </row>
    <row r="1295">
      <c r="A1295" s="6">
        <v>45844.417173912036</v>
      </c>
      <c r="B1295" s="7" t="s">
        <v>19947</v>
      </c>
      <c r="C1295" s="8" t="s">
        <v>19948</v>
      </c>
      <c r="D1295" s="1" t="s">
        <v>19949</v>
      </c>
      <c r="E1295" s="9" t="s">
        <v>19950</v>
      </c>
      <c r="F1295" s="1" t="s">
        <v>19951</v>
      </c>
      <c r="G1295" s="1" t="s">
        <v>19952</v>
      </c>
      <c r="H1295" s="1" t="s">
        <v>169</v>
      </c>
      <c r="I1295" s="1" t="s">
        <v>19953</v>
      </c>
      <c r="J1295" s="1" t="s">
        <v>1466</v>
      </c>
      <c r="K1295" s="1" t="s">
        <v>102</v>
      </c>
      <c r="L1295" s="1" t="s">
        <v>103</v>
      </c>
      <c r="M1295" s="1" t="s">
        <v>104</v>
      </c>
      <c r="N1295" s="1" t="s">
        <v>19954</v>
      </c>
      <c r="O1295" s="1" t="s">
        <v>127</v>
      </c>
      <c r="P1295" s="1" t="s">
        <v>7991</v>
      </c>
      <c r="Q1295" s="1" t="s">
        <v>19955</v>
      </c>
      <c r="Z1295" s="1" t="s">
        <v>19956</v>
      </c>
      <c r="AA1295" s="1" t="s">
        <v>5220</v>
      </c>
      <c r="AF1295" s="1" t="s">
        <v>16406</v>
      </c>
      <c r="AG1295" s="1">
        <v>7.210750686E9</v>
      </c>
      <c r="AI1295" s="1" t="s">
        <v>4856</v>
      </c>
      <c r="AJ1295" s="1">
        <v>179.0</v>
      </c>
      <c r="AK1295" s="1">
        <v>65.0</v>
      </c>
      <c r="AL1295" s="1" t="s">
        <v>19957</v>
      </c>
      <c r="AM1295" s="1" t="s">
        <v>19958</v>
      </c>
      <c r="AN1295" s="7" t="s">
        <v>19959</v>
      </c>
      <c r="AO1295" s="8" t="str">
        <f>HYPERLINK("https://docs.google.com/document/d/1RoszI9feZEuAvyvfSkYIsmxtZznCpbngq_8kM0Rc-xQ/edit?usp=drivesdk","Al-Wildan 12 Bulak Kapal, Bekasi_Muhammad Nur Huda_Tahfidz, Diniyah, Arab")</f>
        <v>Al-Wildan 12 Bulak Kapal, Bekasi_Muhammad Nur Huda_Tahfidz, Diniyah, Arab</v>
      </c>
      <c r="AP1295" s="1" t="s">
        <v>19960</v>
      </c>
    </row>
    <row r="1296">
      <c r="A1296" s="6">
        <v>45845.51623681713</v>
      </c>
      <c r="B1296" s="7" t="s">
        <v>19961</v>
      </c>
      <c r="C1296" s="8" t="s">
        <v>19962</v>
      </c>
      <c r="D1296" s="1" t="s">
        <v>19963</v>
      </c>
      <c r="E1296" s="9" t="s">
        <v>19964</v>
      </c>
      <c r="F1296" s="1" t="s">
        <v>19965</v>
      </c>
      <c r="G1296" s="1" t="s">
        <v>19966</v>
      </c>
      <c r="H1296" s="1" t="s">
        <v>15264</v>
      </c>
      <c r="I1296" s="9" t="s">
        <v>19967</v>
      </c>
      <c r="J1296" s="1" t="s">
        <v>19968</v>
      </c>
      <c r="K1296" s="1" t="s">
        <v>102</v>
      </c>
      <c r="L1296" s="1" t="s">
        <v>256</v>
      </c>
      <c r="M1296" s="1" t="s">
        <v>104</v>
      </c>
      <c r="N1296" s="1" t="s">
        <v>19969</v>
      </c>
      <c r="O1296" s="1" t="s">
        <v>236</v>
      </c>
      <c r="P1296" s="1" t="s">
        <v>237</v>
      </c>
      <c r="Q1296" s="1" t="s">
        <v>12065</v>
      </c>
      <c r="R1296" s="1" t="s">
        <v>130</v>
      </c>
      <c r="S1296" s="1" t="s">
        <v>19970</v>
      </c>
      <c r="T1296" s="1" t="s">
        <v>153</v>
      </c>
      <c r="U1296" s="1" t="s">
        <v>130</v>
      </c>
      <c r="V1296" s="1" t="s">
        <v>6661</v>
      </c>
      <c r="W1296" s="1" t="s">
        <v>153</v>
      </c>
      <c r="X1296" s="1" t="s">
        <v>130</v>
      </c>
      <c r="Y1296" s="1" t="s">
        <v>6338</v>
      </c>
      <c r="Z1296" s="1" t="s">
        <v>19971</v>
      </c>
      <c r="AA1296" s="10">
        <v>6400000.0</v>
      </c>
      <c r="AB1296" s="1" t="s">
        <v>19972</v>
      </c>
      <c r="AC1296" s="10">
        <v>9000000.0</v>
      </c>
      <c r="AD1296" s="1" t="s">
        <v>19973</v>
      </c>
      <c r="AE1296" s="10">
        <v>3500000.0</v>
      </c>
      <c r="AF1296" s="10">
        <v>1.2E7</v>
      </c>
      <c r="AH1296" s="9" t="s">
        <v>19974</v>
      </c>
      <c r="AI1296" s="1" t="s">
        <v>159</v>
      </c>
      <c r="AJ1296" s="1">
        <v>158.0</v>
      </c>
      <c r="AK1296" s="1">
        <v>75.0</v>
      </c>
      <c r="AL1296" s="1" t="s">
        <v>19975</v>
      </c>
      <c r="AM1296" s="1" t="s">
        <v>19976</v>
      </c>
      <c r="AN1296" s="7" t="s">
        <v>19977</v>
      </c>
      <c r="AO1296" s="8" t="str">
        <f>HYPERLINK("https://docs.google.com/document/d/1TVq8wlD5PCIRI--DkF4wT3oxpKwDoMz05T1mTUpDzt0/edit?usp=drivesdk","Al-Wildan 4 Lebak Bulus_Dr. Sulistiawati, S.Pd., M.Pd._Math Camb")</f>
        <v>Al-Wildan 4 Lebak Bulus_Dr. Sulistiawati, S.Pd., M.Pd._Math Camb</v>
      </c>
      <c r="AP1296" s="1" t="s">
        <v>19978</v>
      </c>
    </row>
    <row r="1297">
      <c r="A1297" s="6">
        <v>45848.63691347222</v>
      </c>
      <c r="B1297" s="7" t="s">
        <v>19979</v>
      </c>
      <c r="C1297" s="8" t="s">
        <v>19980</v>
      </c>
      <c r="D1297" s="1" t="s">
        <v>19981</v>
      </c>
      <c r="E1297" s="9" t="s">
        <v>19982</v>
      </c>
      <c r="F1297" s="1" t="s">
        <v>19983</v>
      </c>
      <c r="G1297" s="1" t="s">
        <v>19984</v>
      </c>
      <c r="H1297" s="1" t="s">
        <v>3047</v>
      </c>
      <c r="I1297" s="9" t="s">
        <v>19985</v>
      </c>
      <c r="J1297" s="1" t="s">
        <v>2836</v>
      </c>
      <c r="K1297" s="1" t="s">
        <v>102</v>
      </c>
      <c r="L1297" s="1" t="s">
        <v>256</v>
      </c>
      <c r="M1297" s="1" t="s">
        <v>104</v>
      </c>
      <c r="N1297" s="1" t="s">
        <v>19986</v>
      </c>
      <c r="O1297" s="1" t="s">
        <v>312</v>
      </c>
      <c r="P1297" s="1" t="s">
        <v>7991</v>
      </c>
      <c r="Q1297" s="1" t="s">
        <v>19987</v>
      </c>
      <c r="R1297" s="1" t="s">
        <v>172</v>
      </c>
      <c r="S1297" s="9" t="s">
        <v>796</v>
      </c>
      <c r="T1297" s="1" t="s">
        <v>19988</v>
      </c>
      <c r="U1297" s="1" t="s">
        <v>4023</v>
      </c>
      <c r="V1297" s="1" t="s">
        <v>8998</v>
      </c>
      <c r="Z1297" s="1" t="s">
        <v>10756</v>
      </c>
      <c r="AA1297" s="1" t="s">
        <v>19989</v>
      </c>
      <c r="AB1297" s="1" t="s">
        <v>19990</v>
      </c>
      <c r="AC1297" s="1">
        <v>0.0</v>
      </c>
      <c r="AD1297" s="1" t="s">
        <v>19991</v>
      </c>
      <c r="AE1297" s="10">
        <v>500000.0</v>
      </c>
      <c r="AF1297" s="10">
        <v>5000000.0</v>
      </c>
      <c r="AG1297" s="1">
        <v>9.52139767E9</v>
      </c>
      <c r="AJ1297" s="1">
        <v>169.0</v>
      </c>
      <c r="AK1297" s="1">
        <v>74.0</v>
      </c>
      <c r="AL1297" s="1" t="s">
        <v>19992</v>
      </c>
      <c r="AM1297" s="1" t="s">
        <v>19993</v>
      </c>
      <c r="AN1297" s="7" t="s">
        <v>19994</v>
      </c>
      <c r="AO1297" s="8" t="str">
        <f>HYPERLINK("https://docs.google.com/document/d/1jen2Gx5k7NDuAaxoK442q5awWAYY0Y3Fuosa5AXcBDE/edit?usp=drivesdk","Al-Wildan 12 Bulak Kapal, Bekasi_Surya Firmansyah_English, Sience &amp; Math")</f>
        <v>Al-Wildan 12 Bulak Kapal, Bekasi_Surya Firmansyah_English, Sience &amp; Math</v>
      </c>
      <c r="AP1297" s="1" t="s">
        <v>19995</v>
      </c>
    </row>
    <row r="1298">
      <c r="A1298" s="6">
        <v>45849.414955775464</v>
      </c>
      <c r="B1298" s="7" t="s">
        <v>19996</v>
      </c>
      <c r="C1298" s="8" t="s">
        <v>19997</v>
      </c>
      <c r="D1298" s="1" t="s">
        <v>19756</v>
      </c>
      <c r="E1298" s="1" t="s">
        <v>19757</v>
      </c>
      <c r="F1298" s="1" t="s">
        <v>19758</v>
      </c>
      <c r="G1298" s="1" t="s">
        <v>19998</v>
      </c>
      <c r="H1298" s="1" t="s">
        <v>19760</v>
      </c>
      <c r="I1298" s="9" t="s">
        <v>1444</v>
      </c>
      <c r="J1298" s="1" t="s">
        <v>19999</v>
      </c>
      <c r="K1298" s="1" t="s">
        <v>102</v>
      </c>
      <c r="L1298" s="1" t="s">
        <v>256</v>
      </c>
      <c r="M1298" s="1" t="s">
        <v>104</v>
      </c>
      <c r="N1298" s="1" t="s">
        <v>5860</v>
      </c>
      <c r="O1298" s="1" t="s">
        <v>9794</v>
      </c>
      <c r="P1298" s="1" t="s">
        <v>5712</v>
      </c>
      <c r="Q1298" s="1" t="s">
        <v>19762</v>
      </c>
      <c r="R1298" s="1" t="s">
        <v>19763</v>
      </c>
      <c r="S1298" s="1" t="s">
        <v>20000</v>
      </c>
      <c r="T1298" s="1" t="s">
        <v>19765</v>
      </c>
      <c r="U1298" s="1" t="s">
        <v>19766</v>
      </c>
      <c r="V1298" s="1" t="s">
        <v>20001</v>
      </c>
      <c r="W1298" s="1" t="s">
        <v>19765</v>
      </c>
      <c r="X1298" s="1" t="s">
        <v>19766</v>
      </c>
      <c r="Y1298" s="1" t="s">
        <v>4021</v>
      </c>
      <c r="Z1298" s="1" t="s">
        <v>20002</v>
      </c>
      <c r="AB1298" s="1" t="s">
        <v>20003</v>
      </c>
      <c r="AD1298" s="1" t="s">
        <v>20004</v>
      </c>
      <c r="AF1298" s="10">
        <v>2.1E7</v>
      </c>
      <c r="AH1298" s="1">
        <v>1.431010055225E14</v>
      </c>
      <c r="AI1298" s="1" t="s">
        <v>2407</v>
      </c>
      <c r="AJ1298" s="1">
        <v>170.0</v>
      </c>
      <c r="AK1298" s="1">
        <v>80.0</v>
      </c>
      <c r="AL1298" s="1" t="s">
        <v>19770</v>
      </c>
      <c r="AM1298" s="1" t="s">
        <v>20005</v>
      </c>
      <c r="AN1298" s="7" t="s">
        <v>20006</v>
      </c>
      <c r="AO1298" s="8" t="str">
        <f>HYPERLINK("https://docs.google.com/document/d/1Y_21wug5qXb35ofYc0uEJwo7Dz134k7jHmN0WqjLQy0/edit?usp=drivesdk","Al-Wildan 3 BSD City_Dr. Tausiff Firaque Mohammad_Physics")</f>
        <v>Al-Wildan 3 BSD City_Dr. Tausiff Firaque Mohammad_Physics</v>
      </c>
      <c r="AP1298" s="1" t="s">
        <v>20007</v>
      </c>
    </row>
    <row r="1299">
      <c r="A1299" s="6">
        <v>45850.3732889699</v>
      </c>
      <c r="B1299" s="7" t="s">
        <v>20008</v>
      </c>
      <c r="C1299" s="8" t="s">
        <v>20009</v>
      </c>
      <c r="D1299" s="1" t="s">
        <v>20010</v>
      </c>
      <c r="E1299" s="9" t="s">
        <v>20011</v>
      </c>
      <c r="F1299" s="1" t="s">
        <v>20012</v>
      </c>
      <c r="G1299" s="1" t="s">
        <v>20013</v>
      </c>
      <c r="H1299" s="1" t="s">
        <v>169</v>
      </c>
      <c r="I1299" s="9" t="s">
        <v>20014</v>
      </c>
      <c r="J1299" s="1" t="s">
        <v>20015</v>
      </c>
      <c r="K1299" s="1" t="s">
        <v>151</v>
      </c>
      <c r="L1299" s="1" t="s">
        <v>256</v>
      </c>
      <c r="M1299" s="1" t="s">
        <v>104</v>
      </c>
      <c r="N1299" s="1" t="s">
        <v>126</v>
      </c>
      <c r="O1299" s="1" t="s">
        <v>9794</v>
      </c>
      <c r="P1299" s="1" t="s">
        <v>6187</v>
      </c>
      <c r="Q1299" s="1" t="s">
        <v>20016</v>
      </c>
      <c r="R1299" s="1" t="s">
        <v>130</v>
      </c>
      <c r="S1299" s="9" t="s">
        <v>2785</v>
      </c>
      <c r="AB1299" s="1" t="s">
        <v>13445</v>
      </c>
      <c r="AC1299" s="10">
        <v>3500000.0</v>
      </c>
      <c r="AF1299" s="10">
        <v>6500000.0</v>
      </c>
      <c r="AG1299" s="1">
        <v>8.58330782E9</v>
      </c>
      <c r="AI1299" s="1" t="s">
        <v>4856</v>
      </c>
      <c r="AJ1299" s="1">
        <v>162.0</v>
      </c>
      <c r="AK1299" s="1">
        <v>65.0</v>
      </c>
      <c r="AL1299" s="1" t="s">
        <v>20017</v>
      </c>
      <c r="AM1299" s="1" t="s">
        <v>20018</v>
      </c>
      <c r="AN1299" s="7" t="s">
        <v>20019</v>
      </c>
      <c r="AO1299" s="8" t="str">
        <f>HYPERLINK("https://docs.google.com/document/d/13MpHs3wkc_ebTHv2oqWp3NrBxrC96vt23xKciSPujsk/edit?usp=drivesdk","Al-Wildan 14 Bumi Mutiara, Bogor_Hauraa Syaikhah, S.Pd._Matematika")</f>
        <v>Al-Wildan 14 Bumi Mutiara, Bogor_Hauraa Syaikhah, S.Pd._Matematika</v>
      </c>
      <c r="AP1299" s="1" t="s">
        <v>20020</v>
      </c>
    </row>
    <row r="1300">
      <c r="A1300" s="6">
        <v>45850.41088885417</v>
      </c>
      <c r="B1300" s="7" t="s">
        <v>20021</v>
      </c>
      <c r="C1300" s="8" t="s">
        <v>20022</v>
      </c>
      <c r="D1300" s="1" t="s">
        <v>20023</v>
      </c>
      <c r="E1300" s="9" t="s">
        <v>20024</v>
      </c>
      <c r="F1300" s="1" t="s">
        <v>20025</v>
      </c>
      <c r="G1300" s="1" t="s">
        <v>20026</v>
      </c>
      <c r="H1300" s="1" t="s">
        <v>847</v>
      </c>
      <c r="I1300" s="1" t="s">
        <v>20027</v>
      </c>
      <c r="J1300" s="1" t="s">
        <v>20028</v>
      </c>
      <c r="K1300" s="1" t="s">
        <v>102</v>
      </c>
      <c r="L1300" s="1" t="s">
        <v>329</v>
      </c>
      <c r="M1300" s="1" t="s">
        <v>104</v>
      </c>
      <c r="N1300" s="1" t="s">
        <v>20029</v>
      </c>
      <c r="O1300" s="1" t="s">
        <v>127</v>
      </c>
      <c r="P1300" s="1" t="s">
        <v>6091</v>
      </c>
      <c r="Q1300" s="1" t="s">
        <v>192</v>
      </c>
      <c r="R1300" s="1" t="s">
        <v>20030</v>
      </c>
      <c r="S1300" s="1" t="s">
        <v>379</v>
      </c>
      <c r="T1300" s="1" t="s">
        <v>20031</v>
      </c>
      <c r="U1300" s="1" t="s">
        <v>13075</v>
      </c>
      <c r="V1300" s="1" t="s">
        <v>3093</v>
      </c>
      <c r="W1300" s="1">
        <v>0.0</v>
      </c>
      <c r="X1300" s="1">
        <v>0.0</v>
      </c>
      <c r="Y1300" s="1">
        <v>0.0</v>
      </c>
      <c r="Z1300" s="1" t="s">
        <v>869</v>
      </c>
      <c r="AA1300" s="10">
        <v>3000000.0</v>
      </c>
      <c r="AB1300" s="1" t="s">
        <v>20032</v>
      </c>
      <c r="AC1300" s="10">
        <v>6000000.0</v>
      </c>
      <c r="AD1300" s="1" t="s">
        <v>20033</v>
      </c>
      <c r="AE1300" s="10">
        <v>4500000.0</v>
      </c>
      <c r="AF1300" s="10">
        <v>9000000.0</v>
      </c>
      <c r="AG1300" s="1">
        <v>6.46879177E9</v>
      </c>
      <c r="AJ1300" s="1">
        <v>163.0</v>
      </c>
      <c r="AK1300" s="1">
        <v>64.0</v>
      </c>
      <c r="AL1300" s="1" t="s">
        <v>20034</v>
      </c>
      <c r="AM1300" s="1" t="s">
        <v>20035</v>
      </c>
      <c r="AN1300" s="7" t="s">
        <v>20036</v>
      </c>
      <c r="AO1300" s="8" t="str">
        <f>HYPERLINK("https://docs.google.com/document/d/1rdL9phgBw1KjctmPGwoSJzdMQ_lk-A_7j6Rb0RuPi-Q/edit?usp=drivesdk","Al-Wildan 10 Cipinang, Jakarta Timur_Miqdad, Lc. M.Pd._Arabic, Fiqih, Aqidah, Akhlak, Hadist, Tafsir, ushul Fiqh Faroid.")</f>
        <v>Al-Wildan 10 Cipinang, Jakarta Timur_Miqdad, Lc. M.Pd._Arabic, Fiqih, Aqidah, Akhlak, Hadist, Tafsir, ushul Fiqh Faroid.</v>
      </c>
      <c r="AP1300" s="1" t="s">
        <v>20037</v>
      </c>
    </row>
    <row r="1301">
      <c r="A1301" s="6">
        <v>45850.45839136574</v>
      </c>
      <c r="B1301" s="7" t="s">
        <v>20038</v>
      </c>
      <c r="C1301" s="8" t="s">
        <v>20039</v>
      </c>
      <c r="D1301" s="1" t="s">
        <v>20023</v>
      </c>
      <c r="E1301" s="9" t="s">
        <v>20024</v>
      </c>
      <c r="F1301" s="1" t="s">
        <v>20025</v>
      </c>
      <c r="G1301" s="1" t="s">
        <v>20026</v>
      </c>
      <c r="H1301" s="1" t="s">
        <v>847</v>
      </c>
      <c r="I1301" s="9" t="s">
        <v>20040</v>
      </c>
      <c r="J1301" s="1" t="s">
        <v>20041</v>
      </c>
      <c r="K1301" s="1" t="s">
        <v>102</v>
      </c>
      <c r="L1301" s="1" t="s">
        <v>329</v>
      </c>
      <c r="M1301" s="1" t="s">
        <v>20042</v>
      </c>
      <c r="N1301" s="1" t="s">
        <v>1021</v>
      </c>
      <c r="O1301" s="1" t="s">
        <v>127</v>
      </c>
      <c r="P1301" s="1" t="s">
        <v>6091</v>
      </c>
      <c r="Q1301" s="1" t="s">
        <v>192</v>
      </c>
      <c r="R1301" s="1" t="s">
        <v>20030</v>
      </c>
      <c r="S1301" s="1" t="s">
        <v>379</v>
      </c>
      <c r="T1301" s="1" t="s">
        <v>20031</v>
      </c>
      <c r="U1301" s="1" t="s">
        <v>13075</v>
      </c>
      <c r="V1301" s="1" t="s">
        <v>3093</v>
      </c>
      <c r="Z1301" s="1" t="s">
        <v>20043</v>
      </c>
      <c r="AA1301" s="10">
        <v>3000000.0</v>
      </c>
      <c r="AB1301" s="1" t="s">
        <v>20044</v>
      </c>
      <c r="AC1301" s="10">
        <v>6000000.0</v>
      </c>
      <c r="AD1301" s="1" t="s">
        <v>20045</v>
      </c>
      <c r="AE1301" s="10">
        <v>4400000.0</v>
      </c>
      <c r="AF1301" s="10">
        <v>9000000.0</v>
      </c>
      <c r="AG1301" s="1">
        <v>6.46879177E9</v>
      </c>
      <c r="AI1301" s="1" t="s">
        <v>5113</v>
      </c>
      <c r="AJ1301" s="1">
        <v>163.0</v>
      </c>
      <c r="AK1301" s="1">
        <v>64.0</v>
      </c>
      <c r="AL1301" s="1" t="s">
        <v>20046</v>
      </c>
      <c r="AM1301" s="1" t="s">
        <v>20047</v>
      </c>
      <c r="AN1301" s="7" t="s">
        <v>20048</v>
      </c>
      <c r="AO1301" s="8" t="str">
        <f>HYPERLINK("https://docs.google.com/document/d/1dQvJ6dhsfwvNz_XfiMXSzu8WIfyh-iQ2d-LRtOxdkP0/edit?usp=drivesdk","Al-Wildan 10 Cipinang, Jakarta Timur_Miqdad, Lc. M.Pd._Arabic dan Diniyyah")</f>
        <v>Al-Wildan 10 Cipinang, Jakarta Timur_Miqdad, Lc. M.Pd._Arabic dan Diniyyah</v>
      </c>
      <c r="AP1301" s="1" t="s">
        <v>20049</v>
      </c>
    </row>
    <row r="1302">
      <c r="A1302" s="6">
        <v>45852.5691596875</v>
      </c>
      <c r="B1302" s="7" t="s">
        <v>20050</v>
      </c>
      <c r="C1302" s="8" t="s">
        <v>20051</v>
      </c>
      <c r="D1302" s="1" t="s">
        <v>20052</v>
      </c>
      <c r="E1302" s="9" t="s">
        <v>20053</v>
      </c>
      <c r="F1302" s="1" t="s">
        <v>20054</v>
      </c>
      <c r="G1302" s="1" t="s">
        <v>20055</v>
      </c>
      <c r="H1302" s="1" t="s">
        <v>20056</v>
      </c>
      <c r="I1302" s="9" t="s">
        <v>20057</v>
      </c>
      <c r="J1302" s="1">
        <v>34.0</v>
      </c>
      <c r="K1302" s="1" t="s">
        <v>102</v>
      </c>
      <c r="L1302" s="1" t="s">
        <v>103</v>
      </c>
      <c r="M1302" s="1" t="s">
        <v>104</v>
      </c>
      <c r="N1302" s="1" t="s">
        <v>152</v>
      </c>
      <c r="O1302" s="1" t="s">
        <v>236</v>
      </c>
      <c r="P1302" s="1" t="s">
        <v>7162</v>
      </c>
      <c r="Q1302" s="1" t="s">
        <v>20058</v>
      </c>
      <c r="R1302" s="1" t="s">
        <v>20059</v>
      </c>
      <c r="S1302" s="9" t="s">
        <v>3493</v>
      </c>
      <c r="T1302" s="1" t="s">
        <v>20060</v>
      </c>
      <c r="U1302" s="1" t="s">
        <v>20061</v>
      </c>
      <c r="V1302" s="1" t="s">
        <v>20062</v>
      </c>
      <c r="W1302" s="1" t="s">
        <v>3885</v>
      </c>
      <c r="X1302" s="1" t="s">
        <v>1007</v>
      </c>
      <c r="Z1302" s="1" t="s">
        <v>20063</v>
      </c>
      <c r="AA1302" s="10">
        <v>5000000.0</v>
      </c>
      <c r="AB1302" s="1" t="s">
        <v>20063</v>
      </c>
      <c r="AC1302" s="10">
        <v>5000000.0</v>
      </c>
      <c r="AD1302" s="1" t="s">
        <v>20063</v>
      </c>
      <c r="AE1302" s="10">
        <v>5000000.0</v>
      </c>
      <c r="AF1302" s="1" t="s">
        <v>20064</v>
      </c>
      <c r="AH1302" s="1">
        <v>1.79201016688507E14</v>
      </c>
      <c r="AI1302" s="1" t="s">
        <v>2407</v>
      </c>
      <c r="AJ1302" s="1">
        <v>185.0</v>
      </c>
      <c r="AK1302" s="1">
        <v>80.0</v>
      </c>
      <c r="AL1302" s="1" t="s">
        <v>20065</v>
      </c>
      <c r="AM1302" s="1" t="s">
        <v>20066</v>
      </c>
      <c r="AN1302" s="7" t="s">
        <v>20067</v>
      </c>
      <c r="AO1302" s="8" t="str">
        <f>HYPERLINK("https://docs.google.com/document/d/1Pwyzlgr4SMFDMUFf_jwXgbUe-bfnU7vdpW-ANjK_vZ0/edit?usp=drivesdk","Al-Wildan 7 Serang_Azzam Hassan Mohamed Abdall. Ma. MM_Bahasa Inggris")</f>
        <v>Al-Wildan 7 Serang_Azzam Hassan Mohamed Abdall. Ma. MM_Bahasa Inggris</v>
      </c>
      <c r="AP1302" s="1" t="s">
        <v>20068</v>
      </c>
    </row>
    <row r="1303">
      <c r="A1303" s="6">
        <v>45852.5726878125</v>
      </c>
      <c r="B1303" s="7" t="s">
        <v>20069</v>
      </c>
      <c r="C1303" s="8" t="s">
        <v>20070</v>
      </c>
      <c r="D1303" s="1" t="s">
        <v>20071</v>
      </c>
      <c r="E1303" s="9" t="s">
        <v>20072</v>
      </c>
      <c r="F1303" s="1" t="s">
        <v>20073</v>
      </c>
      <c r="G1303" s="1" t="s">
        <v>20074</v>
      </c>
      <c r="H1303" s="1" t="s">
        <v>20075</v>
      </c>
      <c r="I1303" s="9" t="s">
        <v>20076</v>
      </c>
      <c r="J1303" s="1" t="s">
        <v>4777</v>
      </c>
      <c r="K1303" s="1" t="s">
        <v>151</v>
      </c>
      <c r="L1303" s="1" t="s">
        <v>103</v>
      </c>
      <c r="M1303" s="1" t="s">
        <v>104</v>
      </c>
      <c r="N1303" s="1" t="s">
        <v>987</v>
      </c>
      <c r="O1303" s="1" t="s">
        <v>236</v>
      </c>
      <c r="P1303" s="1" t="s">
        <v>6659</v>
      </c>
      <c r="Q1303" s="1" t="s">
        <v>754</v>
      </c>
      <c r="R1303" s="1" t="s">
        <v>20077</v>
      </c>
      <c r="S1303" s="1" t="s">
        <v>1023</v>
      </c>
      <c r="Z1303" s="1" t="s">
        <v>20078</v>
      </c>
      <c r="AA1303" s="10">
        <v>2000000.0</v>
      </c>
      <c r="AB1303" s="1" t="s">
        <v>20079</v>
      </c>
      <c r="AC1303" s="10">
        <v>2000000.0</v>
      </c>
      <c r="AF1303" s="10">
        <v>6000000.0</v>
      </c>
      <c r="AH1303" s="9" t="s">
        <v>20080</v>
      </c>
      <c r="AI1303" s="1" t="s">
        <v>2407</v>
      </c>
      <c r="AJ1303" s="1">
        <v>155.0</v>
      </c>
      <c r="AK1303" s="1">
        <v>51.0</v>
      </c>
      <c r="AL1303" s="1" t="s">
        <v>20081</v>
      </c>
      <c r="AM1303" s="1" t="s">
        <v>20082</v>
      </c>
      <c r="AN1303" s="7" t="s">
        <v>20083</v>
      </c>
      <c r="AO1303" s="8" t="str">
        <f>HYPERLINK("https://docs.google.com/document/d/1qTAFiENVqcdzRnvobaYvc49aACv0pSc2jsfEugRWoAg/edit?usp=drivesdk","Al-Wildan 15 Kompas Indah, Tambun Bekasi._Siti Faida Masyitoh S.Pd_Biology")</f>
        <v>Al-Wildan 15 Kompas Indah, Tambun Bekasi._Siti Faida Masyitoh S.Pd_Biology</v>
      </c>
      <c r="AP1303" s="1" t="s">
        <v>20084</v>
      </c>
    </row>
    <row r="1304">
      <c r="A1304" s="6">
        <v>45852.58819728009</v>
      </c>
      <c r="B1304" s="7" t="s">
        <v>20085</v>
      </c>
      <c r="C1304" s="8" t="s">
        <v>20086</v>
      </c>
      <c r="D1304" s="1" t="s">
        <v>20087</v>
      </c>
      <c r="E1304" s="9" t="s">
        <v>20088</v>
      </c>
      <c r="F1304" s="1" t="s">
        <v>20089</v>
      </c>
      <c r="G1304" s="1" t="s">
        <v>20090</v>
      </c>
      <c r="H1304" s="1" t="s">
        <v>288</v>
      </c>
      <c r="I1304" s="1" t="s">
        <v>20091</v>
      </c>
      <c r="J1304" s="1">
        <v>27.0</v>
      </c>
      <c r="K1304" s="1" t="s">
        <v>102</v>
      </c>
      <c r="L1304" s="1" t="s">
        <v>103</v>
      </c>
      <c r="M1304" s="1" t="s">
        <v>104</v>
      </c>
      <c r="N1304" s="1" t="s">
        <v>274</v>
      </c>
      <c r="O1304" s="1" t="s">
        <v>312</v>
      </c>
      <c r="P1304" s="1" t="s">
        <v>7991</v>
      </c>
      <c r="Q1304" s="1" t="s">
        <v>668</v>
      </c>
      <c r="R1304" s="1" t="s">
        <v>20092</v>
      </c>
      <c r="S1304" s="1" t="s">
        <v>20093</v>
      </c>
      <c r="Z1304" s="1" t="s">
        <v>20094</v>
      </c>
      <c r="AA1304" s="10">
        <v>4080000.0</v>
      </c>
      <c r="AF1304" s="10">
        <v>5500000.0</v>
      </c>
      <c r="AG1304" s="1">
        <v>7.203066017E9</v>
      </c>
      <c r="AI1304" s="1" t="s">
        <v>5113</v>
      </c>
      <c r="AJ1304" s="1">
        <v>170.0</v>
      </c>
      <c r="AK1304" s="1">
        <v>98.0</v>
      </c>
      <c r="AL1304" s="1" t="s">
        <v>20095</v>
      </c>
      <c r="AM1304" s="1" t="s">
        <v>20096</v>
      </c>
      <c r="AN1304" s="7" t="s">
        <v>20097</v>
      </c>
      <c r="AO1304" s="8" t="str">
        <f>HYPERLINK("https://docs.google.com/document/d/1QNJ6WrlFV3LE7Ix_DB7UYEkr4zN6-CIeOi81TgYusU0/edit?usp=drivesdk","Al-Wildan 12 Bulak Kapal, Bekasi_Muhammad Hisyam Abdillah, BA_Diniyyah")</f>
        <v>Al-Wildan 12 Bulak Kapal, Bekasi_Muhammad Hisyam Abdillah, BA_Diniyyah</v>
      </c>
      <c r="AP1304" s="1" t="s">
        <v>20098</v>
      </c>
    </row>
    <row r="1305">
      <c r="A1305" s="6">
        <v>45852.664152997684</v>
      </c>
      <c r="B1305" s="7" t="s">
        <v>20099</v>
      </c>
      <c r="C1305" s="8" t="s">
        <v>20100</v>
      </c>
      <c r="D1305" s="1" t="s">
        <v>20101</v>
      </c>
      <c r="E1305" s="9" t="s">
        <v>20102</v>
      </c>
      <c r="F1305" s="1" t="s">
        <v>20103</v>
      </c>
      <c r="G1305" s="1" t="s">
        <v>20104</v>
      </c>
      <c r="H1305" s="1" t="s">
        <v>390</v>
      </c>
      <c r="I1305" s="9" t="s">
        <v>20105</v>
      </c>
      <c r="J1305" s="1" t="s">
        <v>5610</v>
      </c>
      <c r="K1305" s="1" t="s">
        <v>102</v>
      </c>
      <c r="L1305" s="1" t="s">
        <v>827</v>
      </c>
      <c r="M1305" s="1" t="s">
        <v>104</v>
      </c>
      <c r="N1305" s="1" t="s">
        <v>4312</v>
      </c>
      <c r="O1305" s="1" t="s">
        <v>9794</v>
      </c>
      <c r="P1305" s="1" t="s">
        <v>17019</v>
      </c>
      <c r="Q1305" s="1" t="s">
        <v>725</v>
      </c>
      <c r="R1305" s="1" t="s">
        <v>20106</v>
      </c>
      <c r="S1305" s="1" t="s">
        <v>1624</v>
      </c>
      <c r="T1305" s="1" t="s">
        <v>725</v>
      </c>
      <c r="U1305" s="1" t="s">
        <v>20107</v>
      </c>
      <c r="V1305" s="1" t="s">
        <v>1668</v>
      </c>
      <c r="Z1305" s="1" t="s">
        <v>20108</v>
      </c>
      <c r="AA1305" s="10">
        <v>4500000.0</v>
      </c>
      <c r="AB1305" s="1" t="s">
        <v>20109</v>
      </c>
      <c r="AC1305" s="10">
        <v>2500000.0</v>
      </c>
      <c r="AD1305" s="1" t="s">
        <v>20110</v>
      </c>
      <c r="AE1305" s="10">
        <v>3000000.0</v>
      </c>
      <c r="AF1305" s="10">
        <v>5500000.0</v>
      </c>
      <c r="AH1305" s="9" t="s">
        <v>20111</v>
      </c>
      <c r="AI1305" s="1" t="s">
        <v>159</v>
      </c>
      <c r="AJ1305" s="1">
        <v>156.0</v>
      </c>
      <c r="AK1305" s="1">
        <v>70.0</v>
      </c>
      <c r="AL1305" s="1" t="s">
        <v>20112</v>
      </c>
      <c r="AM1305" s="1" t="s">
        <v>20113</v>
      </c>
      <c r="AN1305" s="7" t="s">
        <v>20114</v>
      </c>
      <c r="AO1305" s="8" t="str">
        <f>HYPERLINK("https://docs.google.com/document/d/1CVXSSEb1ToPiQQVZFzhw9rbZ3xfwWaCLpr7dWqrOIGE/edit?usp=drivesdk","Al-Wildan 20 Mataram_Nada Amira, S.Pd., M.Pd._Science")</f>
        <v>Al-Wildan 20 Mataram_Nada Amira, S.Pd., M.Pd._Science</v>
      </c>
      <c r="AP1305" s="1" t="s">
        <v>20115</v>
      </c>
    </row>
    <row r="1306">
      <c r="A1306" s="6">
        <v>45852.7911040162</v>
      </c>
      <c r="B1306" s="7" t="s">
        <v>20116</v>
      </c>
      <c r="C1306" s="8" t="s">
        <v>20117</v>
      </c>
      <c r="D1306" s="1" t="s">
        <v>11396</v>
      </c>
      <c r="E1306" s="9" t="s">
        <v>11397</v>
      </c>
      <c r="F1306" s="1" t="s">
        <v>11398</v>
      </c>
      <c r="G1306" s="1" t="s">
        <v>20118</v>
      </c>
      <c r="H1306" s="1" t="s">
        <v>169</v>
      </c>
      <c r="I1306" s="9" t="s">
        <v>20119</v>
      </c>
      <c r="J1306" s="1" t="s">
        <v>12063</v>
      </c>
      <c r="K1306" s="1" t="s">
        <v>1235</v>
      </c>
      <c r="L1306" s="1" t="s">
        <v>103</v>
      </c>
      <c r="M1306" s="1" t="s">
        <v>104</v>
      </c>
      <c r="N1306" s="1" t="s">
        <v>771</v>
      </c>
      <c r="O1306" s="1" t="s">
        <v>312</v>
      </c>
      <c r="P1306" s="1" t="s">
        <v>6533</v>
      </c>
      <c r="Q1306" s="1" t="s">
        <v>20120</v>
      </c>
      <c r="R1306" s="1" t="s">
        <v>7974</v>
      </c>
      <c r="S1306" s="1" t="s">
        <v>1364</v>
      </c>
      <c r="Z1306" s="1" t="s">
        <v>20121</v>
      </c>
      <c r="AA1306" s="10">
        <v>4500000.0</v>
      </c>
      <c r="AB1306" s="1" t="s">
        <v>20122</v>
      </c>
      <c r="AC1306" s="10">
        <v>4500000.0</v>
      </c>
      <c r="AF1306" s="10">
        <v>6000000.0</v>
      </c>
      <c r="AG1306" s="1">
        <v>7.138776567E9</v>
      </c>
      <c r="AI1306" s="1" t="s">
        <v>5113</v>
      </c>
      <c r="AJ1306" s="1">
        <v>163.0</v>
      </c>
      <c r="AK1306" s="1">
        <v>60.0</v>
      </c>
      <c r="AL1306" s="1" t="s">
        <v>11405</v>
      </c>
      <c r="AM1306" s="1" t="s">
        <v>20123</v>
      </c>
      <c r="AN1306" s="7" t="s">
        <v>20124</v>
      </c>
      <c r="AO1306" s="8" t="str">
        <f>HYPERLINK("https://docs.google.com/document/d/15sqqgxx4hye5XO6sAMcDI67BtRBnAaXxBst1p0wFCOc/edit?usp=drivesdk","Al-Wildan 5 Benhil_Dena Ramadhani, S.IK._English")</f>
        <v>Al-Wildan 5 Benhil_Dena Ramadhani, S.IK._English</v>
      </c>
      <c r="AP1306" s="1" t="s">
        <v>20125</v>
      </c>
    </row>
    <row r="1307">
      <c r="A1307" s="6">
        <v>45855.73945508101</v>
      </c>
      <c r="B1307" s="7" t="s">
        <v>20126</v>
      </c>
      <c r="C1307" s="8" t="s">
        <v>20127</v>
      </c>
      <c r="D1307" s="1" t="s">
        <v>20128</v>
      </c>
      <c r="E1307" s="9" t="s">
        <v>20129</v>
      </c>
      <c r="F1307" s="1" t="s">
        <v>20130</v>
      </c>
      <c r="G1307" s="1" t="s">
        <v>20131</v>
      </c>
      <c r="H1307" s="1" t="s">
        <v>20132</v>
      </c>
      <c r="I1307" s="9" t="s">
        <v>20133</v>
      </c>
      <c r="J1307" s="1" t="s">
        <v>4834</v>
      </c>
      <c r="K1307" s="1" t="s">
        <v>151</v>
      </c>
      <c r="L1307" s="1" t="s">
        <v>103</v>
      </c>
      <c r="M1307" s="1" t="s">
        <v>6060</v>
      </c>
      <c r="O1307" s="1" t="s">
        <v>106</v>
      </c>
      <c r="P1307" s="1" t="s">
        <v>6659</v>
      </c>
      <c r="Q1307" s="1" t="s">
        <v>20134</v>
      </c>
      <c r="R1307" s="1" t="s">
        <v>20135</v>
      </c>
      <c r="S1307" s="9" t="s">
        <v>5613</v>
      </c>
      <c r="Z1307" s="1" t="s">
        <v>20136</v>
      </c>
      <c r="AA1307" s="10">
        <v>2500000.0</v>
      </c>
      <c r="AF1307" s="1" t="s">
        <v>20137</v>
      </c>
      <c r="AG1307" s="1">
        <v>7.203159611E9</v>
      </c>
      <c r="AJ1307" s="1">
        <v>163.0</v>
      </c>
      <c r="AK1307" s="1">
        <v>68.0</v>
      </c>
      <c r="AL1307" s="1" t="s">
        <v>20138</v>
      </c>
      <c r="AM1307" s="1" t="s">
        <v>20139</v>
      </c>
      <c r="AN1307" s="7" t="s">
        <v>20140</v>
      </c>
      <c r="AO1307" s="8" t="str">
        <f>HYPERLINK("https://docs.google.com/document/d/1iPhF4NaJGHBBrfjbhS0JodrrItK_fBTCZkbOzk4j8kc/edit?usp=drivesdk","Al-Wildan 15 Kompas Indah, Tambun Bekasi._Awanda Yusuf Kurniadi, S.Kom_")</f>
        <v>Al-Wildan 15 Kompas Indah, Tambun Bekasi._Awanda Yusuf Kurniadi, S.Kom_</v>
      </c>
      <c r="AP1307" s="1" t="s">
        <v>20141</v>
      </c>
    </row>
    <row r="1308">
      <c r="A1308" s="6">
        <v>45855.93398596065</v>
      </c>
      <c r="B1308" s="7" t="s">
        <v>20142</v>
      </c>
      <c r="C1308" s="8" t="s">
        <v>20143</v>
      </c>
      <c r="D1308" s="1" t="s">
        <v>20144</v>
      </c>
      <c r="E1308" s="9" t="s">
        <v>20145</v>
      </c>
      <c r="F1308" s="1" t="s">
        <v>20146</v>
      </c>
      <c r="G1308" s="1" t="s">
        <v>20147</v>
      </c>
      <c r="H1308" s="1" t="s">
        <v>20148</v>
      </c>
      <c r="I1308" s="9" t="s">
        <v>20149</v>
      </c>
      <c r="J1308" s="1" t="s">
        <v>6398</v>
      </c>
      <c r="K1308" s="1" t="s">
        <v>151</v>
      </c>
      <c r="L1308" s="1" t="s">
        <v>329</v>
      </c>
      <c r="M1308" s="1" t="s">
        <v>104</v>
      </c>
      <c r="N1308" s="1" t="s">
        <v>20150</v>
      </c>
      <c r="O1308" s="1" t="s">
        <v>312</v>
      </c>
      <c r="P1308" s="1" t="s">
        <v>6091</v>
      </c>
      <c r="Q1308" s="1" t="s">
        <v>20151</v>
      </c>
      <c r="R1308" s="1" t="s">
        <v>12915</v>
      </c>
      <c r="S1308" s="1" t="s">
        <v>20152</v>
      </c>
      <c r="T1308" s="1" t="s">
        <v>217</v>
      </c>
      <c r="U1308" s="1" t="s">
        <v>217</v>
      </c>
      <c r="V1308" s="1" t="s">
        <v>217</v>
      </c>
      <c r="W1308" s="1" t="s">
        <v>217</v>
      </c>
      <c r="X1308" s="1" t="s">
        <v>217</v>
      </c>
      <c r="Z1308" s="1" t="s">
        <v>20153</v>
      </c>
      <c r="AA1308" s="1" t="s">
        <v>20154</v>
      </c>
      <c r="AF1308" s="1" t="s">
        <v>20155</v>
      </c>
      <c r="AH1308" s="9" t="s">
        <v>20156</v>
      </c>
      <c r="AI1308" s="1" t="s">
        <v>2407</v>
      </c>
      <c r="AJ1308" s="1">
        <v>160.0</v>
      </c>
      <c r="AK1308" s="1">
        <v>52.0</v>
      </c>
      <c r="AL1308" s="1" t="s">
        <v>20157</v>
      </c>
      <c r="AM1308" s="1" t="s">
        <v>20158</v>
      </c>
      <c r="AN1308" s="7" t="s">
        <v>20159</v>
      </c>
      <c r="AO1308" s="8" t="str">
        <f>HYPERLINK("https://docs.google.com/document/d/1iCHxoWvPex_Yln2WiHZ4tm3YE__H0cdpIoBy9WY0b7s/edit?usp=drivesdk","Al-Wildan 10 Cipinang, Jakarta Timur_Unzila Munawaroh S.H_Matkul diniyah")</f>
        <v>Al-Wildan 10 Cipinang, Jakarta Timur_Unzila Munawaroh S.H_Matkul diniyah</v>
      </c>
      <c r="AP1308" s="1" t="s">
        <v>20160</v>
      </c>
    </row>
    <row r="1309">
      <c r="A1309" s="6">
        <v>45856.269250729165</v>
      </c>
      <c r="B1309" s="7" t="s">
        <v>20161</v>
      </c>
      <c r="C1309" s="8" t="s">
        <v>20162</v>
      </c>
      <c r="D1309" s="1" t="s">
        <v>20163</v>
      </c>
      <c r="E1309" s="9" t="s">
        <v>20164</v>
      </c>
      <c r="F1309" s="1" t="s">
        <v>20165</v>
      </c>
      <c r="G1309" s="1" t="s">
        <v>20166</v>
      </c>
      <c r="H1309" s="1" t="s">
        <v>169</v>
      </c>
      <c r="I1309" s="9" t="s">
        <v>10710</v>
      </c>
      <c r="J1309" s="1" t="s">
        <v>2836</v>
      </c>
      <c r="K1309" s="1" t="s">
        <v>102</v>
      </c>
      <c r="L1309" s="1" t="s">
        <v>827</v>
      </c>
      <c r="M1309" s="1" t="s">
        <v>104</v>
      </c>
      <c r="N1309" s="1" t="s">
        <v>5303</v>
      </c>
      <c r="O1309" s="1" t="s">
        <v>9794</v>
      </c>
      <c r="P1309" s="1" t="s">
        <v>6187</v>
      </c>
      <c r="Q1309" s="1" t="s">
        <v>9231</v>
      </c>
      <c r="R1309" s="1" t="s">
        <v>5923</v>
      </c>
      <c r="S1309" s="1">
        <v>3.74</v>
      </c>
      <c r="Z1309" s="1" t="s">
        <v>20167</v>
      </c>
      <c r="AA1309" s="10">
        <v>6000000.0</v>
      </c>
      <c r="AB1309" s="1" t="s">
        <v>20168</v>
      </c>
      <c r="AC1309" s="10">
        <v>700000.0</v>
      </c>
      <c r="AF1309" s="10">
        <v>5000000.0</v>
      </c>
      <c r="AG1309" s="1">
        <v>9.12146183E9</v>
      </c>
      <c r="AJ1309" s="1">
        <v>150.0</v>
      </c>
      <c r="AK1309" s="1">
        <v>57.0</v>
      </c>
      <c r="AL1309" s="1" t="s">
        <v>20169</v>
      </c>
      <c r="AM1309" s="1" t="s">
        <v>20170</v>
      </c>
      <c r="AN1309" s="7" t="s">
        <v>20171</v>
      </c>
      <c r="AO1309" s="8" t="str">
        <f>HYPERLINK("https://docs.google.com/document/d/1SQBg_1Ox8Ll22BttXL1b_qQ7ZeGDT3kH1sraEoKh_yA/edit?usp=drivesdk","Al-Wildan 14 Bumi Mutiara, Bogor_Lisda Asmida, S.T_Matematika ")</f>
        <v>Al-Wildan 14 Bumi Mutiara, Bogor_Lisda Asmida, S.T_Matematika </v>
      </c>
      <c r="AP1309" s="1" t="s">
        <v>20172</v>
      </c>
    </row>
    <row r="1310">
      <c r="A1310" s="6">
        <v>45856.6531277662</v>
      </c>
      <c r="B1310" s="7" t="s">
        <v>20173</v>
      </c>
      <c r="C1310" s="8" t="s">
        <v>20174</v>
      </c>
      <c r="D1310" s="1" t="s">
        <v>20175</v>
      </c>
      <c r="E1310" s="9" t="s">
        <v>20176</v>
      </c>
      <c r="F1310" s="1" t="s">
        <v>20177</v>
      </c>
      <c r="G1310" s="1" t="s">
        <v>685</v>
      </c>
      <c r="H1310" s="1" t="s">
        <v>288</v>
      </c>
      <c r="I1310" s="9" t="s">
        <v>20178</v>
      </c>
      <c r="J1310" s="1" t="s">
        <v>7941</v>
      </c>
      <c r="K1310" s="1" t="s">
        <v>151</v>
      </c>
      <c r="L1310" s="1" t="s">
        <v>103</v>
      </c>
      <c r="M1310" s="1" t="s">
        <v>104</v>
      </c>
      <c r="N1310" s="1" t="s">
        <v>126</v>
      </c>
      <c r="O1310" s="1" t="s">
        <v>9794</v>
      </c>
      <c r="P1310" s="1" t="s">
        <v>7162</v>
      </c>
      <c r="Q1310" s="1" t="s">
        <v>1362</v>
      </c>
      <c r="R1310" s="1" t="s">
        <v>20179</v>
      </c>
      <c r="S1310" s="1" t="s">
        <v>592</v>
      </c>
      <c r="Z1310" s="1" t="s">
        <v>20180</v>
      </c>
      <c r="AA1310" s="1" t="s">
        <v>20181</v>
      </c>
      <c r="AF1310" s="1" t="s">
        <v>20182</v>
      </c>
      <c r="AG1310" s="1">
        <v>7.205460351E9</v>
      </c>
      <c r="AI1310" s="1" t="s">
        <v>20183</v>
      </c>
      <c r="AJ1310" s="1">
        <v>150.0</v>
      </c>
      <c r="AK1310" s="1">
        <v>60.0</v>
      </c>
      <c r="AL1310" s="1" t="s">
        <v>20184</v>
      </c>
      <c r="AM1310" s="1" t="s">
        <v>20185</v>
      </c>
      <c r="AN1310" s="7" t="s">
        <v>20186</v>
      </c>
      <c r="AO1310" s="8" t="str">
        <f>HYPERLINK("https://docs.google.com/document/d/1DgpNe0_AlBG1BKTs2VHjweWsdbIIAS2xsMoQ3W6Bj2k/edit?usp=drivesdk","Al-Wildan 7 Serang_Annisa Bella, S.Pi_Matematika")</f>
        <v>Al-Wildan 7 Serang_Annisa Bella, S.Pi_Matematika</v>
      </c>
      <c r="AP1310" s="1" t="s">
        <v>20187</v>
      </c>
    </row>
    <row r="1311">
      <c r="A1311" s="6">
        <v>45859.439426412035</v>
      </c>
      <c r="B1311" s="7" t="s">
        <v>20188</v>
      </c>
      <c r="C1311" s="8" t="s">
        <v>20189</v>
      </c>
      <c r="D1311" s="1" t="s">
        <v>20190</v>
      </c>
      <c r="E1311" s="9" t="s">
        <v>20191</v>
      </c>
      <c r="F1311" s="1" t="s">
        <v>20192</v>
      </c>
      <c r="G1311" s="1" t="s">
        <v>20193</v>
      </c>
      <c r="H1311" s="1" t="s">
        <v>12865</v>
      </c>
      <c r="I1311" s="9" t="s">
        <v>5200</v>
      </c>
      <c r="J1311" s="1">
        <v>24.0</v>
      </c>
      <c r="K1311" s="1" t="s">
        <v>151</v>
      </c>
      <c r="L1311" s="1" t="s">
        <v>103</v>
      </c>
      <c r="M1311" s="1" t="s">
        <v>13917</v>
      </c>
      <c r="N1311" s="1" t="s">
        <v>20194</v>
      </c>
      <c r="O1311" s="1" t="s">
        <v>9794</v>
      </c>
      <c r="P1311" s="1" t="s">
        <v>7991</v>
      </c>
      <c r="Q1311" s="1" t="s">
        <v>7223</v>
      </c>
      <c r="R1311" s="1" t="s">
        <v>20195</v>
      </c>
      <c r="S1311" s="1">
        <v>3.51</v>
      </c>
      <c r="T1311" s="1" t="s">
        <v>217</v>
      </c>
      <c r="U1311" s="1" t="s">
        <v>217</v>
      </c>
      <c r="V1311" s="1" t="s">
        <v>217</v>
      </c>
      <c r="W1311" s="1" t="s">
        <v>217</v>
      </c>
      <c r="X1311" s="1" t="s">
        <v>217</v>
      </c>
      <c r="Z1311" s="1" t="s">
        <v>20196</v>
      </c>
      <c r="AA1311" s="10">
        <v>3800000.0</v>
      </c>
      <c r="AB1311" s="1" t="s">
        <v>217</v>
      </c>
      <c r="AC1311" s="1" t="s">
        <v>217</v>
      </c>
      <c r="AD1311" s="1" t="s">
        <v>217</v>
      </c>
      <c r="AE1311" s="1" t="s">
        <v>217</v>
      </c>
      <c r="AF1311" s="10">
        <v>4500000.0</v>
      </c>
      <c r="AH1311" s="1">
        <v>4.43001031430532E14</v>
      </c>
      <c r="AI1311" s="1" t="s">
        <v>2407</v>
      </c>
      <c r="AJ1311" s="1">
        <v>172.0</v>
      </c>
      <c r="AK1311" s="1">
        <v>68.0</v>
      </c>
      <c r="AL1311" s="1" t="s">
        <v>20197</v>
      </c>
      <c r="AM1311" s="1" t="s">
        <v>20198</v>
      </c>
      <c r="AN1311" s="7" t="s">
        <v>20199</v>
      </c>
      <c r="AO1311" s="8" t="str">
        <f>HYPERLINK("https://docs.google.com/document/d/1aZpl8rh9novqj7yMIgqK5FMol9ATzKwlM4C1I7sOacQ/edit?usp=drivesdk","Al-Wildan 12 Bulak Kapal, Bekasi_Zaenal Anggara S.Pd_Guru PJOK ")</f>
        <v>Al-Wildan 12 Bulak Kapal, Bekasi_Zaenal Anggara S.Pd_Guru PJOK </v>
      </c>
      <c r="AP1311" s="1" t="s">
        <v>20200</v>
      </c>
    </row>
    <row r="1312">
      <c r="A1312" s="6">
        <v>45859.58349866898</v>
      </c>
      <c r="B1312" s="7" t="s">
        <v>20201</v>
      </c>
      <c r="C1312" s="8" t="s">
        <v>20202</v>
      </c>
      <c r="D1312" s="1" t="s">
        <v>20203</v>
      </c>
      <c r="E1312" s="9" t="s">
        <v>20204</v>
      </c>
      <c r="F1312" s="1" t="s">
        <v>20205</v>
      </c>
      <c r="G1312" s="1" t="s">
        <v>20206</v>
      </c>
      <c r="H1312" s="1" t="s">
        <v>2076</v>
      </c>
      <c r="I1312" s="9" t="s">
        <v>9477</v>
      </c>
      <c r="J1312" s="1" t="s">
        <v>12233</v>
      </c>
      <c r="K1312" s="1" t="s">
        <v>151</v>
      </c>
      <c r="L1312" s="1" t="s">
        <v>103</v>
      </c>
      <c r="M1312" s="1" t="s">
        <v>104</v>
      </c>
      <c r="N1312" s="1" t="s">
        <v>20207</v>
      </c>
      <c r="O1312" s="1" t="s">
        <v>236</v>
      </c>
      <c r="P1312" s="1" t="s">
        <v>17019</v>
      </c>
      <c r="Q1312" s="1" t="s">
        <v>20208</v>
      </c>
      <c r="R1312" s="1" t="s">
        <v>833</v>
      </c>
      <c r="S1312" s="1" t="s">
        <v>5523</v>
      </c>
      <c r="T1312" s="1" t="s">
        <v>7923</v>
      </c>
      <c r="U1312" s="1" t="s">
        <v>833</v>
      </c>
      <c r="V1312" s="1" t="s">
        <v>17745</v>
      </c>
      <c r="W1312" s="1" t="s">
        <v>217</v>
      </c>
      <c r="X1312" s="1" t="s">
        <v>217</v>
      </c>
      <c r="Z1312" s="1" t="s">
        <v>20207</v>
      </c>
      <c r="AF1312" s="1" t="s">
        <v>20209</v>
      </c>
      <c r="AG1312" s="1">
        <v>7.188750073E9</v>
      </c>
      <c r="AJ1312" s="1">
        <v>153.0</v>
      </c>
      <c r="AK1312" s="1">
        <v>50.0</v>
      </c>
      <c r="AL1312" s="1" t="s">
        <v>20210</v>
      </c>
      <c r="AM1312" s="1" t="s">
        <v>20211</v>
      </c>
      <c r="AN1312" s="7" t="s">
        <v>20212</v>
      </c>
      <c r="AO1312" s="8" t="str">
        <f>HYPERLINK("https://docs.google.com/document/d/1Iuph5Dj9nenWsshfljURkTbYQx8gXVno-mmJF_vZ8B4/edit?usp=drivesdk","Al-Wildan 20 Mataram_Aulia Azka, SH., MH._Guru Ekonomi Cambridge")</f>
        <v>Al-Wildan 20 Mataram_Aulia Azka, SH., MH._Guru Ekonomi Cambridge</v>
      </c>
      <c r="AP1312" s="1" t="s">
        <v>20213</v>
      </c>
    </row>
    <row r="1313">
      <c r="A1313" s="6">
        <v>45859.72843149306</v>
      </c>
      <c r="B1313" s="7" t="s">
        <v>20214</v>
      </c>
      <c r="C1313" s="8" t="s">
        <v>20215</v>
      </c>
      <c r="D1313" s="1" t="s">
        <v>20216</v>
      </c>
      <c r="E1313" s="9" t="s">
        <v>20217</v>
      </c>
      <c r="F1313" s="1" t="s">
        <v>20218</v>
      </c>
      <c r="G1313" s="1" t="s">
        <v>20219</v>
      </c>
      <c r="H1313" s="1" t="s">
        <v>4139</v>
      </c>
      <c r="I1313" s="9" t="s">
        <v>20220</v>
      </c>
      <c r="J1313" s="1" t="s">
        <v>588</v>
      </c>
      <c r="K1313" s="1" t="s">
        <v>102</v>
      </c>
      <c r="L1313" s="1" t="s">
        <v>103</v>
      </c>
      <c r="M1313" s="1" t="s">
        <v>104</v>
      </c>
      <c r="N1313" s="1" t="s">
        <v>152</v>
      </c>
      <c r="O1313" s="1" t="s">
        <v>9794</v>
      </c>
      <c r="P1313" s="1" t="s">
        <v>6187</v>
      </c>
      <c r="Q1313" s="1" t="s">
        <v>20221</v>
      </c>
      <c r="R1313" s="1" t="s">
        <v>172</v>
      </c>
      <c r="S1313" s="1" t="s">
        <v>1668</v>
      </c>
      <c r="Z1313" s="1" t="s">
        <v>20222</v>
      </c>
      <c r="AA1313" s="10">
        <v>3000000.0</v>
      </c>
      <c r="AB1313" s="1" t="s">
        <v>20223</v>
      </c>
      <c r="AC1313" s="10">
        <v>3310000.0</v>
      </c>
      <c r="AD1313" s="1" t="s">
        <v>20224</v>
      </c>
      <c r="AE1313" s="10">
        <v>4500000.0</v>
      </c>
      <c r="AF1313" s="10">
        <v>6000000.0</v>
      </c>
      <c r="AG1313" s="1">
        <v>7.167717807E9</v>
      </c>
      <c r="AJ1313" s="1">
        <v>170.0</v>
      </c>
      <c r="AK1313" s="1">
        <v>90.0</v>
      </c>
      <c r="AL1313" s="1" t="s">
        <v>20225</v>
      </c>
      <c r="AM1313" s="1" t="s">
        <v>20226</v>
      </c>
      <c r="AN1313" s="7" t="s">
        <v>20227</v>
      </c>
      <c r="AO1313" s="8" t="str">
        <f>HYPERLINK("https://docs.google.com/document/d/1tSyZ8pRBkIuC7coJVQt-1DFVS49UmTU78mv5xGtwBhM/edit?usp=drivesdk","Al-Wildan 14 Bumi Mutiara, Bogor_Wan Fadlyriza, S.Pd_Bahasa Inggris")</f>
        <v>Al-Wildan 14 Bumi Mutiara, Bogor_Wan Fadlyriza, S.Pd_Bahasa Inggris</v>
      </c>
      <c r="AP1313" s="1" t="s">
        <v>20228</v>
      </c>
    </row>
    <row r="1314">
      <c r="A1314" s="6">
        <v>45859.75050436343</v>
      </c>
      <c r="B1314" s="7" t="s">
        <v>20229</v>
      </c>
      <c r="C1314" s="8" t="s">
        <v>20230</v>
      </c>
      <c r="D1314" s="1" t="s">
        <v>20231</v>
      </c>
      <c r="E1314" s="9" t="s">
        <v>20232</v>
      </c>
      <c r="F1314" s="1" t="s">
        <v>20233</v>
      </c>
      <c r="G1314" s="1" t="s">
        <v>20234</v>
      </c>
      <c r="H1314" s="1" t="s">
        <v>169</v>
      </c>
      <c r="I1314" s="9" t="s">
        <v>20235</v>
      </c>
      <c r="J1314" s="1" t="s">
        <v>6606</v>
      </c>
      <c r="K1314" s="1" t="s">
        <v>151</v>
      </c>
      <c r="L1314" s="1" t="s">
        <v>256</v>
      </c>
      <c r="M1314" s="1" t="s">
        <v>424</v>
      </c>
      <c r="N1314" s="1" t="s">
        <v>424</v>
      </c>
      <c r="O1314" s="1" t="s">
        <v>9794</v>
      </c>
      <c r="P1314" s="1" t="s">
        <v>107</v>
      </c>
      <c r="Q1314" s="1" t="s">
        <v>20236</v>
      </c>
      <c r="R1314" s="1" t="s">
        <v>1057</v>
      </c>
      <c r="S1314" s="1" t="s">
        <v>12407</v>
      </c>
      <c r="Z1314" s="1" t="s">
        <v>20237</v>
      </c>
      <c r="AA1314" s="1" t="s">
        <v>20238</v>
      </c>
      <c r="AB1314" s="1" t="s">
        <v>20239</v>
      </c>
      <c r="AF1314" s="10">
        <v>5500000.0</v>
      </c>
      <c r="AH1314" s="1">
        <v>6.801023841E9</v>
      </c>
      <c r="AI1314" s="1" t="s">
        <v>222</v>
      </c>
      <c r="AJ1314" s="1">
        <v>162.0</v>
      </c>
      <c r="AK1314" s="1">
        <v>76.0</v>
      </c>
      <c r="AL1314" s="1" t="s">
        <v>20240</v>
      </c>
      <c r="AM1314" s="1" t="s">
        <v>20241</v>
      </c>
      <c r="AN1314" s="7" t="s">
        <v>20242</v>
      </c>
      <c r="AO1314" s="8" t="str">
        <f>HYPERLINK("https://docs.google.com/document/d/1bXueo5cevBHbVWuv66Gzi1-3XR8p2UA9sqF4w8gqk-g/edit?usp=drivesdk","Al-Wildan 1 Gading Serpong_Salvira Nuryunda Setiadi_Guru Bimbingan Konseling")</f>
        <v>Al-Wildan 1 Gading Serpong_Salvira Nuryunda Setiadi_Guru Bimbingan Konseling</v>
      </c>
      <c r="AP1314" s="1" t="s">
        <v>20243</v>
      </c>
    </row>
    <row r="1315">
      <c r="A1315" s="6">
        <v>45859.78681476852</v>
      </c>
      <c r="B1315" s="7" t="s">
        <v>20244</v>
      </c>
      <c r="C1315" s="8" t="s">
        <v>20245</v>
      </c>
      <c r="D1315" s="1" t="s">
        <v>20246</v>
      </c>
      <c r="E1315" s="9" t="s">
        <v>20217</v>
      </c>
      <c r="F1315" s="1" t="s">
        <v>20218</v>
      </c>
      <c r="G1315" s="1" t="s">
        <v>20247</v>
      </c>
      <c r="H1315" s="1" t="s">
        <v>4139</v>
      </c>
      <c r="I1315" s="9" t="s">
        <v>20220</v>
      </c>
      <c r="J1315" s="1">
        <v>32.0</v>
      </c>
      <c r="K1315" s="1" t="s">
        <v>102</v>
      </c>
      <c r="L1315" s="1" t="s">
        <v>103</v>
      </c>
      <c r="M1315" s="1" t="s">
        <v>104</v>
      </c>
      <c r="N1315" s="1" t="s">
        <v>20248</v>
      </c>
      <c r="O1315" s="1" t="s">
        <v>9794</v>
      </c>
      <c r="P1315" s="1" t="s">
        <v>6187</v>
      </c>
      <c r="Q1315" s="1" t="s">
        <v>20249</v>
      </c>
      <c r="R1315" s="1" t="s">
        <v>172</v>
      </c>
      <c r="S1315" s="1" t="s">
        <v>1668</v>
      </c>
      <c r="Z1315" s="1" t="s">
        <v>20250</v>
      </c>
      <c r="AA1315" s="10">
        <v>3000000.0</v>
      </c>
      <c r="AB1315" s="1" t="s">
        <v>20251</v>
      </c>
      <c r="AC1315" s="10">
        <v>3310000.0</v>
      </c>
      <c r="AD1315" s="1" t="s">
        <v>20252</v>
      </c>
      <c r="AE1315" s="10">
        <v>4500000.0</v>
      </c>
      <c r="AF1315" s="10">
        <v>6000000.0</v>
      </c>
      <c r="AG1315" s="1">
        <v>7.167717807E9</v>
      </c>
      <c r="AJ1315" s="1">
        <v>170.0</v>
      </c>
      <c r="AK1315" s="1">
        <v>90.0</v>
      </c>
      <c r="AL1315" s="1" t="s">
        <v>20225</v>
      </c>
      <c r="AM1315" s="1" t="s">
        <v>20253</v>
      </c>
      <c r="AN1315" s="7" t="s">
        <v>20254</v>
      </c>
      <c r="AO1315" s="8" t="str">
        <f>HYPERLINK("https://docs.google.com/document/d/17PSCGVlWl7CqeOXsYQC2wwQVaQlLTBaXXdsIvmbUvCo/edit?usp=drivesdk","Al-Wildan 14 Bumi Mutiara, Bogor_Wan Fadlyriza_Bahas Inggria ")</f>
        <v>Al-Wildan 14 Bumi Mutiara, Bogor_Wan Fadlyriza_Bahas Inggria </v>
      </c>
      <c r="AP1315" s="1" t="s">
        <v>20255</v>
      </c>
    </row>
    <row r="1316">
      <c r="A1316" s="6">
        <v>45859.871748935184</v>
      </c>
      <c r="B1316" s="7" t="s">
        <v>20256</v>
      </c>
      <c r="C1316" s="8" t="s">
        <v>20257</v>
      </c>
      <c r="D1316" s="1" t="s">
        <v>20258</v>
      </c>
      <c r="E1316" s="9" t="s">
        <v>20232</v>
      </c>
      <c r="F1316" s="1" t="s">
        <v>20233</v>
      </c>
      <c r="G1316" s="1" t="s">
        <v>20234</v>
      </c>
      <c r="H1316" s="1" t="s">
        <v>169</v>
      </c>
      <c r="I1316" s="9" t="s">
        <v>20235</v>
      </c>
      <c r="J1316" s="1" t="s">
        <v>6606</v>
      </c>
      <c r="K1316" s="1" t="s">
        <v>151</v>
      </c>
      <c r="L1316" s="1" t="s">
        <v>256</v>
      </c>
      <c r="M1316" s="1" t="s">
        <v>424</v>
      </c>
      <c r="N1316" s="1" t="s">
        <v>424</v>
      </c>
      <c r="O1316" s="1" t="s">
        <v>9794</v>
      </c>
      <c r="P1316" s="1" t="s">
        <v>107</v>
      </c>
      <c r="Q1316" s="1" t="s">
        <v>20259</v>
      </c>
      <c r="R1316" s="1" t="s">
        <v>10593</v>
      </c>
      <c r="S1316" s="1" t="s">
        <v>12407</v>
      </c>
      <c r="Z1316" s="1" t="s">
        <v>20260</v>
      </c>
      <c r="AA1316" s="10">
        <v>5000000.0</v>
      </c>
      <c r="AB1316" s="1" t="s">
        <v>20261</v>
      </c>
      <c r="AF1316" s="10">
        <v>6500000.0</v>
      </c>
      <c r="AH1316" s="1">
        <v>6.801023841E9</v>
      </c>
      <c r="AI1316" s="1" t="s">
        <v>222</v>
      </c>
      <c r="AJ1316" s="1">
        <v>162.0</v>
      </c>
      <c r="AK1316" s="1">
        <v>76.0</v>
      </c>
      <c r="AL1316" s="1" t="s">
        <v>20240</v>
      </c>
      <c r="AM1316" s="1" t="s">
        <v>20262</v>
      </c>
      <c r="AN1316" s="7" t="s">
        <v>20263</v>
      </c>
      <c r="AO1316" s="8" t="str">
        <f>HYPERLINK("https://docs.google.com/document/d/1-BBjqsn7r5Q40HyZ8uX5U8TgvqxuaGMXCKYKJHjnucM/edit?usp=drivesdk","Al-Wildan 1 Gading Serpong_Salvira Nuryunda Setiadi,S.Psi_Guru Bimbingan Konseling")</f>
        <v>Al-Wildan 1 Gading Serpong_Salvira Nuryunda Setiadi,S.Psi_Guru Bimbingan Konseling</v>
      </c>
      <c r="AP1316" s="1" t="s">
        <v>20264</v>
      </c>
    </row>
    <row r="1317">
      <c r="A1317" s="6">
        <v>45860.58231678241</v>
      </c>
      <c r="B1317" s="7" t="s">
        <v>20265</v>
      </c>
      <c r="C1317" s="8" t="s">
        <v>20266</v>
      </c>
      <c r="D1317" s="1" t="s">
        <v>20267</v>
      </c>
      <c r="E1317" s="9" t="s">
        <v>6730</v>
      </c>
      <c r="F1317" s="1" t="s">
        <v>6731</v>
      </c>
      <c r="G1317" s="1" t="s">
        <v>20268</v>
      </c>
      <c r="H1317" s="1" t="s">
        <v>1255</v>
      </c>
      <c r="I1317" s="9" t="s">
        <v>6733</v>
      </c>
      <c r="J1317" s="1">
        <v>31.0</v>
      </c>
      <c r="K1317" s="1" t="s">
        <v>102</v>
      </c>
      <c r="L1317" s="1" t="s">
        <v>103</v>
      </c>
      <c r="M1317" s="1" t="s">
        <v>104</v>
      </c>
      <c r="N1317" s="1" t="s">
        <v>3171</v>
      </c>
      <c r="O1317" s="1" t="s">
        <v>236</v>
      </c>
      <c r="P1317" s="1" t="s">
        <v>5712</v>
      </c>
      <c r="Q1317" s="1" t="s">
        <v>9231</v>
      </c>
      <c r="R1317" s="1" t="s">
        <v>20269</v>
      </c>
      <c r="S1317" s="1" t="s">
        <v>969</v>
      </c>
      <c r="Z1317" s="1" t="s">
        <v>20270</v>
      </c>
      <c r="AA1317" s="10">
        <v>4615200.0</v>
      </c>
      <c r="AF1317" s="10">
        <v>5500000.0</v>
      </c>
      <c r="AG1317" s="1">
        <v>7.182913817E9</v>
      </c>
      <c r="AI1317" s="1" t="s">
        <v>5113</v>
      </c>
      <c r="AJ1317" s="1">
        <v>165.0</v>
      </c>
      <c r="AK1317" s="1">
        <v>47.0</v>
      </c>
      <c r="AL1317" s="1" t="s">
        <v>6739</v>
      </c>
      <c r="AM1317" s="1" t="s">
        <v>20271</v>
      </c>
      <c r="AN1317" s="7" t="s">
        <v>20272</v>
      </c>
      <c r="AO1317" s="8" t="str">
        <f>HYPERLINK("https://docs.google.com/document/d/1SplwTqD0aTP-g14qUS-IdIs_0hMcZfRbrB5zkqMx3CE/edit?usp=drivesdk","Al-Wildan 3 BSD City_Teguh Agus Wahyuda, S.Pd., C.EQ_Al Qur'an ")</f>
        <v>Al-Wildan 3 BSD City_Teguh Agus Wahyuda, S.Pd., C.EQ_Al Qur'an </v>
      </c>
      <c r="AP1317" s="1" t="s">
        <v>20273</v>
      </c>
    </row>
    <row r="1318">
      <c r="A1318" s="6">
        <v>45866.36761076389</v>
      </c>
      <c r="B1318" s="7" t="s">
        <v>20274</v>
      </c>
      <c r="C1318" s="8" t="s">
        <v>20275</v>
      </c>
      <c r="D1318" s="1" t="s">
        <v>20276</v>
      </c>
      <c r="E1318" s="9" t="s">
        <v>20277</v>
      </c>
      <c r="F1318" s="1" t="s">
        <v>20278</v>
      </c>
      <c r="G1318" s="1" t="s">
        <v>20279</v>
      </c>
      <c r="H1318" s="1" t="s">
        <v>169</v>
      </c>
      <c r="I1318" s="9" t="s">
        <v>20280</v>
      </c>
      <c r="J1318" s="1" t="s">
        <v>20281</v>
      </c>
      <c r="K1318" s="1" t="s">
        <v>151</v>
      </c>
      <c r="L1318" s="1" t="s">
        <v>103</v>
      </c>
      <c r="M1318" s="1" t="s">
        <v>104</v>
      </c>
      <c r="N1318" s="1" t="s">
        <v>17201</v>
      </c>
      <c r="O1318" s="1" t="s">
        <v>9794</v>
      </c>
      <c r="P1318" s="1" t="s">
        <v>237</v>
      </c>
      <c r="Q1318" s="1" t="s">
        <v>108</v>
      </c>
      <c r="R1318" s="1" t="s">
        <v>459</v>
      </c>
      <c r="S1318" s="1" t="s">
        <v>7779</v>
      </c>
      <c r="Z1318" s="1" t="s">
        <v>20282</v>
      </c>
      <c r="AA1318" s="10">
        <v>3440000.0</v>
      </c>
      <c r="AC1318" s="10">
        <v>5000000.0</v>
      </c>
      <c r="AF1318" s="1" t="s">
        <v>4822</v>
      </c>
      <c r="AJ1318" s="1">
        <v>165.0</v>
      </c>
      <c r="AK1318" s="1">
        <v>56.0</v>
      </c>
      <c r="AL1318" s="1" t="s">
        <v>20283</v>
      </c>
      <c r="AM1318" s="1" t="s">
        <v>20284</v>
      </c>
      <c r="AN1318" s="7" t="s">
        <v>20285</v>
      </c>
      <c r="AO1318" s="8" t="str">
        <f>HYPERLINK("https://docs.google.com/document/d/1W5I3o3i6_CUu0CL5OkhczB_a9cf2loMvjO9uD41DZB4/edit?usp=drivesdk","Al-Wildan 4 Lebak Bulus_Elvina Iryuanita, S.Pd_Ekonomi DI")</f>
        <v>Al-Wildan 4 Lebak Bulus_Elvina Iryuanita, S.Pd_Ekonomi DI</v>
      </c>
      <c r="AP1318" s="1" t="s">
        <v>20286</v>
      </c>
    </row>
    <row r="1319">
      <c r="A1319" s="6">
        <v>45867.34003466435</v>
      </c>
      <c r="B1319" s="7" t="s">
        <v>20287</v>
      </c>
      <c r="C1319" s="8" t="s">
        <v>20288</v>
      </c>
      <c r="D1319" s="1" t="s">
        <v>20289</v>
      </c>
      <c r="E1319" s="9" t="s">
        <v>20290</v>
      </c>
      <c r="F1319" s="1" t="s">
        <v>20291</v>
      </c>
      <c r="G1319" s="1" t="s">
        <v>20292</v>
      </c>
      <c r="H1319" s="1" t="s">
        <v>6057</v>
      </c>
      <c r="I1319" s="9" t="s">
        <v>20293</v>
      </c>
      <c r="J1319" s="1" t="s">
        <v>20294</v>
      </c>
      <c r="K1319" s="1" t="s">
        <v>102</v>
      </c>
      <c r="L1319" s="1" t="s">
        <v>103</v>
      </c>
      <c r="M1319" s="1" t="s">
        <v>8033</v>
      </c>
      <c r="O1319" s="1" t="s">
        <v>14262</v>
      </c>
      <c r="P1319" s="1" t="s">
        <v>7991</v>
      </c>
      <c r="Q1319" s="1" t="s">
        <v>20295</v>
      </c>
      <c r="R1319" s="1" t="s">
        <v>20296</v>
      </c>
      <c r="S1319" s="1">
        <v>2.75</v>
      </c>
      <c r="Z1319" s="1" t="s">
        <v>20297</v>
      </c>
      <c r="AA1319" s="10">
        <v>5000000.0</v>
      </c>
      <c r="AB1319" s="1" t="s">
        <v>8033</v>
      </c>
      <c r="AF1319" s="10">
        <v>5000000.0</v>
      </c>
      <c r="AG1319" s="1">
        <v>7.318814877E9</v>
      </c>
      <c r="AH1319" s="1">
        <v>3.195063961E9</v>
      </c>
      <c r="AI1319" s="1" t="s">
        <v>222</v>
      </c>
      <c r="AJ1319" s="1">
        <v>158.0</v>
      </c>
      <c r="AK1319" s="1">
        <v>60.0</v>
      </c>
      <c r="AL1319" s="1" t="s">
        <v>20298</v>
      </c>
      <c r="AM1319" s="1" t="s">
        <v>20299</v>
      </c>
      <c r="AN1319" s="7" t="s">
        <v>20300</v>
      </c>
      <c r="AO1319" s="8" t="str">
        <f>HYPERLINK("https://docs.google.com/document/d/1TTPDmMkKTpR1WWUo2Hoedsk-DABX0FcSqYxuN4WfY3I/edit?usp=drivesdk","Al-Wildan 12 Bulak Kapal, Bekasi_ANNISA CHAIRIA, SE_")</f>
        <v>Al-Wildan 12 Bulak Kapal, Bekasi_ANNISA CHAIRIA, SE_</v>
      </c>
      <c r="AP1319" s="1" t="s">
        <v>20301</v>
      </c>
    </row>
    <row r="1320">
      <c r="A1320" s="6">
        <v>45868.33744189815</v>
      </c>
      <c r="B1320" s="7" t="s">
        <v>20302</v>
      </c>
      <c r="C1320" s="8" t="s">
        <v>20303</v>
      </c>
      <c r="D1320" s="1" t="s">
        <v>20304</v>
      </c>
      <c r="E1320" s="9" t="s">
        <v>20305</v>
      </c>
      <c r="F1320" s="1" t="s">
        <v>20306</v>
      </c>
      <c r="G1320" s="1" t="s">
        <v>20307</v>
      </c>
      <c r="H1320" s="1" t="s">
        <v>2076</v>
      </c>
      <c r="I1320" s="9" t="s">
        <v>20308</v>
      </c>
      <c r="J1320" s="1" t="s">
        <v>346</v>
      </c>
      <c r="K1320" s="1" t="s">
        <v>151</v>
      </c>
      <c r="L1320" s="1" t="s">
        <v>103</v>
      </c>
      <c r="M1320" s="1" t="s">
        <v>104</v>
      </c>
      <c r="N1320" s="1" t="s">
        <v>105</v>
      </c>
      <c r="O1320" s="1" t="s">
        <v>236</v>
      </c>
      <c r="P1320" s="1" t="s">
        <v>17019</v>
      </c>
      <c r="Q1320" s="1" t="s">
        <v>590</v>
      </c>
      <c r="R1320" s="1" t="s">
        <v>441</v>
      </c>
      <c r="S1320" s="1" t="s">
        <v>7975</v>
      </c>
      <c r="Z1320" s="1" t="s">
        <v>20309</v>
      </c>
      <c r="AA1320" s="10">
        <v>1000000.0</v>
      </c>
      <c r="AF1320" s="10">
        <v>3700000.0</v>
      </c>
      <c r="AH1320" s="1">
        <v>1.06201018118503E14</v>
      </c>
      <c r="AI1320" s="1" t="s">
        <v>20310</v>
      </c>
      <c r="AJ1320" s="1">
        <v>151.0</v>
      </c>
      <c r="AK1320" s="1">
        <v>42.0</v>
      </c>
      <c r="AL1320" s="1" t="s">
        <v>20311</v>
      </c>
      <c r="AM1320" s="1" t="s">
        <v>20312</v>
      </c>
      <c r="AN1320" s="7" t="s">
        <v>20313</v>
      </c>
      <c r="AO1320" s="8" t="str">
        <f>HYPERLINK("https://docs.google.com/document/d/1rBZzewTajiydQTD1qrlmqW6JCorWqrLJNk_IFKLG9RU/edit?usp=drivesdk","Al-Wildan 20 Mataram_Niswatun Warok, S.Pd._Bahasa Indonesia")</f>
        <v>Al-Wildan 20 Mataram_Niswatun Warok, S.Pd._Bahasa Indonesia</v>
      </c>
      <c r="AP1320" s="1" t="s">
        <v>20314</v>
      </c>
    </row>
    <row r="1321">
      <c r="A1321" s="6">
        <v>45869.625543912036</v>
      </c>
      <c r="B1321" s="7" t="s">
        <v>20315</v>
      </c>
      <c r="C1321" s="8" t="s">
        <v>20316</v>
      </c>
      <c r="D1321" s="1" t="s">
        <v>20304</v>
      </c>
      <c r="E1321" s="9" t="s">
        <v>20305</v>
      </c>
      <c r="F1321" s="1" t="s">
        <v>20306</v>
      </c>
      <c r="G1321" s="1" t="s">
        <v>20307</v>
      </c>
      <c r="H1321" s="1" t="s">
        <v>2076</v>
      </c>
      <c r="I1321" s="9" t="s">
        <v>20308</v>
      </c>
      <c r="J1321" s="1" t="s">
        <v>346</v>
      </c>
      <c r="K1321" s="1" t="s">
        <v>151</v>
      </c>
      <c r="L1321" s="1" t="s">
        <v>103</v>
      </c>
      <c r="M1321" s="1" t="s">
        <v>104</v>
      </c>
      <c r="N1321" s="1" t="s">
        <v>105</v>
      </c>
      <c r="O1321" s="1" t="s">
        <v>236</v>
      </c>
      <c r="P1321" s="1" t="s">
        <v>17019</v>
      </c>
      <c r="Q1321" s="1" t="s">
        <v>590</v>
      </c>
      <c r="R1321" s="1" t="s">
        <v>441</v>
      </c>
      <c r="S1321" s="1" t="s">
        <v>7975</v>
      </c>
      <c r="Z1321" s="1" t="s">
        <v>20309</v>
      </c>
      <c r="AA1321" s="10">
        <v>1000000.0</v>
      </c>
      <c r="AF1321" s="10">
        <v>3700000.0</v>
      </c>
      <c r="AG1321" s="1">
        <v>7.320006001E9</v>
      </c>
      <c r="AI1321" s="1" t="s">
        <v>20317</v>
      </c>
      <c r="AJ1321" s="1">
        <v>151.0</v>
      </c>
      <c r="AK1321" s="1">
        <v>42.0</v>
      </c>
      <c r="AL1321" s="1" t="s">
        <v>20311</v>
      </c>
      <c r="AM1321" s="1" t="s">
        <v>20318</v>
      </c>
      <c r="AN1321" s="7" t="s">
        <v>20319</v>
      </c>
      <c r="AO1321" s="8" t="str">
        <f>HYPERLINK("https://docs.google.com/document/d/1CRLhH0KaXjuGoSFSyHoAIgAOYSVTsz_KmoNOzH3zYeU/edit?usp=drivesdk","Al-Wildan 20 Mataram_Niswatun Warok, S.Pd._Bahasa Indonesia")</f>
        <v>Al-Wildan 20 Mataram_Niswatun Warok, S.Pd._Bahasa Indonesia</v>
      </c>
      <c r="AP1321" s="1" t="s">
        <v>20320</v>
      </c>
    </row>
    <row r="1322">
      <c r="A1322" s="6">
        <v>45869.71423424769</v>
      </c>
      <c r="B1322" s="7" t="s">
        <v>20321</v>
      </c>
      <c r="C1322" s="8" t="s">
        <v>20322</v>
      </c>
      <c r="D1322" s="1" t="s">
        <v>20323</v>
      </c>
      <c r="E1322" s="9" t="s">
        <v>20324</v>
      </c>
      <c r="F1322" s="1" t="s">
        <v>20325</v>
      </c>
      <c r="G1322" s="1" t="s">
        <v>20326</v>
      </c>
      <c r="H1322" s="1" t="s">
        <v>20327</v>
      </c>
      <c r="I1322" s="9" t="s">
        <v>20328</v>
      </c>
      <c r="J1322" s="1">
        <v>49.0</v>
      </c>
      <c r="K1322" s="1" t="s">
        <v>102</v>
      </c>
      <c r="L1322" s="1" t="s">
        <v>103</v>
      </c>
      <c r="M1322" s="1" t="s">
        <v>589</v>
      </c>
      <c r="O1322" s="1" t="s">
        <v>106</v>
      </c>
      <c r="P1322" s="1" t="s">
        <v>7162</v>
      </c>
      <c r="AH1322" s="1">
        <v>1.15201036184509E14</v>
      </c>
      <c r="AI1322" s="1" t="s">
        <v>2407</v>
      </c>
      <c r="AJ1322" s="1">
        <v>175.0</v>
      </c>
      <c r="AK1322" s="1">
        <v>87.0</v>
      </c>
      <c r="AL1322" s="1" t="s">
        <v>20329</v>
      </c>
      <c r="AM1322" s="1" t="s">
        <v>20330</v>
      </c>
      <c r="AN1322" s="7" t="s">
        <v>20331</v>
      </c>
      <c r="AO1322" s="8" t="str">
        <f>HYPERLINK("https://docs.google.com/document/d/1c5xGmpKI9TMULYnlAZbMiPs0A9-2YzPZThEGlRNyEdk/edit?usp=drivesdk","Al-Wildan 7 Serang_Salah Eldin Faiz Adam Abaker_")</f>
        <v>Al-Wildan 7 Serang_Salah Eldin Faiz Adam Abaker_</v>
      </c>
      <c r="AP1322" s="1" t="s">
        <v>20332</v>
      </c>
    </row>
    <row r="1323">
      <c r="A1323" s="6">
        <v>45870.58379226852</v>
      </c>
      <c r="B1323" s="7" t="s">
        <v>20333</v>
      </c>
      <c r="C1323" s="8" t="s">
        <v>20334</v>
      </c>
      <c r="D1323" s="1" t="s">
        <v>20335</v>
      </c>
      <c r="E1323" s="9" t="s">
        <v>20336</v>
      </c>
      <c r="F1323" s="1" t="s">
        <v>20337</v>
      </c>
      <c r="G1323" s="1" t="s">
        <v>20338</v>
      </c>
      <c r="H1323" s="1" t="s">
        <v>20339</v>
      </c>
      <c r="I1323" s="9" t="s">
        <v>20340</v>
      </c>
      <c r="J1323" s="1" t="s">
        <v>20341</v>
      </c>
      <c r="K1323" s="1" t="s">
        <v>102</v>
      </c>
      <c r="L1323" s="1" t="s">
        <v>310</v>
      </c>
      <c r="M1323" s="1" t="s">
        <v>17232</v>
      </c>
      <c r="N1323" s="1" t="s">
        <v>20342</v>
      </c>
      <c r="O1323" s="1" t="s">
        <v>312</v>
      </c>
      <c r="P1323" s="1" t="s">
        <v>17019</v>
      </c>
      <c r="Q1323" s="1" t="s">
        <v>668</v>
      </c>
      <c r="R1323" s="1" t="s">
        <v>20343</v>
      </c>
      <c r="S1323" s="1" t="s">
        <v>5523</v>
      </c>
      <c r="Z1323" s="1" t="s">
        <v>20344</v>
      </c>
      <c r="AB1323" s="1" t="s">
        <v>20345</v>
      </c>
      <c r="AC1323" s="10">
        <v>5000000.0</v>
      </c>
      <c r="AF1323" s="10">
        <v>6000000.0</v>
      </c>
      <c r="AG1323" s="1">
        <v>4.54796413E9</v>
      </c>
      <c r="AJ1323" s="1">
        <v>164.0</v>
      </c>
      <c r="AK1323" s="1">
        <v>70.0</v>
      </c>
      <c r="AL1323" s="1" t="s">
        <v>20346</v>
      </c>
      <c r="AM1323" s="1" t="s">
        <v>20347</v>
      </c>
      <c r="AN1323" s="7" t="s">
        <v>20348</v>
      </c>
      <c r="AO1323" s="8" t="str">
        <f>HYPERLINK("https://docs.google.com/document/d/1nQa-iGuB1RsdnVLpPdRWqKJ2HYT6vDI5sgNTcgh8QnI/edit?usp=drivesdk","Al-Wildan 20 Mataram_Muhammad Bagis , Lc_Arabic dan Diniyah")</f>
        <v>Al-Wildan 20 Mataram_Muhammad Bagis , Lc_Arabic dan Diniyah</v>
      </c>
      <c r="AP1323" s="1" t="s">
        <v>20349</v>
      </c>
    </row>
    <row r="1324">
      <c r="A1324" s="6">
        <v>45870.601795532406</v>
      </c>
      <c r="B1324" s="7" t="s">
        <v>20350</v>
      </c>
      <c r="C1324" s="8" t="s">
        <v>20351</v>
      </c>
      <c r="D1324" s="1" t="s">
        <v>20352</v>
      </c>
      <c r="E1324" s="9" t="s">
        <v>20353</v>
      </c>
      <c r="F1324" s="1" t="s">
        <v>20354</v>
      </c>
      <c r="G1324" s="1" t="s">
        <v>20355</v>
      </c>
      <c r="H1324" s="1" t="s">
        <v>4998</v>
      </c>
      <c r="I1324" s="9" t="s">
        <v>20356</v>
      </c>
      <c r="J1324" s="1" t="s">
        <v>9792</v>
      </c>
      <c r="K1324" s="1" t="s">
        <v>102</v>
      </c>
      <c r="L1324" s="1" t="s">
        <v>103</v>
      </c>
      <c r="M1324" s="1" t="s">
        <v>104</v>
      </c>
      <c r="N1324" s="1" t="s">
        <v>7307</v>
      </c>
      <c r="O1324" s="1" t="s">
        <v>9794</v>
      </c>
      <c r="P1324" s="1" t="s">
        <v>17019</v>
      </c>
      <c r="Q1324" s="1" t="s">
        <v>11581</v>
      </c>
      <c r="R1324" s="1" t="s">
        <v>20357</v>
      </c>
      <c r="S1324" s="1">
        <v>3.73</v>
      </c>
      <c r="Z1324" s="1" t="s">
        <v>6734</v>
      </c>
      <c r="AB1324" s="1" t="s">
        <v>6734</v>
      </c>
      <c r="AF1324" s="10">
        <v>5000000.0</v>
      </c>
      <c r="AG1324" s="1">
        <v>8.76783266E9</v>
      </c>
      <c r="AJ1324" s="1">
        <v>167.0</v>
      </c>
      <c r="AK1324" s="1">
        <v>70.0</v>
      </c>
      <c r="AL1324" s="1" t="s">
        <v>20358</v>
      </c>
      <c r="AM1324" s="1" t="s">
        <v>20359</v>
      </c>
      <c r="AN1324" s="7" t="s">
        <v>20360</v>
      </c>
      <c r="AO1324" s="8" t="str">
        <f>HYPERLINK("https://docs.google.com/document/d/1wNd6ikj2jV_BXMVy1Bpii6tmZEV64feM1CDTxJb-NKA/edit?usp=drivesdk","Al-Wildan 20 Mataram_Muh. Ulumuddin, S.Ag._Al-Quran ")</f>
        <v>Al-Wildan 20 Mataram_Muh. Ulumuddin, S.Ag._Al-Quran </v>
      </c>
      <c r="AP1324" s="1" t="s">
        <v>20361</v>
      </c>
    </row>
    <row r="1325">
      <c r="A1325" s="6">
        <v>45870.839750405095</v>
      </c>
      <c r="B1325" s="7" t="s">
        <v>20362</v>
      </c>
      <c r="C1325" s="8" t="s">
        <v>20363</v>
      </c>
      <c r="D1325" s="1" t="s">
        <v>20364</v>
      </c>
      <c r="E1325" s="9" t="s">
        <v>20365</v>
      </c>
      <c r="F1325" s="1" t="s">
        <v>20366</v>
      </c>
      <c r="G1325" s="1" t="s">
        <v>20367</v>
      </c>
      <c r="H1325" s="1" t="s">
        <v>703</v>
      </c>
      <c r="I1325" s="9" t="s">
        <v>19418</v>
      </c>
      <c r="J1325" s="1" t="s">
        <v>1020</v>
      </c>
      <c r="K1325" s="1" t="s">
        <v>151</v>
      </c>
      <c r="L1325" s="1" t="s">
        <v>496</v>
      </c>
      <c r="M1325" s="1" t="s">
        <v>7580</v>
      </c>
      <c r="N1325" s="1" t="s">
        <v>771</v>
      </c>
      <c r="O1325" s="1" t="s">
        <v>312</v>
      </c>
      <c r="P1325" s="1" t="s">
        <v>17019</v>
      </c>
      <c r="Q1325" s="1" t="s">
        <v>1505</v>
      </c>
      <c r="R1325" s="1" t="s">
        <v>20368</v>
      </c>
      <c r="S1325" s="1" t="s">
        <v>20369</v>
      </c>
      <c r="Z1325" s="1" t="s">
        <v>20370</v>
      </c>
      <c r="AA1325" s="10">
        <v>2000000.0</v>
      </c>
      <c r="AF1325" s="10">
        <v>3500000.0</v>
      </c>
      <c r="AG1325" s="1">
        <v>7.78956823E9</v>
      </c>
      <c r="AJ1325" s="1">
        <v>155.0</v>
      </c>
      <c r="AK1325" s="1">
        <v>45.0</v>
      </c>
      <c r="AL1325" s="1" t="s">
        <v>20371</v>
      </c>
      <c r="AM1325" s="1" t="s">
        <v>20372</v>
      </c>
      <c r="AN1325" s="7" t="s">
        <v>20373</v>
      </c>
      <c r="AO1325" s="8" t="str">
        <f>HYPERLINK("https://docs.google.com/document/d/14CKnAXv0HwiYV0HWyZaQEBH1OIeSPmq5ZgC66ScoLv4/edit?usp=drivesdk","Al-Wildan 20 Mataram_Eva Apriliana, B.B.A_English")</f>
        <v>Al-Wildan 20 Mataram_Eva Apriliana, B.B.A_English</v>
      </c>
      <c r="AP1325" s="1" t="s">
        <v>20374</v>
      </c>
    </row>
    <row r="1326">
      <c r="A1326" s="6">
        <v>45875.47916766204</v>
      </c>
      <c r="B1326" s="7" t="s">
        <v>20375</v>
      </c>
      <c r="C1326" s="8" t="s">
        <v>20376</v>
      </c>
      <c r="D1326" s="1" t="s">
        <v>20377</v>
      </c>
      <c r="E1326" s="9" t="s">
        <v>20378</v>
      </c>
      <c r="F1326" s="1" t="s">
        <v>20379</v>
      </c>
      <c r="G1326" s="1" t="s">
        <v>20380</v>
      </c>
      <c r="H1326" s="1" t="s">
        <v>5159</v>
      </c>
      <c r="I1326" s="9" t="s">
        <v>20381</v>
      </c>
      <c r="J1326" s="1" t="s">
        <v>6917</v>
      </c>
      <c r="K1326" s="1" t="s">
        <v>151</v>
      </c>
      <c r="L1326" s="1" t="s">
        <v>496</v>
      </c>
      <c r="M1326" s="1" t="s">
        <v>5671</v>
      </c>
      <c r="N1326" s="1" t="s">
        <v>235</v>
      </c>
      <c r="O1326" s="1" t="s">
        <v>127</v>
      </c>
      <c r="P1326" s="1" t="s">
        <v>17019</v>
      </c>
      <c r="Q1326" s="1" t="s">
        <v>14276</v>
      </c>
      <c r="R1326" s="1" t="s">
        <v>2355</v>
      </c>
      <c r="S1326" s="1" t="s">
        <v>3589</v>
      </c>
      <c r="T1326" s="1" t="s">
        <v>14277</v>
      </c>
      <c r="U1326" s="1" t="s">
        <v>2355</v>
      </c>
      <c r="V1326" s="1" t="s">
        <v>6338</v>
      </c>
      <c r="Z1326" s="1" t="s">
        <v>2917</v>
      </c>
      <c r="AB1326" s="1" t="s">
        <v>10756</v>
      </c>
      <c r="AF1326" s="10">
        <v>3500000.0</v>
      </c>
      <c r="AG1326" s="1">
        <v>7.182551834E9</v>
      </c>
      <c r="AI1326" s="1" t="s">
        <v>5561</v>
      </c>
      <c r="AJ1326" s="1">
        <v>175.0</v>
      </c>
      <c r="AK1326" s="1">
        <v>74.0</v>
      </c>
      <c r="AL1326" s="1" t="s">
        <v>20382</v>
      </c>
      <c r="AM1326" s="1" t="s">
        <v>20383</v>
      </c>
      <c r="AN1326" s="7" t="s">
        <v>20384</v>
      </c>
      <c r="AO1326" s="8" t="str">
        <f>HYPERLINK("https://docs.google.com/document/d/1kTkVRTWnwhVcorcqbhpuPAP6DOyh4YULMdj_tigc-to/edit?usp=drivesdk","Al-Wildan 20 Mataram_Muhammad Ryan Kurniawan, M.Pd._Bahasa Arab")</f>
        <v>Al-Wildan 20 Mataram_Muhammad Ryan Kurniawan, M.Pd._Bahasa Arab</v>
      </c>
      <c r="AP1326" s="1" t="s">
        <v>20385</v>
      </c>
    </row>
    <row r="1327">
      <c r="A1327" s="6">
        <v>45877.288223807875</v>
      </c>
      <c r="B1327" s="7" t="s">
        <v>20386</v>
      </c>
      <c r="C1327" s="8" t="s">
        <v>20387</v>
      </c>
      <c r="D1327" s="1" t="s">
        <v>20364</v>
      </c>
      <c r="E1327" s="9" t="s">
        <v>20365</v>
      </c>
      <c r="F1327" s="1" t="s">
        <v>20388</v>
      </c>
      <c r="G1327" s="1" t="s">
        <v>20367</v>
      </c>
      <c r="H1327" s="1" t="s">
        <v>703</v>
      </c>
      <c r="I1327" s="9" t="s">
        <v>19418</v>
      </c>
      <c r="J1327" s="1" t="s">
        <v>1020</v>
      </c>
      <c r="K1327" s="1" t="s">
        <v>151</v>
      </c>
      <c r="L1327" s="1" t="s">
        <v>496</v>
      </c>
      <c r="M1327" s="1" t="s">
        <v>7580</v>
      </c>
      <c r="N1327" s="1" t="s">
        <v>771</v>
      </c>
      <c r="O1327" s="1" t="s">
        <v>312</v>
      </c>
      <c r="P1327" s="1" t="s">
        <v>17019</v>
      </c>
      <c r="Q1327" s="1" t="s">
        <v>1505</v>
      </c>
      <c r="R1327" s="1" t="s">
        <v>20389</v>
      </c>
      <c r="S1327" s="1" t="s">
        <v>20369</v>
      </c>
      <c r="Z1327" s="1" t="s">
        <v>20390</v>
      </c>
      <c r="AA1327" s="10">
        <v>2000000.0</v>
      </c>
      <c r="AF1327" s="10">
        <v>3500000.0</v>
      </c>
      <c r="AG1327" s="1">
        <v>7.78956823E9</v>
      </c>
      <c r="AJ1327" s="1">
        <v>155.0</v>
      </c>
      <c r="AK1327" s="1">
        <v>45.0</v>
      </c>
      <c r="AL1327" s="1" t="s">
        <v>20371</v>
      </c>
      <c r="AM1327" s="1" t="s">
        <v>20391</v>
      </c>
      <c r="AN1327" s="7" t="s">
        <v>20392</v>
      </c>
      <c r="AO1327" s="8" t="str">
        <f>HYPERLINK("https://docs.google.com/document/d/1Q_TZ5jLCTVIGI-ioQ2pxy2menmasCg5IC9yQIm-5OTA/edit?usp=drivesdk","Al-Wildan 20 Mataram_Eva Apriliana, B.B.A_English")</f>
        <v>Al-Wildan 20 Mataram_Eva Apriliana, B.B.A_English</v>
      </c>
      <c r="AP1327" s="1" t="s">
        <v>20393</v>
      </c>
    </row>
    <row r="1328">
      <c r="A1328" s="6">
        <v>45877.54659358796</v>
      </c>
      <c r="B1328" s="7" t="s">
        <v>20394</v>
      </c>
      <c r="C1328" s="8" t="s">
        <v>20395</v>
      </c>
      <c r="D1328" s="1" t="s">
        <v>20396</v>
      </c>
      <c r="E1328" s="9" t="s">
        <v>20397</v>
      </c>
      <c r="F1328" s="1" t="s">
        <v>20398</v>
      </c>
      <c r="G1328" s="1" t="s">
        <v>20399</v>
      </c>
      <c r="H1328" s="1" t="s">
        <v>20400</v>
      </c>
      <c r="I1328" s="9" t="s">
        <v>20401</v>
      </c>
      <c r="J1328" s="1" t="s">
        <v>20402</v>
      </c>
      <c r="K1328" s="1" t="s">
        <v>151</v>
      </c>
      <c r="L1328" s="1" t="s">
        <v>103</v>
      </c>
      <c r="M1328" s="1" t="s">
        <v>104</v>
      </c>
      <c r="N1328" s="1" t="s">
        <v>2231</v>
      </c>
      <c r="O1328" s="1" t="s">
        <v>106</v>
      </c>
      <c r="P1328" s="1" t="s">
        <v>7991</v>
      </c>
      <c r="Q1328" s="1" t="s">
        <v>20403</v>
      </c>
      <c r="R1328" s="1" t="s">
        <v>20404</v>
      </c>
      <c r="S1328" s="1" t="s">
        <v>2032</v>
      </c>
      <c r="Z1328" s="1" t="s">
        <v>20405</v>
      </c>
      <c r="AA1328" s="1" t="s">
        <v>20406</v>
      </c>
      <c r="AB1328" s="1" t="s">
        <v>20407</v>
      </c>
      <c r="AC1328" s="1" t="s">
        <v>20406</v>
      </c>
      <c r="AD1328" s="1" t="s">
        <v>8565</v>
      </c>
      <c r="AE1328" s="1" t="s">
        <v>20406</v>
      </c>
      <c r="AF1328" s="10">
        <v>5000000.0</v>
      </c>
      <c r="AG1328" s="1">
        <v>7.216646201E9</v>
      </c>
      <c r="AI1328" s="1" t="s">
        <v>8790</v>
      </c>
      <c r="AJ1328" s="1">
        <v>170.0</v>
      </c>
      <c r="AK1328" s="1">
        <v>60.0</v>
      </c>
      <c r="AL1328" s="1" t="s">
        <v>20408</v>
      </c>
      <c r="AM1328" s="1" t="s">
        <v>20409</v>
      </c>
      <c r="AN1328" s="7" t="s">
        <v>20410</v>
      </c>
      <c r="AO1328" s="8" t="str">
        <f>HYPERLINK("https://docs.google.com/document/d/1t37vklcuOkIH7JcUaRGBf0xQnVpxbesSu0yUD9tuPbU/edit?usp=drivesdk","Al-Wildan 12 Bulak Kapal, Bekasi_Ahmad Molpin Nazir, S.Ag._Guru Qur'an ")</f>
        <v>Al-Wildan 12 Bulak Kapal, Bekasi_Ahmad Molpin Nazir, S.Ag._Guru Qur'an </v>
      </c>
      <c r="AP1328" s="1" t="s">
        <v>20411</v>
      </c>
    </row>
    <row r="1329">
      <c r="A1329" s="6">
        <v>45881.44707731481</v>
      </c>
      <c r="B1329" s="7" t="s">
        <v>20412</v>
      </c>
      <c r="C1329" s="8" t="s">
        <v>20413</v>
      </c>
      <c r="D1329" s="1" t="s">
        <v>20414</v>
      </c>
      <c r="E1329" s="9" t="s">
        <v>20415</v>
      </c>
      <c r="F1329" s="1" t="s">
        <v>20416</v>
      </c>
      <c r="G1329" s="1" t="s">
        <v>20417</v>
      </c>
      <c r="H1329" s="1" t="s">
        <v>20418</v>
      </c>
      <c r="I1329" s="9" t="s">
        <v>20419</v>
      </c>
      <c r="J1329" s="1">
        <v>61.0</v>
      </c>
      <c r="K1329" s="1" t="s">
        <v>151</v>
      </c>
      <c r="L1329" s="1" t="s">
        <v>496</v>
      </c>
      <c r="M1329" s="1" t="s">
        <v>104</v>
      </c>
      <c r="O1329" s="1" t="s">
        <v>312</v>
      </c>
      <c r="P1329" s="1" t="s">
        <v>11168</v>
      </c>
      <c r="AJ1329" s="1">
        <v>190.0</v>
      </c>
      <c r="AK1329" s="1">
        <v>90.0</v>
      </c>
      <c r="AL1329" s="1" t="s">
        <v>20420</v>
      </c>
      <c r="AM1329" s="1" t="s">
        <v>20421</v>
      </c>
      <c r="AN1329" s="7" t="s">
        <v>20422</v>
      </c>
      <c r="AO1329" s="8" t="str">
        <f>HYPERLINK("https://docs.google.com/document/d/18D5dk1EjBmy-WwPQUoBfjaP3OxQn_wNKvyw5cFNpcPc/edit?usp=drivesdk","Al-Wildan 8 Parung_Ihab seiamjee _")</f>
        <v>Al-Wildan 8 Parung_Ihab seiamjee _</v>
      </c>
      <c r="AP1329" s="1" t="s">
        <v>20423</v>
      </c>
    </row>
    <row r="1330">
      <c r="A1330" s="6">
        <v>45881.90596387732</v>
      </c>
      <c r="B1330" s="7" t="s">
        <v>20424</v>
      </c>
      <c r="C1330" s="8" t="s">
        <v>20425</v>
      </c>
      <c r="D1330" s="1" t="s">
        <v>20426</v>
      </c>
      <c r="E1330" s="9" t="s">
        <v>20427</v>
      </c>
      <c r="F1330" s="1" t="s">
        <v>20428</v>
      </c>
      <c r="G1330" s="1" t="s">
        <v>20429</v>
      </c>
      <c r="H1330" s="1" t="s">
        <v>1464</v>
      </c>
      <c r="I1330" s="9" t="s">
        <v>20430</v>
      </c>
      <c r="J1330" s="1" t="s">
        <v>752</v>
      </c>
      <c r="K1330" s="1" t="s">
        <v>102</v>
      </c>
      <c r="L1330" s="1" t="s">
        <v>256</v>
      </c>
      <c r="M1330" s="1" t="s">
        <v>104</v>
      </c>
      <c r="N1330" s="1" t="s">
        <v>17158</v>
      </c>
      <c r="O1330" s="1" t="s">
        <v>9794</v>
      </c>
      <c r="P1330" s="1" t="s">
        <v>6659</v>
      </c>
      <c r="Q1330" s="1" t="s">
        <v>10945</v>
      </c>
      <c r="R1330" s="1" t="s">
        <v>2885</v>
      </c>
      <c r="S1330" s="1" t="s">
        <v>333</v>
      </c>
      <c r="T1330" s="1" t="s">
        <v>275</v>
      </c>
      <c r="U1330" s="1" t="s">
        <v>20431</v>
      </c>
      <c r="V1330" s="1" t="s">
        <v>5415</v>
      </c>
      <c r="Z1330" s="1" t="s">
        <v>20432</v>
      </c>
      <c r="AA1330" s="1">
        <v>6000000.0</v>
      </c>
      <c r="AB1330" s="1" t="s">
        <v>20433</v>
      </c>
      <c r="AC1330" s="10">
        <v>5400000.0</v>
      </c>
      <c r="AD1330" s="1" t="s">
        <v>20434</v>
      </c>
      <c r="AE1330" s="10">
        <v>3500000.0</v>
      </c>
      <c r="AF1330" s="10">
        <v>1.0E7</v>
      </c>
      <c r="AG1330" s="1">
        <v>7.214829465E9</v>
      </c>
      <c r="AJ1330" s="1">
        <v>175.0</v>
      </c>
      <c r="AK1330" s="1">
        <v>66.0</v>
      </c>
      <c r="AL1330" s="1" t="s">
        <v>20435</v>
      </c>
      <c r="AM1330" s="1" t="s">
        <v>20436</v>
      </c>
      <c r="AN1330" s="7" t="s">
        <v>20437</v>
      </c>
      <c r="AO1330" s="8" t="str">
        <f>HYPERLINK("https://docs.google.com/document/d/1xuHTaXgJBrGa8QLPnKWINCsCiUDvnT77tELL3W2IUDc/edit?usp=drivesdk","Al-Wildan 15 Kompas Indah, Tambun Bekasi._YUSUF PRATAMA PUTRA, S.T., M.Si_SEM Teacher")</f>
        <v>Al-Wildan 15 Kompas Indah, Tambun Bekasi._YUSUF PRATAMA PUTRA, S.T., M.Si_SEM Teacher</v>
      </c>
      <c r="AP1330" s="1" t="s">
        <v>20438</v>
      </c>
    </row>
    <row r="1331">
      <c r="A1331" s="6">
        <v>45896.33880420139</v>
      </c>
      <c r="B1331" s="7" t="s">
        <v>20439</v>
      </c>
      <c r="C1331" s="8" t="s">
        <v>20440</v>
      </c>
      <c r="D1331" s="1" t="s">
        <v>20441</v>
      </c>
      <c r="E1331" s="9" t="s">
        <v>20442</v>
      </c>
      <c r="F1331" s="1" t="s">
        <v>20443</v>
      </c>
      <c r="G1331" s="1" t="s">
        <v>20444</v>
      </c>
      <c r="H1331" s="1" t="s">
        <v>2176</v>
      </c>
      <c r="I1331" s="9" t="s">
        <v>20445</v>
      </c>
      <c r="J1331" s="1" t="s">
        <v>1170</v>
      </c>
      <c r="K1331" s="1" t="s">
        <v>151</v>
      </c>
      <c r="L1331" s="1" t="s">
        <v>103</v>
      </c>
      <c r="M1331" s="1" t="s">
        <v>104</v>
      </c>
      <c r="N1331" s="1" t="s">
        <v>126</v>
      </c>
      <c r="O1331" s="1" t="s">
        <v>9794</v>
      </c>
      <c r="P1331" s="1" t="s">
        <v>17019</v>
      </c>
      <c r="Q1331" s="1" t="s">
        <v>590</v>
      </c>
      <c r="R1331" s="1" t="s">
        <v>130</v>
      </c>
      <c r="S1331" s="1" t="s">
        <v>3719</v>
      </c>
      <c r="Z1331" s="1" t="s">
        <v>20446</v>
      </c>
      <c r="AA1331" s="10">
        <v>3060000.0</v>
      </c>
      <c r="AF1331" s="10">
        <v>4000000.0</v>
      </c>
      <c r="AH1331" s="9" t="s">
        <v>20447</v>
      </c>
      <c r="AI1331" s="1" t="s">
        <v>2407</v>
      </c>
      <c r="AJ1331" s="1">
        <v>163.0</v>
      </c>
      <c r="AK1331" s="1">
        <v>45.0</v>
      </c>
      <c r="AL1331" s="1" t="s">
        <v>20448</v>
      </c>
      <c r="AM1331" s="1" t="s">
        <v>20449</v>
      </c>
      <c r="AN1331" s="7" t="s">
        <v>20450</v>
      </c>
      <c r="AO1331" s="8" t="str">
        <f>HYPERLINK("https://docs.google.com/document/d/1wgx9WRZ21B7nETXgU-yUj7dEhHFwsfCP5PbNzuUCWJM/edit?usp=drivesdk","Al-Wildan 20 Mataram_Syifa Sabriyani, S.Pd._Matematika")</f>
        <v>Al-Wildan 20 Mataram_Syifa Sabriyani, S.Pd._Matematika</v>
      </c>
      <c r="AP1331" s="1" t="s">
        <v>20451</v>
      </c>
    </row>
    <row r="1332">
      <c r="A1332" s="6">
        <v>45909.840203761574</v>
      </c>
      <c r="B1332" s="7" t="s">
        <v>20452</v>
      </c>
      <c r="C1332" s="8" t="s">
        <v>20453</v>
      </c>
      <c r="D1332" s="1" t="s">
        <v>20454</v>
      </c>
      <c r="E1332" s="1" t="s">
        <v>20455</v>
      </c>
      <c r="F1332" s="1" t="s">
        <v>20456</v>
      </c>
      <c r="G1332" s="1" t="s">
        <v>20457</v>
      </c>
      <c r="H1332" s="1" t="s">
        <v>148</v>
      </c>
      <c r="I1332" s="9" t="s">
        <v>20458</v>
      </c>
      <c r="J1332" s="1" t="s">
        <v>14081</v>
      </c>
      <c r="K1332" s="1" t="s">
        <v>151</v>
      </c>
      <c r="L1332" s="1" t="s">
        <v>256</v>
      </c>
      <c r="M1332" s="1" t="s">
        <v>104</v>
      </c>
      <c r="N1332" s="1" t="s">
        <v>20459</v>
      </c>
      <c r="O1332" s="1" t="s">
        <v>312</v>
      </c>
      <c r="P1332" s="1" t="s">
        <v>107</v>
      </c>
      <c r="Q1332" s="1" t="s">
        <v>12997</v>
      </c>
      <c r="R1332" s="1" t="s">
        <v>20460</v>
      </c>
      <c r="S1332" s="1" t="s">
        <v>7975</v>
      </c>
      <c r="Z1332" s="1" t="s">
        <v>20461</v>
      </c>
      <c r="AA1332" s="1" t="s">
        <v>20462</v>
      </c>
      <c r="AB1332" s="1" t="s">
        <v>20463</v>
      </c>
      <c r="AC1332" s="1" t="s">
        <v>20464</v>
      </c>
      <c r="AF1332" s="10">
        <v>5000000.0</v>
      </c>
      <c r="AG1332" s="1">
        <v>7.186295921E9</v>
      </c>
      <c r="AJ1332" s="1">
        <v>160.0</v>
      </c>
      <c r="AK1332" s="1" t="s">
        <v>20465</v>
      </c>
      <c r="AL1332" s="1" t="s">
        <v>20466</v>
      </c>
      <c r="AM1332" s="1" t="s">
        <v>20467</v>
      </c>
      <c r="AN1332" s="7" t="s">
        <v>20468</v>
      </c>
      <c r="AO1332" s="8" t="str">
        <f>HYPERLINK("https://docs.google.com/document/d/1QN3dRNv0EOTIRc-Ibir4dsJufcu91DKZ3zeQB0jcVmI/edit?usp=drivesdk","Al-Wildan 1 Gading Serpong_Shahia Hasna Zahirah Cindary, S.Gz_Science, Math, English")</f>
        <v>Al-Wildan 1 Gading Serpong_Shahia Hasna Zahirah Cindary, S.Gz_Science, Math, English</v>
      </c>
      <c r="AP1332" s="1" t="s">
        <v>20469</v>
      </c>
    </row>
    <row r="1333">
      <c r="A1333" s="6">
        <v>45918.691845</v>
      </c>
      <c r="B1333" s="7" t="s">
        <v>20470</v>
      </c>
      <c r="C1333" s="8" t="s">
        <v>20471</v>
      </c>
      <c r="D1333" s="1" t="s">
        <v>20472</v>
      </c>
      <c r="E1333" s="9" t="s">
        <v>20473</v>
      </c>
      <c r="F1333" s="1" t="s">
        <v>20474</v>
      </c>
      <c r="G1333" s="1" t="s">
        <v>20475</v>
      </c>
      <c r="H1333" s="1" t="s">
        <v>169</v>
      </c>
      <c r="I1333" s="9" t="s">
        <v>13477</v>
      </c>
      <c r="J1333" s="1" t="s">
        <v>20476</v>
      </c>
      <c r="K1333" s="1" t="s">
        <v>102</v>
      </c>
      <c r="L1333" s="1" t="s">
        <v>103</v>
      </c>
      <c r="M1333" s="1" t="s">
        <v>104</v>
      </c>
      <c r="N1333" s="1" t="s">
        <v>20477</v>
      </c>
      <c r="O1333" s="1" t="s">
        <v>312</v>
      </c>
      <c r="P1333" s="1" t="s">
        <v>237</v>
      </c>
      <c r="Q1333" s="1" t="s">
        <v>20478</v>
      </c>
      <c r="R1333" s="1" t="s">
        <v>536</v>
      </c>
      <c r="S1333" s="1">
        <v>3.09</v>
      </c>
      <c r="Z1333" s="1" t="s">
        <v>20479</v>
      </c>
      <c r="AA1333" s="10">
        <v>4500000.0</v>
      </c>
      <c r="AB1333" s="1" t="s">
        <v>20480</v>
      </c>
      <c r="AC1333" s="10">
        <v>2000000.0</v>
      </c>
      <c r="AF1333" s="10">
        <v>5500000.0</v>
      </c>
      <c r="AG1333" s="1">
        <v>7.241890664E9</v>
      </c>
      <c r="AJ1333" s="1">
        <v>170.0</v>
      </c>
      <c r="AK1333" s="1">
        <v>60.0</v>
      </c>
      <c r="AL1333" s="1" t="s">
        <v>20481</v>
      </c>
      <c r="AM1333" s="1" t="s">
        <v>20482</v>
      </c>
      <c r="AN1333" s="7" t="s">
        <v>20483</v>
      </c>
      <c r="AO1333" s="8" t="str">
        <f>HYPERLINK("https://docs.google.com/document/d/1OwDrH5CxveonVeroWmxY0K4bJGuVJ7yBrqR4KladD0Y/edit?usp=drivesdk","Al-Wildan 4 Lebak Bulus_Muhamad Ardhy Haidar Alhaq, S.Pd._Tematik SD")</f>
        <v>Al-Wildan 4 Lebak Bulus_Muhamad Ardhy Haidar Alhaq, S.Pd._Tematik SD</v>
      </c>
      <c r="AP1333" s="1" t="s">
        <v>20484</v>
      </c>
    </row>
    <row r="1334">
      <c r="A1334" s="6">
        <v>45919.43539951389</v>
      </c>
      <c r="B1334" s="7" t="s">
        <v>20485</v>
      </c>
      <c r="C1334" s="8" t="s">
        <v>20486</v>
      </c>
      <c r="D1334" s="1" t="s">
        <v>20487</v>
      </c>
      <c r="E1334" s="9" t="s">
        <v>20488</v>
      </c>
      <c r="F1334" s="1" t="s">
        <v>20489</v>
      </c>
      <c r="G1334" s="1" t="s">
        <v>20490</v>
      </c>
      <c r="H1334" s="1" t="s">
        <v>14290</v>
      </c>
      <c r="I1334" s="9" t="s">
        <v>20491</v>
      </c>
      <c r="J1334" s="1" t="s">
        <v>2481</v>
      </c>
      <c r="K1334" s="1" t="s">
        <v>151</v>
      </c>
      <c r="L1334" s="1" t="s">
        <v>103</v>
      </c>
      <c r="M1334" s="1" t="s">
        <v>13917</v>
      </c>
      <c r="N1334" s="1" t="s">
        <v>9793</v>
      </c>
      <c r="O1334" s="1" t="s">
        <v>9794</v>
      </c>
      <c r="P1334" s="1" t="s">
        <v>6187</v>
      </c>
      <c r="Q1334" s="1" t="s">
        <v>153</v>
      </c>
      <c r="R1334" s="1" t="s">
        <v>20492</v>
      </c>
      <c r="S1334" s="1" t="s">
        <v>2181</v>
      </c>
      <c r="Z1334" s="1" t="s">
        <v>20493</v>
      </c>
      <c r="AA1334" s="10">
        <v>4500000.0</v>
      </c>
      <c r="AG1334" s="1">
        <v>7.210228987E9</v>
      </c>
      <c r="AH1334" s="1">
        <v>1.33002792693E12</v>
      </c>
      <c r="AI1334" s="1" t="s">
        <v>20494</v>
      </c>
      <c r="AJ1334" s="1">
        <v>165.0</v>
      </c>
      <c r="AK1334" s="1">
        <v>70.0</v>
      </c>
      <c r="AL1334" s="1" t="s">
        <v>20495</v>
      </c>
      <c r="AM1334" s="1" t="s">
        <v>20496</v>
      </c>
      <c r="AN1334" s="7" t="s">
        <v>20497</v>
      </c>
      <c r="AO1334" s="8" t="str">
        <f>HYPERLINK("https://docs.google.com/document/d/1H92QFcbrGHCzHgWyx-qlr-ZKgZ-oRP8UgaLM4RKbvb8/edit?usp=drivesdk","Al-Wildan 14 Bumi Mutiara, Bogor_MOCHAMAD FAUJAN NUR AKBAR, S. PD., AIFO-P_Olahraga")</f>
        <v>Al-Wildan 14 Bumi Mutiara, Bogor_MOCHAMAD FAUJAN NUR AKBAR, S. PD., AIFO-P_Olahraga</v>
      </c>
      <c r="AP1334" s="1" t="s">
        <v>20498</v>
      </c>
    </row>
    <row r="1335">
      <c r="A1335" s="6">
        <v>45920.49565733796</v>
      </c>
      <c r="B1335" s="7" t="s">
        <v>20499</v>
      </c>
      <c r="C1335" s="8" t="s">
        <v>20500</v>
      </c>
      <c r="D1335" s="1" t="s">
        <v>20501</v>
      </c>
      <c r="E1335" s="9" t="s">
        <v>20502</v>
      </c>
      <c r="F1335" s="1" t="s">
        <v>20503</v>
      </c>
      <c r="G1335" s="1" t="s">
        <v>20504</v>
      </c>
      <c r="H1335" s="1" t="s">
        <v>148</v>
      </c>
      <c r="I1335" s="9" t="s">
        <v>12048</v>
      </c>
      <c r="J1335" s="1" t="s">
        <v>2352</v>
      </c>
      <c r="K1335" s="1" t="s">
        <v>151</v>
      </c>
      <c r="L1335" s="1" t="s">
        <v>103</v>
      </c>
      <c r="M1335" s="1" t="s">
        <v>104</v>
      </c>
      <c r="N1335" s="1" t="s">
        <v>14023</v>
      </c>
      <c r="O1335" s="1" t="s">
        <v>312</v>
      </c>
      <c r="P1335" s="1" t="s">
        <v>7991</v>
      </c>
      <c r="Q1335" s="1" t="s">
        <v>7463</v>
      </c>
      <c r="R1335" s="1" t="s">
        <v>109</v>
      </c>
      <c r="S1335" s="1">
        <v>3.38</v>
      </c>
      <c r="Z1335" s="1" t="s">
        <v>20505</v>
      </c>
      <c r="AA1335" s="10">
        <v>2000000.0</v>
      </c>
      <c r="AB1335" s="1" t="s">
        <v>20506</v>
      </c>
      <c r="AC1335" s="10">
        <v>1000000.0</v>
      </c>
      <c r="AD1335" s="1" t="s">
        <v>20507</v>
      </c>
      <c r="AE1335" s="10">
        <v>1000000.0</v>
      </c>
      <c r="AF1335" s="10">
        <v>4000000.0</v>
      </c>
      <c r="AH1335" s="1">
        <v>7.391833773E9</v>
      </c>
      <c r="AI1335" s="1" t="s">
        <v>222</v>
      </c>
      <c r="AJ1335" s="1">
        <v>145.0</v>
      </c>
      <c r="AK1335" s="1">
        <v>90.0</v>
      </c>
      <c r="AL1335" s="1" t="s">
        <v>20508</v>
      </c>
      <c r="AM1335" s="1" t="s">
        <v>20509</v>
      </c>
      <c r="AN1335" s="7" t="s">
        <v>20510</v>
      </c>
      <c r="AO1335" s="8" t="str">
        <f>HYPERLINK("https://docs.google.com/document/d/1xQdn1bA4p7u4gBPgZNJQC7zAdkrcKdzpxCT9Uy0x8IU/edit?usp=drivesdk","Al-Wildan 12 Bulak Kapal, Bekasi_Nabila Ardelia Az Zahra, S.Pd._Tematik")</f>
        <v>Al-Wildan 12 Bulak Kapal, Bekasi_Nabila Ardelia Az Zahra, S.Pd._Tematik</v>
      </c>
      <c r="AP1335" s="1" t="s">
        <v>20511</v>
      </c>
    </row>
    <row r="1336">
      <c r="A1336" s="6">
        <v>45927.789345833335</v>
      </c>
      <c r="B1336" s="7" t="s">
        <v>20512</v>
      </c>
      <c r="C1336" s="8" t="s">
        <v>20513</v>
      </c>
      <c r="D1336" s="1" t="s">
        <v>20514</v>
      </c>
      <c r="E1336" s="9" t="s">
        <v>20515</v>
      </c>
      <c r="F1336" s="1" t="s">
        <v>20516</v>
      </c>
      <c r="G1336" s="1" t="s">
        <v>20517</v>
      </c>
      <c r="H1336" s="1" t="s">
        <v>20518</v>
      </c>
      <c r="I1336" s="9" t="s">
        <v>20519</v>
      </c>
      <c r="J1336" s="1" t="s">
        <v>20520</v>
      </c>
      <c r="K1336" s="1" t="s">
        <v>102</v>
      </c>
      <c r="L1336" s="1" t="s">
        <v>496</v>
      </c>
      <c r="M1336" s="1" t="s">
        <v>5671</v>
      </c>
      <c r="O1336" s="1" t="s">
        <v>127</v>
      </c>
      <c r="P1336" s="1" t="s">
        <v>17019</v>
      </c>
      <c r="Q1336" s="1" t="s">
        <v>12361</v>
      </c>
      <c r="R1336" s="1" t="s">
        <v>7496</v>
      </c>
      <c r="S1336" s="1">
        <v>3.51</v>
      </c>
      <c r="Z1336" s="1" t="s">
        <v>20521</v>
      </c>
      <c r="AA1336" s="10">
        <v>1500000.0</v>
      </c>
      <c r="AB1336" s="1" t="s">
        <v>20522</v>
      </c>
      <c r="AC1336" s="10">
        <v>3000000.0</v>
      </c>
      <c r="AF1336" s="10">
        <v>3000000.0</v>
      </c>
      <c r="AG1336" s="1">
        <v>0.0</v>
      </c>
      <c r="AH1336" s="1">
        <v>1.316634818E9</v>
      </c>
      <c r="AI1336" s="1" t="s">
        <v>445</v>
      </c>
      <c r="AJ1336" s="1">
        <v>158.0</v>
      </c>
      <c r="AK1336" s="1">
        <v>62.0</v>
      </c>
      <c r="AL1336" s="1" t="s">
        <v>20523</v>
      </c>
      <c r="AM1336" s="1" t="s">
        <v>20524</v>
      </c>
      <c r="AN1336" s="7" t="s">
        <v>20525</v>
      </c>
      <c r="AO1336" s="8" t="str">
        <f>HYPERLINK("https://docs.google.com/document/d/1x1-dOT3S29zObGZQeqmEt0igCCfdezhUS_d1o2y93r0/edit?usp=drivesdk","Al-Wildan 20 Mataram_Gazwan Firdaus, S.Pd_")</f>
        <v>Al-Wildan 20 Mataram_Gazwan Firdaus, S.Pd_</v>
      </c>
      <c r="AP1336" s="1" t="s">
        <v>20526</v>
      </c>
    </row>
    <row r="1337">
      <c r="A1337" s="6">
        <v>45929.5679952662</v>
      </c>
      <c r="B1337" s="7" t="s">
        <v>20527</v>
      </c>
      <c r="C1337" s="8" t="s">
        <v>20528</v>
      </c>
      <c r="D1337" s="1" t="s">
        <v>20529</v>
      </c>
      <c r="E1337" s="9" t="s">
        <v>20530</v>
      </c>
      <c r="F1337" s="1" t="s">
        <v>20531</v>
      </c>
      <c r="G1337" s="1" t="s">
        <v>20532</v>
      </c>
      <c r="H1337" s="1" t="s">
        <v>7578</v>
      </c>
      <c r="I1337" s="9" t="s">
        <v>20533</v>
      </c>
      <c r="J1337" s="1" t="s">
        <v>346</v>
      </c>
      <c r="K1337" s="1" t="s">
        <v>151</v>
      </c>
      <c r="L1337" s="1" t="s">
        <v>103</v>
      </c>
      <c r="M1337" s="1" t="s">
        <v>104</v>
      </c>
      <c r="N1337" s="1" t="s">
        <v>3410</v>
      </c>
      <c r="O1337" s="1" t="s">
        <v>127</v>
      </c>
      <c r="P1337" s="1" t="s">
        <v>5712</v>
      </c>
      <c r="Q1337" s="1" t="s">
        <v>20534</v>
      </c>
      <c r="R1337" s="1" t="s">
        <v>20535</v>
      </c>
      <c r="S1337" s="1" t="s">
        <v>753</v>
      </c>
      <c r="Z1337" s="1" t="s">
        <v>20536</v>
      </c>
      <c r="AA1337" s="10">
        <v>5300000.0</v>
      </c>
      <c r="AB1337" s="1" t="s">
        <v>20537</v>
      </c>
      <c r="AC1337" s="10">
        <v>5700000.0</v>
      </c>
      <c r="AF1337" s="1" t="s">
        <v>20538</v>
      </c>
      <c r="AH1337" s="1">
        <v>4.760685157E9</v>
      </c>
      <c r="AI1337" s="1" t="s">
        <v>20539</v>
      </c>
      <c r="AJ1337" s="1">
        <v>158.0</v>
      </c>
      <c r="AK1337" s="1">
        <v>45.0</v>
      </c>
      <c r="AL1337" s="1" t="s">
        <v>20540</v>
      </c>
      <c r="AM1337" s="1" t="s">
        <v>20541</v>
      </c>
      <c r="AN1337" s="7" t="s">
        <v>20542</v>
      </c>
      <c r="AO1337" s="8" t="str">
        <f>HYPERLINK("https://docs.google.com/document/d/18vSvKX8MlvPqehul7mMZNZKQnRgUbJCcNEVWrcDilVs/edit?usp=drivesdk","Al-Wildan 3 BSD City_Salma Nurintan Savira, S.P._Guru Bahasa Inggris")</f>
        <v>Al-Wildan 3 BSD City_Salma Nurintan Savira, S.P._Guru Bahasa Inggris</v>
      </c>
      <c r="AP1337" s="1" t="s">
        <v>20543</v>
      </c>
    </row>
    <row r="1338">
      <c r="A1338" s="6">
        <v>45935.452818715275</v>
      </c>
      <c r="B1338" s="7" t="s">
        <v>20544</v>
      </c>
      <c r="C1338" s="8" t="s">
        <v>20545</v>
      </c>
      <c r="D1338" s="1" t="s">
        <v>20546</v>
      </c>
      <c r="E1338" s="9" t="s">
        <v>20547</v>
      </c>
      <c r="F1338" s="1" t="s">
        <v>20548</v>
      </c>
      <c r="G1338" s="1" t="s">
        <v>20549</v>
      </c>
      <c r="H1338" s="1" t="s">
        <v>20075</v>
      </c>
      <c r="I1338" s="9" t="s">
        <v>20550</v>
      </c>
      <c r="J1338" s="1" t="s">
        <v>3443</v>
      </c>
      <c r="K1338" s="1" t="s">
        <v>102</v>
      </c>
      <c r="L1338" s="1" t="s">
        <v>103</v>
      </c>
      <c r="M1338" s="1" t="s">
        <v>104</v>
      </c>
      <c r="N1338" s="1" t="s">
        <v>20551</v>
      </c>
      <c r="O1338" s="1" t="s">
        <v>9794</v>
      </c>
      <c r="P1338" s="1" t="s">
        <v>107</v>
      </c>
      <c r="Q1338" s="1" t="s">
        <v>12997</v>
      </c>
      <c r="R1338" s="1" t="s">
        <v>1275</v>
      </c>
      <c r="S1338" s="1">
        <v>3.07</v>
      </c>
      <c r="T1338" s="1" t="s">
        <v>108</v>
      </c>
      <c r="U1338" s="1" t="s">
        <v>989</v>
      </c>
      <c r="V1338" s="1">
        <v>3.62</v>
      </c>
      <c r="Z1338" s="1" t="s">
        <v>20552</v>
      </c>
      <c r="AA1338" s="12">
        <v>2500000.0</v>
      </c>
      <c r="AB1338" s="1" t="s">
        <v>20553</v>
      </c>
      <c r="AC1338" s="1" t="s">
        <v>20554</v>
      </c>
      <c r="AF1338" s="1" t="s">
        <v>20555</v>
      </c>
      <c r="AG1338" s="1">
        <v>7.150669116E9</v>
      </c>
      <c r="AH1338" s="9" t="s">
        <v>20556</v>
      </c>
      <c r="AI1338" s="1" t="s">
        <v>159</v>
      </c>
      <c r="AJ1338" s="1">
        <v>162.0</v>
      </c>
      <c r="AK1338" s="1">
        <v>64.0</v>
      </c>
      <c r="AL1338" s="1" t="s">
        <v>20557</v>
      </c>
      <c r="AM1338" s="1" t="s">
        <v>20558</v>
      </c>
      <c r="AN1338" s="7" t="s">
        <v>20559</v>
      </c>
      <c r="AO1338" s="8" t="str">
        <f>HYPERLINK("https://docs.google.com/document/d/11FOe4QuOZo5o7dko6CftrkFkXIVRYozgRgqL3SjTo6A/edit?usp=drivesdk","Al-Wildan 1 Gading Serpong_Indriani Dewi Trisnawati, S.Si., M.Pd._Science (Primary School) or Biology (Senior High School)")</f>
        <v>Al-Wildan 1 Gading Serpong_Indriani Dewi Trisnawati, S.Si., M.Pd._Science (Primary School) or Biology (Senior High School)</v>
      </c>
      <c r="AP1338" s="1" t="s">
        <v>20560</v>
      </c>
    </row>
    <row r="1339">
      <c r="A1339" s="6">
        <v>45937.32730087963</v>
      </c>
      <c r="B1339" s="7" t="s">
        <v>20561</v>
      </c>
      <c r="C1339" s="8" t="s">
        <v>20562</v>
      </c>
      <c r="D1339" s="1" t="s">
        <v>20563</v>
      </c>
      <c r="E1339" s="9" t="s">
        <v>20564</v>
      </c>
      <c r="F1339" s="1" t="s">
        <v>20565</v>
      </c>
      <c r="G1339" s="1" t="s">
        <v>20566</v>
      </c>
      <c r="H1339" s="1" t="s">
        <v>169</v>
      </c>
      <c r="I1339" s="9" t="s">
        <v>20567</v>
      </c>
      <c r="J1339" s="1" t="s">
        <v>986</v>
      </c>
      <c r="K1339" s="1" t="s">
        <v>151</v>
      </c>
      <c r="L1339" s="1" t="s">
        <v>329</v>
      </c>
      <c r="M1339" s="1" t="s">
        <v>104</v>
      </c>
      <c r="N1339" s="1" t="s">
        <v>126</v>
      </c>
      <c r="O1339" s="1" t="s">
        <v>9794</v>
      </c>
      <c r="P1339" s="1" t="s">
        <v>6187</v>
      </c>
      <c r="Q1339" s="1" t="s">
        <v>1362</v>
      </c>
      <c r="R1339" s="1" t="s">
        <v>126</v>
      </c>
      <c r="S1339" s="1" t="s">
        <v>931</v>
      </c>
      <c r="T1339" s="1" t="s">
        <v>20568</v>
      </c>
      <c r="U1339" s="1" t="s">
        <v>20569</v>
      </c>
      <c r="V1339" s="1" t="s">
        <v>5399</v>
      </c>
      <c r="Z1339" s="1" t="s">
        <v>20570</v>
      </c>
      <c r="AA1339" s="10">
        <v>1.0E7</v>
      </c>
      <c r="AB1339" s="1" t="s">
        <v>20571</v>
      </c>
      <c r="AC1339" s="10">
        <v>7000000.0</v>
      </c>
      <c r="AF1339" s="10">
        <v>7500000.0</v>
      </c>
      <c r="AH1339" s="1">
        <v>2.56904708E8</v>
      </c>
      <c r="AI1339" s="1" t="s">
        <v>159</v>
      </c>
      <c r="AJ1339" s="1">
        <v>153.0</v>
      </c>
      <c r="AK1339" s="1">
        <v>50.0</v>
      </c>
      <c r="AL1339" s="1" t="s">
        <v>20572</v>
      </c>
      <c r="AM1339" s="1" t="s">
        <v>20573</v>
      </c>
      <c r="AN1339" s="7" t="s">
        <v>20574</v>
      </c>
      <c r="AO1339" s="8" t="str">
        <f>HYPERLINK("https://docs.google.com/document/d/1GogGrJzbxxhnyvZZzyLnaOqJvNdTxZNYi5wG2HV3PYA/edit?usp=drivesdk","Al-Wildan 14 Bumi Mutiara, Bogor_Azhura Nabila Febda Kurnia, S.Si., M.Sc_Matematika")</f>
        <v>Al-Wildan 14 Bumi Mutiara, Bogor_Azhura Nabila Febda Kurnia, S.Si., M.Sc_Matematika</v>
      </c>
      <c r="AP1339" s="1" t="s">
        <v>20575</v>
      </c>
    </row>
    <row r="1340">
      <c r="A1340" s="6">
        <v>45937.36097400463</v>
      </c>
      <c r="B1340" s="7" t="s">
        <v>20576</v>
      </c>
      <c r="C1340" s="8" t="s">
        <v>20577</v>
      </c>
      <c r="D1340" s="1" t="s">
        <v>20578</v>
      </c>
      <c r="E1340" s="9" t="s">
        <v>20579</v>
      </c>
      <c r="F1340" s="1" t="s">
        <v>20580</v>
      </c>
      <c r="G1340" s="1" t="s">
        <v>4832</v>
      </c>
      <c r="H1340" s="1" t="s">
        <v>20581</v>
      </c>
      <c r="I1340" s="9" t="s">
        <v>20582</v>
      </c>
      <c r="J1340" s="1" t="s">
        <v>1557</v>
      </c>
      <c r="K1340" s="1" t="s">
        <v>151</v>
      </c>
      <c r="L1340" s="1" t="s">
        <v>496</v>
      </c>
      <c r="M1340" s="1" t="s">
        <v>104</v>
      </c>
      <c r="N1340" s="1" t="s">
        <v>552</v>
      </c>
      <c r="O1340" s="1" t="s">
        <v>127</v>
      </c>
      <c r="P1340" s="1" t="s">
        <v>5712</v>
      </c>
      <c r="Q1340" s="1" t="s">
        <v>10945</v>
      </c>
      <c r="R1340" s="1" t="s">
        <v>552</v>
      </c>
      <c r="S1340" s="1" t="s">
        <v>17780</v>
      </c>
      <c r="T1340" s="1" t="s">
        <v>20583</v>
      </c>
      <c r="U1340" s="1" t="s">
        <v>552</v>
      </c>
      <c r="V1340" s="1" t="s">
        <v>6437</v>
      </c>
      <c r="Z1340" s="1" t="s">
        <v>20584</v>
      </c>
      <c r="AA1340" s="10">
        <v>3000000.0</v>
      </c>
      <c r="AB1340" s="1" t="s">
        <v>20585</v>
      </c>
      <c r="AC1340" s="10">
        <v>1200000.0</v>
      </c>
      <c r="AD1340" s="1" t="s">
        <v>20586</v>
      </c>
      <c r="AE1340" s="10">
        <v>8000000.0</v>
      </c>
      <c r="AF1340" s="10">
        <v>8975000.0</v>
      </c>
      <c r="AH1340" s="1">
        <v>5.18001027914534E14</v>
      </c>
      <c r="AI1340" s="1" t="s">
        <v>2407</v>
      </c>
      <c r="AJ1340" s="1">
        <v>168.0</v>
      </c>
      <c r="AK1340" s="1">
        <v>55.0</v>
      </c>
      <c r="AL1340" s="1" t="s">
        <v>20587</v>
      </c>
      <c r="AM1340" s="1" t="s">
        <v>20588</v>
      </c>
      <c r="AN1340" s="7" t="s">
        <v>20589</v>
      </c>
      <c r="AO1340" s="8" t="str">
        <f>HYPERLINK("https://docs.google.com/document/d/1IAv3D18TXeFXF3MH8vzxOkM-07i0dFqscL61EAiWO3Q/edit?usp=drivesdk","Al-Wildan 3 BSD City_Teguh Iman Perdana, B.Sc., M.Sc._Fisika")</f>
        <v>Al-Wildan 3 BSD City_Teguh Iman Perdana, B.Sc., M.Sc._Fisika</v>
      </c>
      <c r="AP1340" s="1" t="s">
        <v>20590</v>
      </c>
    </row>
    <row r="1341">
      <c r="A1341" s="6">
        <v>45937.38059991898</v>
      </c>
      <c r="B1341" s="7" t="s">
        <v>20591</v>
      </c>
      <c r="C1341" s="8" t="s">
        <v>20592</v>
      </c>
      <c r="D1341" s="1" t="s">
        <v>20593</v>
      </c>
      <c r="E1341" s="9" t="s">
        <v>20594</v>
      </c>
      <c r="F1341" s="9" t="s">
        <v>20595</v>
      </c>
      <c r="G1341" s="1" t="s">
        <v>20596</v>
      </c>
      <c r="H1341" s="1" t="s">
        <v>20597</v>
      </c>
      <c r="I1341" s="9" t="s">
        <v>20598</v>
      </c>
      <c r="J1341" s="1" t="s">
        <v>4621</v>
      </c>
      <c r="K1341" s="1" t="s">
        <v>151</v>
      </c>
      <c r="L1341" s="1" t="s">
        <v>256</v>
      </c>
      <c r="M1341" s="1" t="s">
        <v>104</v>
      </c>
      <c r="N1341" s="1" t="s">
        <v>12404</v>
      </c>
      <c r="O1341" s="1" t="s">
        <v>127</v>
      </c>
      <c r="P1341" s="1" t="s">
        <v>107</v>
      </c>
      <c r="Q1341" s="1" t="s">
        <v>20599</v>
      </c>
      <c r="R1341" s="1" t="s">
        <v>1275</v>
      </c>
      <c r="S1341" s="1" t="s">
        <v>1279</v>
      </c>
      <c r="T1341" s="1" t="s">
        <v>20599</v>
      </c>
      <c r="U1341" s="1" t="s">
        <v>1275</v>
      </c>
      <c r="V1341" s="1" t="s">
        <v>2510</v>
      </c>
      <c r="Z1341" s="1" t="s">
        <v>20600</v>
      </c>
      <c r="AA1341" s="10">
        <v>2600000.0</v>
      </c>
      <c r="AB1341" s="1" t="s">
        <v>20601</v>
      </c>
      <c r="AC1341" s="10">
        <v>2500000.0</v>
      </c>
      <c r="AD1341" s="1" t="s">
        <v>20602</v>
      </c>
      <c r="AE1341" s="10">
        <v>1400000.0</v>
      </c>
      <c r="AF1341" s="10">
        <v>5500000.0</v>
      </c>
      <c r="AG1341" s="1">
        <v>7.239428473E9</v>
      </c>
      <c r="AI1341" s="1" t="s">
        <v>4856</v>
      </c>
      <c r="AJ1341" s="1">
        <v>148.0</v>
      </c>
      <c r="AK1341" s="1">
        <v>38.0</v>
      </c>
      <c r="AL1341" s="1" t="s">
        <v>20603</v>
      </c>
      <c r="AM1341" s="1" t="s">
        <v>20604</v>
      </c>
      <c r="AN1341" s="7" t="s">
        <v>20605</v>
      </c>
      <c r="AO1341" s="8" t="str">
        <f>HYPERLINK("https://docs.google.com/document/d/1sjvvQCOoj_xatj0VIElCRd2EzkBNm6aJSZWbZgfrDXs/edit?usp=drivesdk","Al-Wildan 1 Gading Serpong_Uswah Zilhaya, S. Si., M.Si_Biologi Cambridge")</f>
        <v>Al-Wildan 1 Gading Serpong_Uswah Zilhaya, S. Si., M.Si_Biologi Cambridge</v>
      </c>
      <c r="AP1341" s="1" t="s">
        <v>20606</v>
      </c>
    </row>
    <row r="1342">
      <c r="A1342" s="6">
        <v>45937.591244814816</v>
      </c>
      <c r="B1342" s="7" t="s">
        <v>20607</v>
      </c>
      <c r="C1342" s="8" t="s">
        <v>20608</v>
      </c>
      <c r="D1342" s="1" t="s">
        <v>20609</v>
      </c>
      <c r="E1342" s="9" t="s">
        <v>20610</v>
      </c>
      <c r="F1342" s="1" t="s">
        <v>20611</v>
      </c>
      <c r="G1342" s="1" t="s">
        <v>20612</v>
      </c>
      <c r="H1342" s="1" t="s">
        <v>169</v>
      </c>
      <c r="I1342" s="9" t="s">
        <v>20613</v>
      </c>
      <c r="J1342" s="1" t="s">
        <v>9105</v>
      </c>
      <c r="K1342" s="1" t="s">
        <v>102</v>
      </c>
      <c r="L1342" s="1" t="s">
        <v>827</v>
      </c>
      <c r="M1342" s="1" t="s">
        <v>104</v>
      </c>
      <c r="N1342" s="1" t="s">
        <v>552</v>
      </c>
      <c r="O1342" s="1" t="s">
        <v>127</v>
      </c>
      <c r="P1342" s="1" t="s">
        <v>11168</v>
      </c>
      <c r="Q1342" s="1" t="s">
        <v>2802</v>
      </c>
      <c r="R1342" s="1" t="s">
        <v>20614</v>
      </c>
      <c r="S1342" s="1" t="s">
        <v>592</v>
      </c>
      <c r="T1342" s="1" t="s">
        <v>3145</v>
      </c>
      <c r="U1342" s="1" t="s">
        <v>20614</v>
      </c>
      <c r="V1342" s="1" t="s">
        <v>7147</v>
      </c>
      <c r="Z1342" s="1" t="s">
        <v>20615</v>
      </c>
      <c r="AA1342" s="10">
        <v>7000000.0</v>
      </c>
      <c r="AB1342" s="1" t="s">
        <v>20616</v>
      </c>
      <c r="AC1342" s="10">
        <v>5000000.0</v>
      </c>
      <c r="AF1342" s="10">
        <v>7000000.0</v>
      </c>
      <c r="AG1342" s="1">
        <v>7.274847799E9</v>
      </c>
      <c r="AJ1342" s="1">
        <v>160.0</v>
      </c>
      <c r="AK1342" s="1">
        <v>63.0</v>
      </c>
      <c r="AL1342" s="1" t="s">
        <v>20617</v>
      </c>
      <c r="AM1342" s="1" t="s">
        <v>20618</v>
      </c>
      <c r="AN1342" s="7" t="s">
        <v>20619</v>
      </c>
      <c r="AO1342" s="8" t="str">
        <f>HYPERLINK("https://docs.google.com/document/d/1Sg7c3o7SgSI11Jde4s9Zla5RvTOAwuSuRz8KL56yXQA/edit?usp=drivesdk","Al-Wildan 8 Parung_Febiola Paquita Bakri, S.Pd., M.Pd_Fisika")</f>
        <v>Al-Wildan 8 Parung_Febiola Paquita Bakri, S.Pd., M.Pd_Fisika</v>
      </c>
      <c r="AP1342" s="1" t="s">
        <v>20620</v>
      </c>
    </row>
    <row r="1343">
      <c r="A1343" s="6">
        <v>45939.041285300926</v>
      </c>
      <c r="B1343" s="7" t="s">
        <v>20621</v>
      </c>
      <c r="C1343" s="8" t="s">
        <v>20622</v>
      </c>
      <c r="D1343" s="1" t="s">
        <v>20623</v>
      </c>
      <c r="E1343" s="9" t="s">
        <v>20624</v>
      </c>
      <c r="F1343" s="1" t="s">
        <v>20625</v>
      </c>
      <c r="G1343" s="1" t="s">
        <v>20626</v>
      </c>
      <c r="H1343" s="1" t="s">
        <v>20627</v>
      </c>
      <c r="I1343" s="9" t="s">
        <v>20628</v>
      </c>
      <c r="J1343" s="1" t="s">
        <v>724</v>
      </c>
      <c r="K1343" s="1" t="s">
        <v>151</v>
      </c>
      <c r="L1343" s="1" t="s">
        <v>256</v>
      </c>
      <c r="M1343" s="1" t="s">
        <v>104</v>
      </c>
      <c r="N1343" s="1" t="s">
        <v>15631</v>
      </c>
      <c r="O1343" s="1" t="s">
        <v>9794</v>
      </c>
      <c r="P1343" s="1" t="s">
        <v>7991</v>
      </c>
      <c r="Q1343" s="1" t="s">
        <v>19609</v>
      </c>
      <c r="R1343" s="1" t="s">
        <v>259</v>
      </c>
      <c r="S1343" s="1" t="s">
        <v>9391</v>
      </c>
      <c r="AF1343" s="10">
        <v>5500000.0</v>
      </c>
      <c r="AH1343" s="1">
        <v>4.150362151E9</v>
      </c>
      <c r="AI1343" s="1" t="s">
        <v>222</v>
      </c>
      <c r="AJ1343" s="1">
        <v>170.0</v>
      </c>
      <c r="AK1343" s="1">
        <v>60.0</v>
      </c>
      <c r="AL1343" s="1" t="s">
        <v>20629</v>
      </c>
      <c r="AM1343" s="1" t="s">
        <v>20630</v>
      </c>
      <c r="AN1343" s="7" t="s">
        <v>20631</v>
      </c>
      <c r="AO1343" s="8" t="str">
        <f>HYPERLINK("https://docs.google.com/document/d/1uTpyIxave6OwQYmtWxxecgP8mMgapt0-LB5DhisvLH8/edit?usp=drivesdk","Al-Wildan 12 Bulak Kapal, Bekasi_Abdul Qawy Attamimi, Lc._A.D.A")</f>
        <v>Al-Wildan 12 Bulak Kapal, Bekasi_Abdul Qawy Attamimi, Lc._A.D.A</v>
      </c>
      <c r="AP1343" s="1" t="s">
        <v>20632</v>
      </c>
    </row>
    <row r="1344">
      <c r="A1344" s="6">
        <v>45942.526271863426</v>
      </c>
      <c r="B1344" s="7" t="s">
        <v>20633</v>
      </c>
      <c r="C1344" s="8" t="s">
        <v>20634</v>
      </c>
      <c r="D1344" s="1" t="s">
        <v>20635</v>
      </c>
      <c r="E1344" s="9" t="s">
        <v>20636</v>
      </c>
      <c r="F1344" s="1" t="s">
        <v>20637</v>
      </c>
      <c r="G1344" s="1" t="s">
        <v>20638</v>
      </c>
      <c r="H1344" s="1" t="s">
        <v>5159</v>
      </c>
      <c r="I1344" s="9" t="s">
        <v>20639</v>
      </c>
      <c r="J1344" s="1">
        <v>33.0</v>
      </c>
      <c r="K1344" s="1" t="s">
        <v>151</v>
      </c>
      <c r="L1344" s="1" t="s">
        <v>329</v>
      </c>
      <c r="M1344" s="1" t="s">
        <v>6186</v>
      </c>
      <c r="O1344" s="1" t="s">
        <v>14334</v>
      </c>
      <c r="P1344" s="1" t="s">
        <v>237</v>
      </c>
      <c r="Q1344" s="1" t="s">
        <v>20640</v>
      </c>
      <c r="R1344" s="1" t="s">
        <v>612</v>
      </c>
      <c r="S1344" s="1">
        <v>3.72</v>
      </c>
      <c r="T1344" s="1" t="s">
        <v>20641</v>
      </c>
      <c r="U1344" s="1" t="s">
        <v>612</v>
      </c>
      <c r="V1344" s="1">
        <v>3.66</v>
      </c>
      <c r="Z1344" s="1" t="s">
        <v>20642</v>
      </c>
      <c r="AA1344" s="1" t="s">
        <v>20643</v>
      </c>
      <c r="AB1344" s="1" t="s">
        <v>20644</v>
      </c>
      <c r="AC1344" s="1" t="s">
        <v>20645</v>
      </c>
      <c r="AD1344" s="1" t="s">
        <v>20646</v>
      </c>
      <c r="AE1344" s="1" t="s">
        <v>20647</v>
      </c>
      <c r="AF1344" s="1" t="s">
        <v>20648</v>
      </c>
      <c r="AH1344" s="9" t="s">
        <v>20649</v>
      </c>
      <c r="AI1344" s="1" t="s">
        <v>20650</v>
      </c>
      <c r="AJ1344" s="1">
        <v>172.0</v>
      </c>
      <c r="AK1344" s="1">
        <v>73.0</v>
      </c>
      <c r="AL1344" s="1" t="s">
        <v>20651</v>
      </c>
      <c r="AM1344" s="1" t="s">
        <v>20652</v>
      </c>
      <c r="AN1344" s="7" t="s">
        <v>20653</v>
      </c>
      <c r="AO1344" s="8" t="str">
        <f>HYPERLINK("https://docs.google.com/document/d/1HgnqEfSpoC32-KUxvBx42YLrS6WkD-Mv19F4jElZizs/edit?usp=drivesdk","Al-Wildan 4 Lebak Bulus_Muhammad Ziaulhaq.S.Pd.M.Pd._")</f>
        <v>Al-Wildan 4 Lebak Bulus_Muhammad Ziaulhaq.S.Pd.M.Pd._</v>
      </c>
      <c r="AP1344" s="1" t="s">
        <v>20654</v>
      </c>
    </row>
    <row r="1345">
      <c r="A1345" s="6">
        <v>45946.52611774305</v>
      </c>
      <c r="B1345" s="7" t="s">
        <v>20655</v>
      </c>
      <c r="C1345" s="8" t="s">
        <v>20656</v>
      </c>
      <c r="D1345" s="1" t="s">
        <v>20657</v>
      </c>
      <c r="E1345" s="9" t="s">
        <v>20658</v>
      </c>
      <c r="F1345" s="1" t="s">
        <v>20659</v>
      </c>
      <c r="G1345" s="1" t="s">
        <v>20660</v>
      </c>
      <c r="H1345" s="1" t="s">
        <v>99</v>
      </c>
      <c r="I1345" s="9" t="s">
        <v>10300</v>
      </c>
      <c r="J1345" s="1" t="s">
        <v>6658</v>
      </c>
      <c r="K1345" s="1" t="s">
        <v>151</v>
      </c>
      <c r="L1345" s="1" t="s">
        <v>103</v>
      </c>
      <c r="M1345" s="1" t="s">
        <v>13917</v>
      </c>
      <c r="N1345" s="1" t="s">
        <v>20661</v>
      </c>
      <c r="O1345" s="1" t="s">
        <v>9794</v>
      </c>
      <c r="P1345" s="1" t="s">
        <v>237</v>
      </c>
      <c r="Q1345" s="1" t="s">
        <v>108</v>
      </c>
      <c r="R1345" s="1" t="s">
        <v>20662</v>
      </c>
      <c r="S1345" s="1" t="s">
        <v>2465</v>
      </c>
      <c r="Z1345" s="1" t="s">
        <v>20663</v>
      </c>
      <c r="AA1345" s="10">
        <v>7000000.0</v>
      </c>
      <c r="AB1345" s="1" t="s">
        <v>20664</v>
      </c>
      <c r="AC1345" s="10">
        <v>8000000.0</v>
      </c>
      <c r="AF1345" s="10">
        <v>8000000.0</v>
      </c>
      <c r="AH1345" s="1">
        <v>6.760552192E9</v>
      </c>
      <c r="AI1345" s="1" t="s">
        <v>222</v>
      </c>
      <c r="AJ1345" s="1">
        <v>163.0</v>
      </c>
      <c r="AK1345" s="1">
        <v>60.0</v>
      </c>
      <c r="AL1345" s="1" t="s">
        <v>20665</v>
      </c>
      <c r="AM1345" s="1" t="s">
        <v>20666</v>
      </c>
      <c r="AN1345" s="7" t="s">
        <v>20667</v>
      </c>
      <c r="AO1345" s="8" t="str">
        <f>HYPERLINK("https://docs.google.com/document/d/1ni_84SIB9sYDdt563BTRsfsauRb-_MqBnurM6iFRduQ/edit?usp=drivesdk","Al-Wildan 4 Lebak Bulus_Lidya, S.Pd_Penjaskes")</f>
        <v>Al-Wildan 4 Lebak Bulus_Lidya, S.Pd_Penjaskes</v>
      </c>
      <c r="AP1345" s="1" t="s">
        <v>20668</v>
      </c>
    </row>
    <row r="1346">
      <c r="A1346" s="6">
        <v>45960.62592600695</v>
      </c>
      <c r="B1346" s="7" t="s">
        <v>20669</v>
      </c>
      <c r="C1346" s="8" t="s">
        <v>20670</v>
      </c>
      <c r="D1346" s="1" t="s">
        <v>20671</v>
      </c>
      <c r="E1346" s="9" t="s">
        <v>20672</v>
      </c>
      <c r="F1346" s="1" t="s">
        <v>20673</v>
      </c>
      <c r="G1346" s="1" t="s">
        <v>20674</v>
      </c>
      <c r="H1346" s="1" t="s">
        <v>20675</v>
      </c>
      <c r="I1346" s="9" t="s">
        <v>20676</v>
      </c>
      <c r="J1346" s="1" t="s">
        <v>20677</v>
      </c>
      <c r="K1346" s="1" t="s">
        <v>151</v>
      </c>
      <c r="L1346" s="1" t="s">
        <v>103</v>
      </c>
      <c r="M1346" s="1" t="s">
        <v>104</v>
      </c>
      <c r="N1346" s="1" t="s">
        <v>20678</v>
      </c>
      <c r="O1346" s="1" t="s">
        <v>9794</v>
      </c>
      <c r="P1346" s="1" t="s">
        <v>17019</v>
      </c>
      <c r="Q1346" s="1" t="s">
        <v>590</v>
      </c>
      <c r="R1346" s="1" t="s">
        <v>172</v>
      </c>
      <c r="S1346" s="1" t="s">
        <v>277</v>
      </c>
      <c r="T1346" s="1" t="s">
        <v>217</v>
      </c>
      <c r="U1346" s="1" t="s">
        <v>217</v>
      </c>
      <c r="V1346" s="1" t="s">
        <v>217</v>
      </c>
      <c r="W1346" s="1" t="s">
        <v>217</v>
      </c>
      <c r="X1346" s="1" t="s">
        <v>217</v>
      </c>
      <c r="Z1346" s="1" t="s">
        <v>20679</v>
      </c>
      <c r="AA1346" s="1" t="s">
        <v>20680</v>
      </c>
      <c r="AB1346" s="1" t="s">
        <v>20681</v>
      </c>
      <c r="AC1346" s="1" t="s">
        <v>20682</v>
      </c>
      <c r="AD1346" s="1" t="s">
        <v>20683</v>
      </c>
      <c r="AE1346" s="1" t="s">
        <v>20684</v>
      </c>
      <c r="AF1346" s="1" t="s">
        <v>20685</v>
      </c>
      <c r="AG1346" s="1">
        <v>7.308461992E9</v>
      </c>
      <c r="AI1346" s="1" t="s">
        <v>5113</v>
      </c>
      <c r="AJ1346" s="1">
        <v>170.0</v>
      </c>
      <c r="AK1346" s="1">
        <v>60.0</v>
      </c>
      <c r="AL1346" s="1" t="s">
        <v>20686</v>
      </c>
      <c r="AM1346" s="1" t="s">
        <v>20687</v>
      </c>
      <c r="AN1346" s="7" t="s">
        <v>20688</v>
      </c>
      <c r="AO1346" s="8" t="str">
        <f>HYPERLINK("https://docs.google.com/document/d/1H7g6-8vwm49CIRq3c__n1M2y5jI6K09sYS_9_6NEm6Q/edit?usp=drivesdk","Al-Wildan 20 Mataram_Didik Pratama, S.Pd._Science and English")</f>
        <v>Al-Wildan 20 Mataram_Didik Pratama, S.Pd._Science and English</v>
      </c>
      <c r="AP1346" s="1" t="s">
        <v>20689</v>
      </c>
    </row>
    <row r="1347">
      <c r="A1347" s="6">
        <v>45961.84135476852</v>
      </c>
      <c r="B1347" s="7" t="s">
        <v>20690</v>
      </c>
      <c r="C1347" s="8" t="s">
        <v>20691</v>
      </c>
      <c r="D1347" s="1" t="s">
        <v>11247</v>
      </c>
      <c r="E1347" s="9" t="s">
        <v>11248</v>
      </c>
      <c r="F1347" s="1" t="s">
        <v>11249</v>
      </c>
      <c r="G1347" s="1" t="s">
        <v>14608</v>
      </c>
      <c r="H1347" s="1" t="s">
        <v>11250</v>
      </c>
      <c r="I1347" s="9" t="s">
        <v>11251</v>
      </c>
      <c r="J1347" s="1" t="s">
        <v>20692</v>
      </c>
      <c r="K1347" s="1" t="s">
        <v>151</v>
      </c>
      <c r="L1347" s="1" t="s">
        <v>329</v>
      </c>
      <c r="M1347" s="1" t="s">
        <v>104</v>
      </c>
      <c r="N1347" s="1" t="s">
        <v>20693</v>
      </c>
      <c r="O1347" s="1" t="s">
        <v>9794</v>
      </c>
      <c r="P1347" s="1" t="s">
        <v>6659</v>
      </c>
      <c r="Q1347" s="1" t="s">
        <v>11240</v>
      </c>
      <c r="R1347" s="1" t="s">
        <v>410</v>
      </c>
      <c r="S1347" s="1" t="s">
        <v>1668</v>
      </c>
      <c r="T1347" s="1" t="s">
        <v>153</v>
      </c>
      <c r="U1347" s="1" t="s">
        <v>410</v>
      </c>
      <c r="V1347" s="1" t="s">
        <v>7147</v>
      </c>
      <c r="Z1347" s="1" t="s">
        <v>20694</v>
      </c>
      <c r="AA1347" s="10">
        <v>4500000.0</v>
      </c>
      <c r="AF1347" s="10">
        <v>7000000.0</v>
      </c>
      <c r="AG1347" s="1">
        <v>7.212543548E9</v>
      </c>
      <c r="AJ1347" s="1">
        <v>159.0</v>
      </c>
      <c r="AK1347" s="1">
        <v>65.0</v>
      </c>
      <c r="AL1347" s="1" t="s">
        <v>11255</v>
      </c>
      <c r="AM1347" s="1" t="s">
        <v>20695</v>
      </c>
      <c r="AN1347" s="7" t="s">
        <v>20696</v>
      </c>
      <c r="AO1347" s="8" t="str">
        <f>HYPERLINK("https://docs.google.com/document/d/1LZ2LPyjcwFOyk4fBoofXHsNBltYM2rAtepA1BGxI3Mw/edit?usp=drivesdk","Al-Wildan 15 Kompas Indah, Tambun Bekasi._Rizki Eka Shintya, S.Pd._Science - Physics")</f>
        <v>Al-Wildan 15 Kompas Indah, Tambun Bekasi._Rizki Eka Shintya, S.Pd._Science - Physics</v>
      </c>
      <c r="AP1347" s="1" t="s">
        <v>20697</v>
      </c>
    </row>
    <row r="1348">
      <c r="A1348" s="6">
        <v>45965.59198295139</v>
      </c>
      <c r="B1348" s="7" t="s">
        <v>20698</v>
      </c>
      <c r="C1348" s="8" t="s">
        <v>20699</v>
      </c>
      <c r="D1348" s="1" t="s">
        <v>20700</v>
      </c>
      <c r="E1348" s="9" t="s">
        <v>20701</v>
      </c>
      <c r="F1348" s="1" t="s">
        <v>20702</v>
      </c>
      <c r="G1348" s="1" t="s">
        <v>20703</v>
      </c>
      <c r="H1348" s="1" t="s">
        <v>20704</v>
      </c>
      <c r="I1348" s="9" t="s">
        <v>20705</v>
      </c>
      <c r="J1348" s="1" t="s">
        <v>3619</v>
      </c>
      <c r="K1348" s="1" t="s">
        <v>151</v>
      </c>
      <c r="L1348" s="1" t="s">
        <v>256</v>
      </c>
      <c r="M1348" s="1" t="s">
        <v>13917</v>
      </c>
      <c r="N1348" s="1" t="s">
        <v>20706</v>
      </c>
      <c r="O1348" s="1" t="s">
        <v>312</v>
      </c>
      <c r="P1348" s="1" t="s">
        <v>237</v>
      </c>
      <c r="Q1348" s="1" t="s">
        <v>4511</v>
      </c>
      <c r="R1348" s="1" t="s">
        <v>20707</v>
      </c>
      <c r="S1348" s="1" t="s">
        <v>2465</v>
      </c>
      <c r="T1348" s="1" t="s">
        <v>9462</v>
      </c>
      <c r="U1348" s="1" t="s">
        <v>20708</v>
      </c>
      <c r="V1348" s="1" t="s">
        <v>3589</v>
      </c>
      <c r="Z1348" s="1" t="s">
        <v>20709</v>
      </c>
      <c r="AA1348" s="10">
        <v>3000000.0</v>
      </c>
      <c r="AF1348" s="10">
        <v>7000000.0</v>
      </c>
      <c r="AG1348" s="1">
        <v>7.199944333E9</v>
      </c>
      <c r="AJ1348" s="1">
        <v>160.0</v>
      </c>
      <c r="AK1348" s="1">
        <v>89.0</v>
      </c>
      <c r="AL1348" s="1" t="s">
        <v>20710</v>
      </c>
      <c r="AM1348" s="1" t="s">
        <v>20711</v>
      </c>
      <c r="AN1348" s="7" t="s">
        <v>20712</v>
      </c>
      <c r="AO1348" s="8" t="str">
        <f>HYPERLINK("https://docs.google.com/document/d/1eS4EU_wNWsxoG6TfRsjJAoD8L59M4T3uRBkB5UGmR24/edit?usp=drivesdk","Al-Wildan 4 Lebak Bulus_Raudhatul Hanifah, S.Or, Gr, M.Pd_Guru Olahraga / Penjaskes ")</f>
        <v>Al-Wildan 4 Lebak Bulus_Raudhatul Hanifah, S.Or, Gr, M.Pd_Guru Olahraga / Penjaskes </v>
      </c>
      <c r="AP1348" s="1" t="s">
        <v>20713</v>
      </c>
    </row>
    <row r="1349">
      <c r="A1349" s="6">
        <v>45970.42317385417</v>
      </c>
      <c r="B1349" s="7" t="s">
        <v>20714</v>
      </c>
      <c r="C1349" s="8" t="s">
        <v>20715</v>
      </c>
      <c r="D1349" s="1" t="s">
        <v>20716</v>
      </c>
      <c r="E1349" s="1" t="s">
        <v>20717</v>
      </c>
      <c r="F1349" s="1" t="s">
        <v>20718</v>
      </c>
      <c r="G1349" s="1" t="s">
        <v>20719</v>
      </c>
      <c r="H1349" s="1" t="s">
        <v>20720</v>
      </c>
      <c r="I1349" s="9" t="s">
        <v>19105</v>
      </c>
      <c r="J1349" s="1" t="s">
        <v>9896</v>
      </c>
      <c r="K1349" s="1" t="s">
        <v>151</v>
      </c>
      <c r="L1349" s="1" t="s">
        <v>496</v>
      </c>
      <c r="M1349" s="1" t="s">
        <v>5671</v>
      </c>
      <c r="O1349" s="1" t="s">
        <v>127</v>
      </c>
      <c r="P1349" s="1" t="s">
        <v>5712</v>
      </c>
      <c r="Q1349" s="1" t="s">
        <v>20721</v>
      </c>
      <c r="R1349" s="1" t="s">
        <v>20722</v>
      </c>
      <c r="S1349" s="1" t="s">
        <v>4021</v>
      </c>
      <c r="Z1349" s="1" t="s">
        <v>2162</v>
      </c>
      <c r="AA1349" s="10">
        <v>2500000.0</v>
      </c>
      <c r="AF1349" s="10">
        <v>6000000.0</v>
      </c>
      <c r="AG1349" s="1">
        <v>7.186193622E9</v>
      </c>
      <c r="AJ1349" s="1">
        <v>168.0</v>
      </c>
      <c r="AK1349" s="1">
        <v>65.0</v>
      </c>
      <c r="AL1349" s="1" t="s">
        <v>20723</v>
      </c>
      <c r="AM1349" s="1" t="s">
        <v>20724</v>
      </c>
      <c r="AN1349" s="7" t="s">
        <v>20725</v>
      </c>
      <c r="AO1349" s="8" t="str">
        <f>HYPERLINK("https://docs.google.com/document/d/1yQ3Ux0e3iV2YaB9fJIKxeKDkyS8g2Iywl5I-L5wMIRk/edit?usp=drivesdk","Al-Wildan 3 BSD City_Burhanuddin, S.Pd._")</f>
        <v>Al-Wildan 3 BSD City_Burhanuddin, S.Pd._</v>
      </c>
      <c r="AP1349" s="1" t="s">
        <v>20726</v>
      </c>
    </row>
    <row r="1350">
      <c r="A1350" s="6">
        <v>45979.62686097222</v>
      </c>
      <c r="B1350" s="7" t="s">
        <v>20727</v>
      </c>
      <c r="C1350" s="8" t="s">
        <v>20728</v>
      </c>
      <c r="D1350" s="1" t="s">
        <v>20729</v>
      </c>
      <c r="E1350" s="9" t="s">
        <v>20730</v>
      </c>
      <c r="F1350" s="1" t="s">
        <v>20731</v>
      </c>
      <c r="G1350" s="1" t="s">
        <v>20732</v>
      </c>
      <c r="H1350" s="1" t="s">
        <v>188</v>
      </c>
      <c r="I1350" s="9" t="s">
        <v>20733</v>
      </c>
      <c r="J1350" s="1" t="s">
        <v>407</v>
      </c>
      <c r="K1350" s="1" t="s">
        <v>151</v>
      </c>
      <c r="L1350" s="1" t="s">
        <v>103</v>
      </c>
      <c r="M1350" s="1" t="s">
        <v>104</v>
      </c>
      <c r="N1350" s="1" t="s">
        <v>4312</v>
      </c>
      <c r="O1350" s="1" t="s">
        <v>9794</v>
      </c>
      <c r="P1350" s="1" t="s">
        <v>14439</v>
      </c>
      <c r="Q1350" s="1" t="s">
        <v>16147</v>
      </c>
      <c r="R1350" s="1" t="s">
        <v>20734</v>
      </c>
      <c r="S1350" s="1">
        <v>3.75</v>
      </c>
      <c r="Z1350" s="1" t="s">
        <v>20735</v>
      </c>
      <c r="AA1350" s="10">
        <v>500000.0</v>
      </c>
      <c r="AB1350" s="1" t="s">
        <v>20736</v>
      </c>
      <c r="AC1350" s="10">
        <v>1800000.0</v>
      </c>
      <c r="AD1350" s="1" t="s">
        <v>20737</v>
      </c>
      <c r="AE1350" s="10">
        <v>1200000.0</v>
      </c>
      <c r="AF1350" s="10">
        <v>4000000.0</v>
      </c>
      <c r="AG1350" s="1">
        <v>7.55706629E9</v>
      </c>
      <c r="AJ1350" s="1">
        <v>154.0</v>
      </c>
      <c r="AK1350" s="1">
        <v>58.0</v>
      </c>
      <c r="AL1350" s="1" t="s">
        <v>20738</v>
      </c>
      <c r="AM1350" s="1" t="s">
        <v>20739</v>
      </c>
      <c r="AN1350" s="7" t="s">
        <v>20740</v>
      </c>
      <c r="AO1350" s="8" t="str">
        <f>HYPERLINK("https://docs.google.com/document/d/1O0n2PHKj4hL_3eHuknOCnYQLQL7B129_60nXUr15HTk/edit?usp=drivesdk","Al-Wildan 22 Makassar_Shelini, S.Pd, Gr._Science")</f>
        <v>Al-Wildan 22 Makassar_Shelini, S.Pd, Gr._Science</v>
      </c>
      <c r="AP1350" s="1" t="s">
        <v>20741</v>
      </c>
    </row>
    <row r="1351">
      <c r="A1351" s="6">
        <v>45986.95312329861</v>
      </c>
      <c r="B1351" s="7" t="s">
        <v>20742</v>
      </c>
      <c r="C1351" s="8" t="s">
        <v>20743</v>
      </c>
      <c r="D1351" s="1" t="s">
        <v>20744</v>
      </c>
      <c r="E1351" s="9" t="s">
        <v>20745</v>
      </c>
      <c r="F1351" s="1" t="s">
        <v>20746</v>
      </c>
      <c r="G1351" s="1" t="s">
        <v>20747</v>
      </c>
      <c r="H1351" s="1" t="s">
        <v>944</v>
      </c>
      <c r="I1351" s="9" t="s">
        <v>20748</v>
      </c>
      <c r="J1351" s="1">
        <v>24.0</v>
      </c>
      <c r="K1351" s="1" t="s">
        <v>151</v>
      </c>
      <c r="L1351" s="1" t="s">
        <v>103</v>
      </c>
      <c r="M1351" s="1" t="s">
        <v>104</v>
      </c>
      <c r="N1351" s="1" t="s">
        <v>20749</v>
      </c>
      <c r="O1351" s="1" t="s">
        <v>312</v>
      </c>
      <c r="P1351" s="1" t="s">
        <v>237</v>
      </c>
      <c r="Q1351" s="1" t="s">
        <v>17948</v>
      </c>
      <c r="R1351" s="1" t="s">
        <v>20749</v>
      </c>
      <c r="S1351" s="1" t="s">
        <v>2483</v>
      </c>
      <c r="Z1351" s="1" t="s">
        <v>20750</v>
      </c>
      <c r="AA1351" s="10">
        <v>750000.0</v>
      </c>
      <c r="AB1351" s="1" t="s">
        <v>20751</v>
      </c>
      <c r="AC1351" s="10">
        <v>2850000.0</v>
      </c>
      <c r="AD1351" s="1" t="s">
        <v>20752</v>
      </c>
      <c r="AE1351" s="10">
        <v>1600000.0</v>
      </c>
      <c r="AF1351" s="10">
        <v>6000000.0</v>
      </c>
      <c r="AG1351" s="1">
        <v>7.187450025E9</v>
      </c>
      <c r="AI1351" s="1" t="s">
        <v>5113</v>
      </c>
      <c r="AJ1351" s="1">
        <v>159.0</v>
      </c>
      <c r="AK1351" s="1">
        <v>53.0</v>
      </c>
      <c r="AL1351" s="1" t="s">
        <v>20753</v>
      </c>
      <c r="AM1351" s="1" t="s">
        <v>20754</v>
      </c>
      <c r="AN1351" s="7" t="s">
        <v>20755</v>
      </c>
      <c r="AO1351" s="8" t="str">
        <f>HYPERLINK("https://docs.google.com/document/d/1RM9dtUN8nS6JreM7dWqQWMXAM6HM9C3E958lUZsVG5o/edit?usp=drivesdk","Al-Wildan 4 Lebak Bulus_Siti Iqra Mulatifah _Bahasa arab ")</f>
        <v>Al-Wildan 4 Lebak Bulus_Siti Iqra Mulatifah _Bahasa arab </v>
      </c>
      <c r="AP1351" s="1" t="s">
        <v>20756</v>
      </c>
    </row>
    <row r="1352">
      <c r="A1352" s="6">
        <v>45991.64900445602</v>
      </c>
      <c r="B1352" s="7" t="s">
        <v>20757</v>
      </c>
      <c r="C1352" s="8" t="s">
        <v>20758</v>
      </c>
      <c r="D1352" s="1" t="s">
        <v>20759</v>
      </c>
      <c r="E1352" s="9" t="s">
        <v>20760</v>
      </c>
      <c r="F1352" s="1" t="s">
        <v>20761</v>
      </c>
      <c r="G1352" s="1" t="s">
        <v>20762</v>
      </c>
      <c r="H1352" s="1" t="s">
        <v>20763</v>
      </c>
      <c r="I1352" s="9" t="s">
        <v>20764</v>
      </c>
      <c r="J1352" s="1" t="s">
        <v>20765</v>
      </c>
      <c r="K1352" s="1" t="s">
        <v>102</v>
      </c>
      <c r="L1352" s="1" t="s">
        <v>827</v>
      </c>
      <c r="M1352" s="1" t="s">
        <v>104</v>
      </c>
      <c r="N1352" s="1" t="s">
        <v>20766</v>
      </c>
      <c r="O1352" s="1" t="s">
        <v>312</v>
      </c>
      <c r="P1352" s="1" t="s">
        <v>7991</v>
      </c>
      <c r="Q1352" s="1" t="s">
        <v>20767</v>
      </c>
      <c r="R1352" s="1" t="s">
        <v>394</v>
      </c>
      <c r="S1352" s="1">
        <v>3.4</v>
      </c>
      <c r="T1352" s="1" t="s">
        <v>1449</v>
      </c>
      <c r="U1352" s="1" t="s">
        <v>1449</v>
      </c>
      <c r="V1352" s="1" t="s">
        <v>1449</v>
      </c>
      <c r="W1352" s="1" t="s">
        <v>1449</v>
      </c>
      <c r="X1352" s="1" t="s">
        <v>1449</v>
      </c>
      <c r="Y1352" s="1">
        <v>1.0</v>
      </c>
      <c r="Z1352" s="1" t="s">
        <v>20768</v>
      </c>
      <c r="AA1352" s="10">
        <v>500000.0</v>
      </c>
      <c r="AB1352" s="1" t="s">
        <v>20769</v>
      </c>
      <c r="AC1352" s="10">
        <v>1400000.0</v>
      </c>
      <c r="AD1352" s="1" t="s">
        <v>20770</v>
      </c>
      <c r="AE1352" s="10">
        <v>3500000.0</v>
      </c>
      <c r="AF1352" s="1" t="s">
        <v>15389</v>
      </c>
      <c r="AG1352" s="1">
        <v>7.261282547E9</v>
      </c>
      <c r="AH1352" s="1">
        <v>1.0</v>
      </c>
      <c r="AI1352" s="1" t="s">
        <v>8790</v>
      </c>
      <c r="AJ1352" s="1">
        <v>145.0</v>
      </c>
      <c r="AK1352" s="1">
        <v>39.0</v>
      </c>
      <c r="AL1352" s="1" t="s">
        <v>20771</v>
      </c>
      <c r="AM1352" s="1" t="s">
        <v>20772</v>
      </c>
      <c r="AN1352" s="7" t="s">
        <v>20773</v>
      </c>
      <c r="AO1352" s="8" t="str">
        <f>HYPERLINK("https://docs.google.com/document/d/15oG6OXtPgdHHKvEKrJT5rWE9nMxUQeDcVgUlNGzxSyI/edit?usp=drivesdk","Al-Wildan 12 Bulak Kapal, Bekasi_Nayla Salsabila _Pembimbing halaqoh Quran ")</f>
        <v>Al-Wildan 12 Bulak Kapal, Bekasi_Nayla Salsabila _Pembimbing halaqoh Quran </v>
      </c>
      <c r="AP1352" s="1" t="s">
        <v>20774</v>
      </c>
    </row>
    <row r="1353">
      <c r="A1353" s="6">
        <v>46000.691500671295</v>
      </c>
      <c r="B1353" s="7" t="s">
        <v>20775</v>
      </c>
      <c r="C1353" s="8" t="s">
        <v>20776</v>
      </c>
      <c r="D1353" s="1" t="s">
        <v>20777</v>
      </c>
      <c r="E1353" s="9" t="s">
        <v>20778</v>
      </c>
      <c r="F1353" s="1" t="s">
        <v>20779</v>
      </c>
      <c r="G1353" s="1" t="s">
        <v>20780</v>
      </c>
      <c r="H1353" s="1" t="s">
        <v>1555</v>
      </c>
      <c r="I1353" s="9" t="s">
        <v>20781</v>
      </c>
      <c r="J1353" s="1" t="s">
        <v>4834</v>
      </c>
      <c r="K1353" s="1" t="s">
        <v>151</v>
      </c>
      <c r="L1353" s="1" t="s">
        <v>256</v>
      </c>
      <c r="M1353" s="1" t="s">
        <v>104</v>
      </c>
      <c r="N1353" s="1" t="s">
        <v>1523</v>
      </c>
      <c r="O1353" s="1" t="s">
        <v>236</v>
      </c>
      <c r="P1353" s="1" t="s">
        <v>6659</v>
      </c>
      <c r="Q1353" s="1" t="s">
        <v>20782</v>
      </c>
      <c r="R1353" s="1" t="s">
        <v>1521</v>
      </c>
      <c r="S1353" s="1" t="s">
        <v>1364</v>
      </c>
      <c r="T1353" s="1" t="s">
        <v>20783</v>
      </c>
      <c r="U1353" s="1" t="s">
        <v>1521</v>
      </c>
      <c r="V1353" s="1" t="s">
        <v>3719</v>
      </c>
      <c r="Z1353" s="1" t="s">
        <v>20784</v>
      </c>
      <c r="AA1353" s="10">
        <v>2400000.0</v>
      </c>
      <c r="AF1353" s="10">
        <v>5000000.0</v>
      </c>
      <c r="AH1353" s="9" t="s">
        <v>20785</v>
      </c>
      <c r="AI1353" s="1" t="s">
        <v>6124</v>
      </c>
      <c r="AJ1353" s="1">
        <v>150.0</v>
      </c>
      <c r="AK1353" s="1">
        <v>46.0</v>
      </c>
      <c r="AL1353" s="1" t="s">
        <v>20786</v>
      </c>
      <c r="AM1353" s="1" t="s">
        <v>20787</v>
      </c>
      <c r="AN1353" s="7" t="s">
        <v>20788</v>
      </c>
      <c r="AO1353" s="8" t="str">
        <f>HYPERLINK("https://docs.google.com/document/d/1irWiYAk4RC8n200vmT2ra5XJoI6oWIlfcQhXryaAu48/edit?usp=drivesdk","Al-Wildan 15 Kompas Indah, Tambun Bekasi._Ivana Fauziah Sesfa'o, S.Pd., M.Pd. _Kimia")</f>
        <v>Al-Wildan 15 Kompas Indah, Tambun Bekasi._Ivana Fauziah Sesfa'o, S.Pd., M.Pd. _Kimia</v>
      </c>
      <c r="AP1353" s="1" t="s">
        <v>20789</v>
      </c>
    </row>
    <row r="1354">
      <c r="A1354" s="6">
        <v>46000.69163648148</v>
      </c>
      <c r="B1354" s="7" t="s">
        <v>20790</v>
      </c>
      <c r="C1354" s="8" t="s">
        <v>20791</v>
      </c>
      <c r="D1354" s="1" t="s">
        <v>20792</v>
      </c>
      <c r="E1354" s="9" t="s">
        <v>20793</v>
      </c>
      <c r="F1354" s="1" t="s">
        <v>20794</v>
      </c>
      <c r="G1354" s="1" t="s">
        <v>20795</v>
      </c>
      <c r="H1354" s="1" t="s">
        <v>1255</v>
      </c>
      <c r="I1354" s="9" t="s">
        <v>20796</v>
      </c>
      <c r="J1354" s="1" t="s">
        <v>9896</v>
      </c>
      <c r="K1354" s="1" t="s">
        <v>151</v>
      </c>
      <c r="L1354" s="1" t="s">
        <v>256</v>
      </c>
      <c r="M1354" s="1" t="s">
        <v>104</v>
      </c>
      <c r="N1354" s="1" t="s">
        <v>20797</v>
      </c>
      <c r="O1354" s="1" t="s">
        <v>127</v>
      </c>
      <c r="P1354" s="1" t="s">
        <v>6659</v>
      </c>
      <c r="Q1354" s="1" t="s">
        <v>20798</v>
      </c>
      <c r="R1354" s="1" t="s">
        <v>1521</v>
      </c>
      <c r="S1354" s="1" t="s">
        <v>5523</v>
      </c>
      <c r="Z1354" s="1" t="s">
        <v>20799</v>
      </c>
      <c r="AA1354" s="10">
        <v>2000000.0</v>
      </c>
      <c r="AB1354" s="1" t="s">
        <v>20800</v>
      </c>
      <c r="AC1354" s="10">
        <v>5116298.0</v>
      </c>
      <c r="AF1354" s="10">
        <v>5500000.0</v>
      </c>
      <c r="AH1354" s="1">
        <v>1.590689897E9</v>
      </c>
      <c r="AI1354" s="1" t="s">
        <v>222</v>
      </c>
      <c r="AJ1354" s="1">
        <v>150.0</v>
      </c>
      <c r="AK1354" s="1">
        <v>50.0</v>
      </c>
      <c r="AL1354" s="1" t="s">
        <v>20801</v>
      </c>
      <c r="AM1354" s="1" t="s">
        <v>20802</v>
      </c>
      <c r="AN1354" s="7" t="s">
        <v>20803</v>
      </c>
      <c r="AO1354" s="8" t="str">
        <f>HYPERLINK("https://docs.google.com/document/d/1gyik5UNsC9fJnplqmB5QKxhnGyr_gl-XqpN3OPx8M0w/edit?usp=drivesdk","Al-Wildan 15 Kompas Indah, Tambun Bekasi._Latansa Naelal Izzati, S.Pd._SEM (Science, English, Mathematic)")</f>
        <v>Al-Wildan 15 Kompas Indah, Tambun Bekasi._Latansa Naelal Izzati, S.Pd._SEM (Science, English, Mathematic)</v>
      </c>
      <c r="AP1354" s="1" t="s">
        <v>20789</v>
      </c>
    </row>
    <row r="1355">
      <c r="A1355" s="6">
        <v>46007.719900428245</v>
      </c>
      <c r="B1355" s="7" t="s">
        <v>20804</v>
      </c>
      <c r="C1355" s="8" t="s">
        <v>20805</v>
      </c>
      <c r="D1355" s="1" t="s">
        <v>20806</v>
      </c>
      <c r="E1355" s="9" t="s">
        <v>20807</v>
      </c>
      <c r="F1355" s="1" t="s">
        <v>20808</v>
      </c>
      <c r="G1355" s="1" t="s">
        <v>20809</v>
      </c>
      <c r="H1355" s="1" t="s">
        <v>20810</v>
      </c>
      <c r="I1355" s="9" t="s">
        <v>20811</v>
      </c>
      <c r="J1355" s="1">
        <v>23.0</v>
      </c>
      <c r="K1355" s="1" t="s">
        <v>151</v>
      </c>
      <c r="L1355" s="1" t="s">
        <v>329</v>
      </c>
      <c r="M1355" s="1" t="s">
        <v>104</v>
      </c>
      <c r="N1355" s="1" t="s">
        <v>2063</v>
      </c>
      <c r="O1355" s="1" t="s">
        <v>312</v>
      </c>
      <c r="P1355" s="1" t="s">
        <v>237</v>
      </c>
      <c r="Q1355" s="1" t="s">
        <v>20812</v>
      </c>
      <c r="R1355" s="1" t="s">
        <v>1623</v>
      </c>
      <c r="S1355" s="1">
        <v>3.5</v>
      </c>
      <c r="T1355" s="1" t="s">
        <v>217</v>
      </c>
      <c r="U1355" s="1" t="s">
        <v>217</v>
      </c>
      <c r="V1355" s="1" t="s">
        <v>217</v>
      </c>
      <c r="W1355" s="1" t="s">
        <v>217</v>
      </c>
      <c r="X1355" s="1" t="s">
        <v>217</v>
      </c>
      <c r="Z1355" s="1" t="s">
        <v>20813</v>
      </c>
      <c r="AA1355" s="1" t="s">
        <v>20814</v>
      </c>
      <c r="AB1355" s="1" t="s">
        <v>217</v>
      </c>
      <c r="AC1355" s="1" t="s">
        <v>217</v>
      </c>
      <c r="AD1355" s="1" t="s">
        <v>217</v>
      </c>
      <c r="AE1355" s="1" t="s">
        <v>217</v>
      </c>
      <c r="AF1355" s="12">
        <v>5396761.0</v>
      </c>
      <c r="AG1355" s="1">
        <v>7.203077828E9</v>
      </c>
      <c r="AI1355" s="1" t="s">
        <v>5113</v>
      </c>
      <c r="AJ1355" s="1">
        <v>160.0</v>
      </c>
      <c r="AK1355" s="1">
        <v>64.0</v>
      </c>
      <c r="AL1355" s="1" t="s">
        <v>20815</v>
      </c>
      <c r="AM1355" s="1" t="s">
        <v>20816</v>
      </c>
      <c r="AN1355" s="7" t="s">
        <v>20817</v>
      </c>
      <c r="AO1355" s="8" t="str">
        <f>HYPERLINK("https://docs.google.com/document/d/1AAfcIyrjEAHXiO0Fr0nQTasYCxIUrqdHo6jf0_P_6WA/edit?usp=drivesdk","Al-Wildan 4 Lebak Bulus_Nurul Maghfiroh, S.Pd_AL-QUR'AN")</f>
        <v>Al-Wildan 4 Lebak Bulus_Nurul Maghfiroh, S.Pd_AL-QUR'AN</v>
      </c>
      <c r="AP1355" s="1" t="s">
        <v>20818</v>
      </c>
    </row>
    <row r="1356">
      <c r="A1356" s="6">
        <v>46015.44372618056</v>
      </c>
      <c r="B1356" s="7" t="s">
        <v>20819</v>
      </c>
      <c r="C1356" s="8" t="s">
        <v>20820</v>
      </c>
      <c r="D1356" s="1" t="s">
        <v>20821</v>
      </c>
      <c r="E1356" s="9" t="s">
        <v>20822</v>
      </c>
      <c r="F1356" s="1" t="s">
        <v>20823</v>
      </c>
      <c r="G1356" s="1" t="s">
        <v>20824</v>
      </c>
      <c r="H1356" s="1" t="s">
        <v>20825</v>
      </c>
      <c r="I1356" s="9" t="s">
        <v>2195</v>
      </c>
      <c r="J1356" s="1" t="s">
        <v>2385</v>
      </c>
      <c r="K1356" s="1" t="s">
        <v>151</v>
      </c>
      <c r="L1356" s="1" t="s">
        <v>103</v>
      </c>
      <c r="M1356" s="1" t="s">
        <v>104</v>
      </c>
      <c r="N1356" s="1" t="s">
        <v>126</v>
      </c>
      <c r="O1356" s="1" t="s">
        <v>9794</v>
      </c>
      <c r="P1356" s="1" t="s">
        <v>14439</v>
      </c>
      <c r="Q1356" s="1" t="s">
        <v>16147</v>
      </c>
      <c r="R1356" s="1" t="s">
        <v>20826</v>
      </c>
      <c r="S1356" s="1" t="s">
        <v>1680</v>
      </c>
      <c r="Z1356" s="1" t="s">
        <v>20827</v>
      </c>
      <c r="AA1356" s="1" t="s">
        <v>8071</v>
      </c>
      <c r="AB1356" s="1" t="s">
        <v>20828</v>
      </c>
      <c r="AC1356" s="1" t="s">
        <v>20829</v>
      </c>
      <c r="AF1356" s="10">
        <v>4500000.0</v>
      </c>
      <c r="AH1356" s="9" t="s">
        <v>20830</v>
      </c>
      <c r="AI1356" s="1" t="s">
        <v>2407</v>
      </c>
      <c r="AJ1356" s="1">
        <v>155.0</v>
      </c>
      <c r="AK1356" s="1">
        <v>61.0</v>
      </c>
      <c r="AL1356" s="1" t="s">
        <v>20831</v>
      </c>
      <c r="AM1356" s="1" t="s">
        <v>20832</v>
      </c>
      <c r="AN1356" s="7" t="s">
        <v>20833</v>
      </c>
      <c r="AO1356" s="8" t="str">
        <f>HYPERLINK("https://docs.google.com/document/d/1TgEgvx2SdnCv7smKSRDeAqyl9NZ5aUV_8HuthIG0xOo/edit?usp=drivesdk","Al-Wildan 22 Makassar_Ikananda, S.Pd._Matematika")</f>
        <v>Al-Wildan 22 Makassar_Ikananda, S.Pd._Matematika</v>
      </c>
      <c r="AP1356" s="1" t="s">
        <v>20834</v>
      </c>
    </row>
    <row r="1357">
      <c r="A1357" s="6">
        <v>46015.527354641206</v>
      </c>
      <c r="B1357" s="7" t="s">
        <v>20835</v>
      </c>
      <c r="C1357" s="8" t="s">
        <v>20836</v>
      </c>
      <c r="D1357" s="1" t="s">
        <v>20837</v>
      </c>
      <c r="E1357" s="9" t="s">
        <v>20838</v>
      </c>
      <c r="F1357" s="1" t="s">
        <v>20839</v>
      </c>
      <c r="G1357" s="1" t="s">
        <v>20840</v>
      </c>
      <c r="H1357" s="1" t="s">
        <v>148</v>
      </c>
      <c r="I1357" s="9" t="s">
        <v>20841</v>
      </c>
      <c r="J1357" s="1" t="s">
        <v>12063</v>
      </c>
      <c r="K1357" s="1" t="s">
        <v>102</v>
      </c>
      <c r="L1357" s="1" t="s">
        <v>256</v>
      </c>
      <c r="M1357" s="1" t="s">
        <v>104</v>
      </c>
      <c r="N1357" s="1" t="s">
        <v>552</v>
      </c>
      <c r="O1357" s="1" t="s">
        <v>236</v>
      </c>
      <c r="P1357" s="1" t="s">
        <v>5712</v>
      </c>
      <c r="Q1357" s="1" t="s">
        <v>108</v>
      </c>
      <c r="R1357" s="1" t="s">
        <v>410</v>
      </c>
      <c r="S1357" s="1">
        <v>3.21</v>
      </c>
      <c r="Z1357" s="1" t="s">
        <v>20842</v>
      </c>
      <c r="AA1357" s="10">
        <v>2500000.0</v>
      </c>
      <c r="AB1357" s="1" t="s">
        <v>20843</v>
      </c>
      <c r="AC1357" s="10">
        <v>1.1E7</v>
      </c>
      <c r="AF1357" s="10">
        <v>1.2E7</v>
      </c>
      <c r="AG1357" s="1">
        <v>7.089504688E9</v>
      </c>
      <c r="AJ1357" s="1">
        <v>180.0</v>
      </c>
      <c r="AK1357" s="1">
        <v>77.0</v>
      </c>
      <c r="AL1357" s="1" t="s">
        <v>20844</v>
      </c>
      <c r="AM1357" s="1" t="s">
        <v>20845</v>
      </c>
      <c r="AN1357" s="7" t="s">
        <v>20846</v>
      </c>
      <c r="AO1357" s="8" t="str">
        <f>HYPERLINK("https://docs.google.com/document/d/1xmF-0lxhHIGvyiuS7N8dnsX6kwZ8D_f4KQ7VAaaYjmk/edit?usp=drivesdk","Al-Wildan 3 BSD City_Masakti Brojo Wijoyo, S.Pd._Fisika")</f>
        <v>Al-Wildan 3 BSD City_Masakti Brojo Wijoyo, S.Pd._Fisika</v>
      </c>
      <c r="AP1357" s="1" t="s">
        <v>20847</v>
      </c>
    </row>
    <row r="1358">
      <c r="A1358" s="6">
        <v>46030.72502222222</v>
      </c>
      <c r="B1358" s="7" t="s">
        <v>20848</v>
      </c>
      <c r="C1358" s="8" t="s">
        <v>20849</v>
      </c>
      <c r="D1358" s="1" t="s">
        <v>20850</v>
      </c>
      <c r="E1358" s="9" t="s">
        <v>20851</v>
      </c>
      <c r="F1358" s="1" t="s">
        <v>20852</v>
      </c>
      <c r="G1358" s="1" t="s">
        <v>20853</v>
      </c>
      <c r="H1358" s="1" t="s">
        <v>20854</v>
      </c>
      <c r="I1358" s="9" t="s">
        <v>20855</v>
      </c>
      <c r="J1358" s="1" t="s">
        <v>7711</v>
      </c>
      <c r="K1358" s="1" t="s">
        <v>102</v>
      </c>
      <c r="L1358" s="1" t="s">
        <v>329</v>
      </c>
      <c r="M1358" s="1" t="s">
        <v>104</v>
      </c>
      <c r="N1358" s="1" t="s">
        <v>2883</v>
      </c>
      <c r="O1358" s="1" t="s">
        <v>312</v>
      </c>
      <c r="P1358" s="1" t="s">
        <v>6091</v>
      </c>
      <c r="Q1358" s="1" t="s">
        <v>20856</v>
      </c>
      <c r="R1358" s="1" t="s">
        <v>20857</v>
      </c>
      <c r="S1358" s="1" t="s">
        <v>1023</v>
      </c>
      <c r="T1358" s="1" t="s">
        <v>217</v>
      </c>
      <c r="U1358" s="1" t="s">
        <v>217</v>
      </c>
      <c r="V1358" s="1" t="s">
        <v>217</v>
      </c>
      <c r="W1358" s="1" t="s">
        <v>217</v>
      </c>
      <c r="X1358" s="1" t="s">
        <v>217</v>
      </c>
      <c r="Z1358" s="1" t="s">
        <v>20858</v>
      </c>
      <c r="AA1358" s="10">
        <v>800000.0</v>
      </c>
      <c r="AF1358" s="10">
        <v>5000000.0</v>
      </c>
      <c r="AG1358" s="1">
        <v>4.84920163E9</v>
      </c>
      <c r="AI1358" s="1" t="s">
        <v>5561</v>
      </c>
      <c r="AJ1358" s="1">
        <v>161.0</v>
      </c>
      <c r="AK1358" s="1">
        <v>60.0</v>
      </c>
      <c r="AL1358" s="1" t="s">
        <v>20859</v>
      </c>
      <c r="AM1358" s="1" t="s">
        <v>20860</v>
      </c>
      <c r="AN1358" s="7" t="s">
        <v>20861</v>
      </c>
      <c r="AO1358" s="8" t="str">
        <f>HYPERLINK("https://docs.google.com/document/d/1Q2HfrwBGeHCJYbMi2YCj7m5IWiSO3LLe_jkEiaBJEHc/edit?usp=drivesdk","Al-Wildan 10 Cipinang, Jakarta Timur_Nafsi Latifah, S.Pd_Math")</f>
        <v>Al-Wildan 10 Cipinang, Jakarta Timur_Nafsi Latifah, S.Pd_Math</v>
      </c>
      <c r="AP1358" s="1" t="s">
        <v>20862</v>
      </c>
    </row>
    <row r="1359">
      <c r="A1359" s="6">
        <v>46045.679958622684</v>
      </c>
      <c r="B1359" s="7" t="s">
        <v>20863</v>
      </c>
      <c r="C1359" s="8" t="s">
        <v>20864</v>
      </c>
      <c r="D1359" s="1" t="s">
        <v>20865</v>
      </c>
      <c r="E1359" s="9" t="s">
        <v>20866</v>
      </c>
      <c r="F1359" s="1" t="s">
        <v>20867</v>
      </c>
      <c r="G1359" s="1" t="s">
        <v>20868</v>
      </c>
      <c r="H1359" s="1" t="s">
        <v>11957</v>
      </c>
      <c r="I1359" s="9" t="s">
        <v>20869</v>
      </c>
      <c r="J1359" s="1" t="s">
        <v>7941</v>
      </c>
      <c r="K1359" s="1" t="s">
        <v>151</v>
      </c>
      <c r="L1359" s="1" t="s">
        <v>103</v>
      </c>
      <c r="M1359" s="1" t="s">
        <v>104</v>
      </c>
      <c r="N1359" s="1" t="s">
        <v>4312</v>
      </c>
      <c r="O1359" s="1" t="s">
        <v>106</v>
      </c>
      <c r="P1359" s="1" t="s">
        <v>17019</v>
      </c>
      <c r="Q1359" s="1" t="s">
        <v>590</v>
      </c>
      <c r="R1359" s="1" t="s">
        <v>1521</v>
      </c>
      <c r="S1359" s="1" t="s">
        <v>12407</v>
      </c>
      <c r="Z1359" s="1" t="s">
        <v>20870</v>
      </c>
      <c r="AA1359" s="10">
        <v>1000000.0</v>
      </c>
      <c r="AB1359" s="1" t="s">
        <v>20871</v>
      </c>
      <c r="AC1359" s="10">
        <v>1000000.0</v>
      </c>
      <c r="AD1359" s="1" t="s">
        <v>20872</v>
      </c>
      <c r="AE1359" s="10">
        <v>2000000.0</v>
      </c>
      <c r="AF1359" s="10">
        <v>5000000.0</v>
      </c>
      <c r="AG1359" s="1">
        <v>7.198156118E9</v>
      </c>
      <c r="AJ1359" s="1">
        <v>154.0</v>
      </c>
      <c r="AK1359" s="1">
        <v>50.0</v>
      </c>
      <c r="AL1359" s="1" t="s">
        <v>20873</v>
      </c>
      <c r="AM1359" s="1" t="s">
        <v>20874</v>
      </c>
      <c r="AN1359" s="7" t="s">
        <v>20875</v>
      </c>
      <c r="AO1359" s="8" t="str">
        <f>HYPERLINK("https://docs.google.com/document/d/1BtIVpe70vL1JvpWDwGMGtXmlfdMM4r5SnVkRXu2jHWs/edit?usp=drivesdk","Al-Wildan 20 Mataram_Ria Zulfa, S.Pd._Science")</f>
        <v>Al-Wildan 20 Mataram_Ria Zulfa, S.Pd._Science</v>
      </c>
      <c r="AP1359" s="1" t="s">
        <v>20876</v>
      </c>
    </row>
    <row r="1360">
      <c r="A1360" s="6">
        <v>46046.9606678125</v>
      </c>
      <c r="B1360" s="7" t="s">
        <v>20877</v>
      </c>
      <c r="C1360" s="8" t="s">
        <v>20878</v>
      </c>
      <c r="D1360" s="1" t="s">
        <v>20879</v>
      </c>
      <c r="E1360" s="9" t="s">
        <v>20880</v>
      </c>
      <c r="F1360" s="1" t="s">
        <v>20881</v>
      </c>
      <c r="G1360" s="1" t="s">
        <v>20882</v>
      </c>
      <c r="H1360" s="1" t="s">
        <v>20883</v>
      </c>
      <c r="I1360" s="9" t="s">
        <v>20884</v>
      </c>
      <c r="J1360" s="1" t="s">
        <v>423</v>
      </c>
      <c r="K1360" s="1" t="s">
        <v>151</v>
      </c>
      <c r="L1360" s="1" t="s">
        <v>496</v>
      </c>
      <c r="M1360" s="1" t="s">
        <v>20885</v>
      </c>
      <c r="O1360" s="1" t="s">
        <v>127</v>
      </c>
      <c r="P1360" s="1" t="s">
        <v>5712</v>
      </c>
      <c r="Q1360" s="1" t="s">
        <v>20886</v>
      </c>
      <c r="R1360" s="1" t="s">
        <v>20887</v>
      </c>
      <c r="S1360" s="1" t="s">
        <v>595</v>
      </c>
      <c r="Z1360" s="1" t="s">
        <v>20888</v>
      </c>
      <c r="AA1360" s="10">
        <v>2500000.0</v>
      </c>
      <c r="AF1360" s="1" t="s">
        <v>20889</v>
      </c>
      <c r="AG1360" s="1">
        <v>7.200385785E9</v>
      </c>
      <c r="AJ1360" s="1">
        <v>165.0</v>
      </c>
      <c r="AK1360" s="1">
        <v>68.0</v>
      </c>
      <c r="AL1360" s="1" t="s">
        <v>20890</v>
      </c>
      <c r="AM1360" s="1" t="s">
        <v>20891</v>
      </c>
      <c r="AN1360" s="7" t="s">
        <v>20892</v>
      </c>
      <c r="AO1360" s="8" t="str">
        <f>HYPERLINK("https://docs.google.com/document/d/1wlMxjc7uHgt1Mm8Oj4qQ4oKT_jFQUdqXNS5rjRQ6UmU/edit?usp=drivesdk","Al-Wildan 3 BSD City_IMAM JA'FAR ASSHADIQ, S.Pd._")</f>
        <v>Al-Wildan 3 BSD City_IMAM JA'FAR ASSHADIQ, S.Pd._</v>
      </c>
      <c r="AP1360" s="1" t="s">
        <v>20893</v>
      </c>
    </row>
    <row r="1361">
      <c r="A1361" s="6">
        <v>46057.439404606484</v>
      </c>
      <c r="B1361" s="7" t="s">
        <v>20894</v>
      </c>
      <c r="C1361" s="8" t="s">
        <v>20895</v>
      </c>
      <c r="D1361" s="1" t="s">
        <v>20896</v>
      </c>
      <c r="E1361" s="1">
        <v>6.2088975661656E13</v>
      </c>
      <c r="F1361" s="1" t="s">
        <v>20897</v>
      </c>
      <c r="G1361" s="1" t="s">
        <v>20898</v>
      </c>
      <c r="H1361" s="1" t="s">
        <v>169</v>
      </c>
      <c r="I1361" s="9" t="s">
        <v>20899</v>
      </c>
      <c r="J1361" s="1" t="s">
        <v>20900</v>
      </c>
      <c r="K1361" s="1" t="s">
        <v>151</v>
      </c>
      <c r="L1361" s="1" t="s">
        <v>256</v>
      </c>
      <c r="M1361" s="1" t="s">
        <v>104</v>
      </c>
      <c r="N1361" s="1" t="s">
        <v>20901</v>
      </c>
      <c r="O1361" s="1" t="s">
        <v>127</v>
      </c>
      <c r="P1361" s="1" t="s">
        <v>5712</v>
      </c>
      <c r="Q1361" s="1" t="s">
        <v>275</v>
      </c>
      <c r="R1361" s="1" t="s">
        <v>20902</v>
      </c>
      <c r="Z1361" s="1" t="s">
        <v>20903</v>
      </c>
      <c r="AA1361" s="1" t="s">
        <v>20904</v>
      </c>
      <c r="AB1361" s="1" t="s">
        <v>20905</v>
      </c>
      <c r="AC1361" s="1" t="s">
        <v>20904</v>
      </c>
      <c r="AD1361" s="1" t="s">
        <v>20906</v>
      </c>
      <c r="AE1361" s="1" t="s">
        <v>20904</v>
      </c>
      <c r="AF1361" s="1" t="s">
        <v>20907</v>
      </c>
      <c r="AG1361" s="1">
        <v>0.0</v>
      </c>
      <c r="AH1361" s="9" t="s">
        <v>20908</v>
      </c>
      <c r="AI1361" s="1" t="s">
        <v>5015</v>
      </c>
      <c r="AJ1361" s="1">
        <v>165.0</v>
      </c>
      <c r="AK1361" s="1">
        <v>71.0</v>
      </c>
      <c r="AL1361" s="1" t="s">
        <v>20909</v>
      </c>
      <c r="AM1361" s="1" t="s">
        <v>20910</v>
      </c>
      <c r="AN1361" s="7" t="s">
        <v>20911</v>
      </c>
      <c r="AO1361" s="8" t="str">
        <f>HYPERLINK("https://docs.google.com/document/d/1u-Tcmv3Kek--8z1PQIM5NkuiMeBIONns0zZGFQCkZ5A/edit?usp=drivesdk","Al-Wildan 3 BSD City_MUHAMMAD IHSAN, S.Si_MATHS")</f>
        <v>Al-Wildan 3 BSD City_MUHAMMAD IHSAN, S.Si_MATHS</v>
      </c>
      <c r="AP1361" s="1" t="s">
        <v>20912</v>
      </c>
    </row>
    <row r="1362">
      <c r="A1362" s="6">
        <v>46059.60501972222</v>
      </c>
      <c r="B1362" s="7" t="s">
        <v>20913</v>
      </c>
      <c r="C1362" s="8" t="s">
        <v>20914</v>
      </c>
      <c r="D1362" s="1" t="s">
        <v>20915</v>
      </c>
      <c r="E1362" s="9" t="s">
        <v>20916</v>
      </c>
      <c r="F1362" s="1" t="s">
        <v>20917</v>
      </c>
      <c r="G1362" s="1" t="s">
        <v>20918</v>
      </c>
      <c r="H1362" s="1" t="s">
        <v>359</v>
      </c>
      <c r="I1362" s="9" t="s">
        <v>20919</v>
      </c>
      <c r="J1362" s="1" t="s">
        <v>2385</v>
      </c>
      <c r="K1362" s="1" t="s">
        <v>151</v>
      </c>
      <c r="L1362" s="1" t="s">
        <v>256</v>
      </c>
      <c r="M1362" s="1" t="s">
        <v>104</v>
      </c>
      <c r="N1362" s="1" t="s">
        <v>20920</v>
      </c>
      <c r="O1362" s="1" t="s">
        <v>106</v>
      </c>
      <c r="P1362" s="1" t="s">
        <v>6091</v>
      </c>
      <c r="Q1362" s="1" t="s">
        <v>20921</v>
      </c>
      <c r="R1362" s="1" t="s">
        <v>172</v>
      </c>
      <c r="S1362" s="1" t="s">
        <v>2465</v>
      </c>
      <c r="AF1362" s="1" t="s">
        <v>20922</v>
      </c>
      <c r="AH1362" s="1">
        <v>1.869318778E9</v>
      </c>
      <c r="AI1362" s="1" t="s">
        <v>159</v>
      </c>
      <c r="AJ1362" s="1">
        <v>155.0</v>
      </c>
      <c r="AK1362" s="1">
        <v>50.0</v>
      </c>
      <c r="AL1362" s="1" t="s">
        <v>20923</v>
      </c>
      <c r="AM1362" s="1" t="s">
        <v>20924</v>
      </c>
      <c r="AN1362" s="7" t="s">
        <v>20925</v>
      </c>
      <c r="AO1362" s="8" t="str">
        <f>HYPERLINK("https://docs.google.com/document/d/1lyyHez3r_iZC6JNQZjUp8P33eM_UWkdzFYO2lIUSOTg/edit?usp=drivesdk","Al-Wildan 10 Cipinang, Jakarta Timur_Rizqika Amalia, S.Pd._Bahasa Inggris (INVAL teacher)")</f>
        <v>Al-Wildan 10 Cipinang, Jakarta Timur_Rizqika Amalia, S.Pd._Bahasa Inggris (INVAL teacher)</v>
      </c>
      <c r="AP1362" s="1" t="s">
        <v>20926</v>
      </c>
    </row>
    <row r="1363">
      <c r="A1363" s="6">
        <v>46065.450030486114</v>
      </c>
      <c r="B1363" s="7" t="s">
        <v>20927</v>
      </c>
      <c r="C1363" s="8" t="s">
        <v>20928</v>
      </c>
      <c r="D1363" s="1" t="s">
        <v>20929</v>
      </c>
      <c r="E1363" s="9" t="s">
        <v>20930</v>
      </c>
      <c r="F1363" s="1" t="s">
        <v>20931</v>
      </c>
      <c r="G1363" s="1" t="s">
        <v>20932</v>
      </c>
      <c r="H1363" s="1" t="s">
        <v>685</v>
      </c>
      <c r="I1363" s="9" t="s">
        <v>20933</v>
      </c>
      <c r="J1363" s="1" t="s">
        <v>5428</v>
      </c>
      <c r="K1363" s="1" t="s">
        <v>102</v>
      </c>
      <c r="L1363" s="1" t="s">
        <v>103</v>
      </c>
      <c r="M1363" s="1" t="s">
        <v>6186</v>
      </c>
      <c r="O1363" s="1" t="s">
        <v>14334</v>
      </c>
      <c r="P1363" s="1" t="s">
        <v>11168</v>
      </c>
      <c r="Z1363" s="1" t="s">
        <v>20934</v>
      </c>
      <c r="AA1363" s="10">
        <v>4020232.0</v>
      </c>
      <c r="AF1363" s="10">
        <v>4800000.0</v>
      </c>
      <c r="AG1363" s="1">
        <v>8.99401135E9</v>
      </c>
      <c r="AJ1363" s="1">
        <v>162.0</v>
      </c>
      <c r="AK1363" s="1">
        <v>64.0</v>
      </c>
      <c r="AL1363" s="1" t="s">
        <v>20935</v>
      </c>
      <c r="AM1363" s="1" t="s">
        <v>20936</v>
      </c>
      <c r="AN1363" s="7" t="s">
        <v>20937</v>
      </c>
      <c r="AO1363" s="8" t="str">
        <f>HYPERLINK("https://docs.google.com/document/d/1uPZL_2b-asQnn8kv-aUqW_4r0YPqn6hbY0xsz1wt6oI/edit?usp=drivesdk","Al-Wildan 8 Parung_Darmawan Widian Saputra_")</f>
        <v>Al-Wildan 8 Parung_Darmawan Widian Saputra_</v>
      </c>
      <c r="AP1363" s="1" t="s">
        <v>20938</v>
      </c>
    </row>
    <row r="1364">
      <c r="A1364" s="6">
        <v>46082.87826400463</v>
      </c>
      <c r="B1364" s="7" t="s">
        <v>20939</v>
      </c>
      <c r="C1364" s="8" t="s">
        <v>20940</v>
      </c>
      <c r="D1364" s="1" t="s">
        <v>20941</v>
      </c>
      <c r="E1364" s="9" t="s">
        <v>20942</v>
      </c>
      <c r="F1364" s="1" t="s">
        <v>20943</v>
      </c>
      <c r="G1364" s="1" t="s">
        <v>20944</v>
      </c>
      <c r="H1364" s="1" t="s">
        <v>169</v>
      </c>
      <c r="I1364" s="9" t="s">
        <v>20945</v>
      </c>
      <c r="J1364" s="1" t="s">
        <v>20946</v>
      </c>
      <c r="K1364" s="1" t="s">
        <v>102</v>
      </c>
      <c r="L1364" s="1" t="s">
        <v>256</v>
      </c>
      <c r="M1364" s="1" t="s">
        <v>20947</v>
      </c>
      <c r="O1364" s="1" t="s">
        <v>14334</v>
      </c>
      <c r="P1364" s="1" t="s">
        <v>20948</v>
      </c>
      <c r="Q1364" s="1" t="s">
        <v>217</v>
      </c>
      <c r="R1364" s="1" t="s">
        <v>217</v>
      </c>
      <c r="S1364" s="1" t="s">
        <v>217</v>
      </c>
      <c r="T1364" s="1" t="s">
        <v>217</v>
      </c>
      <c r="U1364" s="1" t="s">
        <v>217</v>
      </c>
      <c r="V1364" s="1" t="s">
        <v>217</v>
      </c>
      <c r="W1364" s="1" t="s">
        <v>217</v>
      </c>
      <c r="X1364" s="1" t="s">
        <v>217</v>
      </c>
      <c r="Z1364" s="1" t="s">
        <v>20949</v>
      </c>
      <c r="AA1364" s="10">
        <v>5000000.0</v>
      </c>
      <c r="AE1364" s="10">
        <v>5000000.0</v>
      </c>
      <c r="AF1364" s="10">
        <v>5000000.0</v>
      </c>
      <c r="AG1364" s="1">
        <v>7.242533997E9</v>
      </c>
      <c r="AI1364" s="1" t="s">
        <v>20950</v>
      </c>
      <c r="AJ1364" s="1">
        <v>166.0</v>
      </c>
      <c r="AK1364" s="1">
        <v>65.0</v>
      </c>
      <c r="AL1364" s="1" t="s">
        <v>20951</v>
      </c>
      <c r="AM1364" s="1" t="s">
        <v>20952</v>
      </c>
      <c r="AN1364" s="7" t="s">
        <v>20953</v>
      </c>
      <c r="AO1364" s="8" t="str">
        <f>HYPERLINK("https://docs.google.com/document/d/128grHd4P1YoaTDqvuhgczNK7_1HmaEm59AwW_lFKkmo/edit?usp=drivesdk","Al-Wildan 32 JAKARTA TIMUR_Rizq Zein Ben Hussain_")</f>
        <v>Al-Wildan 32 JAKARTA TIMUR_Rizq Zein Ben Hussain_</v>
      </c>
      <c r="AP1364" s="1" t="s">
        <v>20954</v>
      </c>
    </row>
    <row r="1365">
      <c r="A1365" s="6">
        <v>46085.59737747685</v>
      </c>
      <c r="B1365" s="7" t="s">
        <v>20955</v>
      </c>
      <c r="C1365" s="8" t="s">
        <v>20956</v>
      </c>
      <c r="D1365" s="1" t="s">
        <v>20957</v>
      </c>
      <c r="E1365" s="9" t="s">
        <v>20958</v>
      </c>
      <c r="F1365" s="1" t="s">
        <v>20959</v>
      </c>
      <c r="G1365" s="1" t="s">
        <v>20960</v>
      </c>
      <c r="H1365" s="1" t="s">
        <v>685</v>
      </c>
      <c r="I1365" s="9" t="s">
        <v>20961</v>
      </c>
      <c r="J1365" s="1" t="s">
        <v>7269</v>
      </c>
      <c r="K1365" s="1" t="s">
        <v>151</v>
      </c>
      <c r="L1365" s="1" t="s">
        <v>103</v>
      </c>
      <c r="M1365" s="1" t="s">
        <v>104</v>
      </c>
      <c r="N1365" s="1" t="s">
        <v>235</v>
      </c>
      <c r="O1365" s="1" t="s">
        <v>312</v>
      </c>
      <c r="P1365" s="1" t="s">
        <v>11168</v>
      </c>
      <c r="Q1365" s="1" t="s">
        <v>811</v>
      </c>
      <c r="R1365" s="1" t="s">
        <v>20962</v>
      </c>
      <c r="S1365" s="1">
        <v>3.61</v>
      </c>
      <c r="Z1365" s="1" t="s">
        <v>20963</v>
      </c>
      <c r="AA1365" s="1" t="s">
        <v>17146</v>
      </c>
      <c r="AB1365" s="1" t="s">
        <v>20964</v>
      </c>
      <c r="AC1365" s="10">
        <v>4500000.0</v>
      </c>
      <c r="AF1365" s="10">
        <v>6500000.0</v>
      </c>
      <c r="AG1365" s="1">
        <v>8.65496446E9</v>
      </c>
      <c r="AI1365" s="1" t="s">
        <v>20965</v>
      </c>
      <c r="AJ1365" s="1">
        <v>165.0</v>
      </c>
      <c r="AK1365" s="1">
        <v>63.0</v>
      </c>
      <c r="AL1365" s="1" t="s">
        <v>20966</v>
      </c>
      <c r="AM1365" s="1" t="s">
        <v>20967</v>
      </c>
      <c r="AN1365" s="7" t="s">
        <v>20968</v>
      </c>
      <c r="AO1365" s="8" t="str">
        <f>HYPERLINK("https://docs.google.com/document/d/1_pQpzbOgmgo5py9BhThUxgMgLFLEmNh_PZDaOV96uqU/edit?usp=drivesdk","Al-Wildan 8 Parung_Annisa Urrachmah_Bahasa Arab")</f>
        <v>Al-Wildan 8 Parung_Annisa Urrachmah_Bahasa Arab</v>
      </c>
      <c r="AP1365" s="1" t="s">
        <v>20969</v>
      </c>
    </row>
    <row r="1366">
      <c r="A1366" s="6">
        <v>46091.56900501157</v>
      </c>
      <c r="B1366" s="7" t="s">
        <v>20970</v>
      </c>
      <c r="C1366" s="8" t="s">
        <v>20971</v>
      </c>
      <c r="D1366" s="1" t="s">
        <v>20972</v>
      </c>
      <c r="E1366" s="9" t="s">
        <v>20973</v>
      </c>
      <c r="F1366" s="1" t="s">
        <v>20974</v>
      </c>
      <c r="G1366" s="1" t="s">
        <v>20975</v>
      </c>
      <c r="H1366" s="1" t="s">
        <v>169</v>
      </c>
      <c r="I1366" s="9" t="s">
        <v>20976</v>
      </c>
      <c r="J1366" s="1" t="s">
        <v>6658</v>
      </c>
      <c r="K1366" s="1" t="s">
        <v>151</v>
      </c>
      <c r="L1366" s="1" t="s">
        <v>103</v>
      </c>
      <c r="M1366" s="1" t="s">
        <v>104</v>
      </c>
      <c r="N1366" s="1" t="s">
        <v>15176</v>
      </c>
      <c r="O1366" s="1" t="s">
        <v>9794</v>
      </c>
      <c r="P1366" s="1" t="s">
        <v>6659</v>
      </c>
      <c r="Q1366" s="1" t="s">
        <v>1022</v>
      </c>
      <c r="R1366" s="1" t="s">
        <v>1978</v>
      </c>
      <c r="S1366" s="1" t="s">
        <v>20977</v>
      </c>
      <c r="Z1366" s="1" t="s">
        <v>20978</v>
      </c>
      <c r="AA1366" s="10">
        <v>2700000.0</v>
      </c>
      <c r="AB1366" s="1" t="s">
        <v>20979</v>
      </c>
      <c r="AC1366" s="10">
        <v>1700000.0</v>
      </c>
      <c r="AF1366" s="10">
        <v>4800000.0</v>
      </c>
      <c r="AG1366" s="1">
        <v>8.98690422E9</v>
      </c>
      <c r="AI1366" s="1" t="s">
        <v>5113</v>
      </c>
      <c r="AJ1366" s="1">
        <v>160.0</v>
      </c>
      <c r="AK1366" s="1">
        <v>56.0</v>
      </c>
      <c r="AL1366" s="1" t="s">
        <v>20980</v>
      </c>
      <c r="AM1366" s="1" t="s">
        <v>20981</v>
      </c>
      <c r="AN1366" s="7" t="s">
        <v>20982</v>
      </c>
      <c r="AO1366" s="8" t="str">
        <f>HYPERLINK("https://docs.google.com/document/d/16Oenn4SxXS9iZr0nu9Y6w7OuJ2XCFrNIPJuWIFrNtIc/edit?usp=drivesdk","Al-Wildan 15 Kompas Indah, Tambun Bekasi._Lestariyanto Firdaus_ADA")</f>
        <v>Al-Wildan 15 Kompas Indah, Tambun Bekasi._Lestariyanto Firdaus_ADA</v>
      </c>
      <c r="AP1366" s="1" t="s">
        <v>20983</v>
      </c>
    </row>
    <row r="1367">
      <c r="A1367" s="6">
        <v>46108.86428771991</v>
      </c>
      <c r="B1367" s="7" t="s">
        <v>20984</v>
      </c>
      <c r="C1367" s="8" t="s">
        <v>20985</v>
      </c>
      <c r="D1367" s="1" t="s">
        <v>20986</v>
      </c>
      <c r="E1367" s="9" t="s">
        <v>20987</v>
      </c>
      <c r="F1367" s="1" t="s">
        <v>20988</v>
      </c>
      <c r="G1367" s="1" t="s">
        <v>20989</v>
      </c>
      <c r="H1367" s="1" t="s">
        <v>20990</v>
      </c>
      <c r="I1367" s="9" t="s">
        <v>20991</v>
      </c>
      <c r="J1367" s="1" t="s">
        <v>5670</v>
      </c>
      <c r="K1367" s="1" t="s">
        <v>102</v>
      </c>
      <c r="L1367" s="1" t="s">
        <v>827</v>
      </c>
      <c r="M1367" s="1" t="s">
        <v>5710</v>
      </c>
      <c r="O1367" s="1" t="s">
        <v>312</v>
      </c>
      <c r="P1367" s="1" t="s">
        <v>107</v>
      </c>
      <c r="Q1367" s="1" t="s">
        <v>20992</v>
      </c>
      <c r="R1367" s="1" t="s">
        <v>5731</v>
      </c>
      <c r="S1367" s="1" t="s">
        <v>442</v>
      </c>
      <c r="Z1367" s="1" t="s">
        <v>20993</v>
      </c>
      <c r="AA1367" s="10">
        <v>3500000.0</v>
      </c>
      <c r="AF1367" s="10">
        <v>5000000.0</v>
      </c>
      <c r="AH1367" s="9" t="s">
        <v>20994</v>
      </c>
      <c r="AI1367" s="1" t="s">
        <v>445</v>
      </c>
      <c r="AJ1367" s="1">
        <v>160.0</v>
      </c>
      <c r="AK1367" s="1">
        <v>65.0</v>
      </c>
      <c r="AL1367" s="1" t="s">
        <v>20995</v>
      </c>
      <c r="AM1367" s="1" t="s">
        <v>20996</v>
      </c>
      <c r="AN1367" s="7" t="s">
        <v>20997</v>
      </c>
      <c r="AO1367" s="8" t="str">
        <f>HYPERLINK("https://docs.google.com/document/d/15A4P76QL4PjDybztlQoFYF8-RYPuT-LNBYjutUuPZwA/edit?usp=drivesdk","Al-Wildan 1 Gading Serpong_Ainun Banawa, S.Kep., Ns._")</f>
        <v>Al-Wildan 1 Gading Serpong_Ainun Banawa, S.Kep., Ns._</v>
      </c>
      <c r="AP1367" s="1" t="s">
        <v>20998</v>
      </c>
    </row>
    <row r="1368">
      <c r="A1368" s="6">
        <v>46109.20041980324</v>
      </c>
      <c r="B1368" s="7" t="s">
        <v>20999</v>
      </c>
      <c r="C1368" s="8" t="s">
        <v>21000</v>
      </c>
      <c r="D1368" s="1" t="s">
        <v>21001</v>
      </c>
      <c r="E1368" s="9" t="s">
        <v>21002</v>
      </c>
      <c r="F1368" s="1" t="s">
        <v>21003</v>
      </c>
      <c r="G1368" s="1" t="s">
        <v>21004</v>
      </c>
      <c r="H1368" s="1" t="s">
        <v>188</v>
      </c>
      <c r="I1368" s="9" t="s">
        <v>21005</v>
      </c>
      <c r="J1368" s="1" t="s">
        <v>2111</v>
      </c>
      <c r="K1368" s="1" t="s">
        <v>151</v>
      </c>
      <c r="L1368" s="1" t="s">
        <v>103</v>
      </c>
      <c r="M1368" s="1" t="s">
        <v>104</v>
      </c>
      <c r="N1368" s="1" t="s">
        <v>3410</v>
      </c>
      <c r="O1368" s="1" t="s">
        <v>127</v>
      </c>
      <c r="P1368" s="1" t="s">
        <v>107</v>
      </c>
      <c r="Q1368" s="1" t="s">
        <v>21006</v>
      </c>
      <c r="R1368" s="1" t="s">
        <v>172</v>
      </c>
      <c r="S1368" s="1" t="s">
        <v>2181</v>
      </c>
      <c r="T1368" s="1" t="s">
        <v>6011</v>
      </c>
      <c r="U1368" s="1" t="s">
        <v>172</v>
      </c>
      <c r="V1368" s="1" t="s">
        <v>2510</v>
      </c>
      <c r="W1368" s="1" t="s">
        <v>217</v>
      </c>
      <c r="X1368" s="1" t="s">
        <v>217</v>
      </c>
      <c r="Z1368" s="1" t="s">
        <v>21007</v>
      </c>
      <c r="AA1368" s="1" t="s">
        <v>21008</v>
      </c>
      <c r="AB1368" s="1" t="s">
        <v>21009</v>
      </c>
      <c r="AC1368" s="1" t="s">
        <v>21010</v>
      </c>
      <c r="AE1368" s="1" t="s">
        <v>21011</v>
      </c>
      <c r="AF1368" s="1" t="s">
        <v>21012</v>
      </c>
      <c r="AH1368" s="1">
        <v>1.340025714816E12</v>
      </c>
      <c r="AI1368" s="1" t="s">
        <v>4483</v>
      </c>
      <c r="AJ1368" s="1">
        <v>153.0</v>
      </c>
      <c r="AK1368" s="1">
        <v>65.0</v>
      </c>
      <c r="AL1368" s="1" t="s">
        <v>21013</v>
      </c>
      <c r="AM1368" s="1" t="s">
        <v>21014</v>
      </c>
      <c r="AN1368" s="7" t="s">
        <v>21015</v>
      </c>
      <c r="AO1368" s="8" t="str">
        <f>HYPERLINK("https://docs.google.com/document/d/16pjYj9SNQHMtfZWONHbvjk9542R5kB8DGzEoH0-wCt8/edit?usp=drivesdk","Al-Wildan 1 Gading Serpong_Dwi Imas Wisudawati, S.Pd_Guru Bahasa Inggris")</f>
        <v>Al-Wildan 1 Gading Serpong_Dwi Imas Wisudawati, S.Pd_Guru Bahasa Inggris</v>
      </c>
      <c r="AP1368" s="1" t="s">
        <v>21016</v>
      </c>
    </row>
    <row r="1369">
      <c r="A1369" s="6">
        <v>46111.36448415509</v>
      </c>
      <c r="B1369" s="7" t="s">
        <v>21017</v>
      </c>
      <c r="C1369" s="8" t="s">
        <v>21018</v>
      </c>
      <c r="D1369" s="1" t="s">
        <v>21019</v>
      </c>
      <c r="E1369" s="9" t="s">
        <v>21020</v>
      </c>
      <c r="F1369" s="1" t="s">
        <v>21021</v>
      </c>
      <c r="G1369" s="1" t="s">
        <v>99</v>
      </c>
      <c r="H1369" s="1" t="s">
        <v>21022</v>
      </c>
      <c r="I1369" s="9" t="s">
        <v>21023</v>
      </c>
      <c r="J1369" s="1" t="s">
        <v>5212</v>
      </c>
      <c r="K1369" s="1" t="s">
        <v>151</v>
      </c>
      <c r="L1369" s="1" t="s">
        <v>329</v>
      </c>
      <c r="M1369" s="1" t="s">
        <v>11988</v>
      </c>
      <c r="O1369" s="1" t="s">
        <v>14262</v>
      </c>
      <c r="P1369" s="1" t="s">
        <v>107</v>
      </c>
      <c r="Q1369" s="1" t="s">
        <v>1344</v>
      </c>
      <c r="R1369" s="1" t="s">
        <v>378</v>
      </c>
      <c r="S1369" s="1" t="s">
        <v>426</v>
      </c>
      <c r="Z1369" s="1" t="s">
        <v>2162</v>
      </c>
      <c r="AA1369" s="10">
        <v>500000.0</v>
      </c>
      <c r="AG1369" s="1">
        <v>7.183148235E9</v>
      </c>
      <c r="AJ1369" s="1">
        <v>185.0</v>
      </c>
      <c r="AK1369" s="1">
        <v>85.0</v>
      </c>
      <c r="AL1369" s="1" t="s">
        <v>21024</v>
      </c>
      <c r="AM1369" s="1" t="s">
        <v>21025</v>
      </c>
      <c r="AN1369" s="7" t="s">
        <v>21026</v>
      </c>
      <c r="AO1369" s="8" t="str">
        <f>HYPERLINK("https://docs.google.com/document/d/1X5c4tsLT5P8ObtUVrYw8Kc1xAXETzMO8YvKuSQI_ju8/edit?usp=drivesdk","Al-Wildan 1 Gading Serpong_Muhammad Adnan Wijaya S.M._")</f>
        <v>Al-Wildan 1 Gading Serpong_Muhammad Adnan Wijaya S.M._</v>
      </c>
      <c r="AP1369" s="1" t="s">
        <v>21027</v>
      </c>
    </row>
    <row r="1370">
      <c r="A1370" s="6">
        <v>46111.403204710645</v>
      </c>
      <c r="B1370" s="7" t="s">
        <v>21028</v>
      </c>
      <c r="C1370" s="8" t="s">
        <v>21029</v>
      </c>
      <c r="D1370" s="1" t="s">
        <v>21030</v>
      </c>
      <c r="E1370" s="9" t="s">
        <v>21031</v>
      </c>
      <c r="F1370" s="1" t="s">
        <v>21032</v>
      </c>
      <c r="G1370" s="1" t="s">
        <v>21033</v>
      </c>
      <c r="H1370" s="1" t="s">
        <v>2076</v>
      </c>
      <c r="I1370" s="9" t="s">
        <v>21034</v>
      </c>
      <c r="J1370" s="1" t="s">
        <v>392</v>
      </c>
      <c r="K1370" s="1" t="s">
        <v>102</v>
      </c>
      <c r="L1370" s="1" t="s">
        <v>827</v>
      </c>
      <c r="M1370" s="1" t="s">
        <v>104</v>
      </c>
      <c r="N1370" s="1" t="s">
        <v>274</v>
      </c>
      <c r="O1370" s="1" t="s">
        <v>312</v>
      </c>
      <c r="P1370" s="1" t="s">
        <v>107</v>
      </c>
      <c r="Q1370" s="1" t="s">
        <v>21035</v>
      </c>
      <c r="R1370" s="1" t="s">
        <v>21036</v>
      </c>
      <c r="S1370" s="1" t="s">
        <v>2387</v>
      </c>
      <c r="Z1370" s="1" t="s">
        <v>21037</v>
      </c>
      <c r="AA1370" s="1" t="s">
        <v>21038</v>
      </c>
      <c r="AB1370" s="1" t="s">
        <v>21039</v>
      </c>
      <c r="AC1370" s="1" t="s">
        <v>21040</v>
      </c>
      <c r="AF1370" s="10">
        <v>5000000.0</v>
      </c>
      <c r="AG1370" s="1">
        <v>7.180767716E9</v>
      </c>
      <c r="AI1370" s="1" t="s">
        <v>5113</v>
      </c>
      <c r="AJ1370" s="1">
        <v>158.0</v>
      </c>
      <c r="AK1370" s="1">
        <v>45.0</v>
      </c>
      <c r="AL1370" s="1" t="s">
        <v>21041</v>
      </c>
      <c r="AM1370" s="1" t="s">
        <v>21042</v>
      </c>
      <c r="AN1370" s="7" t="s">
        <v>21043</v>
      </c>
      <c r="AO1370" s="8" t="str">
        <f>HYPERLINK("https://docs.google.com/document/d/1MmDt3aBYZEcaVuhc9DEfMRo8j0kh91zSO6icQY0zmDw/edit?usp=drivesdk","Al-Wildan 1 Gading Serpong_Taqiyyatuz Zahrah, S.Pd._Diniyyah")</f>
        <v>Al-Wildan 1 Gading Serpong_Taqiyyatuz Zahrah, S.Pd._Diniyyah</v>
      </c>
      <c r="AP1370" s="1" t="s">
        <v>21044</v>
      </c>
    </row>
    <row r="1371">
      <c r="A1371" s="6">
        <v>46120.613570347225</v>
      </c>
      <c r="B1371" s="7" t="s">
        <v>21045</v>
      </c>
      <c r="C1371" s="8" t="s">
        <v>21046</v>
      </c>
      <c r="D1371" s="1" t="s">
        <v>21047</v>
      </c>
      <c r="E1371" s="9" t="s">
        <v>21048</v>
      </c>
      <c r="F1371" s="1" t="s">
        <v>21049</v>
      </c>
      <c r="G1371" s="1" t="s">
        <v>21050</v>
      </c>
      <c r="H1371" s="1" t="s">
        <v>703</v>
      </c>
      <c r="I1371" s="9" t="s">
        <v>21051</v>
      </c>
      <c r="J1371" s="1" t="s">
        <v>2352</v>
      </c>
      <c r="K1371" s="1" t="s">
        <v>151</v>
      </c>
      <c r="L1371" s="1" t="s">
        <v>827</v>
      </c>
      <c r="M1371" s="1" t="s">
        <v>104</v>
      </c>
      <c r="N1371" s="1" t="s">
        <v>21052</v>
      </c>
      <c r="O1371" s="1" t="s">
        <v>1202</v>
      </c>
      <c r="P1371" s="1" t="s">
        <v>17019</v>
      </c>
      <c r="Q1371" s="1" t="s">
        <v>21053</v>
      </c>
      <c r="R1371" s="1" t="s">
        <v>5792</v>
      </c>
      <c r="S1371" s="1" t="s">
        <v>363</v>
      </c>
      <c r="Z1371" s="1" t="s">
        <v>21054</v>
      </c>
      <c r="AA1371" s="10">
        <v>8000000.0</v>
      </c>
      <c r="AB1371" s="1" t="s">
        <v>21055</v>
      </c>
      <c r="AC1371" s="10">
        <v>5000000.0</v>
      </c>
      <c r="AF1371" s="10">
        <v>6500000.0</v>
      </c>
      <c r="AI1371" s="1" t="s">
        <v>2407</v>
      </c>
      <c r="AJ1371" s="1">
        <v>156.0</v>
      </c>
      <c r="AK1371" s="1">
        <v>46.0</v>
      </c>
      <c r="AL1371" s="1" t="s">
        <v>21056</v>
      </c>
      <c r="AM1371" s="1" t="s">
        <v>21057</v>
      </c>
      <c r="AN1371" s="7" t="s">
        <v>21058</v>
      </c>
      <c r="AO1371" s="8" t="str">
        <f>HYPERLINK("https://docs.google.com/document/d/16ijiiDMwEh9tr9Duh0mc2Uqv3fiezR9-IRKyfWYWdmQ/edit?usp=drivesdk","Al-Wildan 20 Mataram_Auligya Asy'Ari, S.Ak._Kindergarten English Teacher")</f>
        <v>Al-Wildan 20 Mataram_Auligya Asy'Ari, S.Ak._Kindergarten English Teacher</v>
      </c>
      <c r="AP1371" s="1" t="s">
        <v>21059</v>
      </c>
    </row>
    <row r="1372">
      <c r="A1372" s="6">
        <v>46120.68600935185</v>
      </c>
      <c r="B1372" s="7" t="s">
        <v>21060</v>
      </c>
      <c r="C1372" s="8" t="s">
        <v>21061</v>
      </c>
      <c r="D1372" s="1" t="s">
        <v>21062</v>
      </c>
      <c r="E1372" s="9" t="s">
        <v>21063</v>
      </c>
      <c r="F1372" s="1" t="s">
        <v>21064</v>
      </c>
      <c r="G1372" s="1" t="s">
        <v>21065</v>
      </c>
      <c r="H1372" s="1" t="s">
        <v>21066</v>
      </c>
      <c r="I1372" s="9" t="s">
        <v>21067</v>
      </c>
      <c r="J1372" s="1" t="s">
        <v>628</v>
      </c>
      <c r="K1372" s="1" t="s">
        <v>102</v>
      </c>
      <c r="L1372" s="1" t="s">
        <v>103</v>
      </c>
      <c r="M1372" s="1" t="s">
        <v>104</v>
      </c>
      <c r="N1372" s="1" t="s">
        <v>1135</v>
      </c>
      <c r="O1372" s="1" t="s">
        <v>127</v>
      </c>
      <c r="P1372" s="1" t="s">
        <v>14439</v>
      </c>
      <c r="Q1372" s="1" t="s">
        <v>21068</v>
      </c>
      <c r="R1372" s="1" t="s">
        <v>172</v>
      </c>
      <c r="S1372" s="1" t="s">
        <v>5523</v>
      </c>
      <c r="T1372" s="1" t="s">
        <v>217</v>
      </c>
      <c r="Z1372" s="1" t="s">
        <v>21069</v>
      </c>
      <c r="AA1372" s="10">
        <v>2000000.0</v>
      </c>
      <c r="AB1372" s="1" t="s">
        <v>21070</v>
      </c>
      <c r="AC1372" s="10">
        <v>3600000.0</v>
      </c>
      <c r="AD1372" s="1" t="s">
        <v>21071</v>
      </c>
      <c r="AE1372" s="10">
        <v>3880000.0</v>
      </c>
      <c r="AF1372" s="10">
        <v>4500000.0</v>
      </c>
      <c r="AG1372" s="1">
        <v>7.22681433E9</v>
      </c>
      <c r="AJ1372" s="1">
        <v>158.0</v>
      </c>
      <c r="AK1372" s="1">
        <v>48.0</v>
      </c>
      <c r="AL1372" s="1" t="s">
        <v>21072</v>
      </c>
      <c r="AM1372" s="1" t="s">
        <v>21073</v>
      </c>
      <c r="AN1372" s="7" t="s">
        <v>21074</v>
      </c>
      <c r="AO1372" s="8" t="str">
        <f>HYPERLINK("https://docs.google.com/document/d/1-nzRAsOqDsIYie-Jn2cIJ1orD1m6NMwkiZLzrBCAqCc/edit?usp=drivesdk","Al-Wildan 22 Makassar_Adinda Maysarah, S. Pd., Gr._BAHASA INGGRIS")</f>
        <v>Al-Wildan 22 Makassar_Adinda Maysarah, S. Pd., Gr._BAHASA INGGRIS</v>
      </c>
      <c r="AP1372" s="1" t="s">
        <v>21075</v>
      </c>
    </row>
    <row r="1373">
      <c r="A1373" s="6">
        <v>46122.36510983796</v>
      </c>
      <c r="B1373" s="7" t="s">
        <v>21076</v>
      </c>
      <c r="C1373" s="8" t="s">
        <v>21077</v>
      </c>
      <c r="D1373" s="1" t="s">
        <v>21078</v>
      </c>
      <c r="E1373" s="9" t="s">
        <v>21079</v>
      </c>
      <c r="F1373" s="1" t="s">
        <v>21080</v>
      </c>
      <c r="G1373" s="1" t="s">
        <v>21081</v>
      </c>
      <c r="H1373" s="1" t="s">
        <v>169</v>
      </c>
      <c r="I1373" s="9" t="s">
        <v>21082</v>
      </c>
      <c r="J1373" s="1" t="s">
        <v>21083</v>
      </c>
      <c r="K1373" s="1" t="s">
        <v>102</v>
      </c>
      <c r="L1373" s="1" t="s">
        <v>103</v>
      </c>
      <c r="M1373" s="1" t="s">
        <v>6060</v>
      </c>
      <c r="N1373" s="1" t="s">
        <v>21084</v>
      </c>
      <c r="O1373" s="1" t="s">
        <v>9794</v>
      </c>
      <c r="P1373" s="1" t="s">
        <v>11207</v>
      </c>
      <c r="Q1373" s="1" t="s">
        <v>21085</v>
      </c>
      <c r="R1373" s="1" t="s">
        <v>362</v>
      </c>
      <c r="S1373" s="1" t="s">
        <v>2582</v>
      </c>
      <c r="Z1373" s="1" t="s">
        <v>2707</v>
      </c>
      <c r="AA1373" s="10">
        <v>6000000.0</v>
      </c>
      <c r="AB1373" s="1" t="s">
        <v>21086</v>
      </c>
      <c r="AC1373" s="10">
        <v>2500000.0</v>
      </c>
      <c r="AF1373" s="10">
        <v>5500000.0</v>
      </c>
      <c r="AG1373" s="1">
        <v>7.129470482E9</v>
      </c>
      <c r="AJ1373" s="1">
        <v>175.0</v>
      </c>
      <c r="AK1373" s="1">
        <v>110.0</v>
      </c>
      <c r="AL1373" s="1" t="s">
        <v>21087</v>
      </c>
      <c r="AM1373" s="1" t="s">
        <v>21088</v>
      </c>
      <c r="AN1373" s="7" t="s">
        <v>21089</v>
      </c>
      <c r="AO1373" s="8" t="str">
        <f>HYPERLINK("https://docs.google.com/document/d/1LbJfj4C3981ReLQjMiYicHojfEQ1lHS5OVNH_pK2Q28/edit?usp=drivesdk","Al-Wildan 16 Ciledug_Bagus Santoso, S.Pd, Gr_Tata usaha")</f>
        <v>Al-Wildan 16 Ciledug_Bagus Santoso, S.Pd, Gr_Tata usaha</v>
      </c>
      <c r="AP1373" s="1" t="s">
        <v>21090</v>
      </c>
    </row>
    <row r="1374">
      <c r="A1374" s="6">
        <v>46122.62975331019</v>
      </c>
      <c r="B1374" s="7" t="s">
        <v>21091</v>
      </c>
      <c r="C1374" s="8" t="s">
        <v>21092</v>
      </c>
      <c r="D1374" s="1" t="s">
        <v>21093</v>
      </c>
      <c r="E1374" s="9" t="s">
        <v>21094</v>
      </c>
      <c r="F1374" s="1" t="s">
        <v>21095</v>
      </c>
      <c r="G1374" s="1" t="s">
        <v>21096</v>
      </c>
      <c r="H1374" s="1" t="s">
        <v>21097</v>
      </c>
      <c r="I1374" s="9" t="s">
        <v>21098</v>
      </c>
      <c r="J1374" s="1" t="s">
        <v>21099</v>
      </c>
      <c r="K1374" s="1" t="s">
        <v>151</v>
      </c>
      <c r="L1374" s="1" t="s">
        <v>103</v>
      </c>
      <c r="M1374" s="1" t="s">
        <v>104</v>
      </c>
      <c r="N1374" s="1" t="s">
        <v>21100</v>
      </c>
      <c r="O1374" s="1" t="s">
        <v>9794</v>
      </c>
      <c r="P1374" s="1" t="s">
        <v>14439</v>
      </c>
      <c r="Q1374" s="1" t="s">
        <v>21101</v>
      </c>
      <c r="R1374" s="1" t="s">
        <v>410</v>
      </c>
      <c r="S1374" s="1">
        <v>3.67</v>
      </c>
      <c r="Z1374" s="1" t="s">
        <v>21102</v>
      </c>
      <c r="AA1374" s="10">
        <v>2800000.0</v>
      </c>
      <c r="AB1374" s="1" t="s">
        <v>21103</v>
      </c>
      <c r="AC1374" s="10">
        <v>2000000.0</v>
      </c>
      <c r="AF1374" s="10">
        <v>4200000.0</v>
      </c>
      <c r="AH1374" s="1">
        <v>1.799040106E9</v>
      </c>
      <c r="AI1374" s="1" t="s">
        <v>21104</v>
      </c>
      <c r="AJ1374" s="1">
        <v>173.0</v>
      </c>
      <c r="AK1374" s="1">
        <v>63.0</v>
      </c>
      <c r="AL1374" s="1" t="s">
        <v>21105</v>
      </c>
      <c r="AM1374" s="1" t="s">
        <v>21106</v>
      </c>
      <c r="AN1374" s="7" t="s">
        <v>21107</v>
      </c>
      <c r="AO1374" s="8" t="str">
        <f>HYPERLINK("https://docs.google.com/document/d/15m3orWgjADkrs7Ca2i4yBYWSgCA4N2DqSaGg1L-x9jY/edit?usp=drivesdk","Al-Wildan 22 Makassar_Muhammad Nur Ikhsan Rasyid, S.Pd._Fisika dan Matematika")</f>
        <v>Al-Wildan 22 Makassar_Muhammad Nur Ikhsan Rasyid, S.Pd._Fisika dan Matematika</v>
      </c>
      <c r="AP1374" s="1" t="s">
        <v>21108</v>
      </c>
    </row>
    <row r="1375">
      <c r="A1375" s="6">
        <v>46126.84856033565</v>
      </c>
      <c r="B1375" s="7" t="s">
        <v>21109</v>
      </c>
      <c r="C1375" s="8" t="s">
        <v>21110</v>
      </c>
      <c r="D1375" s="1" t="s">
        <v>21111</v>
      </c>
      <c r="E1375" s="9" t="s">
        <v>21112</v>
      </c>
      <c r="F1375" s="1" t="s">
        <v>21113</v>
      </c>
      <c r="G1375" s="1" t="s">
        <v>21114</v>
      </c>
      <c r="H1375" s="1" t="s">
        <v>21115</v>
      </c>
      <c r="I1375" s="9" t="s">
        <v>21116</v>
      </c>
      <c r="J1375" s="1" t="s">
        <v>21117</v>
      </c>
      <c r="K1375" s="1" t="s">
        <v>151</v>
      </c>
      <c r="L1375" s="1" t="s">
        <v>103</v>
      </c>
      <c r="M1375" s="1" t="s">
        <v>104</v>
      </c>
      <c r="N1375" s="1" t="s">
        <v>9388</v>
      </c>
      <c r="O1375" s="1" t="s">
        <v>1202</v>
      </c>
      <c r="P1375" s="1" t="s">
        <v>17019</v>
      </c>
      <c r="Q1375" s="1" t="s">
        <v>2368</v>
      </c>
      <c r="R1375" s="1" t="s">
        <v>21118</v>
      </c>
      <c r="S1375" s="1" t="s">
        <v>9749</v>
      </c>
      <c r="Z1375" s="1" t="s">
        <v>21119</v>
      </c>
      <c r="AA1375" s="10">
        <v>2600000.0</v>
      </c>
      <c r="AF1375" s="10">
        <v>3500000.0</v>
      </c>
      <c r="AH1375" s="1">
        <v>3.57101001939505E14</v>
      </c>
      <c r="AI1375" s="1" t="s">
        <v>21120</v>
      </c>
      <c r="AJ1375" s="1">
        <v>147.0</v>
      </c>
      <c r="AK1375" s="1">
        <v>38.0</v>
      </c>
      <c r="AL1375" s="1" t="s">
        <v>21121</v>
      </c>
      <c r="AM1375" s="1" t="s">
        <v>21122</v>
      </c>
      <c r="AN1375" s="7" t="s">
        <v>21123</v>
      </c>
      <c r="AO1375" s="8" t="str">
        <f>HYPERLINK("https://docs.google.com/document/d/1zPYm2QeIepJsB5JYzBZ86VDycug1LExRml4yQ3PsKo0/edit?usp=drivesdk","Al-Wildan 20 Mataram_SILPIANA S.Pd_English ")</f>
        <v>Al-Wildan 20 Mataram_SILPIANA S.Pd_English </v>
      </c>
      <c r="AP1375" s="1" t="s">
        <v>21124</v>
      </c>
    </row>
    <row r="1376">
      <c r="A1376" s="6">
        <v>46127.56672488426</v>
      </c>
      <c r="B1376" s="7" t="s">
        <v>21125</v>
      </c>
      <c r="C1376" s="8" t="s">
        <v>21126</v>
      </c>
      <c r="D1376" s="1" t="s">
        <v>21127</v>
      </c>
      <c r="E1376" s="1" t="s">
        <v>21128</v>
      </c>
      <c r="F1376" s="1" t="s">
        <v>21129</v>
      </c>
      <c r="G1376" s="1" t="s">
        <v>21130</v>
      </c>
      <c r="H1376" s="1" t="s">
        <v>1184</v>
      </c>
      <c r="I1376" s="9" t="s">
        <v>21131</v>
      </c>
      <c r="J1376" s="1" t="s">
        <v>7477</v>
      </c>
      <c r="K1376" s="1" t="s">
        <v>102</v>
      </c>
      <c r="L1376" s="1" t="s">
        <v>103</v>
      </c>
      <c r="M1376" s="1" t="s">
        <v>104</v>
      </c>
      <c r="N1376" s="1" t="s">
        <v>987</v>
      </c>
      <c r="O1376" s="1" t="s">
        <v>9794</v>
      </c>
      <c r="P1376" s="1" t="s">
        <v>14439</v>
      </c>
      <c r="Q1376" s="1" t="s">
        <v>16147</v>
      </c>
      <c r="R1376" s="1" t="s">
        <v>989</v>
      </c>
      <c r="S1376" s="1" t="s">
        <v>1524</v>
      </c>
      <c r="T1376" s="1" t="s">
        <v>4591</v>
      </c>
      <c r="U1376" s="1" t="s">
        <v>21132</v>
      </c>
      <c r="V1376" s="1" t="s">
        <v>9479</v>
      </c>
      <c r="Z1376" s="1" t="s">
        <v>21133</v>
      </c>
      <c r="AA1376" s="1" t="s">
        <v>21134</v>
      </c>
      <c r="AB1376" s="1" t="s">
        <v>21135</v>
      </c>
      <c r="AC1376" s="1" t="s">
        <v>21136</v>
      </c>
      <c r="AD1376" s="1" t="s">
        <v>217</v>
      </c>
      <c r="AE1376" s="1" t="s">
        <v>217</v>
      </c>
      <c r="AF1376" s="10">
        <v>5000000.0</v>
      </c>
      <c r="AG1376" s="1">
        <v>7.352589416E9</v>
      </c>
      <c r="AJ1376" s="1">
        <v>168.0</v>
      </c>
      <c r="AK1376" s="1">
        <v>75.0</v>
      </c>
      <c r="AL1376" s="1" t="s">
        <v>21137</v>
      </c>
      <c r="AM1376" s="1" t="s">
        <v>21138</v>
      </c>
      <c r="AN1376" s="7" t="s">
        <v>21139</v>
      </c>
      <c r="AO1376" s="8" t="str">
        <f>HYPERLINK("https://docs.google.com/document/d/1iP-UiE5Axyi3Ku3CchF_KrNlrLTkopBEIlOYY4H3TWM/edit?usp=drivesdk","Al-Wildan 22 Makassar_Syamsul Bahri HS_Biology")</f>
        <v>Al-Wildan 22 Makassar_Syamsul Bahri HS_Biology</v>
      </c>
      <c r="AP1376" s="1" t="s">
        <v>21140</v>
      </c>
    </row>
    <row r="1377">
      <c r="A1377" s="6">
        <v>46130.46850229167</v>
      </c>
      <c r="B1377" s="7" t="s">
        <v>21141</v>
      </c>
      <c r="C1377" s="8" t="s">
        <v>21142</v>
      </c>
      <c r="D1377" s="1" t="s">
        <v>21143</v>
      </c>
      <c r="E1377" s="9" t="s">
        <v>21144</v>
      </c>
      <c r="F1377" s="1" t="s">
        <v>21145</v>
      </c>
      <c r="G1377" s="1" t="s">
        <v>7114</v>
      </c>
      <c r="H1377" s="1" t="s">
        <v>7114</v>
      </c>
      <c r="I1377" s="9" t="s">
        <v>21146</v>
      </c>
      <c r="J1377" s="1" t="s">
        <v>5212</v>
      </c>
      <c r="K1377" s="1" t="s">
        <v>151</v>
      </c>
      <c r="L1377" s="1" t="s">
        <v>103</v>
      </c>
      <c r="M1377" s="1" t="s">
        <v>104</v>
      </c>
      <c r="N1377" s="1" t="s">
        <v>3063</v>
      </c>
      <c r="O1377" s="1" t="s">
        <v>9794</v>
      </c>
      <c r="P1377" s="1" t="s">
        <v>6187</v>
      </c>
      <c r="Q1377" s="1" t="s">
        <v>21147</v>
      </c>
      <c r="R1377" s="1" t="s">
        <v>21148</v>
      </c>
      <c r="S1377" s="1">
        <v>3.68</v>
      </c>
      <c r="Z1377" s="1" t="s">
        <v>21149</v>
      </c>
      <c r="AA1377" s="10">
        <v>3000000.0</v>
      </c>
      <c r="AF1377" s="10">
        <v>6500000.0</v>
      </c>
      <c r="AG1377" s="1">
        <v>7.207577205E9</v>
      </c>
      <c r="AJ1377" s="1">
        <v>177.0</v>
      </c>
      <c r="AK1377" s="1">
        <v>66.0</v>
      </c>
      <c r="AL1377" s="1" t="s">
        <v>21150</v>
      </c>
      <c r="AM1377" s="1" t="s">
        <v>21151</v>
      </c>
      <c r="AN1377" s="7" t="s">
        <v>21152</v>
      </c>
      <c r="AO1377" s="8" t="str">
        <f>HYPERLINK("https://docs.google.com/document/d/10YrwElcr2ZJ1dWzYWJ2_dqJLr8VNzw5rdNfVZCR1ozM/edit?usp=drivesdk","Al-Wildan 14 Bumi Mutiara, Bogor_MUADZ ZIDAN ALWAFI, S.Kom_AL QURAN")</f>
        <v>Al-Wildan 14 Bumi Mutiara, Bogor_MUADZ ZIDAN ALWAFI, S.Kom_AL QURAN</v>
      </c>
      <c r="AP1377" s="1" t="s">
        <v>21153</v>
      </c>
    </row>
    <row r="1378">
      <c r="A1378" s="6">
        <v>46136.394347361114</v>
      </c>
      <c r="B1378" s="7" t="s">
        <v>21154</v>
      </c>
      <c r="C1378" s="8" t="s">
        <v>21155</v>
      </c>
      <c r="D1378" s="1" t="s">
        <v>21156</v>
      </c>
      <c r="E1378" s="9" t="s">
        <v>12687</v>
      </c>
      <c r="F1378" s="1" t="s">
        <v>21157</v>
      </c>
      <c r="G1378" s="1" t="s">
        <v>21158</v>
      </c>
      <c r="H1378" s="1" t="s">
        <v>21159</v>
      </c>
      <c r="I1378" s="9" t="s">
        <v>12691</v>
      </c>
      <c r="J1378" s="1" t="s">
        <v>21160</v>
      </c>
      <c r="K1378" s="1" t="s">
        <v>102</v>
      </c>
      <c r="L1378" s="1" t="s">
        <v>256</v>
      </c>
      <c r="M1378" s="1" t="s">
        <v>104</v>
      </c>
      <c r="N1378" s="1" t="s">
        <v>4189</v>
      </c>
      <c r="O1378" s="1" t="s">
        <v>127</v>
      </c>
      <c r="P1378" s="1" t="s">
        <v>107</v>
      </c>
      <c r="Q1378" s="1" t="s">
        <v>21161</v>
      </c>
      <c r="R1378" s="1" t="s">
        <v>21162</v>
      </c>
      <c r="S1378" s="1" t="s">
        <v>1279</v>
      </c>
      <c r="T1378" s="1" t="s">
        <v>21163</v>
      </c>
      <c r="U1378" s="1" t="s">
        <v>21164</v>
      </c>
      <c r="V1378" s="1" t="s">
        <v>110</v>
      </c>
      <c r="Z1378" s="1" t="s">
        <v>21165</v>
      </c>
      <c r="AA1378" s="10">
        <v>7000000.0</v>
      </c>
      <c r="AB1378" s="1" t="s">
        <v>21166</v>
      </c>
      <c r="AC1378" s="10">
        <v>8000000.0</v>
      </c>
      <c r="AF1378" s="10">
        <v>1.0E7</v>
      </c>
      <c r="AG1378" s="1">
        <v>7.202241209E9</v>
      </c>
      <c r="AJ1378" s="1" t="s">
        <v>21167</v>
      </c>
      <c r="AK1378" s="1">
        <v>42.0</v>
      </c>
      <c r="AL1378" s="1" t="s">
        <v>21168</v>
      </c>
      <c r="AM1378" s="1" t="s">
        <v>21169</v>
      </c>
      <c r="AN1378" s="7" t="s">
        <v>21170</v>
      </c>
      <c r="AO1378" s="8" t="str">
        <f>HYPERLINK("https://docs.google.com/document/d/1bWD9UtXCv0P7yUAHe_POKf_q8ybUQ4z-kJ8OQx_yB_E/edit?usp=drivesdk","Al-Wildan 1 Gading Serpong_HIND MOHAMMED AHMED ABOUGHUFFAH. B.A., M.Edu._Native Arabic")</f>
        <v>Al-Wildan 1 Gading Serpong_HIND MOHAMMED AHMED ABOUGHUFFAH. B.A., M.Edu._Native Arabic</v>
      </c>
      <c r="AP1378" s="1" t="s">
        <v>21171</v>
      </c>
    </row>
    <row r="1379">
      <c r="A1379" s="6">
        <v>46136.41456527778</v>
      </c>
      <c r="B1379" s="7" t="s">
        <v>21172</v>
      </c>
      <c r="C1379" s="8" t="s">
        <v>21173</v>
      </c>
      <c r="D1379" s="1" t="s">
        <v>21174</v>
      </c>
      <c r="E1379" s="9" t="s">
        <v>21175</v>
      </c>
      <c r="F1379" s="1" t="s">
        <v>21176</v>
      </c>
      <c r="G1379" s="1" t="s">
        <v>3157</v>
      </c>
      <c r="H1379" s="1" t="s">
        <v>12107</v>
      </c>
      <c r="I1379" s="9" t="s">
        <v>21177</v>
      </c>
      <c r="J1379" s="1" t="s">
        <v>21178</v>
      </c>
      <c r="K1379" s="1" t="s">
        <v>102</v>
      </c>
      <c r="L1379" s="1" t="s">
        <v>103</v>
      </c>
      <c r="M1379" s="1" t="s">
        <v>104</v>
      </c>
      <c r="N1379" s="1" t="s">
        <v>1634</v>
      </c>
      <c r="O1379" s="1" t="s">
        <v>9794</v>
      </c>
      <c r="P1379" s="1" t="s">
        <v>7991</v>
      </c>
      <c r="Q1379" s="1" t="s">
        <v>811</v>
      </c>
      <c r="R1379" s="1" t="s">
        <v>21179</v>
      </c>
      <c r="S1379" s="1" t="s">
        <v>3719</v>
      </c>
      <c r="Z1379" s="1" t="s">
        <v>21180</v>
      </c>
      <c r="AA1379" s="10">
        <v>5000000.0</v>
      </c>
      <c r="AB1379" s="1" t="s">
        <v>21181</v>
      </c>
      <c r="AC1379" s="10">
        <v>5000000.0</v>
      </c>
      <c r="AF1379" s="10">
        <v>5000000.0</v>
      </c>
      <c r="AG1379" s="1">
        <v>8.04842558E9</v>
      </c>
      <c r="AI1379" s="1" t="s">
        <v>21182</v>
      </c>
      <c r="AJ1379" s="1">
        <v>170.0</v>
      </c>
      <c r="AK1379" s="1">
        <v>75.0</v>
      </c>
      <c r="AL1379" s="1" t="s">
        <v>21183</v>
      </c>
      <c r="AM1379" s="1" t="s">
        <v>21184</v>
      </c>
      <c r="AN1379" s="7" t="s">
        <v>21185</v>
      </c>
      <c r="AO1379" s="8" t="str">
        <f>HYPERLINK("https://docs.google.com/document/d/1jWgKhQpQkiVdCArSfhsjLZEgtFFFBro0Aa5d983QNEM/edit?usp=drivesdk","Al-Wildan 12 Bulak Kapal, Bekasi_Agus Salim, B.B.A._Diniyah")</f>
        <v>Al-Wildan 12 Bulak Kapal, Bekasi_Agus Salim, B.B.A._Diniyah</v>
      </c>
      <c r="AP1379" s="1" t="s">
        <v>21186</v>
      </c>
    </row>
    <row r="1380">
      <c r="A1380" s="6">
        <v>46136.64094479167</v>
      </c>
      <c r="B1380" s="7" t="s">
        <v>21187</v>
      </c>
      <c r="C1380" s="8" t="s">
        <v>21188</v>
      </c>
      <c r="D1380" s="1" t="s">
        <v>21189</v>
      </c>
      <c r="E1380" s="9" t="s">
        <v>21190</v>
      </c>
      <c r="F1380" s="1" t="s">
        <v>21191</v>
      </c>
      <c r="G1380" s="1" t="s">
        <v>21192</v>
      </c>
      <c r="H1380" s="1" t="s">
        <v>148</v>
      </c>
      <c r="I1380" s="9" t="s">
        <v>21193</v>
      </c>
      <c r="J1380" s="1" t="s">
        <v>21194</v>
      </c>
      <c r="K1380" s="1" t="s">
        <v>151</v>
      </c>
      <c r="L1380" s="1" t="s">
        <v>103</v>
      </c>
      <c r="M1380" s="1" t="s">
        <v>104</v>
      </c>
      <c r="N1380" s="1" t="s">
        <v>21195</v>
      </c>
      <c r="O1380" s="1" t="s">
        <v>312</v>
      </c>
      <c r="P1380" s="1" t="s">
        <v>7991</v>
      </c>
      <c r="Q1380" s="1" t="s">
        <v>649</v>
      </c>
      <c r="R1380" s="1" t="s">
        <v>968</v>
      </c>
      <c r="S1380" s="1" t="s">
        <v>3589</v>
      </c>
      <c r="T1380" s="1" t="s">
        <v>649</v>
      </c>
      <c r="U1380" s="1" t="s">
        <v>6816</v>
      </c>
      <c r="V1380" s="1" t="s">
        <v>9479</v>
      </c>
      <c r="W1380" s="1" t="s">
        <v>217</v>
      </c>
      <c r="X1380" s="1" t="s">
        <v>217</v>
      </c>
      <c r="Y1380" s="1">
        <v>0.0</v>
      </c>
      <c r="Z1380" s="1" t="s">
        <v>21196</v>
      </c>
      <c r="AA1380" s="10">
        <v>1250000.0</v>
      </c>
      <c r="AB1380" s="1" t="s">
        <v>21197</v>
      </c>
      <c r="AC1380" s="10">
        <v>1200000.0</v>
      </c>
      <c r="AD1380" s="1" t="s">
        <v>217</v>
      </c>
      <c r="AE1380" s="1">
        <v>0.0</v>
      </c>
      <c r="AF1380" s="10">
        <v>6000000.0</v>
      </c>
      <c r="AH1380" s="1">
        <v>1.56001927156E12</v>
      </c>
      <c r="AI1380" s="1" t="s">
        <v>2119</v>
      </c>
      <c r="AJ1380" s="1">
        <v>173.0</v>
      </c>
      <c r="AK1380" s="1">
        <v>83.0</v>
      </c>
      <c r="AL1380" s="1" t="s">
        <v>21198</v>
      </c>
      <c r="AM1380" s="1" t="s">
        <v>21199</v>
      </c>
      <c r="AN1380" s="7" t="s">
        <v>21200</v>
      </c>
      <c r="AO1380" s="8" t="str">
        <f>HYPERLINK("https://docs.google.com/document/d/191n6jxSBb8Yvfsnh22c-P3l8PqYsSTaMpo2HDY6RJjk/edit?usp=drivesdk","Al-Wildan 12 Bulak Kapal, Bekasi_Aditya Dwi Pratama, S.Pd., M.Pd., Gr._Science, Math, English ")</f>
        <v>Al-Wildan 12 Bulak Kapal, Bekasi_Aditya Dwi Pratama, S.Pd., M.Pd., Gr._Science, Math, English </v>
      </c>
      <c r="AP1380" s="1" t="s">
        <v>21201</v>
      </c>
    </row>
    <row r="1381">
      <c r="A1381" s="6">
        <v>46136.79602234953</v>
      </c>
      <c r="B1381" s="7" t="s">
        <v>21202</v>
      </c>
      <c r="C1381" s="8" t="s">
        <v>21203</v>
      </c>
      <c r="D1381" s="1" t="s">
        <v>21204</v>
      </c>
      <c r="E1381" s="9" t="s">
        <v>21205</v>
      </c>
      <c r="F1381" s="1" t="s">
        <v>21206</v>
      </c>
      <c r="G1381" s="1" t="s">
        <v>21207</v>
      </c>
      <c r="H1381" s="1" t="s">
        <v>3157</v>
      </c>
      <c r="I1381" s="9" t="s">
        <v>21208</v>
      </c>
      <c r="J1381" s="1" t="s">
        <v>7711</v>
      </c>
      <c r="K1381" s="1" t="s">
        <v>151</v>
      </c>
      <c r="L1381" s="1" t="s">
        <v>103</v>
      </c>
      <c r="M1381" s="1" t="s">
        <v>104</v>
      </c>
      <c r="N1381" s="1" t="s">
        <v>152</v>
      </c>
      <c r="O1381" s="1" t="s">
        <v>106</v>
      </c>
      <c r="P1381" s="1" t="s">
        <v>7991</v>
      </c>
      <c r="Q1381" s="1" t="s">
        <v>21209</v>
      </c>
      <c r="R1381" s="1" t="s">
        <v>172</v>
      </c>
      <c r="S1381" s="1" t="s">
        <v>363</v>
      </c>
      <c r="Z1381" s="1" t="s">
        <v>21210</v>
      </c>
      <c r="AA1381" s="1">
        <v>0.0</v>
      </c>
      <c r="AB1381" s="1" t="s">
        <v>21211</v>
      </c>
      <c r="AC1381" s="10">
        <v>3300000.0</v>
      </c>
      <c r="AD1381" s="1" t="s">
        <v>21212</v>
      </c>
      <c r="AE1381" s="10">
        <v>3900000.0</v>
      </c>
      <c r="AF1381" s="10">
        <v>4000000.0</v>
      </c>
      <c r="AG1381" s="1">
        <v>7.265631155E9</v>
      </c>
      <c r="AJ1381" s="1">
        <v>173.0</v>
      </c>
      <c r="AK1381" s="1">
        <v>68.0</v>
      </c>
      <c r="AL1381" s="1" t="s">
        <v>21213</v>
      </c>
      <c r="AM1381" s="1" t="s">
        <v>21214</v>
      </c>
      <c r="AN1381" s="7" t="s">
        <v>21215</v>
      </c>
      <c r="AO1381" s="8" t="str">
        <f>HYPERLINK("https://docs.google.com/document/d/1cQnnrub2mW5Wirn30HYFVHidqiTLVmv6nE8CEM0rs1s/edit?usp=drivesdk","Al-Wildan 12 Bulak Kapal, Bekasi_Imam Maulana Septiyandi S.Pd._Bahasa Inggris")</f>
        <v>Al-Wildan 12 Bulak Kapal, Bekasi_Imam Maulana Septiyandi S.Pd._Bahasa Inggris</v>
      </c>
      <c r="AP1381" s="1" t="s">
        <v>21216</v>
      </c>
    </row>
    <row r="1382">
      <c r="A1382" s="6">
        <v>46136.91350729167</v>
      </c>
      <c r="B1382" s="7" t="s">
        <v>21217</v>
      </c>
      <c r="C1382" s="8" t="s">
        <v>21218</v>
      </c>
      <c r="D1382" s="1" t="s">
        <v>21219</v>
      </c>
      <c r="E1382" s="9" t="s">
        <v>21220</v>
      </c>
      <c r="F1382" s="1">
        <v>3.20107110800001E15</v>
      </c>
      <c r="G1382" s="1" t="s">
        <v>21221</v>
      </c>
      <c r="H1382" s="1" t="s">
        <v>21222</v>
      </c>
      <c r="I1382" s="9" t="s">
        <v>17119</v>
      </c>
      <c r="J1382" s="1" t="s">
        <v>21223</v>
      </c>
      <c r="K1382" s="1" t="s">
        <v>102</v>
      </c>
      <c r="L1382" s="1" t="s">
        <v>103</v>
      </c>
      <c r="M1382" s="1" t="s">
        <v>104</v>
      </c>
      <c r="N1382" s="1" t="s">
        <v>21224</v>
      </c>
      <c r="O1382" s="1" t="s">
        <v>9794</v>
      </c>
      <c r="P1382" s="1" t="s">
        <v>7991</v>
      </c>
      <c r="Q1382" s="1" t="s">
        <v>21225</v>
      </c>
      <c r="R1382" s="1" t="s">
        <v>21226</v>
      </c>
      <c r="S1382" s="1" t="s">
        <v>21227</v>
      </c>
      <c r="T1382" s="1" t="s">
        <v>21228</v>
      </c>
      <c r="U1382" s="1" t="s">
        <v>21228</v>
      </c>
      <c r="V1382" s="1" t="s">
        <v>21229</v>
      </c>
      <c r="W1382" s="1" t="s">
        <v>21228</v>
      </c>
      <c r="X1382" s="1" t="s">
        <v>21230</v>
      </c>
      <c r="Z1382" s="1" t="s">
        <v>21231</v>
      </c>
      <c r="AA1382" s="1" t="s">
        <v>21232</v>
      </c>
      <c r="AB1382" s="1" t="s">
        <v>21233</v>
      </c>
      <c r="AC1382" s="1" t="s">
        <v>21234</v>
      </c>
      <c r="AD1382" s="1" t="s">
        <v>21235</v>
      </c>
      <c r="AE1382" s="10">
        <v>5600000.0</v>
      </c>
      <c r="AF1382" s="10">
        <v>1.0E7</v>
      </c>
      <c r="AG1382" s="1">
        <v>7.142963129E9</v>
      </c>
      <c r="AJ1382" s="1">
        <v>180.0</v>
      </c>
      <c r="AK1382" s="1">
        <v>73.0</v>
      </c>
      <c r="AL1382" s="1" t="s">
        <v>21236</v>
      </c>
      <c r="AM1382" s="1" t="s">
        <v>21237</v>
      </c>
      <c r="AN1382" s="7" t="s">
        <v>21238</v>
      </c>
      <c r="AO1382" s="8" t="str">
        <f>HYPERLINK("https://docs.google.com/document/d/1IBzHjLKU88h0F1T5yiYsRV1BFwB3Jr92GH2WxAAdhOc/edit?usp=drivesdk","Al-Wildan 12 Bulak Kapal, Bekasi_Bagas Fauzi Pasha, B.A._Al Qur'an - Diniyyah - Arabic")</f>
        <v>Al-Wildan 12 Bulak Kapal, Bekasi_Bagas Fauzi Pasha, B.A._Al Qur'an - Diniyyah - Arabic</v>
      </c>
      <c r="AP1382" s="1" t="s">
        <v>21239</v>
      </c>
    </row>
    <row r="1383">
      <c r="A1383" s="6">
        <v>46139.54039674769</v>
      </c>
      <c r="B1383" s="7" t="s">
        <v>21240</v>
      </c>
      <c r="C1383" s="8" t="s">
        <v>21241</v>
      </c>
      <c r="D1383" s="1" t="s">
        <v>21242</v>
      </c>
      <c r="E1383" s="9" t="s">
        <v>21243</v>
      </c>
      <c r="F1383" s="1" t="s">
        <v>21244</v>
      </c>
      <c r="G1383" s="1" t="s">
        <v>21245</v>
      </c>
      <c r="H1383" s="1" t="s">
        <v>21246</v>
      </c>
      <c r="I1383" s="9" t="s">
        <v>21247</v>
      </c>
      <c r="J1383" s="1">
        <v>34.0</v>
      </c>
      <c r="K1383" s="1" t="s">
        <v>102</v>
      </c>
      <c r="L1383" s="1" t="s">
        <v>103</v>
      </c>
      <c r="M1383" s="1" t="s">
        <v>424</v>
      </c>
      <c r="O1383" s="1" t="s">
        <v>236</v>
      </c>
      <c r="P1383" s="1" t="s">
        <v>14335</v>
      </c>
      <c r="Q1383" s="1" t="s">
        <v>21248</v>
      </c>
      <c r="R1383" s="1" t="s">
        <v>1057</v>
      </c>
      <c r="S1383" s="1" t="s">
        <v>2369</v>
      </c>
      <c r="Z1383" s="1" t="s">
        <v>21249</v>
      </c>
      <c r="AA1383" s="10">
        <v>2500000.0</v>
      </c>
      <c r="AG1383" s="1">
        <v>7.208534135E9</v>
      </c>
      <c r="AJ1383" s="1">
        <v>160.0</v>
      </c>
      <c r="AK1383" s="1">
        <v>78.0</v>
      </c>
      <c r="AL1383" s="1" t="s">
        <v>21250</v>
      </c>
      <c r="AM1383" s="1" t="s">
        <v>21251</v>
      </c>
      <c r="AN1383" s="7" t="s">
        <v>21252</v>
      </c>
      <c r="AO1383" s="8" t="str">
        <f>HYPERLINK("https://docs.google.com/document/d/1fTIOML5U7KkXKlEcwfsZ36o7mylPJe3f0abEeExuUAA/edit?usp=drivesdk","Al-Wildan 13 Tembalang, Bekasi_Kartika Surya Utami Sinaga, S.Psi_")</f>
        <v>Al-Wildan 13 Tembalang, Bekasi_Kartika Surya Utami Sinaga, S.Psi_</v>
      </c>
      <c r="AP1383" s="1" t="s">
        <v>21253</v>
      </c>
    </row>
    <row r="1384">
      <c r="A1384" s="6">
        <v>46139.69925380787</v>
      </c>
      <c r="B1384" s="7" t="s">
        <v>21254</v>
      </c>
      <c r="C1384" s="8" t="s">
        <v>21255</v>
      </c>
      <c r="D1384" s="1" t="s">
        <v>21256</v>
      </c>
      <c r="E1384" s="9" t="s">
        <v>21257</v>
      </c>
      <c r="F1384" s="1" t="s">
        <v>21258</v>
      </c>
      <c r="G1384" s="1" t="s">
        <v>21259</v>
      </c>
      <c r="H1384" s="1" t="s">
        <v>169</v>
      </c>
      <c r="I1384" s="9" t="s">
        <v>21260</v>
      </c>
      <c r="J1384" s="1" t="s">
        <v>2095</v>
      </c>
      <c r="K1384" s="1" t="s">
        <v>1707</v>
      </c>
      <c r="L1384" s="1" t="s">
        <v>496</v>
      </c>
      <c r="M1384" s="1" t="s">
        <v>8769</v>
      </c>
      <c r="O1384" s="1" t="s">
        <v>127</v>
      </c>
      <c r="P1384" s="1" t="s">
        <v>14335</v>
      </c>
      <c r="Q1384" s="1" t="s">
        <v>21261</v>
      </c>
      <c r="R1384" s="1" t="s">
        <v>259</v>
      </c>
      <c r="S1384" s="1">
        <v>3.2</v>
      </c>
      <c r="Z1384" s="1" t="s">
        <v>21262</v>
      </c>
      <c r="AA1384" s="10">
        <v>2500000.0</v>
      </c>
      <c r="AB1384" s="1" t="s">
        <v>21263</v>
      </c>
      <c r="AC1384" s="10">
        <v>1800000.0</v>
      </c>
      <c r="AF1384" s="10">
        <v>4300000.0</v>
      </c>
      <c r="AG1384" s="1">
        <v>1.145899877E9</v>
      </c>
      <c r="AJ1384" s="1">
        <v>155.0</v>
      </c>
      <c r="AK1384" s="1">
        <v>69.0</v>
      </c>
      <c r="AL1384" s="1" t="s">
        <v>21264</v>
      </c>
      <c r="AM1384" s="1" t="s">
        <v>21265</v>
      </c>
      <c r="AN1384" s="7" t="s">
        <v>21266</v>
      </c>
      <c r="AO1384" s="8" t="str">
        <f>HYPERLINK("https://docs.google.com/document/d/1xwjAODe6cBLoM-DNM6Vwu648NqWjM8r-kl5Gtp3Tv0o/edit?usp=drivesdk","Al-Wildan 13 Tembalang, Bekasi_Andina Alifia Ulfizannati Tandean_")</f>
        <v>Al-Wildan 13 Tembalang, Bekasi_Andina Alifia Ulfizannati Tandean_</v>
      </c>
      <c r="AP1384" s="1" t="s">
        <v>21267</v>
      </c>
    </row>
    <row r="1385">
      <c r="A1385" s="6">
        <v>46139.87275026621</v>
      </c>
      <c r="B1385" s="7" t="s">
        <v>21268</v>
      </c>
      <c r="C1385" s="8" t="s">
        <v>21269</v>
      </c>
      <c r="D1385" s="1" t="s">
        <v>21270</v>
      </c>
      <c r="E1385" s="9" t="s">
        <v>21271</v>
      </c>
      <c r="F1385" s="1" t="s">
        <v>21272</v>
      </c>
      <c r="G1385" s="1" t="s">
        <v>21273</v>
      </c>
      <c r="H1385" s="1" t="s">
        <v>6482</v>
      </c>
      <c r="I1385" s="9" t="s">
        <v>21274</v>
      </c>
      <c r="J1385" s="1" t="s">
        <v>21275</v>
      </c>
      <c r="K1385" s="1" t="s">
        <v>151</v>
      </c>
      <c r="L1385" s="1" t="s">
        <v>256</v>
      </c>
      <c r="M1385" s="1" t="s">
        <v>7580</v>
      </c>
      <c r="N1385" s="1" t="s">
        <v>21276</v>
      </c>
      <c r="O1385" s="1" t="s">
        <v>106</v>
      </c>
      <c r="P1385" s="1" t="s">
        <v>14335</v>
      </c>
      <c r="Q1385" s="1" t="s">
        <v>21277</v>
      </c>
      <c r="R1385" s="1" t="s">
        <v>238</v>
      </c>
      <c r="S1385" s="1" t="s">
        <v>2181</v>
      </c>
      <c r="T1385" s="1" t="s">
        <v>217</v>
      </c>
      <c r="U1385" s="1" t="s">
        <v>217</v>
      </c>
      <c r="V1385" s="1" t="s">
        <v>217</v>
      </c>
      <c r="W1385" s="1" t="s">
        <v>217</v>
      </c>
      <c r="X1385" s="1" t="s">
        <v>217</v>
      </c>
      <c r="Z1385" s="1" t="s">
        <v>21278</v>
      </c>
      <c r="AA1385" s="1" t="s">
        <v>891</v>
      </c>
      <c r="AB1385" s="1" t="s">
        <v>217</v>
      </c>
      <c r="AC1385" s="1" t="s">
        <v>217</v>
      </c>
      <c r="AD1385" s="1" t="s">
        <v>217</v>
      </c>
      <c r="AE1385" s="1" t="s">
        <v>217</v>
      </c>
      <c r="AF1385" s="1" t="s">
        <v>176</v>
      </c>
      <c r="AG1385" s="1">
        <v>7.338801054E9</v>
      </c>
      <c r="AJ1385" s="1">
        <v>148.0</v>
      </c>
      <c r="AK1385" s="1">
        <v>43.0</v>
      </c>
      <c r="AL1385" s="1" t="s">
        <v>21279</v>
      </c>
      <c r="AM1385" s="1" t="s">
        <v>21280</v>
      </c>
      <c r="AN1385" s="7" t="s">
        <v>21281</v>
      </c>
      <c r="AO1385" s="8" t="str">
        <f>HYPERLINK("https://docs.google.com/document/d/1az8ryxkIlBzJH5rydj1oycf-xERw7lU1BbKDVXQrYf4/edit?usp=drivesdk","Al-Wildan 13 Tembalang, Bekasi_Gania Sri Rizki Munawwaroh S.Ag LC._Mata pelajaran Diniyyah, dan AlQur'an")</f>
        <v>Al-Wildan 13 Tembalang, Bekasi_Gania Sri Rizki Munawwaroh S.Ag LC._Mata pelajaran Diniyyah, dan AlQur'an</v>
      </c>
      <c r="AP1385" s="1" t="s">
        <v>21282</v>
      </c>
    </row>
    <row r="1386">
      <c r="A1386" s="6">
        <v>46140.677929375</v>
      </c>
      <c r="B1386" s="7" t="s">
        <v>21283</v>
      </c>
      <c r="C1386" s="8" t="s">
        <v>21284</v>
      </c>
      <c r="D1386" s="1" t="s">
        <v>21285</v>
      </c>
      <c r="E1386" s="9" t="s">
        <v>21286</v>
      </c>
      <c r="F1386" s="1" t="s">
        <v>21287</v>
      </c>
      <c r="G1386" s="1" t="s">
        <v>21288</v>
      </c>
      <c r="H1386" s="1" t="s">
        <v>6057</v>
      </c>
      <c r="I1386" s="9" t="s">
        <v>21289</v>
      </c>
      <c r="J1386" s="1" t="s">
        <v>21290</v>
      </c>
      <c r="K1386" s="1" t="s">
        <v>102</v>
      </c>
      <c r="L1386" s="1" t="s">
        <v>310</v>
      </c>
      <c r="M1386" s="1" t="s">
        <v>104</v>
      </c>
      <c r="N1386" s="1" t="s">
        <v>21291</v>
      </c>
      <c r="O1386" s="1" t="s">
        <v>127</v>
      </c>
      <c r="P1386" s="1" t="s">
        <v>6187</v>
      </c>
      <c r="Q1386" s="1" t="s">
        <v>21292</v>
      </c>
      <c r="R1386" s="1" t="s">
        <v>6076</v>
      </c>
      <c r="S1386" s="1" t="s">
        <v>5590</v>
      </c>
      <c r="Z1386" s="1" t="s">
        <v>21293</v>
      </c>
      <c r="AA1386" s="10">
        <v>2000000.0</v>
      </c>
      <c r="AB1386" s="1" t="s">
        <v>21294</v>
      </c>
      <c r="AC1386" s="10">
        <v>4500000.0</v>
      </c>
      <c r="AD1386" s="1" t="s">
        <v>21295</v>
      </c>
      <c r="AE1386" s="10">
        <v>8500000.0</v>
      </c>
      <c r="AF1386" s="10">
        <v>5500000.0</v>
      </c>
      <c r="AG1386" s="1">
        <v>7.294585359E9</v>
      </c>
      <c r="AJ1386" s="1">
        <v>172.0</v>
      </c>
      <c r="AK1386" s="1">
        <v>88.0</v>
      </c>
      <c r="AL1386" s="1" t="s">
        <v>21296</v>
      </c>
      <c r="AM1386" s="1" t="s">
        <v>21297</v>
      </c>
      <c r="AN1386" s="7" t="s">
        <v>21298</v>
      </c>
      <c r="AO1386" s="8" t="str">
        <f>HYPERLINK("https://docs.google.com/document/d/1Xu9NLi9OnSsTV6P_NJQ2xx3JoQbbawxmWR0C1kDiZBE/edit?usp=drivesdk","Al-Wildan 14 Bumi Mutiara, Bogor_Wahid Agman Hidayat, S.E_Ekonomi, Geografi, Sosiologi")</f>
        <v>Al-Wildan 14 Bumi Mutiara, Bogor_Wahid Agman Hidayat, S.E_Ekonomi, Geografi, Sosiologi</v>
      </c>
      <c r="AP1386" s="1" t="s">
        <v>21299</v>
      </c>
    </row>
    <row r="1387">
      <c r="A1387" s="6">
        <v>46141.97432347223</v>
      </c>
      <c r="B1387" s="7" t="s">
        <v>21300</v>
      </c>
      <c r="C1387" s="8" t="s">
        <v>21301</v>
      </c>
      <c r="D1387" s="1" t="s">
        <v>21302</v>
      </c>
      <c r="E1387" s="9" t="s">
        <v>21303</v>
      </c>
      <c r="F1387" s="1" t="s">
        <v>21304</v>
      </c>
      <c r="G1387" s="1" t="s">
        <v>21305</v>
      </c>
      <c r="H1387" s="1" t="s">
        <v>21306</v>
      </c>
      <c r="I1387" s="9" t="s">
        <v>21307</v>
      </c>
      <c r="J1387" s="1" t="s">
        <v>2737</v>
      </c>
      <c r="K1387" s="1" t="s">
        <v>151</v>
      </c>
      <c r="L1387" s="1" t="s">
        <v>103</v>
      </c>
      <c r="M1387" s="1" t="s">
        <v>21308</v>
      </c>
      <c r="N1387" s="1" t="s">
        <v>21309</v>
      </c>
      <c r="O1387" s="1" t="s">
        <v>312</v>
      </c>
      <c r="P1387" s="1" t="s">
        <v>6659</v>
      </c>
      <c r="Q1387" s="1" t="s">
        <v>21310</v>
      </c>
      <c r="R1387" s="1" t="s">
        <v>3583</v>
      </c>
      <c r="S1387" s="1">
        <v>3.76</v>
      </c>
      <c r="Z1387" s="1" t="s">
        <v>21311</v>
      </c>
      <c r="AA1387" s="10">
        <v>1500000.0</v>
      </c>
      <c r="AB1387" s="1" t="s">
        <v>21312</v>
      </c>
      <c r="AC1387" s="10">
        <v>1000000.0</v>
      </c>
      <c r="AD1387" s="1" t="s">
        <v>21313</v>
      </c>
      <c r="AE1387" s="10">
        <v>300000.0</v>
      </c>
      <c r="AF1387" s="10">
        <v>5000000.0</v>
      </c>
      <c r="AG1387" s="1">
        <v>7.137165467E9</v>
      </c>
      <c r="AJ1387" s="1">
        <v>170.0</v>
      </c>
      <c r="AK1387" s="1">
        <v>100.0</v>
      </c>
      <c r="AL1387" s="1" t="s">
        <v>21314</v>
      </c>
      <c r="AM1387" s="1" t="s">
        <v>21315</v>
      </c>
      <c r="AN1387" s="7" t="s">
        <v>21316</v>
      </c>
      <c r="AO1387" s="8" t="str">
        <f>HYPERLINK("https://docs.google.com/document/d/1g9zOkc_LofS0xidgHjtUe-qYfz48T3gqEm_Gi9-vrV0/edit?usp=drivesdk","Al-Wildan 15 Kompas Indah, Tambun Bekasi._Mufaddal B.A_Al-Qur'an, Diniyyah, arabic")</f>
        <v>Al-Wildan 15 Kompas Indah, Tambun Bekasi._Mufaddal B.A_Al-Qur'an, Diniyyah, arabic</v>
      </c>
      <c r="AP1387" s="1" t="s">
        <v>21317</v>
      </c>
    </row>
    <row r="1388">
      <c r="A1388" s="6">
        <v>46142.67491903935</v>
      </c>
      <c r="B1388" s="7" t="s">
        <v>21318</v>
      </c>
      <c r="C1388" s="8" t="s">
        <v>21319</v>
      </c>
      <c r="D1388" s="1" t="s">
        <v>21320</v>
      </c>
      <c r="E1388" s="9" t="s">
        <v>21321</v>
      </c>
      <c r="F1388" s="1" t="s">
        <v>21322</v>
      </c>
      <c r="G1388" s="1" t="s">
        <v>21323</v>
      </c>
      <c r="H1388" s="1" t="s">
        <v>1868</v>
      </c>
      <c r="I1388" s="9" t="s">
        <v>10418</v>
      </c>
      <c r="J1388" s="1" t="s">
        <v>2676</v>
      </c>
      <c r="K1388" s="1" t="s">
        <v>151</v>
      </c>
      <c r="L1388" s="1" t="s">
        <v>256</v>
      </c>
      <c r="M1388" s="1" t="s">
        <v>104</v>
      </c>
      <c r="N1388" s="1" t="s">
        <v>152</v>
      </c>
      <c r="O1388" s="1" t="s">
        <v>312</v>
      </c>
      <c r="P1388" s="1" t="s">
        <v>11207</v>
      </c>
      <c r="Q1388" s="1" t="s">
        <v>21324</v>
      </c>
      <c r="R1388" s="1" t="s">
        <v>172</v>
      </c>
      <c r="S1388" s="1" t="s">
        <v>4513</v>
      </c>
      <c r="Z1388" s="1" t="s">
        <v>21325</v>
      </c>
      <c r="AA1388" s="10">
        <v>1200000.0</v>
      </c>
      <c r="AB1388" s="1" t="s">
        <v>21326</v>
      </c>
      <c r="AC1388" s="10">
        <v>2700000.0</v>
      </c>
      <c r="AD1388" s="1" t="s">
        <v>21327</v>
      </c>
      <c r="AE1388" s="10">
        <v>4000000.0</v>
      </c>
      <c r="AF1388" s="1" t="s">
        <v>21328</v>
      </c>
      <c r="AH1388" s="1">
        <v>1.401505011E9</v>
      </c>
      <c r="AI1388" s="1" t="s">
        <v>14192</v>
      </c>
      <c r="AJ1388" s="1">
        <v>150.0</v>
      </c>
      <c r="AK1388" s="1">
        <v>55.0</v>
      </c>
      <c r="AL1388" s="1" t="s">
        <v>21329</v>
      </c>
      <c r="AM1388" s="1" t="s">
        <v>21330</v>
      </c>
      <c r="AN1388" s="7" t="s">
        <v>21331</v>
      </c>
      <c r="AO1388" s="8" t="str">
        <f>HYPERLINK("https://docs.google.com/document/d/1UA-DpAYUNCIGdX-02QtDpRLuUqGAtigDFx_ACAISgqY/edit?usp=drivesdk","Al-Wildan 16 Ciledug_Medina Aulia Hapsari, S.Pd_Bahasa Inggris")</f>
        <v>Al-Wildan 16 Ciledug_Medina Aulia Hapsari, S.Pd_Bahasa Inggris</v>
      </c>
      <c r="AP1388" s="1" t="s">
        <v>21332</v>
      </c>
    </row>
    <row r="1389">
      <c r="A1389" s="6">
        <v>46147.62376771991</v>
      </c>
      <c r="B1389" s="7" t="s">
        <v>21333</v>
      </c>
      <c r="C1389" s="8" t="s">
        <v>21334</v>
      </c>
      <c r="D1389" s="1" t="s">
        <v>21335</v>
      </c>
      <c r="E1389" s="9" t="s">
        <v>21336</v>
      </c>
      <c r="F1389" s="1" t="s">
        <v>21337</v>
      </c>
      <c r="G1389" s="1" t="s">
        <v>21338</v>
      </c>
      <c r="H1389" s="1" t="s">
        <v>1868</v>
      </c>
      <c r="I1389" s="9" t="s">
        <v>21339</v>
      </c>
      <c r="J1389" s="1">
        <v>29.0</v>
      </c>
      <c r="K1389" s="1" t="s">
        <v>151</v>
      </c>
      <c r="L1389" s="1" t="s">
        <v>103</v>
      </c>
      <c r="M1389" s="1" t="s">
        <v>104</v>
      </c>
      <c r="N1389" s="1" t="s">
        <v>21340</v>
      </c>
      <c r="O1389" s="1" t="s">
        <v>312</v>
      </c>
      <c r="P1389" s="1" t="s">
        <v>6187</v>
      </c>
      <c r="Q1389" s="1" t="s">
        <v>21053</v>
      </c>
      <c r="R1389" s="1" t="s">
        <v>989</v>
      </c>
      <c r="S1389" s="1" t="s">
        <v>2465</v>
      </c>
      <c r="T1389" s="1" t="s">
        <v>21053</v>
      </c>
      <c r="U1389" s="1" t="s">
        <v>10624</v>
      </c>
      <c r="V1389" s="1" t="s">
        <v>5523</v>
      </c>
      <c r="W1389" s="1" t="s">
        <v>21053</v>
      </c>
      <c r="X1389" s="1" t="s">
        <v>217</v>
      </c>
      <c r="Z1389" s="1" t="s">
        <v>21341</v>
      </c>
      <c r="AA1389" s="1" t="s">
        <v>21342</v>
      </c>
      <c r="AB1389" s="1" t="s">
        <v>21343</v>
      </c>
      <c r="AC1389" s="1" t="s">
        <v>21344</v>
      </c>
      <c r="AD1389" s="1" t="s">
        <v>21345</v>
      </c>
      <c r="AE1389" s="1" t="s">
        <v>21344</v>
      </c>
      <c r="AF1389" s="10">
        <v>3500000.0</v>
      </c>
      <c r="AG1389" s="1">
        <v>7.35946521E9</v>
      </c>
      <c r="AJ1389" s="1">
        <v>154.0</v>
      </c>
      <c r="AK1389" s="1">
        <v>55.0</v>
      </c>
      <c r="AL1389" s="1" t="s">
        <v>21346</v>
      </c>
      <c r="AM1389" s="1" t="s">
        <v>21347</v>
      </c>
      <c r="AN1389" s="7" t="s">
        <v>21348</v>
      </c>
      <c r="AO1389" s="8" t="str">
        <f>HYPERLINK("https://docs.google.com/document/d/1hW-6ue87doIKlVbr3VwUgtpOdqYQEDmmvKOFu4OtRJI/edit?usp=drivesdk","Al-Wildan 14 Bumi Mutiara, Bogor_Shelfy Rahma Andi Sofian, S.Pd., M.Pd_Science-English-Math")</f>
        <v>Al-Wildan 14 Bumi Mutiara, Bogor_Shelfy Rahma Andi Sofian, S.Pd., M.Pd_Science-English-Math</v>
      </c>
      <c r="AP1389" s="1" t="s">
        <v>21349</v>
      </c>
    </row>
    <row r="1390">
      <c r="A1390" s="6">
        <v>46147.69791575232</v>
      </c>
      <c r="B1390" s="7" t="s">
        <v>21350</v>
      </c>
      <c r="C1390" s="8" t="s">
        <v>21351</v>
      </c>
      <c r="D1390" s="1" t="s">
        <v>21352</v>
      </c>
      <c r="E1390" s="9" t="s">
        <v>21353</v>
      </c>
      <c r="F1390" s="1" t="s">
        <v>21354</v>
      </c>
      <c r="G1390" s="1" t="s">
        <v>21355</v>
      </c>
      <c r="H1390" s="1" t="s">
        <v>1217</v>
      </c>
      <c r="I1390" s="9" t="s">
        <v>21356</v>
      </c>
      <c r="J1390" s="1" t="s">
        <v>2352</v>
      </c>
      <c r="K1390" s="1" t="s">
        <v>151</v>
      </c>
      <c r="L1390" s="1" t="s">
        <v>496</v>
      </c>
      <c r="M1390" s="1" t="s">
        <v>8769</v>
      </c>
      <c r="O1390" s="1" t="s">
        <v>127</v>
      </c>
      <c r="P1390" s="1" t="s">
        <v>14335</v>
      </c>
      <c r="Q1390" s="1" t="s">
        <v>21357</v>
      </c>
      <c r="R1390" s="1" t="s">
        <v>21358</v>
      </c>
      <c r="S1390" s="1" t="s">
        <v>9214</v>
      </c>
      <c r="Z1390" s="1" t="s">
        <v>21359</v>
      </c>
      <c r="AA1390" s="10">
        <v>600000.0</v>
      </c>
      <c r="AB1390" s="1" t="s">
        <v>21360</v>
      </c>
      <c r="AC1390" s="10">
        <v>75000.0</v>
      </c>
      <c r="AD1390" s="1" t="s">
        <v>10247</v>
      </c>
      <c r="AF1390" s="10">
        <v>5000000.0</v>
      </c>
      <c r="AG1390" s="1">
        <v>7.176885418E9</v>
      </c>
      <c r="AJ1390" s="1">
        <v>153.0</v>
      </c>
      <c r="AK1390" s="1">
        <v>42.0</v>
      </c>
      <c r="AL1390" s="1" t="s">
        <v>21361</v>
      </c>
      <c r="AM1390" s="1" t="s">
        <v>21362</v>
      </c>
      <c r="AN1390" s="7" t="s">
        <v>21363</v>
      </c>
      <c r="AO1390" s="8" t="str">
        <f>HYPERLINK("https://docs.google.com/document/d/1rBSivnPlnS--YUfeL-lSu_quu4VJOaVOJg3I0_rquF0/edit?usp=drivesdk","Al-Wildan 13 Tembalang, Bekasi_Ghina_")</f>
        <v>Al-Wildan 13 Tembalang, Bekasi_Ghina_</v>
      </c>
      <c r="AP1390" s="1" t="s">
        <v>21364</v>
      </c>
    </row>
    <row r="1391">
      <c r="A1391" s="6">
        <v>46148.52188353009</v>
      </c>
      <c r="B1391" s="7" t="s">
        <v>21365</v>
      </c>
      <c r="C1391" s="8" t="s">
        <v>21366</v>
      </c>
      <c r="D1391" s="1" t="s">
        <v>21367</v>
      </c>
      <c r="E1391" s="9" t="s">
        <v>21368</v>
      </c>
      <c r="F1391" s="1" t="s">
        <v>21369</v>
      </c>
      <c r="G1391" s="1" t="s">
        <v>21370</v>
      </c>
      <c r="H1391" s="1" t="s">
        <v>148</v>
      </c>
      <c r="I1391" s="9" t="s">
        <v>21371</v>
      </c>
      <c r="J1391" s="1" t="s">
        <v>5573</v>
      </c>
      <c r="K1391" s="1" t="s">
        <v>102</v>
      </c>
      <c r="L1391" s="1" t="s">
        <v>103</v>
      </c>
      <c r="M1391" s="1" t="s">
        <v>104</v>
      </c>
      <c r="N1391" s="1" t="s">
        <v>274</v>
      </c>
      <c r="O1391" s="1" t="s">
        <v>127</v>
      </c>
      <c r="P1391" s="1" t="s">
        <v>5712</v>
      </c>
      <c r="Q1391" s="1" t="s">
        <v>10481</v>
      </c>
      <c r="R1391" s="1" t="s">
        <v>21372</v>
      </c>
      <c r="S1391" s="1" t="s">
        <v>12268</v>
      </c>
      <c r="Z1391" s="1" t="s">
        <v>21373</v>
      </c>
      <c r="AA1391" s="10">
        <v>750000.0</v>
      </c>
      <c r="AB1391" s="1" t="s">
        <v>21374</v>
      </c>
      <c r="AC1391" s="10">
        <v>2500000.0</v>
      </c>
      <c r="AD1391" s="1" t="s">
        <v>21375</v>
      </c>
      <c r="AE1391" s="10">
        <v>500000.0</v>
      </c>
      <c r="AF1391" s="10">
        <v>9000000.0</v>
      </c>
      <c r="AG1391" s="1">
        <v>4.9491459E9</v>
      </c>
      <c r="AH1391" s="1">
        <v>1.362328679E9</v>
      </c>
      <c r="AI1391" s="1" t="s">
        <v>159</v>
      </c>
      <c r="AJ1391" s="1">
        <v>160.0</v>
      </c>
      <c r="AK1391" s="1">
        <v>72.0</v>
      </c>
      <c r="AL1391" s="1" t="s">
        <v>21376</v>
      </c>
      <c r="AM1391" s="1" t="s">
        <v>21377</v>
      </c>
      <c r="AN1391" s="7" t="s">
        <v>21378</v>
      </c>
      <c r="AO1391" s="8" t="str">
        <f>HYPERLINK("https://docs.google.com/document/d/1MyyWYmx2XY_51tGLBYFP4freVFLyzMG5FaBS-8pWbcE/edit?usp=drivesdk","Al-Wildan 3 BSD City_Faqih Ahmad Rizki _Diniyyah")</f>
        <v>Al-Wildan 3 BSD City_Faqih Ahmad Rizki _Diniyyah</v>
      </c>
      <c r="AP1391" s="1" t="s">
        <v>21379</v>
      </c>
    </row>
    <row r="1392">
      <c r="A1392" s="6">
        <v>46148.83587465278</v>
      </c>
      <c r="B1392" s="7" t="s">
        <v>21380</v>
      </c>
      <c r="C1392" s="8" t="s">
        <v>21381</v>
      </c>
      <c r="D1392" s="1" t="s">
        <v>21382</v>
      </c>
      <c r="E1392" s="9" t="s">
        <v>21353</v>
      </c>
      <c r="F1392" s="1" t="s">
        <v>21354</v>
      </c>
      <c r="G1392" s="1" t="s">
        <v>21383</v>
      </c>
      <c r="H1392" s="1" t="s">
        <v>1217</v>
      </c>
      <c r="I1392" s="9" t="s">
        <v>21356</v>
      </c>
      <c r="J1392" s="1" t="s">
        <v>12360</v>
      </c>
      <c r="K1392" s="1" t="s">
        <v>151</v>
      </c>
      <c r="L1392" s="1" t="s">
        <v>496</v>
      </c>
      <c r="M1392" s="1" t="s">
        <v>8769</v>
      </c>
      <c r="O1392" s="1" t="s">
        <v>127</v>
      </c>
      <c r="P1392" s="1" t="s">
        <v>14335</v>
      </c>
      <c r="Q1392" s="1" t="s">
        <v>21357</v>
      </c>
      <c r="R1392" s="1" t="s">
        <v>21358</v>
      </c>
      <c r="S1392" s="1" t="s">
        <v>9214</v>
      </c>
      <c r="Z1392" s="1" t="s">
        <v>21384</v>
      </c>
      <c r="AA1392" s="10">
        <v>650000.0</v>
      </c>
      <c r="AB1392" s="1" t="s">
        <v>21385</v>
      </c>
      <c r="AC1392" s="10">
        <v>75000.0</v>
      </c>
      <c r="AF1392" s="10">
        <v>5000000.0</v>
      </c>
      <c r="AG1392" s="1">
        <v>7.176885418E9</v>
      </c>
      <c r="AJ1392" s="1">
        <v>153.0</v>
      </c>
      <c r="AK1392" s="1">
        <v>42.0</v>
      </c>
      <c r="AL1392" s="1" t="s">
        <v>21361</v>
      </c>
      <c r="AM1392" s="1" t="s">
        <v>21386</v>
      </c>
      <c r="AN1392" s="7" t="s">
        <v>21387</v>
      </c>
      <c r="AO1392" s="8" t="str">
        <f>HYPERLINK("https://docs.google.com/document/d/13HNa_sgX_ygm9_a1iq_bB-If9q7o0iP8Zhbt5PgQDXo/edit?usp=drivesdk","Al-Wildan 13 Tembalang, Bekasi_Ghina Akhiru Syawaliyah, S.Sos_")</f>
        <v>Al-Wildan 13 Tembalang, Bekasi_Ghina Akhiru Syawaliyah, S.Sos_</v>
      </c>
      <c r="AP1392" s="1" t="s">
        <v>21388</v>
      </c>
    </row>
    <row r="1393">
      <c r="A1393" s="6">
        <v>46149.3661847801</v>
      </c>
      <c r="B1393" s="7" t="s">
        <v>21389</v>
      </c>
      <c r="C1393" s="8" t="s">
        <v>21390</v>
      </c>
      <c r="D1393" s="1" t="s">
        <v>21391</v>
      </c>
      <c r="E1393" s="9" t="s">
        <v>21392</v>
      </c>
      <c r="F1393" s="1" t="s">
        <v>21393</v>
      </c>
      <c r="G1393" s="1" t="s">
        <v>21394</v>
      </c>
      <c r="H1393" s="1" t="s">
        <v>169</v>
      </c>
      <c r="I1393" s="9" t="s">
        <v>21395</v>
      </c>
      <c r="J1393" s="1" t="s">
        <v>21396</v>
      </c>
      <c r="K1393" s="1" t="s">
        <v>102</v>
      </c>
      <c r="L1393" s="1" t="s">
        <v>103</v>
      </c>
      <c r="M1393" s="1" t="s">
        <v>104</v>
      </c>
      <c r="N1393" s="1" t="s">
        <v>274</v>
      </c>
      <c r="O1393" s="1" t="s">
        <v>312</v>
      </c>
      <c r="P1393" s="1" t="s">
        <v>7991</v>
      </c>
      <c r="Q1393" s="1" t="s">
        <v>1022</v>
      </c>
      <c r="R1393" s="1" t="s">
        <v>193</v>
      </c>
      <c r="S1393" s="1">
        <v>3.32</v>
      </c>
      <c r="Z1393" s="1" t="s">
        <v>10756</v>
      </c>
      <c r="AA1393" s="10">
        <v>6200000.0</v>
      </c>
      <c r="AF1393" s="10">
        <v>5500000.0</v>
      </c>
      <c r="AG1393" s="1">
        <v>7.174016048E9</v>
      </c>
      <c r="AJ1393" s="1">
        <v>160.0</v>
      </c>
      <c r="AK1393" s="1">
        <v>80.0</v>
      </c>
      <c r="AL1393" s="1" t="s">
        <v>21397</v>
      </c>
      <c r="AM1393" s="1" t="s">
        <v>21398</v>
      </c>
      <c r="AN1393" s="7" t="s">
        <v>21399</v>
      </c>
      <c r="AO1393" s="8" t="str">
        <f>HYPERLINK("https://docs.google.com/document/d/11EoZcHmYzd4vJbCb2b8lEWeKKSezxcoSlcHbjaToDEc/edit?usp=drivesdk","Al-Wildan 12 Bulak Kapal, Bekasi_Muhammad Taufik Ridho B.A_Diniyyah")</f>
        <v>Al-Wildan 12 Bulak Kapal, Bekasi_Muhammad Taufik Ridho B.A_Diniyyah</v>
      </c>
      <c r="AP1393" s="1" t="s">
        <v>21400</v>
      </c>
    </row>
    <row r="1394">
      <c r="A1394" s="6">
        <v>46149.38939399306</v>
      </c>
      <c r="B1394" s="7" t="s">
        <v>21401</v>
      </c>
      <c r="C1394" s="8" t="s">
        <v>21402</v>
      </c>
      <c r="D1394" s="1" t="s">
        <v>21367</v>
      </c>
      <c r="E1394" s="9" t="s">
        <v>21368</v>
      </c>
      <c r="F1394" s="1" t="s">
        <v>21369</v>
      </c>
      <c r="G1394" s="1" t="s">
        <v>21403</v>
      </c>
      <c r="H1394" s="1" t="s">
        <v>148</v>
      </c>
      <c r="I1394" s="9" t="s">
        <v>21371</v>
      </c>
      <c r="J1394" s="1" t="s">
        <v>21404</v>
      </c>
      <c r="K1394" s="1" t="s">
        <v>102</v>
      </c>
      <c r="L1394" s="1" t="s">
        <v>103</v>
      </c>
      <c r="M1394" s="1" t="s">
        <v>104</v>
      </c>
      <c r="N1394" s="1" t="s">
        <v>274</v>
      </c>
      <c r="O1394" s="1" t="s">
        <v>127</v>
      </c>
      <c r="P1394" s="1" t="s">
        <v>5712</v>
      </c>
      <c r="Q1394" s="1" t="s">
        <v>10481</v>
      </c>
      <c r="R1394" s="1" t="s">
        <v>21405</v>
      </c>
      <c r="S1394" s="1" t="s">
        <v>12268</v>
      </c>
      <c r="Z1394" s="1" t="s">
        <v>21406</v>
      </c>
      <c r="AA1394" s="10">
        <v>750000.0</v>
      </c>
      <c r="AB1394" s="1" t="s">
        <v>21374</v>
      </c>
      <c r="AC1394" s="10">
        <v>2500000.0</v>
      </c>
      <c r="AD1394" s="1" t="s">
        <v>21407</v>
      </c>
      <c r="AE1394" s="10">
        <v>500000.0</v>
      </c>
      <c r="AF1394" s="10">
        <v>1.0E7</v>
      </c>
      <c r="AG1394" s="1">
        <v>4.9491459E9</v>
      </c>
      <c r="AH1394" s="1">
        <v>1.362328679E9</v>
      </c>
      <c r="AI1394" s="1" t="s">
        <v>159</v>
      </c>
      <c r="AJ1394" s="1">
        <v>160.0</v>
      </c>
      <c r="AK1394" s="1">
        <v>74.0</v>
      </c>
      <c r="AL1394" s="1" t="s">
        <v>21376</v>
      </c>
      <c r="AM1394" s="1" t="s">
        <v>21408</v>
      </c>
      <c r="AN1394" s="7" t="s">
        <v>21409</v>
      </c>
      <c r="AO1394" s="8" t="str">
        <f>HYPERLINK("https://docs.google.com/document/d/1daN8RUB_b20U84MyjHsp6KI5gdotVMpQImo71rSKL6Q/edit?usp=drivesdk","Al-Wildan 3 BSD City_Faqih Ahmad Rizki _Diniyyah")</f>
        <v>Al-Wildan 3 BSD City_Faqih Ahmad Rizki _Diniyyah</v>
      </c>
      <c r="AP1394" s="1" t="s">
        <v>21410</v>
      </c>
    </row>
    <row r="1395">
      <c r="A1395" s="6">
        <v>46157.76704924769</v>
      </c>
      <c r="B1395" s="7" t="s">
        <v>21411</v>
      </c>
      <c r="C1395" s="8" t="s">
        <v>21412</v>
      </c>
      <c r="D1395" s="1" t="s">
        <v>21413</v>
      </c>
      <c r="E1395" s="9" t="s">
        <v>21414</v>
      </c>
      <c r="F1395" s="1" t="s">
        <v>21415</v>
      </c>
      <c r="G1395" s="1" t="s">
        <v>21416</v>
      </c>
      <c r="H1395" s="1" t="s">
        <v>944</v>
      </c>
      <c r="I1395" s="9" t="s">
        <v>21417</v>
      </c>
      <c r="J1395" s="1" t="s">
        <v>21418</v>
      </c>
      <c r="K1395" s="1" t="s">
        <v>151</v>
      </c>
      <c r="L1395" s="1" t="s">
        <v>103</v>
      </c>
      <c r="M1395" s="1" t="s">
        <v>104</v>
      </c>
      <c r="N1395" s="1" t="s">
        <v>21419</v>
      </c>
      <c r="O1395" s="1" t="s">
        <v>312</v>
      </c>
      <c r="P1395" s="1" t="s">
        <v>7991</v>
      </c>
      <c r="Q1395" s="1" t="s">
        <v>440</v>
      </c>
      <c r="R1395" s="1" t="s">
        <v>8565</v>
      </c>
      <c r="S1395" s="1">
        <v>3.78</v>
      </c>
      <c r="T1395" s="1" t="s">
        <v>21420</v>
      </c>
      <c r="U1395" s="1" t="s">
        <v>259</v>
      </c>
      <c r="V1395" s="1" t="s">
        <v>21421</v>
      </c>
      <c r="Z1395" s="1" t="s">
        <v>21422</v>
      </c>
      <c r="AA1395" s="10">
        <v>4500000.0</v>
      </c>
      <c r="AB1395" s="1" t="s">
        <v>21423</v>
      </c>
      <c r="AC1395" s="10">
        <v>2000000.0</v>
      </c>
      <c r="AF1395" s="1" t="s">
        <v>21424</v>
      </c>
      <c r="AG1395" s="1">
        <v>7.240788165E9</v>
      </c>
      <c r="AJ1395" s="1">
        <v>151.0</v>
      </c>
      <c r="AK1395" s="1">
        <v>53.0</v>
      </c>
      <c r="AL1395" s="1" t="s">
        <v>21425</v>
      </c>
      <c r="AM1395" s="1" t="s">
        <v>21426</v>
      </c>
      <c r="AN1395" s="7" t="s">
        <v>21427</v>
      </c>
      <c r="AO1395" s="8" t="str">
        <f>HYPERLINK("https://docs.google.com/document/d/1hkkmybFdOxW0bowq881_1xAvVumR16HuwEmvRkvMQjo/edit?usp=drivesdk","Al-Wildan 12 Bulak Kapal, Bekasi_Nurhanifah, S.Pd., Gr._Guru Al-Qur’an ")</f>
        <v>Al-Wildan 12 Bulak Kapal, Bekasi_Nurhanifah, S.Pd., Gr._Guru Al-Qur’an </v>
      </c>
      <c r="AP1395" s="1" t="s">
        <v>21428</v>
      </c>
    </row>
    <row r="1396">
      <c r="A1396" s="6">
        <v>46162.48947840278</v>
      </c>
      <c r="B1396" s="7" t="s">
        <v>21429</v>
      </c>
      <c r="C1396" s="8" t="s">
        <v>21430</v>
      </c>
      <c r="D1396" s="1" t="s">
        <v>21431</v>
      </c>
      <c r="E1396" s="9" t="s">
        <v>21432</v>
      </c>
      <c r="F1396" s="1" t="s">
        <v>21433</v>
      </c>
      <c r="G1396" s="1" t="s">
        <v>21434</v>
      </c>
      <c r="H1396" s="1" t="s">
        <v>8513</v>
      </c>
      <c r="I1396" s="9" t="s">
        <v>21435</v>
      </c>
      <c r="J1396" s="1" t="s">
        <v>21436</v>
      </c>
      <c r="K1396" s="1" t="s">
        <v>102</v>
      </c>
      <c r="L1396" s="1" t="s">
        <v>329</v>
      </c>
      <c r="M1396" s="1" t="s">
        <v>104</v>
      </c>
      <c r="N1396" s="1" t="s">
        <v>21437</v>
      </c>
      <c r="O1396" s="1" t="s">
        <v>9794</v>
      </c>
      <c r="P1396" s="1" t="s">
        <v>7991</v>
      </c>
      <c r="Q1396" s="1" t="s">
        <v>21438</v>
      </c>
      <c r="R1396" s="1" t="s">
        <v>21439</v>
      </c>
      <c r="S1396" s="1" t="s">
        <v>5523</v>
      </c>
      <c r="Z1396" s="1" t="s">
        <v>21440</v>
      </c>
      <c r="AA1396" s="10">
        <v>1400000.0</v>
      </c>
      <c r="AF1396" s="10">
        <v>5300000.0</v>
      </c>
      <c r="AG1396" s="1">
        <v>9.4865958E9</v>
      </c>
      <c r="AJ1396" s="1">
        <v>170.0</v>
      </c>
      <c r="AK1396" s="1">
        <v>70.0</v>
      </c>
      <c r="AL1396" s="1" t="s">
        <v>21441</v>
      </c>
      <c r="AM1396" s="1" t="s">
        <v>21442</v>
      </c>
      <c r="AN1396" s="7" t="s">
        <v>21443</v>
      </c>
      <c r="AO1396" s="8" t="str">
        <f>HYPERLINK("https://docs.google.com/document/d/144Eue8Z9fYWuLsL8mo3hD110adABI10HVep4-YxZuGc/edit?usp=drivesdk","Al-Wildan 12 Bulak Kapal, Bekasi_RIZALUDIN KAMIL, B.A_Aqidah, Fiqh, Hadits Dan Mapel Diniyah Lainnya.")</f>
        <v>Al-Wildan 12 Bulak Kapal, Bekasi_RIZALUDIN KAMIL, B.A_Aqidah, Fiqh, Hadits Dan Mapel Diniyah Lainnya.</v>
      </c>
      <c r="AP1396" s="1" t="s">
        <v>21444</v>
      </c>
    </row>
    <row r="1397">
      <c r="A1397" s="6">
        <v>46162.530858275466</v>
      </c>
      <c r="B1397" s="7" t="s">
        <v>21445</v>
      </c>
      <c r="C1397" s="8" t="s">
        <v>21446</v>
      </c>
      <c r="D1397" s="1" t="s">
        <v>21447</v>
      </c>
      <c r="E1397" s="9" t="s">
        <v>21448</v>
      </c>
      <c r="F1397" s="1" t="s">
        <v>21449</v>
      </c>
      <c r="G1397" s="1" t="s">
        <v>21450</v>
      </c>
      <c r="H1397" s="1" t="s">
        <v>2523</v>
      </c>
      <c r="I1397" s="9" t="s">
        <v>21451</v>
      </c>
      <c r="J1397" s="1" t="s">
        <v>21452</v>
      </c>
      <c r="K1397" s="1" t="s">
        <v>102</v>
      </c>
      <c r="L1397" s="1" t="s">
        <v>103</v>
      </c>
      <c r="M1397" s="1" t="s">
        <v>104</v>
      </c>
      <c r="N1397" s="1" t="s">
        <v>274</v>
      </c>
      <c r="O1397" s="1" t="s">
        <v>106</v>
      </c>
      <c r="P1397" s="1" t="s">
        <v>6187</v>
      </c>
      <c r="Q1397" s="1" t="s">
        <v>21453</v>
      </c>
      <c r="R1397" s="1" t="s">
        <v>193</v>
      </c>
      <c r="S1397" s="1" t="s">
        <v>7252</v>
      </c>
      <c r="Z1397" s="1" t="s">
        <v>7599</v>
      </c>
      <c r="AA1397" s="10">
        <v>750000.0</v>
      </c>
      <c r="AF1397" s="10">
        <v>6000000.0</v>
      </c>
      <c r="AG1397" s="1">
        <v>4.29261751E9</v>
      </c>
      <c r="AJ1397" s="1">
        <v>168.0</v>
      </c>
      <c r="AK1397" s="1">
        <v>81.0</v>
      </c>
      <c r="AL1397" s="1" t="s">
        <v>21454</v>
      </c>
      <c r="AM1397" s="1" t="s">
        <v>21455</v>
      </c>
      <c r="AN1397" s="7" t="s">
        <v>21456</v>
      </c>
      <c r="AO1397" s="8" t="str">
        <f>HYPERLINK("https://docs.google.com/document/d/10is4kAXR1oKtJLlbplkEykkvqjtb780MJJmOy8Yfy5I/edit?usp=drivesdk","Al-Wildan 14 Bumi Mutiara, Bogor_Dedy Arianda, S.Si., B.A._Diniyyah")</f>
        <v>Al-Wildan 14 Bumi Mutiara, Bogor_Dedy Arianda, S.Si., B.A._Diniyyah</v>
      </c>
      <c r="AP1397" s="1" t="s">
        <v>21457</v>
      </c>
    </row>
    <row r="1398">
      <c r="A1398" s="6">
        <v>46162.532201863425</v>
      </c>
      <c r="B1398" s="7" t="s">
        <v>21458</v>
      </c>
      <c r="C1398" s="8" t="s">
        <v>21459</v>
      </c>
      <c r="D1398" s="1" t="s">
        <v>21460</v>
      </c>
      <c r="E1398" s="9" t="s">
        <v>21461</v>
      </c>
      <c r="F1398" s="1" t="s">
        <v>21462</v>
      </c>
      <c r="G1398" s="1" t="s">
        <v>2689</v>
      </c>
      <c r="H1398" s="1" t="s">
        <v>11957</v>
      </c>
      <c r="I1398" s="9" t="s">
        <v>21463</v>
      </c>
      <c r="J1398" s="1" t="s">
        <v>1666</v>
      </c>
      <c r="K1398" s="1" t="s">
        <v>151</v>
      </c>
      <c r="L1398" s="1" t="s">
        <v>256</v>
      </c>
      <c r="M1398" s="1" t="s">
        <v>104</v>
      </c>
      <c r="N1398" s="1" t="s">
        <v>21464</v>
      </c>
      <c r="O1398" s="1" t="s">
        <v>312</v>
      </c>
      <c r="P1398" s="1" t="s">
        <v>7991</v>
      </c>
      <c r="Q1398" s="1" t="s">
        <v>811</v>
      </c>
      <c r="R1398" s="1" t="s">
        <v>1611</v>
      </c>
      <c r="S1398" s="1" t="s">
        <v>14207</v>
      </c>
      <c r="Z1398" s="1" t="s">
        <v>21465</v>
      </c>
      <c r="AA1398" s="10">
        <v>1500000.0</v>
      </c>
      <c r="AF1398" s="10">
        <v>7000000.0</v>
      </c>
      <c r="AG1398" s="1">
        <v>7.5913696E9</v>
      </c>
      <c r="AJ1398" s="1">
        <v>170.0</v>
      </c>
      <c r="AK1398" s="1">
        <v>58.0</v>
      </c>
      <c r="AL1398" s="1" t="s">
        <v>21466</v>
      </c>
      <c r="AM1398" s="1" t="s">
        <v>21467</v>
      </c>
      <c r="AN1398" s="7" t="s">
        <v>21468</v>
      </c>
      <c r="AO1398" s="8" t="str">
        <f>HYPERLINK("https://docs.google.com/document/d/1iv0xfEGBqEV0WPrwSvd9WtN6QFyOEgRgJN1JoTmf3iw/edit?usp=drivesdk","Al-Wildan 12 Bulak Kapal, Bekasi_Muh. Rifki Rahmatullah, Lc._Arabic Diniyah Alqur'an")</f>
        <v>Al-Wildan 12 Bulak Kapal, Bekasi_Muh. Rifki Rahmatullah, Lc._Arabic Diniyah Alqur'an</v>
      </c>
      <c r="AP1398" s="1" t="s">
        <v>21469</v>
      </c>
    </row>
    <row r="1399">
      <c r="A1399" s="6">
        <v>46162.781973749996</v>
      </c>
      <c r="B1399" s="7" t="s">
        <v>21470</v>
      </c>
      <c r="C1399" s="8" t="s">
        <v>21471</v>
      </c>
      <c r="D1399" s="1" t="s">
        <v>21472</v>
      </c>
      <c r="E1399" s="9" t="s">
        <v>21473</v>
      </c>
      <c r="F1399" s="1" t="s">
        <v>21474</v>
      </c>
      <c r="G1399" s="1" t="s">
        <v>21475</v>
      </c>
      <c r="H1399" s="1" t="s">
        <v>2076</v>
      </c>
      <c r="I1399" s="9" t="s">
        <v>21476</v>
      </c>
      <c r="J1399" s="1" t="s">
        <v>1648</v>
      </c>
      <c r="K1399" s="1" t="s">
        <v>151</v>
      </c>
      <c r="L1399" s="1" t="s">
        <v>103</v>
      </c>
      <c r="M1399" s="1" t="s">
        <v>104</v>
      </c>
      <c r="N1399" s="1" t="s">
        <v>21477</v>
      </c>
      <c r="O1399" s="1" t="s">
        <v>127</v>
      </c>
      <c r="P1399" s="1" t="s">
        <v>17019</v>
      </c>
      <c r="Q1399" s="1" t="s">
        <v>2368</v>
      </c>
      <c r="R1399" s="1" t="s">
        <v>410</v>
      </c>
      <c r="S1399" s="1" t="s">
        <v>7779</v>
      </c>
      <c r="Z1399" s="1" t="s">
        <v>21478</v>
      </c>
      <c r="AA1399" s="10">
        <v>920000.0</v>
      </c>
      <c r="AB1399" s="1" t="s">
        <v>16437</v>
      </c>
      <c r="AC1399" s="10">
        <v>2400000.0</v>
      </c>
      <c r="AF1399" s="10">
        <v>5000000.0</v>
      </c>
      <c r="AG1399" s="1">
        <v>7.253497798E9</v>
      </c>
      <c r="AJ1399" s="1">
        <v>152.0</v>
      </c>
      <c r="AK1399" s="1">
        <v>47.0</v>
      </c>
      <c r="AL1399" s="1" t="s">
        <v>21479</v>
      </c>
      <c r="AM1399" s="1" t="s">
        <v>21480</v>
      </c>
      <c r="AN1399" s="7" t="s">
        <v>21481</v>
      </c>
      <c r="AO1399" s="8" t="str">
        <f>HYPERLINK("https://docs.google.com/document/d/18_WWf357IrLkR2SP6mXJ6JV40Dh3oskNVnuaid1AP2g/edit?usp=drivesdk","Al-Wildan 20 Mataram_PUTRI JULIA MAEMUM, S.Pd._Physics Cambridge")</f>
        <v>Al-Wildan 20 Mataram_PUTRI JULIA MAEMUM, S.Pd._Physics Cambridge</v>
      </c>
      <c r="AP1399" s="1" t="s">
        <v>21482</v>
      </c>
    </row>
    <row r="1400">
      <c r="A1400" s="6">
        <v>46163.45290549769</v>
      </c>
      <c r="B1400" s="7" t="s">
        <v>21483</v>
      </c>
      <c r="C1400" s="8" t="s">
        <v>21484</v>
      </c>
      <c r="D1400" s="1" t="s">
        <v>21485</v>
      </c>
      <c r="E1400" s="9" t="s">
        <v>21486</v>
      </c>
      <c r="F1400" s="1" t="s">
        <v>21487</v>
      </c>
      <c r="G1400" s="1" t="s">
        <v>21488</v>
      </c>
      <c r="H1400" s="1" t="s">
        <v>685</v>
      </c>
      <c r="I1400" s="9" t="s">
        <v>21489</v>
      </c>
      <c r="J1400" s="1" t="s">
        <v>150</v>
      </c>
      <c r="K1400" s="1" t="s">
        <v>151</v>
      </c>
      <c r="L1400" s="1" t="s">
        <v>496</v>
      </c>
      <c r="M1400" s="1" t="s">
        <v>104</v>
      </c>
      <c r="N1400" s="1" t="s">
        <v>2769</v>
      </c>
      <c r="O1400" s="1" t="s">
        <v>9794</v>
      </c>
      <c r="P1400" s="1" t="s">
        <v>11207</v>
      </c>
      <c r="Q1400" s="1" t="s">
        <v>1022</v>
      </c>
      <c r="R1400" s="1" t="s">
        <v>193</v>
      </c>
      <c r="S1400" s="1" t="s">
        <v>21490</v>
      </c>
      <c r="Z1400" s="1" t="s">
        <v>21491</v>
      </c>
      <c r="AA1400" s="10">
        <v>600000.0</v>
      </c>
      <c r="AB1400" s="1" t="s">
        <v>21492</v>
      </c>
      <c r="AC1400" s="10">
        <v>2000000.0</v>
      </c>
      <c r="AF1400" s="1" t="s">
        <v>8105</v>
      </c>
      <c r="AG1400" s="1">
        <v>8.64369917E9</v>
      </c>
      <c r="AJ1400" s="1">
        <v>150.0</v>
      </c>
      <c r="AK1400" s="1">
        <v>50.0</v>
      </c>
      <c r="AL1400" s="1" t="s">
        <v>21493</v>
      </c>
      <c r="AM1400" s="1" t="s">
        <v>21494</v>
      </c>
      <c r="AN1400" s="7" t="s">
        <v>21495</v>
      </c>
      <c r="AO1400" s="8" t="str">
        <f>HYPERLINK("https://docs.google.com/document/d/1eKEboqeGMhxylzK-pTOUa0yxtWshEgPeKVv3GUyd5TQ/edit?usp=drivesdk","Al-Wildan 16 Ciledug_Syifa Nur Azizah, BA_Arabic")</f>
        <v>Al-Wildan 16 Ciledug_Syifa Nur Azizah, BA_Arabic</v>
      </c>
      <c r="AP1400" s="1" t="s">
        <v>21496</v>
      </c>
    </row>
    <row r="1401">
      <c r="A1401" s="6">
        <v>46163.4951359375</v>
      </c>
      <c r="B1401" s="7" t="s">
        <v>21497</v>
      </c>
      <c r="C1401" s="8" t="s">
        <v>21498</v>
      </c>
      <c r="D1401" s="1" t="s">
        <v>21499</v>
      </c>
      <c r="E1401" s="9" t="s">
        <v>21500</v>
      </c>
      <c r="F1401" s="1" t="s">
        <v>21501</v>
      </c>
      <c r="G1401" s="1" t="s">
        <v>21502</v>
      </c>
      <c r="H1401" s="1" t="s">
        <v>703</v>
      </c>
      <c r="I1401" s="9" t="s">
        <v>21503</v>
      </c>
      <c r="J1401" s="1" t="s">
        <v>10156</v>
      </c>
      <c r="K1401" s="1" t="s">
        <v>102</v>
      </c>
      <c r="L1401" s="1" t="s">
        <v>103</v>
      </c>
      <c r="M1401" s="1" t="s">
        <v>104</v>
      </c>
      <c r="N1401" s="1" t="s">
        <v>126</v>
      </c>
      <c r="O1401" s="1" t="s">
        <v>127</v>
      </c>
      <c r="P1401" s="1" t="s">
        <v>17019</v>
      </c>
      <c r="Q1401" s="1" t="s">
        <v>590</v>
      </c>
      <c r="R1401" s="1" t="s">
        <v>126</v>
      </c>
      <c r="S1401" s="1" t="s">
        <v>969</v>
      </c>
      <c r="T1401" s="1" t="s">
        <v>7637</v>
      </c>
      <c r="U1401" s="1" t="s">
        <v>13597</v>
      </c>
      <c r="V1401" s="1" t="s">
        <v>537</v>
      </c>
      <c r="Z1401" s="1" t="s">
        <v>21504</v>
      </c>
      <c r="AA1401" s="1">
        <v>5500000.0</v>
      </c>
      <c r="AB1401" s="1" t="s">
        <v>21505</v>
      </c>
      <c r="AC1401" s="1">
        <v>3200000.0</v>
      </c>
      <c r="AD1401" s="1" t="s">
        <v>21506</v>
      </c>
      <c r="AE1401" s="1">
        <v>650000.0</v>
      </c>
      <c r="AF1401" s="1">
        <v>5000000.0</v>
      </c>
      <c r="AG1401" s="1">
        <v>7.225099809E9</v>
      </c>
      <c r="AJ1401" s="1">
        <v>173.0</v>
      </c>
      <c r="AK1401" s="1">
        <v>63.0</v>
      </c>
      <c r="AL1401" s="1" t="s">
        <v>21507</v>
      </c>
      <c r="AM1401" s="1" t="s">
        <v>21508</v>
      </c>
      <c r="AN1401" s="7" t="s">
        <v>21509</v>
      </c>
      <c r="AO1401" s="8" t="str">
        <f>HYPERLINK("https://docs.google.com/document/d/12Dybe7YbXz5QDFDGtykqDEuXQPeha-CgRzpMSFCZtWA/edit?usp=drivesdk","Al-Wildan 20 Mataram_M. Putra Sani Hattamurrahman, S.Mat., M.Mat., Gr._Matematika")</f>
        <v>Al-Wildan 20 Mataram_M. Putra Sani Hattamurrahman, S.Mat., M.Mat., Gr._Matematika</v>
      </c>
      <c r="AP1401" s="1" t="s">
        <v>21510</v>
      </c>
    </row>
    <row r="1402">
      <c r="A1402" s="6">
        <v>46163.50082756944</v>
      </c>
      <c r="B1402" s="7" t="s">
        <v>21511</v>
      </c>
      <c r="C1402" s="8" t="s">
        <v>21512</v>
      </c>
      <c r="D1402" s="1" t="s">
        <v>21513</v>
      </c>
      <c r="E1402" s="9" t="s">
        <v>21514</v>
      </c>
      <c r="F1402" s="1" t="s">
        <v>21515</v>
      </c>
      <c r="G1402" s="1" t="s">
        <v>21516</v>
      </c>
      <c r="H1402" s="1" t="s">
        <v>3995</v>
      </c>
      <c r="I1402" s="9" t="s">
        <v>21451</v>
      </c>
      <c r="J1402" s="1" t="s">
        <v>21517</v>
      </c>
      <c r="K1402" s="1" t="s">
        <v>102</v>
      </c>
      <c r="L1402" s="1" t="s">
        <v>103</v>
      </c>
      <c r="M1402" s="1" t="s">
        <v>13917</v>
      </c>
      <c r="N1402" s="1" t="s">
        <v>21518</v>
      </c>
      <c r="O1402" s="1" t="s">
        <v>9794</v>
      </c>
      <c r="P1402" s="1" t="s">
        <v>17019</v>
      </c>
      <c r="Q1402" s="1" t="s">
        <v>3145</v>
      </c>
      <c r="R1402" s="1" t="s">
        <v>21519</v>
      </c>
      <c r="S1402" s="1" t="s">
        <v>5590</v>
      </c>
      <c r="T1402" s="1" t="s">
        <v>21520</v>
      </c>
      <c r="U1402" s="1" t="s">
        <v>21521</v>
      </c>
      <c r="V1402" s="1" t="s">
        <v>740</v>
      </c>
      <c r="Z1402" s="1" t="s">
        <v>21522</v>
      </c>
      <c r="AA1402" s="10">
        <v>9000000.0</v>
      </c>
      <c r="AB1402" s="1" t="s">
        <v>21523</v>
      </c>
      <c r="AC1402" s="10">
        <v>6000000.0</v>
      </c>
      <c r="AD1402" s="1" t="s">
        <v>21524</v>
      </c>
      <c r="AE1402" s="10">
        <v>9000000.0</v>
      </c>
      <c r="AF1402" s="1" t="s">
        <v>14950</v>
      </c>
      <c r="AH1402" s="9" t="s">
        <v>21525</v>
      </c>
      <c r="AI1402" s="1" t="s">
        <v>21526</v>
      </c>
      <c r="AJ1402" s="1">
        <v>158.0</v>
      </c>
      <c r="AK1402" s="1">
        <v>60.0</v>
      </c>
      <c r="AL1402" s="1" t="s">
        <v>21527</v>
      </c>
      <c r="AM1402" s="1" t="s">
        <v>21528</v>
      </c>
      <c r="AN1402" s="7" t="s">
        <v>21529</v>
      </c>
      <c r="AO1402" s="8" t="str">
        <f>HYPERLINK("https://docs.google.com/document/d/1sahzYw1mIzeHXphe7hu4pPfnzfgHVZMBGLfxBmzCPlY/edit?usp=drivesdk","Al-Wildan 20 Mataram_NURUL NAHARIS SA'ADAH, S.Pd_OLAHRAGA")</f>
        <v>Al-Wildan 20 Mataram_NURUL NAHARIS SA'ADAH, S.Pd_OLAHRAGA</v>
      </c>
      <c r="AP1402" s="1" t="s">
        <v>21530</v>
      </c>
    </row>
    <row r="1403">
      <c r="A1403" s="6">
        <v>46163.58787834491</v>
      </c>
      <c r="B1403" s="7" t="s">
        <v>21531</v>
      </c>
      <c r="C1403" s="8" t="s">
        <v>21532</v>
      </c>
      <c r="D1403" s="1" t="s">
        <v>21533</v>
      </c>
      <c r="E1403" s="9" t="s">
        <v>21534</v>
      </c>
      <c r="F1403" s="1" t="s">
        <v>21535</v>
      </c>
      <c r="G1403" s="1" t="s">
        <v>21536</v>
      </c>
      <c r="H1403" s="1" t="s">
        <v>21537</v>
      </c>
      <c r="I1403" s="9" t="s">
        <v>21538</v>
      </c>
      <c r="J1403" s="1" t="s">
        <v>21539</v>
      </c>
      <c r="K1403" s="1" t="s">
        <v>151</v>
      </c>
      <c r="L1403" s="1" t="s">
        <v>496</v>
      </c>
      <c r="M1403" s="1" t="s">
        <v>5671</v>
      </c>
      <c r="O1403" s="1" t="s">
        <v>106</v>
      </c>
      <c r="P1403" s="1" t="s">
        <v>17019</v>
      </c>
      <c r="Q1403" s="1" t="s">
        <v>14363</v>
      </c>
      <c r="R1403" s="1" t="s">
        <v>14364</v>
      </c>
      <c r="S1403" s="1" t="s">
        <v>2372</v>
      </c>
      <c r="T1403" s="1" t="s">
        <v>21540</v>
      </c>
      <c r="U1403" s="1" t="s">
        <v>259</v>
      </c>
      <c r="V1403" s="1" t="s">
        <v>21541</v>
      </c>
      <c r="Z1403" s="1" t="s">
        <v>21542</v>
      </c>
      <c r="AA1403" s="10">
        <v>6700000.0</v>
      </c>
      <c r="AF1403" s="1" t="s">
        <v>17766</v>
      </c>
      <c r="AG1403" s="1">
        <v>7.201572837E9</v>
      </c>
      <c r="AJ1403" s="1">
        <v>156.0</v>
      </c>
      <c r="AK1403" s="1">
        <v>55.0</v>
      </c>
      <c r="AL1403" s="1" t="s">
        <v>21543</v>
      </c>
      <c r="AM1403" s="1" t="s">
        <v>21544</v>
      </c>
      <c r="AN1403" s="7" t="s">
        <v>21545</v>
      </c>
      <c r="AO1403" s="8" t="str">
        <f>HYPERLINK("https://docs.google.com/document/d/1t1v0cykxyafg08jSZg-a1wplfD0YKoX8l6qzHjLziH8/edit?usp=drivesdk","Al-Wildan 20 Mataram_M. Gozali Tayib, S.Ag., M.Pd._")</f>
        <v>Al-Wildan 20 Mataram_M. Gozali Tayib, S.Ag., M.Pd._</v>
      </c>
      <c r="AP1403" s="1" t="s">
        <v>21546</v>
      </c>
    </row>
    <row r="1404">
      <c r="A1404" s="6">
        <v>46164.77260359954</v>
      </c>
      <c r="B1404" s="7" t="s">
        <v>21547</v>
      </c>
      <c r="C1404" s="8" t="s">
        <v>21548</v>
      </c>
      <c r="D1404" s="1" t="s">
        <v>21549</v>
      </c>
      <c r="E1404" s="9" t="s">
        <v>21550</v>
      </c>
      <c r="F1404" s="1" t="s">
        <v>21551</v>
      </c>
      <c r="G1404" s="1" t="s">
        <v>21552</v>
      </c>
      <c r="H1404" s="1" t="s">
        <v>2076</v>
      </c>
      <c r="I1404" s="9" t="s">
        <v>21553</v>
      </c>
      <c r="J1404" s="1" t="s">
        <v>2352</v>
      </c>
      <c r="K1404" s="1" t="s">
        <v>151</v>
      </c>
      <c r="L1404" s="1" t="s">
        <v>496</v>
      </c>
      <c r="M1404" s="1" t="s">
        <v>5671</v>
      </c>
      <c r="O1404" s="1" t="s">
        <v>9794</v>
      </c>
      <c r="P1404" s="1" t="s">
        <v>17019</v>
      </c>
      <c r="Q1404" s="1" t="s">
        <v>1344</v>
      </c>
      <c r="R1404" s="1" t="s">
        <v>10527</v>
      </c>
      <c r="S1404" s="1" t="s">
        <v>12407</v>
      </c>
      <c r="Z1404" s="1" t="s">
        <v>21554</v>
      </c>
      <c r="AA1404" s="10">
        <v>2500000.0</v>
      </c>
      <c r="AF1404" s="10">
        <v>3500000.0</v>
      </c>
      <c r="AH1404" s="1">
        <v>1.230604424E9</v>
      </c>
      <c r="AI1404" s="1" t="s">
        <v>159</v>
      </c>
      <c r="AJ1404" s="1">
        <v>180.0</v>
      </c>
      <c r="AK1404" s="1">
        <v>75.0</v>
      </c>
      <c r="AL1404" s="1" t="s">
        <v>21555</v>
      </c>
      <c r="AM1404" s="1" t="s">
        <v>21556</v>
      </c>
      <c r="AN1404" s="7" t="s">
        <v>21557</v>
      </c>
      <c r="AO1404" s="8" t="str">
        <f>HYPERLINK("https://docs.google.com/document/d/1oQkDiGsn3Flh48-lawM9K6XvkpPDzD2DHRSDwOMZP30/edit?usp=drivesdk","Al-Wildan 20 Mataram_Wildan Akhmad Syauqi, S.Ag._")</f>
        <v>Al-Wildan 20 Mataram_Wildan Akhmad Syauqi, S.Ag._</v>
      </c>
      <c r="AP1404" s="1" t="s">
        <v>21558</v>
      </c>
    </row>
    <row r="1405">
      <c r="A1405" s="6">
        <v>46167.38344725694</v>
      </c>
      <c r="B1405" s="7" t="s">
        <v>21559</v>
      </c>
      <c r="C1405" s="8" t="s">
        <v>21560</v>
      </c>
      <c r="D1405" s="1" t="s">
        <v>21561</v>
      </c>
      <c r="E1405" s="9" t="s">
        <v>21562</v>
      </c>
      <c r="F1405" s="1" t="s">
        <v>21563</v>
      </c>
      <c r="G1405" s="1" t="s">
        <v>21564</v>
      </c>
      <c r="H1405" s="1" t="s">
        <v>9167</v>
      </c>
      <c r="I1405" s="9" t="s">
        <v>21565</v>
      </c>
      <c r="J1405" s="1" t="s">
        <v>21566</v>
      </c>
      <c r="K1405" s="1" t="s">
        <v>151</v>
      </c>
      <c r="L1405" s="1" t="s">
        <v>103</v>
      </c>
      <c r="M1405" s="1" t="s">
        <v>104</v>
      </c>
      <c r="N1405" s="1" t="s">
        <v>21567</v>
      </c>
      <c r="O1405" s="1" t="s">
        <v>127</v>
      </c>
      <c r="P1405" s="1" t="s">
        <v>11207</v>
      </c>
      <c r="Q1405" s="1" t="s">
        <v>754</v>
      </c>
      <c r="R1405" s="1" t="s">
        <v>5304</v>
      </c>
      <c r="S1405" s="1" t="s">
        <v>277</v>
      </c>
      <c r="Z1405" s="1" t="s">
        <v>21568</v>
      </c>
      <c r="AA1405" s="10">
        <v>4500000.0</v>
      </c>
      <c r="AB1405" s="1" t="s">
        <v>21569</v>
      </c>
      <c r="AC1405" s="10">
        <v>1500000.0</v>
      </c>
      <c r="AD1405" s="1" t="s">
        <v>21570</v>
      </c>
      <c r="AE1405" s="1" t="s">
        <v>217</v>
      </c>
      <c r="AF1405" s="10">
        <v>5500000.0</v>
      </c>
      <c r="AH1405" s="1">
        <v>5.930653201E9</v>
      </c>
      <c r="AI1405" s="1" t="s">
        <v>14192</v>
      </c>
      <c r="AJ1405" s="1">
        <v>155.0</v>
      </c>
      <c r="AK1405" s="1">
        <v>49.0</v>
      </c>
      <c r="AL1405" s="1" t="s">
        <v>21571</v>
      </c>
      <c r="AM1405" s="1" t="s">
        <v>21572</v>
      </c>
      <c r="AN1405" s="7" t="s">
        <v>21573</v>
      </c>
      <c r="AO1405" s="8" t="str">
        <f>HYPERLINK("https://docs.google.com/document/d/1e-ZRO2dvI8OzuuBBXOTdBetokMz1jJysG5dnz7U7UAI/edit?usp=drivesdk","Al-Wildan 16 Ciledug_Balqis Mumtazah, S.Pd., Gr._Math Cambridge/ Matematika")</f>
        <v>Al-Wildan 16 Ciledug_Balqis Mumtazah, S.Pd., Gr._Math Cambridge/ Matematika</v>
      </c>
      <c r="AP1405" s="1" t="s">
        <v>21574</v>
      </c>
    </row>
    <row r="1406">
      <c r="A1406" s="6">
        <v>46168.569381215275</v>
      </c>
      <c r="B1406" s="7" t="s">
        <v>21575</v>
      </c>
      <c r="C1406" s="8" t="s">
        <v>21576</v>
      </c>
      <c r="D1406" s="1" t="s">
        <v>21577</v>
      </c>
      <c r="E1406" s="9" t="s">
        <v>21578</v>
      </c>
      <c r="F1406" s="1" t="s">
        <v>21579</v>
      </c>
      <c r="G1406" s="1" t="s">
        <v>21580</v>
      </c>
      <c r="H1406" s="1" t="s">
        <v>148</v>
      </c>
      <c r="I1406" s="9" t="s">
        <v>21581</v>
      </c>
      <c r="J1406" s="1" t="s">
        <v>407</v>
      </c>
      <c r="K1406" s="1" t="s">
        <v>151</v>
      </c>
      <c r="L1406" s="1" t="s">
        <v>103</v>
      </c>
      <c r="M1406" s="1" t="s">
        <v>424</v>
      </c>
      <c r="N1406" s="1" t="s">
        <v>6106</v>
      </c>
      <c r="O1406" s="1" t="s">
        <v>9794</v>
      </c>
      <c r="P1406" s="1" t="s">
        <v>6659</v>
      </c>
      <c r="Q1406" s="1" t="s">
        <v>7923</v>
      </c>
      <c r="R1406" s="1" t="s">
        <v>11140</v>
      </c>
      <c r="S1406" s="1" t="s">
        <v>1366</v>
      </c>
      <c r="Z1406" s="1" t="s">
        <v>21582</v>
      </c>
      <c r="AA1406" s="10">
        <v>550000.0</v>
      </c>
      <c r="AB1406" s="1" t="s">
        <v>21583</v>
      </c>
      <c r="AC1406" s="10">
        <v>2200000.0</v>
      </c>
      <c r="AD1406" s="1" t="s">
        <v>21584</v>
      </c>
      <c r="AE1406" s="10">
        <v>900000.0</v>
      </c>
      <c r="AF1406" s="10">
        <v>5500000.0</v>
      </c>
      <c r="AJ1406" s="1">
        <v>162.0</v>
      </c>
      <c r="AK1406" s="1">
        <v>70.0</v>
      </c>
      <c r="AL1406" s="1" t="s">
        <v>21585</v>
      </c>
      <c r="AM1406" s="1" t="s">
        <v>21586</v>
      </c>
      <c r="AN1406" s="7" t="s">
        <v>21587</v>
      </c>
      <c r="AO1406" s="8" t="str">
        <f>HYPERLINK("https://docs.google.com/document/d/1mWhiXMevcaI_PGNOzKX2y-st8K-ZXXqt5jM63KUYueA/edit?usp=drivesdk","Al-Wildan 15 Kompas Indah, Tambun Bekasi._Hidayanti Utami, S.Sos., Gr._Bimbingan Konseling")</f>
        <v>Al-Wildan 15 Kompas Indah, Tambun Bekasi._Hidayanti Utami, S.Sos., Gr._Bimbingan Konseling</v>
      </c>
      <c r="AP1406" s="1" t="s">
        <v>21588</v>
      </c>
    </row>
    <row r="1407">
      <c r="A1407" s="6">
        <v>46168.59136247685</v>
      </c>
      <c r="B1407" s="7" t="s">
        <v>21589</v>
      </c>
      <c r="C1407" s="8" t="s">
        <v>21590</v>
      </c>
      <c r="D1407" s="1" t="s">
        <v>21591</v>
      </c>
      <c r="E1407" s="9" t="s">
        <v>21592</v>
      </c>
      <c r="F1407" s="1" t="s">
        <v>21593</v>
      </c>
      <c r="G1407" s="1" t="s">
        <v>21594</v>
      </c>
      <c r="H1407" s="1" t="s">
        <v>169</v>
      </c>
      <c r="I1407" s="9" t="s">
        <v>21595</v>
      </c>
      <c r="J1407" s="1" t="s">
        <v>21596</v>
      </c>
      <c r="K1407" s="1" t="s">
        <v>102</v>
      </c>
      <c r="L1407" s="1" t="s">
        <v>103</v>
      </c>
      <c r="M1407" s="1" t="s">
        <v>104</v>
      </c>
      <c r="N1407" s="1" t="s">
        <v>15631</v>
      </c>
      <c r="O1407" s="1" t="s">
        <v>127</v>
      </c>
      <c r="P1407" s="1" t="s">
        <v>5712</v>
      </c>
      <c r="Q1407" s="1" t="s">
        <v>21597</v>
      </c>
      <c r="R1407" s="1" t="s">
        <v>259</v>
      </c>
      <c r="S1407" s="9" t="s">
        <v>6782</v>
      </c>
      <c r="Z1407" s="1" t="s">
        <v>21598</v>
      </c>
      <c r="AA1407" s="10">
        <v>4500000.0</v>
      </c>
      <c r="AB1407" s="1" t="s">
        <v>21599</v>
      </c>
      <c r="AC1407" s="10">
        <v>4000000.0</v>
      </c>
      <c r="AD1407" s="1" t="s">
        <v>21600</v>
      </c>
      <c r="AE1407" s="10">
        <v>5000000.0</v>
      </c>
      <c r="AF1407" s="10">
        <v>6000000.0</v>
      </c>
      <c r="AG1407" s="1">
        <v>7.145729542E9</v>
      </c>
      <c r="AJ1407" s="1">
        <v>168.0</v>
      </c>
      <c r="AK1407" s="1">
        <v>70.0</v>
      </c>
      <c r="AL1407" s="1" t="s">
        <v>21601</v>
      </c>
      <c r="AM1407" s="1" t="s">
        <v>21602</v>
      </c>
      <c r="AN1407" s="7" t="s">
        <v>21603</v>
      </c>
      <c r="AO1407" s="8" t="str">
        <f>HYPERLINK("https://docs.google.com/document/d/1nppjWmm43v_kE0g8v5bR9N439YyrEbR6gwOeiT7eUVo/edit?usp=drivesdk","Al-Wildan 3 BSD City_Moch Maulana Akbar Tanjung, S.Pd.I_A.D.A")</f>
        <v>Al-Wildan 3 BSD City_Moch Maulana Akbar Tanjung, S.Pd.I_A.D.A</v>
      </c>
      <c r="AP1407" s="1" t="s">
        <v>21604</v>
      </c>
    </row>
    <row r="1408">
      <c r="A1408" s="6">
        <v>46168.59351547454</v>
      </c>
      <c r="B1408" s="7" t="s">
        <v>21605</v>
      </c>
      <c r="C1408" s="8" t="s">
        <v>21606</v>
      </c>
      <c r="D1408" s="1" t="s">
        <v>21607</v>
      </c>
      <c r="E1408" s="9" t="s">
        <v>21608</v>
      </c>
      <c r="F1408" s="1" t="s">
        <v>21609</v>
      </c>
      <c r="G1408" s="1" t="s">
        <v>21610</v>
      </c>
      <c r="H1408" s="1" t="s">
        <v>21611</v>
      </c>
      <c r="I1408" s="1" t="s">
        <v>21612</v>
      </c>
      <c r="J1408" s="1" t="s">
        <v>4279</v>
      </c>
      <c r="K1408" s="1" t="s">
        <v>102</v>
      </c>
      <c r="L1408" s="1" t="s">
        <v>103</v>
      </c>
      <c r="M1408" s="1" t="s">
        <v>104</v>
      </c>
      <c r="N1408" s="1" t="s">
        <v>21613</v>
      </c>
      <c r="O1408" s="1" t="s">
        <v>312</v>
      </c>
      <c r="P1408" s="1" t="s">
        <v>6533</v>
      </c>
      <c r="Q1408" s="1" t="s">
        <v>1022</v>
      </c>
      <c r="R1408" s="1" t="s">
        <v>1611</v>
      </c>
      <c r="S1408" s="1">
        <v>3.85</v>
      </c>
      <c r="Z1408" s="1" t="s">
        <v>13238</v>
      </c>
      <c r="AA1408" s="10">
        <v>3200000.0</v>
      </c>
      <c r="AB1408" s="1" t="s">
        <v>7599</v>
      </c>
      <c r="AC1408" s="10">
        <v>1000000.0</v>
      </c>
      <c r="AF1408" s="10">
        <v>6000000.0</v>
      </c>
      <c r="AG1408" s="1">
        <v>8.67576691E9</v>
      </c>
      <c r="AJ1408" s="1">
        <v>170.0</v>
      </c>
      <c r="AK1408" s="1">
        <v>94.0</v>
      </c>
      <c r="AL1408" s="1" t="s">
        <v>21614</v>
      </c>
      <c r="AM1408" s="1" t="s">
        <v>21615</v>
      </c>
      <c r="AN1408" s="7" t="s">
        <v>21616</v>
      </c>
      <c r="AO1408" s="8" t="str">
        <f>HYPERLINK("https://docs.google.com/document/d/1vCR_Cv-xypThWdFUmzKB1WhP84n8qRE2Tajs5SM359U/edit?usp=drivesdk","Al-Wildan 5 Benhil_Muhammad Adbi Ramdani, BA._Al Quran, Diniyah , dan Arab")</f>
        <v>Al-Wildan 5 Benhil_Muhammad Adbi Ramdani, BA._Al Quran, Diniyah , dan Arab</v>
      </c>
      <c r="AP1408" s="1" t="s">
        <v>21617</v>
      </c>
    </row>
    <row r="1409">
      <c r="A1409" s="6">
        <v>46174.61990189815</v>
      </c>
      <c r="B1409" s="7" t="s">
        <v>21618</v>
      </c>
      <c r="C1409" s="8" t="s">
        <v>21619</v>
      </c>
      <c r="D1409" s="1" t="s">
        <v>21620</v>
      </c>
      <c r="E1409" s="9" t="s">
        <v>21621</v>
      </c>
      <c r="F1409" s="1" t="s">
        <v>21622</v>
      </c>
      <c r="G1409" s="1" t="s">
        <v>21623</v>
      </c>
      <c r="H1409" s="1" t="s">
        <v>327</v>
      </c>
      <c r="I1409" s="9" t="s">
        <v>21624</v>
      </c>
      <c r="J1409" s="1" t="s">
        <v>21625</v>
      </c>
      <c r="K1409" s="1" t="s">
        <v>102</v>
      </c>
      <c r="L1409" s="1" t="s">
        <v>103</v>
      </c>
      <c r="M1409" s="1" t="s">
        <v>793</v>
      </c>
      <c r="N1409" s="1" t="s">
        <v>10004</v>
      </c>
      <c r="O1409" s="1" t="s">
        <v>236</v>
      </c>
      <c r="P1409" s="1" t="s">
        <v>21626</v>
      </c>
      <c r="Q1409" s="1" t="s">
        <v>21627</v>
      </c>
      <c r="R1409" s="1" t="s">
        <v>10004</v>
      </c>
      <c r="S1409" s="1" t="s">
        <v>931</v>
      </c>
      <c r="T1409" s="1" t="s">
        <v>21628</v>
      </c>
      <c r="U1409" s="1" t="s">
        <v>21629</v>
      </c>
      <c r="V1409" s="1" t="s">
        <v>1612</v>
      </c>
      <c r="W1409" s="1" t="s">
        <v>21630</v>
      </c>
      <c r="X1409" s="1" t="s">
        <v>21631</v>
      </c>
      <c r="Y1409" s="1" t="s">
        <v>1612</v>
      </c>
      <c r="Z1409" s="1" t="s">
        <v>10899</v>
      </c>
      <c r="AA1409" s="10">
        <v>2500000.0</v>
      </c>
      <c r="AB1409" s="1" t="s">
        <v>10899</v>
      </c>
      <c r="AC1409" s="10">
        <v>4000000.0</v>
      </c>
      <c r="AD1409" s="1" t="s">
        <v>10899</v>
      </c>
      <c r="AE1409" s="10">
        <v>6000000.0</v>
      </c>
      <c r="AF1409" s="10">
        <v>8000000.0</v>
      </c>
      <c r="AG1409" s="1">
        <v>2.045909269E9</v>
      </c>
      <c r="AI1409" s="1" t="s">
        <v>159</v>
      </c>
      <c r="AJ1409" s="1">
        <v>163.0</v>
      </c>
      <c r="AK1409" s="1">
        <v>60.0</v>
      </c>
      <c r="AL1409" s="1" t="s">
        <v>21632</v>
      </c>
      <c r="AM1409" s="1" t="s">
        <v>21633</v>
      </c>
      <c r="AN1409" s="7" t="s">
        <v>21634</v>
      </c>
      <c r="AO1409" s="8" t="str">
        <f>HYPERLINK("https://docs.google.com/document/d/1BxoleWeYxIkjh_OM5zrl6rfdxuDwKINjPgjMA_pw1Cc/edit?usp=drivesdk","Al-Wildan 29 DEPOK_Dr. Sahri Suwandi, M.Pd_Bahasa Inggris ")</f>
        <v>Al-Wildan 29 DEPOK_Dr. Sahri Suwandi, M.Pd_Bahasa Inggris </v>
      </c>
      <c r="AP1409" s="1" t="s">
        <v>21635</v>
      </c>
    </row>
    <row r="1410">
      <c r="A1410" s="6">
        <v>46176.35037959491</v>
      </c>
      <c r="B1410" s="7" t="s">
        <v>21636</v>
      </c>
      <c r="C1410" s="8" t="s">
        <v>21637</v>
      </c>
      <c r="D1410" s="1" t="s">
        <v>15730</v>
      </c>
      <c r="E1410" s="9" t="s">
        <v>15731</v>
      </c>
      <c r="F1410" s="1" t="s">
        <v>15732</v>
      </c>
      <c r="G1410" s="1" t="s">
        <v>15733</v>
      </c>
      <c r="H1410" s="1" t="s">
        <v>99</v>
      </c>
      <c r="I1410" s="9" t="s">
        <v>15734</v>
      </c>
      <c r="J1410" s="1" t="s">
        <v>610</v>
      </c>
      <c r="K1410" s="1" t="s">
        <v>151</v>
      </c>
      <c r="L1410" s="1" t="s">
        <v>103</v>
      </c>
      <c r="M1410" s="1" t="s">
        <v>104</v>
      </c>
      <c r="N1410" s="1" t="s">
        <v>2769</v>
      </c>
      <c r="O1410" s="1" t="s">
        <v>236</v>
      </c>
      <c r="P1410" s="1" t="s">
        <v>5712</v>
      </c>
      <c r="Q1410" s="1" t="s">
        <v>1022</v>
      </c>
      <c r="R1410" s="1" t="s">
        <v>6781</v>
      </c>
      <c r="S1410" s="1" t="s">
        <v>7842</v>
      </c>
      <c r="Z1410" s="1" t="s">
        <v>21638</v>
      </c>
      <c r="AA1410" s="10">
        <v>5400000.0</v>
      </c>
      <c r="AF1410" s="1" t="s">
        <v>21639</v>
      </c>
      <c r="AG1410" s="1">
        <v>7.78624388E9</v>
      </c>
      <c r="AJ1410" s="1">
        <v>173.0</v>
      </c>
      <c r="AK1410" s="1">
        <v>74.0</v>
      </c>
      <c r="AL1410" s="1" t="s">
        <v>15735</v>
      </c>
      <c r="AM1410" s="1" t="s">
        <v>21640</v>
      </c>
      <c r="AN1410" s="7" t="s">
        <v>21641</v>
      </c>
      <c r="AO1410" s="8" t="str">
        <f>HYPERLINK("https://docs.google.com/document/d/1blg1J6GaHDlR29htop3qrsJLyXg0W479qrlRJEpHTlU/edit?usp=drivesdk","Al-Wildan 3 BSD City_Idham Arkan Ramadhan, B.A._Arabic")</f>
        <v>Al-Wildan 3 BSD City_Idham Arkan Ramadhan, B.A._Arabic</v>
      </c>
      <c r="AP1410" s="1" t="s">
        <v>21642</v>
      </c>
    </row>
    <row r="1411">
      <c r="A1411" s="6">
        <v>46176.58965274306</v>
      </c>
      <c r="B1411" s="7" t="s">
        <v>21643</v>
      </c>
      <c r="C1411" s="8" t="s">
        <v>21644</v>
      </c>
      <c r="D1411" s="1" t="s">
        <v>21645</v>
      </c>
      <c r="E1411" s="9" t="s">
        <v>21646</v>
      </c>
      <c r="F1411" s="1" t="s">
        <v>21647</v>
      </c>
      <c r="G1411" s="1" t="s">
        <v>21648</v>
      </c>
      <c r="H1411" s="1" t="s">
        <v>21649</v>
      </c>
      <c r="I1411" s="9" t="s">
        <v>21650</v>
      </c>
      <c r="J1411" s="1" t="s">
        <v>645</v>
      </c>
      <c r="K1411" s="1" t="s">
        <v>102</v>
      </c>
      <c r="L1411" s="1" t="s">
        <v>103</v>
      </c>
      <c r="M1411" s="1" t="s">
        <v>104</v>
      </c>
      <c r="N1411" s="1" t="s">
        <v>274</v>
      </c>
      <c r="O1411" s="1" t="s">
        <v>236</v>
      </c>
      <c r="P1411" s="1" t="s">
        <v>5712</v>
      </c>
      <c r="Q1411" s="1" t="s">
        <v>668</v>
      </c>
      <c r="R1411" s="1" t="s">
        <v>193</v>
      </c>
      <c r="S1411" s="1" t="s">
        <v>21651</v>
      </c>
      <c r="Z1411" s="1" t="s">
        <v>1998</v>
      </c>
      <c r="AF1411" s="1" t="s">
        <v>21652</v>
      </c>
      <c r="AH1411" s="1">
        <v>1.399410798E9</v>
      </c>
      <c r="AI1411" s="1" t="s">
        <v>159</v>
      </c>
      <c r="AJ1411" s="1">
        <v>178.0</v>
      </c>
      <c r="AK1411" s="1">
        <v>85.0</v>
      </c>
      <c r="AL1411" s="1" t="s">
        <v>21653</v>
      </c>
      <c r="AM1411" s="1" t="s">
        <v>21654</v>
      </c>
      <c r="AN1411" s="7" t="s">
        <v>21655</v>
      </c>
      <c r="AO1411" s="8" t="str">
        <f>HYPERLINK("https://docs.google.com/document/d/1pe-KupxP4BSwl3y-7_xZ2Ef4MCZMKx_IhsAW7HryjdA/edit?usp=drivesdk","Al-Wildan 3 BSD City_Riyan Ade Putra _Diniyyah")</f>
        <v>Al-Wildan 3 BSD City_Riyan Ade Putra _Diniyyah</v>
      </c>
      <c r="AP1411" s="1" t="s">
        <v>21656</v>
      </c>
    </row>
    <row r="1412">
      <c r="A1412" s="6">
        <v>46176.65558994213</v>
      </c>
      <c r="B1412" s="7" t="s">
        <v>21657</v>
      </c>
      <c r="C1412" s="8" t="s">
        <v>21658</v>
      </c>
      <c r="D1412" s="1" t="s">
        <v>21659</v>
      </c>
      <c r="E1412" s="9" t="s">
        <v>21660</v>
      </c>
      <c r="F1412" s="1" t="s">
        <v>21661</v>
      </c>
      <c r="G1412" s="1" t="s">
        <v>21662</v>
      </c>
      <c r="H1412" s="1" t="s">
        <v>15417</v>
      </c>
      <c r="I1412" s="9" t="s">
        <v>21663</v>
      </c>
      <c r="J1412" s="1" t="s">
        <v>21664</v>
      </c>
      <c r="K1412" s="1" t="s">
        <v>151</v>
      </c>
      <c r="L1412" s="1" t="s">
        <v>103</v>
      </c>
      <c r="M1412" s="1" t="s">
        <v>104</v>
      </c>
      <c r="N1412" s="1" t="s">
        <v>257</v>
      </c>
      <c r="O1412" s="1" t="s">
        <v>9794</v>
      </c>
      <c r="P1412" s="1" t="s">
        <v>14439</v>
      </c>
      <c r="Q1412" s="1" t="s">
        <v>1022</v>
      </c>
      <c r="R1412" s="1" t="s">
        <v>193</v>
      </c>
      <c r="S1412" s="1" t="s">
        <v>21665</v>
      </c>
      <c r="T1412" s="1" t="s">
        <v>9931</v>
      </c>
      <c r="U1412" s="1" t="s">
        <v>833</v>
      </c>
      <c r="V1412" s="1">
        <v>3.57</v>
      </c>
      <c r="AA1412" s="10">
        <v>2500000.0</v>
      </c>
      <c r="AF1412" s="10">
        <v>4500000.0</v>
      </c>
      <c r="AG1412" s="1">
        <v>7.133036517E9</v>
      </c>
      <c r="AJ1412" s="1">
        <v>150.0</v>
      </c>
      <c r="AK1412" s="1">
        <v>53.0</v>
      </c>
      <c r="AL1412" s="1" t="s">
        <v>21666</v>
      </c>
      <c r="AM1412" s="1" t="s">
        <v>21667</v>
      </c>
      <c r="AN1412" s="7" t="s">
        <v>21668</v>
      </c>
      <c r="AO1412" s="8" t="str">
        <f>HYPERLINK("https://docs.google.com/document/d/16fqv8ZnwKD1zaC5Is_VjX0aBGhLZEUWg0Fr4b5mNJ14/edit?usp=drivesdk","Al-Wildan 22 Makassar_Febri Yuniarsi_Bahasa Arab dan Diniyyah")</f>
        <v>Al-Wildan 22 Makassar_Febri Yuniarsi_Bahasa Arab dan Diniyyah</v>
      </c>
      <c r="AP1412" s="1" t="s">
        <v>21669</v>
      </c>
    </row>
    <row r="1413">
      <c r="A1413" s="6">
        <v>46176.68134949074</v>
      </c>
      <c r="B1413" s="7" t="s">
        <v>21670</v>
      </c>
      <c r="C1413" s="8" t="s">
        <v>21671</v>
      </c>
      <c r="D1413" s="1" t="s">
        <v>21672</v>
      </c>
      <c r="E1413" s="9" t="s">
        <v>21673</v>
      </c>
      <c r="F1413" s="1" t="s">
        <v>21674</v>
      </c>
      <c r="G1413" s="1" t="s">
        <v>21675</v>
      </c>
      <c r="H1413" s="1" t="s">
        <v>21676</v>
      </c>
      <c r="I1413" s="9" t="s">
        <v>11311</v>
      </c>
      <c r="J1413" s="1" t="s">
        <v>14925</v>
      </c>
      <c r="K1413" s="1" t="s">
        <v>102</v>
      </c>
      <c r="L1413" s="1" t="s">
        <v>103</v>
      </c>
      <c r="M1413" s="1" t="s">
        <v>104</v>
      </c>
      <c r="N1413" s="1" t="s">
        <v>8581</v>
      </c>
      <c r="O1413" s="1" t="s">
        <v>312</v>
      </c>
      <c r="P1413" s="1" t="s">
        <v>14439</v>
      </c>
      <c r="Q1413" s="1" t="s">
        <v>21677</v>
      </c>
      <c r="R1413" s="1" t="s">
        <v>259</v>
      </c>
      <c r="S1413" s="1" t="s">
        <v>592</v>
      </c>
      <c r="T1413" s="1" t="s">
        <v>217</v>
      </c>
      <c r="U1413" s="1" t="s">
        <v>217</v>
      </c>
      <c r="V1413" s="1" t="s">
        <v>217</v>
      </c>
      <c r="W1413" s="1" t="s">
        <v>217</v>
      </c>
      <c r="X1413" s="1" t="s">
        <v>217</v>
      </c>
      <c r="Y1413" s="1">
        <v>0.0</v>
      </c>
      <c r="Z1413" s="1" t="s">
        <v>21678</v>
      </c>
      <c r="AA1413" s="10">
        <v>3000000.0</v>
      </c>
      <c r="AB1413" s="1" t="s">
        <v>21679</v>
      </c>
      <c r="AC1413" s="10">
        <v>500000.0</v>
      </c>
      <c r="AD1413" s="1" t="s">
        <v>217</v>
      </c>
      <c r="AE1413" s="1" t="s">
        <v>217</v>
      </c>
      <c r="AF1413" s="10">
        <v>4000000.0</v>
      </c>
      <c r="AG1413" s="1">
        <v>0.0</v>
      </c>
      <c r="AH1413" s="1">
        <v>7.07801013218535E14</v>
      </c>
      <c r="AI1413" s="1" t="s">
        <v>2407</v>
      </c>
      <c r="AJ1413" s="1">
        <v>163.0</v>
      </c>
      <c r="AK1413" s="1">
        <v>68.0</v>
      </c>
      <c r="AL1413" s="1" t="s">
        <v>21680</v>
      </c>
      <c r="AM1413" s="1" t="s">
        <v>21681</v>
      </c>
      <c r="AN1413" s="7" t="s">
        <v>21682</v>
      </c>
      <c r="AO1413" s="8" t="str">
        <f>HYPERLINK("https://docs.google.com/document/d/1qz-vaFCJ4kNGUr0jkex72H1SF0k9mg9Y2Qest5UD4H4/edit?usp=drivesdk","Al-Wildan 22 Makassar_MUH.FAHIR, S.Pd._Al-Qur'an ")</f>
        <v>Al-Wildan 22 Makassar_MUH.FAHIR, S.Pd._Al-Qur'an </v>
      </c>
      <c r="AP1413" s="1" t="s">
        <v>21683</v>
      </c>
    </row>
    <row r="1414">
      <c r="A1414" s="6">
        <v>46176.83741438657</v>
      </c>
      <c r="B1414" s="7" t="s">
        <v>21684</v>
      </c>
      <c r="C1414" s="8" t="s">
        <v>21685</v>
      </c>
      <c r="D1414" s="1" t="s">
        <v>21686</v>
      </c>
      <c r="E1414" s="9" t="s">
        <v>21687</v>
      </c>
      <c r="F1414" s="1" t="s">
        <v>21688</v>
      </c>
      <c r="G1414" s="1" t="s">
        <v>21689</v>
      </c>
      <c r="H1414" s="1" t="s">
        <v>169</v>
      </c>
      <c r="I1414" s="9" t="s">
        <v>21690</v>
      </c>
      <c r="J1414" s="1" t="s">
        <v>4777</v>
      </c>
      <c r="K1414" s="1" t="s">
        <v>151</v>
      </c>
      <c r="L1414" s="1" t="s">
        <v>256</v>
      </c>
      <c r="M1414" s="1" t="s">
        <v>104</v>
      </c>
      <c r="N1414" s="1" t="s">
        <v>235</v>
      </c>
      <c r="O1414" s="1" t="s">
        <v>312</v>
      </c>
      <c r="P1414" s="1" t="s">
        <v>6533</v>
      </c>
      <c r="Q1414" s="1" t="s">
        <v>1259</v>
      </c>
      <c r="R1414" s="1" t="s">
        <v>235</v>
      </c>
      <c r="S1414" s="1" t="s">
        <v>21691</v>
      </c>
      <c r="Z1414" s="1" t="s">
        <v>21692</v>
      </c>
      <c r="AA1414" s="10">
        <v>300000.0</v>
      </c>
      <c r="AB1414" s="1" t="s">
        <v>21693</v>
      </c>
      <c r="AC1414" s="10">
        <v>750000.0</v>
      </c>
      <c r="AF1414" s="10">
        <v>5500000.0</v>
      </c>
      <c r="AG1414" s="1">
        <v>7.207102975E9</v>
      </c>
      <c r="AJ1414" s="1">
        <v>164.0</v>
      </c>
      <c r="AK1414" s="1">
        <v>43.0</v>
      </c>
      <c r="AL1414" s="1" t="s">
        <v>21694</v>
      </c>
      <c r="AM1414" s="1" t="s">
        <v>21695</v>
      </c>
      <c r="AN1414" s="7" t="s">
        <v>21696</v>
      </c>
      <c r="AO1414" s="8" t="str">
        <f>HYPERLINK("https://docs.google.com/document/d/1mV9WQodu_AyLCEEnq-ciI41EoTnaUT6r5EIVTEisCho/edit?usp=drivesdk","Al-Wildan 5 Benhil_Auralia Kamila Putri, B.A. _Bahasa Arab")</f>
        <v>Al-Wildan 5 Benhil_Auralia Kamila Putri, B.A. _Bahasa Arab</v>
      </c>
      <c r="AP1414" s="1" t="s">
        <v>21697</v>
      </c>
    </row>
    <row r="1415">
      <c r="A1415" s="6">
        <v>46176.83768020834</v>
      </c>
      <c r="B1415" s="7" t="s">
        <v>21698</v>
      </c>
      <c r="C1415" s="8" t="s">
        <v>21699</v>
      </c>
      <c r="D1415" s="1" t="s">
        <v>21700</v>
      </c>
      <c r="E1415" s="9" t="s">
        <v>21701</v>
      </c>
      <c r="F1415" s="1" t="s">
        <v>21702</v>
      </c>
      <c r="G1415" s="1" t="s">
        <v>21703</v>
      </c>
      <c r="H1415" s="1" t="s">
        <v>169</v>
      </c>
      <c r="I1415" s="9" t="s">
        <v>21704</v>
      </c>
      <c r="J1415" s="1">
        <v>35.0</v>
      </c>
      <c r="K1415" s="1" t="s">
        <v>102</v>
      </c>
      <c r="L1415" s="1" t="s">
        <v>103</v>
      </c>
      <c r="M1415" s="1" t="s">
        <v>104</v>
      </c>
      <c r="N1415" s="1" t="s">
        <v>4312</v>
      </c>
      <c r="O1415" s="1" t="s">
        <v>312</v>
      </c>
      <c r="P1415" s="1" t="s">
        <v>11207</v>
      </c>
      <c r="Q1415" s="1" t="s">
        <v>9138</v>
      </c>
      <c r="R1415" s="1" t="s">
        <v>968</v>
      </c>
      <c r="S1415" s="1" t="s">
        <v>6661</v>
      </c>
      <c r="T1415" s="1" t="s">
        <v>21705</v>
      </c>
      <c r="U1415" s="1" t="s">
        <v>21706</v>
      </c>
      <c r="V1415" s="1" t="s">
        <v>479</v>
      </c>
      <c r="Z1415" s="1" t="s">
        <v>21707</v>
      </c>
      <c r="AA1415" s="1" t="s">
        <v>12069</v>
      </c>
      <c r="AB1415" s="1" t="s">
        <v>21708</v>
      </c>
      <c r="AC1415" s="1" t="s">
        <v>21709</v>
      </c>
      <c r="AF1415" s="1" t="s">
        <v>21710</v>
      </c>
      <c r="AG1415" s="1">
        <v>7.134362868E9</v>
      </c>
      <c r="AJ1415" s="1">
        <v>162.0</v>
      </c>
      <c r="AK1415" s="1">
        <v>66.0</v>
      </c>
      <c r="AL1415" s="1" t="s">
        <v>21711</v>
      </c>
      <c r="AM1415" s="1" t="s">
        <v>21712</v>
      </c>
      <c r="AN1415" s="7" t="s">
        <v>21713</v>
      </c>
      <c r="AO1415" s="8" t="str">
        <f>HYPERLINK("https://docs.google.com/document/d/1X9xlJ5NAq_065pOXCsiFI2iRf5GGp9BhUEpPNOuD-_E/edit?usp=drivesdk","Al-Wildan 16 Ciledug_Fitria Afrianti, M.Pd.Gr._Science")</f>
        <v>Al-Wildan 16 Ciledug_Fitria Afrianti, M.Pd.Gr._Science</v>
      </c>
      <c r="AP1415" s="1" t="s">
        <v>21697</v>
      </c>
    </row>
    <row r="1416">
      <c r="A1416" s="6">
        <v>46176.842906342594</v>
      </c>
      <c r="B1416" s="7" t="s">
        <v>21714</v>
      </c>
      <c r="C1416" s="8" t="s">
        <v>21715</v>
      </c>
      <c r="D1416" s="1" t="s">
        <v>21716</v>
      </c>
      <c r="E1416" s="9" t="s">
        <v>21717</v>
      </c>
      <c r="F1416" s="1" t="s">
        <v>21718</v>
      </c>
      <c r="G1416" s="1" t="s">
        <v>21719</v>
      </c>
      <c r="H1416" s="1" t="s">
        <v>169</v>
      </c>
      <c r="I1416" s="9" t="s">
        <v>18288</v>
      </c>
      <c r="J1416" s="1" t="s">
        <v>190</v>
      </c>
      <c r="K1416" s="1" t="s">
        <v>102</v>
      </c>
      <c r="L1416" s="1" t="s">
        <v>103</v>
      </c>
      <c r="M1416" s="1" t="s">
        <v>104</v>
      </c>
      <c r="N1416" s="1" t="s">
        <v>274</v>
      </c>
      <c r="O1416" s="1" t="s">
        <v>312</v>
      </c>
      <c r="P1416" s="1" t="s">
        <v>6091</v>
      </c>
      <c r="Q1416" s="1" t="s">
        <v>21720</v>
      </c>
      <c r="R1416" s="1" t="s">
        <v>259</v>
      </c>
      <c r="S1416" s="1">
        <v>3.16</v>
      </c>
      <c r="Z1416" s="1" t="s">
        <v>21721</v>
      </c>
      <c r="AA1416" s="10">
        <v>4150000.0</v>
      </c>
      <c r="AB1416" s="1" t="s">
        <v>21722</v>
      </c>
      <c r="AC1416" s="10">
        <v>1600000.0</v>
      </c>
      <c r="AF1416" s="10">
        <v>5000000.0</v>
      </c>
      <c r="AG1416" s="1">
        <v>9.74369286E9</v>
      </c>
      <c r="AJ1416" s="1">
        <v>170.0</v>
      </c>
      <c r="AK1416" s="1">
        <v>120.0</v>
      </c>
      <c r="AL1416" s="1" t="s">
        <v>21723</v>
      </c>
      <c r="AM1416" s="1" t="s">
        <v>21724</v>
      </c>
      <c r="AN1416" s="7" t="s">
        <v>21725</v>
      </c>
      <c r="AO1416" s="8" t="str">
        <f>HYPERLINK("https://docs.google.com/document/d/1luXwnOdBkQi3dqz6zztFMqKrhVeknDiTtXliaNmQacI/edit?usp=drivesdk","Al-Wildan 10 Cipinang, Jakarta Timur_Salman Alvarizi, S.Pd_Diniyyah")</f>
        <v>Al-Wildan 10 Cipinang, Jakarta Timur_Salman Alvarizi, S.Pd_Diniyyah</v>
      </c>
      <c r="AP1416" s="1" t="s">
        <v>21726</v>
      </c>
    </row>
    <row r="1417">
      <c r="A1417" s="6">
        <v>46176.84542780093</v>
      </c>
      <c r="B1417" s="7" t="s">
        <v>21727</v>
      </c>
      <c r="C1417" s="8" t="s">
        <v>21728</v>
      </c>
      <c r="D1417" s="1" t="s">
        <v>21729</v>
      </c>
      <c r="E1417" s="9" t="s">
        <v>21730</v>
      </c>
      <c r="F1417" s="1" t="s">
        <v>21731</v>
      </c>
      <c r="G1417" s="1" t="s">
        <v>21732</v>
      </c>
      <c r="H1417" s="1" t="s">
        <v>1255</v>
      </c>
      <c r="I1417" s="9" t="s">
        <v>21733</v>
      </c>
      <c r="J1417" s="1" t="s">
        <v>1591</v>
      </c>
      <c r="K1417" s="1" t="s">
        <v>102</v>
      </c>
      <c r="L1417" s="1" t="s">
        <v>827</v>
      </c>
      <c r="M1417" s="1" t="s">
        <v>104</v>
      </c>
      <c r="N1417" s="1" t="s">
        <v>771</v>
      </c>
      <c r="O1417" s="1" t="s">
        <v>312</v>
      </c>
      <c r="P1417" s="1" t="s">
        <v>21734</v>
      </c>
      <c r="Q1417" s="1" t="s">
        <v>21735</v>
      </c>
      <c r="R1417" s="1" t="s">
        <v>172</v>
      </c>
      <c r="S1417" s="1" t="s">
        <v>155</v>
      </c>
      <c r="T1417" s="1" t="s">
        <v>21735</v>
      </c>
      <c r="U1417" s="1" t="s">
        <v>172</v>
      </c>
      <c r="V1417" s="1" t="s">
        <v>17745</v>
      </c>
      <c r="Z1417" s="1" t="s">
        <v>21736</v>
      </c>
      <c r="AA1417" s="10">
        <v>1800000.0</v>
      </c>
      <c r="AB1417" s="1" t="s">
        <v>21737</v>
      </c>
      <c r="AC1417" s="10">
        <v>4000000.0</v>
      </c>
      <c r="AF1417" s="1" t="s">
        <v>19814</v>
      </c>
      <c r="AH1417" s="1">
        <v>1.360018855715E12</v>
      </c>
      <c r="AI1417" s="1" t="s">
        <v>1493</v>
      </c>
      <c r="AJ1417" s="1">
        <v>155.0</v>
      </c>
      <c r="AK1417" s="1">
        <v>67.0</v>
      </c>
      <c r="AL1417" s="1" t="s">
        <v>21738</v>
      </c>
      <c r="AM1417" s="1" t="s">
        <v>21739</v>
      </c>
      <c r="AN1417" s="7" t="s">
        <v>21740</v>
      </c>
      <c r="AO1417" s="8" t="str">
        <f>HYPERLINK("https://docs.google.com/document/d/1Bd_6wtsTiM2dlcXNJJEUgWpU6Lp7fBosuhBm8oCs2g0/edit?usp=drivesdk","Al-Wildan 23 SEMARANG_Wasiatul Fajar Istiqomah, M.Pd._English")</f>
        <v>Al-Wildan 23 SEMARANG_Wasiatul Fajar Istiqomah, M.Pd._English</v>
      </c>
      <c r="AP1417" s="1" t="s">
        <v>21741</v>
      </c>
    </row>
    <row r="1418">
      <c r="A1418" s="6">
        <v>46177.37241462963</v>
      </c>
      <c r="B1418" s="7" t="s">
        <v>21742</v>
      </c>
      <c r="C1418" s="8" t="s">
        <v>21743</v>
      </c>
      <c r="D1418" s="1" t="s">
        <v>21744</v>
      </c>
      <c r="E1418" s="9" t="s">
        <v>21745</v>
      </c>
      <c r="F1418" s="1" t="s">
        <v>21746</v>
      </c>
      <c r="G1418" s="1" t="s">
        <v>21747</v>
      </c>
      <c r="H1418" s="1" t="s">
        <v>169</v>
      </c>
      <c r="I1418" s="9" t="s">
        <v>21748</v>
      </c>
      <c r="J1418" s="1" t="s">
        <v>13379</v>
      </c>
      <c r="K1418" s="1" t="s">
        <v>151</v>
      </c>
      <c r="L1418" s="1" t="s">
        <v>103</v>
      </c>
      <c r="M1418" s="1" t="s">
        <v>104</v>
      </c>
      <c r="N1418" s="1" t="s">
        <v>4312</v>
      </c>
      <c r="O1418" s="1" t="s">
        <v>312</v>
      </c>
      <c r="P1418" s="1" t="s">
        <v>6091</v>
      </c>
      <c r="Q1418" s="1" t="s">
        <v>108</v>
      </c>
      <c r="R1418" s="1" t="s">
        <v>989</v>
      </c>
      <c r="S1418" s="1" t="s">
        <v>7779</v>
      </c>
      <c r="Z1418" s="1" t="s">
        <v>21749</v>
      </c>
      <c r="AA1418" s="10">
        <v>4000000.0</v>
      </c>
      <c r="AB1418" s="1" t="s">
        <v>21750</v>
      </c>
      <c r="AC1418" s="10">
        <v>3500000.0</v>
      </c>
      <c r="AF1418" s="12">
        <v>6000000.0</v>
      </c>
      <c r="AH1418" s="9" t="s">
        <v>21751</v>
      </c>
      <c r="AI1418" s="1" t="s">
        <v>2407</v>
      </c>
      <c r="AJ1418" s="1">
        <v>158.0</v>
      </c>
      <c r="AK1418" s="1">
        <v>58.0</v>
      </c>
      <c r="AL1418" s="1" t="s">
        <v>21752</v>
      </c>
      <c r="AM1418" s="1" t="s">
        <v>21753</v>
      </c>
      <c r="AN1418" s="7" t="s">
        <v>21754</v>
      </c>
      <c r="AO1418" s="8" t="str">
        <f>HYPERLINK("https://docs.google.com/document/d/1P8EFBgZh-xhztHsjTh4v4wtIIbUL7dS-smPS_aJX_ts/edit?usp=drivesdk","Al-Wildan 10 Cipinang, Jakarta Timur_Lulu Friska SalsaBilla, S.Pd._Science")</f>
        <v>Al-Wildan 10 Cipinang, Jakarta Timur_Lulu Friska SalsaBilla, S.Pd._Science</v>
      </c>
      <c r="AP1418" s="1" t="s">
        <v>21755</v>
      </c>
    </row>
    <row r="1419">
      <c r="A1419" s="6">
        <v>46178.90180917824</v>
      </c>
      <c r="B1419" s="7" t="s">
        <v>21756</v>
      </c>
      <c r="C1419" s="8" t="s">
        <v>21757</v>
      </c>
      <c r="D1419" s="1" t="s">
        <v>21758</v>
      </c>
      <c r="E1419" s="1">
        <v>12.0</v>
      </c>
      <c r="F1419" s="1">
        <v>12.0</v>
      </c>
      <c r="G1419" s="1">
        <v>12.0</v>
      </c>
      <c r="H1419" s="1">
        <v>12.0</v>
      </c>
      <c r="I1419" s="1">
        <v>12.0</v>
      </c>
      <c r="J1419" s="1">
        <v>12.0</v>
      </c>
      <c r="K1419" s="1" t="s">
        <v>151</v>
      </c>
      <c r="L1419" s="1" t="s">
        <v>310</v>
      </c>
      <c r="M1419" s="1" t="s">
        <v>213</v>
      </c>
      <c r="N1419" s="1">
        <v>12.0</v>
      </c>
      <c r="O1419" s="1" t="s">
        <v>127</v>
      </c>
      <c r="P1419" s="1" t="s">
        <v>6044</v>
      </c>
      <c r="AJ1419" s="1">
        <v>12.0</v>
      </c>
      <c r="AK1419" s="1">
        <v>12.0</v>
      </c>
      <c r="AL1419" s="1" t="s">
        <v>21759</v>
      </c>
      <c r="AM1419" s="1" t="s">
        <v>21760</v>
      </c>
      <c r="AN1419" s="7" t="s">
        <v>21761</v>
      </c>
      <c r="AO1419" s="8" t="str">
        <f>HYPERLINK("https://docs.google.com/document/d/1ctP_X3cN2YIZk4u5ofEqKy_MvcXiuvdMDK5JeJGO69U/edit?usp=drivesdk","Al-Wildan Holding_Juli_12")</f>
        <v>Al-Wildan Holding_Juli_12</v>
      </c>
      <c r="AP1419" s="1" t="s">
        <v>21762</v>
      </c>
    </row>
    <row r="1420">
      <c r="A1420" s="6">
        <v>46179.39359</v>
      </c>
      <c r="B1420" s="7" t="s">
        <v>21763</v>
      </c>
      <c r="C1420" s="8" t="s">
        <v>21764</v>
      </c>
      <c r="D1420" s="1" t="s">
        <v>21765</v>
      </c>
      <c r="E1420" s="9" t="s">
        <v>21766</v>
      </c>
      <c r="F1420" s="1" t="s">
        <v>21767</v>
      </c>
      <c r="G1420" s="1" t="s">
        <v>21768</v>
      </c>
      <c r="H1420" s="1" t="s">
        <v>1464</v>
      </c>
      <c r="I1420" s="9" t="s">
        <v>21769</v>
      </c>
      <c r="J1420" s="1" t="s">
        <v>21770</v>
      </c>
      <c r="K1420" s="1" t="s">
        <v>151</v>
      </c>
      <c r="L1420" s="1" t="s">
        <v>103</v>
      </c>
      <c r="M1420" s="1" t="s">
        <v>104</v>
      </c>
      <c r="N1420" s="1" t="s">
        <v>1634</v>
      </c>
      <c r="O1420" s="1" t="s">
        <v>9794</v>
      </c>
      <c r="P1420" s="1" t="s">
        <v>21771</v>
      </c>
      <c r="Q1420" s="1" t="s">
        <v>5126</v>
      </c>
      <c r="R1420" s="1" t="s">
        <v>499</v>
      </c>
      <c r="S1420" s="1" t="s">
        <v>7779</v>
      </c>
      <c r="Z1420" s="1" t="s">
        <v>21772</v>
      </c>
      <c r="AA1420" s="10">
        <v>800000.0</v>
      </c>
      <c r="AB1420" s="1" t="s">
        <v>21773</v>
      </c>
      <c r="AC1420" s="10">
        <v>1050000.0</v>
      </c>
      <c r="AG1420" s="1">
        <v>7.262013566E9</v>
      </c>
      <c r="AI1420" s="1" t="s">
        <v>5113</v>
      </c>
      <c r="AJ1420" s="1">
        <v>158.0</v>
      </c>
      <c r="AK1420" s="1">
        <v>44.0</v>
      </c>
      <c r="AL1420" s="1" t="s">
        <v>21774</v>
      </c>
      <c r="AM1420" s="1" t="s">
        <v>21775</v>
      </c>
      <c r="AN1420" s="7" t="s">
        <v>21776</v>
      </c>
      <c r="AO1420" s="8" t="str">
        <f>HYPERLINK("https://docs.google.com/document/d/1D08B99h_HfObHpFUTAaq6wjJJ1rcWgSk5HKSKeCHQ7w/edit?usp=drivesdk","Al-Wildan 25 Yogyakarta_Fadhila Salma Nuzula, S.Ag._Diniyah")</f>
        <v>Al-Wildan 25 Yogyakarta_Fadhila Salma Nuzula, S.Ag._Diniyah</v>
      </c>
      <c r="AP1420" s="1" t="s">
        <v>21777</v>
      </c>
    </row>
    <row r="1421">
      <c r="A1421" s="6">
        <v>46182.67577572916</v>
      </c>
      <c r="B1421" s="7" t="s">
        <v>21778</v>
      </c>
      <c r="C1421" s="8" t="s">
        <v>21779</v>
      </c>
      <c r="D1421" s="1" t="s">
        <v>21780</v>
      </c>
      <c r="E1421" s="9" t="s">
        <v>21781</v>
      </c>
      <c r="F1421" s="1" t="s">
        <v>21782</v>
      </c>
      <c r="G1421" s="1" t="s">
        <v>21783</v>
      </c>
      <c r="H1421" s="1" t="s">
        <v>6482</v>
      </c>
      <c r="I1421" s="9" t="s">
        <v>21784</v>
      </c>
      <c r="J1421" s="1" t="s">
        <v>628</v>
      </c>
      <c r="K1421" s="1" t="s">
        <v>102</v>
      </c>
      <c r="L1421" s="1" t="s">
        <v>103</v>
      </c>
      <c r="M1421" s="1" t="s">
        <v>104</v>
      </c>
      <c r="N1421" s="1" t="s">
        <v>16037</v>
      </c>
      <c r="O1421" s="1" t="s">
        <v>312</v>
      </c>
      <c r="P1421" s="1" t="s">
        <v>237</v>
      </c>
      <c r="Q1421" s="1" t="s">
        <v>153</v>
      </c>
      <c r="R1421" s="1" t="s">
        <v>14854</v>
      </c>
      <c r="S1421" s="1" t="s">
        <v>277</v>
      </c>
      <c r="Z1421" s="1" t="s">
        <v>21785</v>
      </c>
      <c r="AA1421" s="10">
        <v>2500000.0</v>
      </c>
      <c r="AB1421" s="1" t="s">
        <v>21786</v>
      </c>
      <c r="AC1421" s="10">
        <v>6500000.0</v>
      </c>
      <c r="AF1421" s="10">
        <v>6500000.0</v>
      </c>
      <c r="AG1421" s="1">
        <v>7.292317427E9</v>
      </c>
      <c r="AJ1421" s="1">
        <v>154.0</v>
      </c>
      <c r="AK1421" s="1">
        <v>73.0</v>
      </c>
      <c r="AL1421" s="1" t="s">
        <v>21787</v>
      </c>
      <c r="AM1421" s="1" t="s">
        <v>21788</v>
      </c>
      <c r="AN1421" s="7" t="s">
        <v>21789</v>
      </c>
      <c r="AO1421" s="8" t="str">
        <f>HYPERLINK("https://docs.google.com/document/d/1loA4n8CNQfmyZzO0eS6nSTJbvJUaRSZJC61zLv-Sv64/edit?usp=drivesdk","Al-Wildan 4 Lebak Bulus_Aisyah Huriyatun Na'im, S.Pd_SEM")</f>
        <v>Al-Wildan 4 Lebak Bulus_Aisyah Huriyatun Na'im, S.Pd_SEM</v>
      </c>
      <c r="AP1421" s="1" t="s">
        <v>21790</v>
      </c>
    </row>
    <row r="1422">
      <c r="A1422" s="6">
        <v>46183.44278729167</v>
      </c>
      <c r="B1422" s="7" t="s">
        <v>21791</v>
      </c>
      <c r="C1422" s="8" t="s">
        <v>21792</v>
      </c>
      <c r="D1422" s="1" t="s">
        <v>21793</v>
      </c>
      <c r="E1422" s="1">
        <v>8.7850113886E10</v>
      </c>
      <c r="F1422" s="1" t="s">
        <v>21794</v>
      </c>
      <c r="G1422" s="1" t="s">
        <v>21795</v>
      </c>
      <c r="H1422" s="1" t="s">
        <v>21796</v>
      </c>
      <c r="I1422" s="9" t="s">
        <v>18135</v>
      </c>
      <c r="J1422" s="1" t="s">
        <v>407</v>
      </c>
      <c r="K1422" s="1" t="s">
        <v>151</v>
      </c>
      <c r="L1422" s="1" t="s">
        <v>329</v>
      </c>
      <c r="M1422" s="1" t="s">
        <v>104</v>
      </c>
      <c r="N1422" s="1" t="s">
        <v>274</v>
      </c>
      <c r="O1422" s="1" t="s">
        <v>312</v>
      </c>
      <c r="P1422" s="1" t="s">
        <v>237</v>
      </c>
      <c r="Q1422" s="1" t="s">
        <v>21797</v>
      </c>
      <c r="R1422" s="1" t="s">
        <v>2249</v>
      </c>
      <c r="S1422" s="1">
        <v>4.81</v>
      </c>
      <c r="Z1422" s="1" t="s">
        <v>21798</v>
      </c>
      <c r="AA1422" s="10">
        <v>200000.0</v>
      </c>
      <c r="AB1422" s="1" t="s">
        <v>21799</v>
      </c>
      <c r="AC1422" s="10">
        <v>250000.0</v>
      </c>
      <c r="AD1422" s="1" t="s">
        <v>21800</v>
      </c>
      <c r="AE1422" s="10">
        <v>300000.0</v>
      </c>
      <c r="AF1422" s="10">
        <v>7000000.0</v>
      </c>
      <c r="AG1422" s="1">
        <v>7.207482824E9</v>
      </c>
      <c r="AJ1422" s="1">
        <v>156.0</v>
      </c>
      <c r="AK1422" s="1">
        <v>54.0</v>
      </c>
      <c r="AL1422" s="1" t="s">
        <v>21801</v>
      </c>
      <c r="AM1422" s="1" t="s">
        <v>21802</v>
      </c>
      <c r="AN1422" s="7" t="s">
        <v>21803</v>
      </c>
      <c r="AO1422" s="8" t="str">
        <f>HYPERLINK("https://docs.google.com/document/d/1q8fKDZC9CN7IUgjeAw-LSbQsxqicJXCsDuIpfkolDUE/edit?usp=drivesdk","Al-Wildan 4 Lebak Bulus_Ainia Salsabila, BA_Diniyyah")</f>
        <v>Al-Wildan 4 Lebak Bulus_Ainia Salsabila, BA_Diniyyah</v>
      </c>
      <c r="AP1422" s="1" t="s">
        <v>21790</v>
      </c>
    </row>
    <row r="1423">
      <c r="A1423" s="6">
        <v>46183.702583645834</v>
      </c>
      <c r="B1423" s="7" t="s">
        <v>21804</v>
      </c>
      <c r="C1423" s="8" t="s">
        <v>21805</v>
      </c>
      <c r="D1423" s="1" t="s">
        <v>21806</v>
      </c>
      <c r="E1423" s="9" t="s">
        <v>21807</v>
      </c>
      <c r="F1423" s="1" t="s">
        <v>21808</v>
      </c>
      <c r="G1423" s="1" t="s">
        <v>21809</v>
      </c>
      <c r="H1423" s="1" t="s">
        <v>169</v>
      </c>
      <c r="I1423" s="9" t="s">
        <v>21810</v>
      </c>
      <c r="J1423" s="1" t="s">
        <v>4322</v>
      </c>
      <c r="K1423" s="1" t="s">
        <v>151</v>
      </c>
      <c r="L1423" s="1" t="s">
        <v>310</v>
      </c>
      <c r="M1423" s="1" t="s">
        <v>104</v>
      </c>
      <c r="N1423" s="1" t="s">
        <v>771</v>
      </c>
      <c r="O1423" s="1" t="s">
        <v>312</v>
      </c>
      <c r="P1423" s="1" t="s">
        <v>11207</v>
      </c>
      <c r="R1423" s="1" t="s">
        <v>21811</v>
      </c>
      <c r="Z1423" s="1" t="s">
        <v>21812</v>
      </c>
      <c r="AA1423" s="10">
        <v>3000000.0</v>
      </c>
      <c r="AB1423" s="1" t="s">
        <v>21813</v>
      </c>
      <c r="AC1423" s="10">
        <v>650000.0</v>
      </c>
      <c r="AG1423" s="1">
        <v>7.360520379E9</v>
      </c>
      <c r="AJ1423" s="1">
        <v>158.0</v>
      </c>
      <c r="AK1423" s="1">
        <v>66.0</v>
      </c>
      <c r="AL1423" s="1" t="s">
        <v>21814</v>
      </c>
      <c r="AM1423" s="1" t="s">
        <v>21815</v>
      </c>
      <c r="AN1423" s="7" t="s">
        <v>21816</v>
      </c>
      <c r="AO1423" s="8" t="str">
        <f>HYPERLINK("https://docs.google.com/document/d/1PDh9rI1PaKvvSaogrRoR4cNQF42D9ficDBX8q_9nJqU/edit?usp=drivesdk","Al-Wildan 16 Ciledug_Tazkia Zahra Putri Maula_English")</f>
        <v>Al-Wildan 16 Ciledug_Tazkia Zahra Putri Maula_English</v>
      </c>
      <c r="AP1423" s="1" t="s">
        <v>21817</v>
      </c>
    </row>
    <row r="1424">
      <c r="A1424" s="6">
        <v>46184.49970996528</v>
      </c>
      <c r="B1424" s="7" t="s">
        <v>21818</v>
      </c>
      <c r="C1424" s="8" t="s">
        <v>21819</v>
      </c>
      <c r="D1424" s="1" t="s">
        <v>21820</v>
      </c>
      <c r="E1424" s="9" t="s">
        <v>21821</v>
      </c>
      <c r="F1424" s="1" t="s">
        <v>21822</v>
      </c>
      <c r="G1424" s="1" t="s">
        <v>21823</v>
      </c>
      <c r="H1424" s="1" t="s">
        <v>2076</v>
      </c>
      <c r="I1424" s="9" t="s">
        <v>21824</v>
      </c>
      <c r="J1424" s="1" t="s">
        <v>392</v>
      </c>
      <c r="K1424" s="1" t="s">
        <v>151</v>
      </c>
      <c r="L1424" s="1" t="s">
        <v>103</v>
      </c>
      <c r="M1424" s="1" t="s">
        <v>104</v>
      </c>
      <c r="N1424" s="1" t="s">
        <v>21825</v>
      </c>
      <c r="O1424" s="1" t="s">
        <v>236</v>
      </c>
      <c r="P1424" s="1" t="s">
        <v>237</v>
      </c>
      <c r="Q1424" s="1" t="s">
        <v>21826</v>
      </c>
      <c r="R1424" s="1" t="s">
        <v>707</v>
      </c>
      <c r="S1424" s="1" t="s">
        <v>21827</v>
      </c>
      <c r="T1424" s="1" t="s">
        <v>217</v>
      </c>
      <c r="Z1424" s="1" t="s">
        <v>21828</v>
      </c>
      <c r="AA1424" s="1" t="s">
        <v>21829</v>
      </c>
      <c r="AF1424" s="1" t="s">
        <v>21830</v>
      </c>
      <c r="AG1424" s="1">
        <v>7.174577727E9</v>
      </c>
      <c r="AI1424" s="1" t="s">
        <v>4856</v>
      </c>
      <c r="AJ1424" s="1">
        <v>155.0</v>
      </c>
      <c r="AK1424" s="1">
        <v>52.0</v>
      </c>
      <c r="AL1424" s="1" t="s">
        <v>21831</v>
      </c>
      <c r="AM1424" s="1" t="s">
        <v>21832</v>
      </c>
      <c r="AN1424" s="7" t="s">
        <v>21833</v>
      </c>
      <c r="AO1424" s="8" t="str">
        <f>HYPERLINK("https://docs.google.com/document/d/1PT_XdP8BOlf3FP_AHlLBtSy4zSVygJCGT7QIwKHu0m0/edit?usp=drivesdk","Al-Wildan 4 Lebak Bulus_Nurlatifaturrahmah, B.A._Al Qur'an, Mapel Agama dan Ilmu Syar'i, serta Bahasa Arab ")</f>
        <v>Al-Wildan 4 Lebak Bulus_Nurlatifaturrahmah, B.A._Al Qur'an, Mapel Agama dan Ilmu Syar'i, serta Bahasa Arab </v>
      </c>
      <c r="AP1424" s="1" t="s">
        <v>21834</v>
      </c>
    </row>
    <row r="1425">
      <c r="A1425" s="6">
        <v>46184.66597726852</v>
      </c>
      <c r="B1425" s="7" t="s">
        <v>21835</v>
      </c>
      <c r="C1425" s="8" t="s">
        <v>21836</v>
      </c>
      <c r="D1425" s="1" t="s">
        <v>21837</v>
      </c>
      <c r="E1425" s="9" t="s">
        <v>21838</v>
      </c>
      <c r="F1425" s="1" t="s">
        <v>21839</v>
      </c>
      <c r="G1425" s="1" t="s">
        <v>21840</v>
      </c>
      <c r="H1425" s="1" t="s">
        <v>20074</v>
      </c>
      <c r="I1425" s="9" t="s">
        <v>21841</v>
      </c>
      <c r="J1425" s="1" t="s">
        <v>21842</v>
      </c>
      <c r="K1425" s="1" t="s">
        <v>151</v>
      </c>
      <c r="L1425" s="1" t="s">
        <v>103</v>
      </c>
      <c r="M1425" s="1" t="s">
        <v>104</v>
      </c>
      <c r="N1425" s="1" t="s">
        <v>21843</v>
      </c>
      <c r="O1425" s="1" t="s">
        <v>312</v>
      </c>
      <c r="P1425" s="1" t="s">
        <v>237</v>
      </c>
      <c r="Q1425" s="1" t="s">
        <v>7635</v>
      </c>
      <c r="R1425" s="1" t="s">
        <v>21844</v>
      </c>
      <c r="S1425" s="1" t="s">
        <v>15983</v>
      </c>
      <c r="Z1425" s="1" t="s">
        <v>21845</v>
      </c>
      <c r="AA1425" s="10">
        <v>6500000.0</v>
      </c>
      <c r="AF1425" s="10">
        <v>8000000.0</v>
      </c>
      <c r="AH1425" s="1">
        <v>5.280452612E9</v>
      </c>
      <c r="AI1425" s="1" t="s">
        <v>222</v>
      </c>
      <c r="AJ1425" s="1">
        <v>160.0</v>
      </c>
      <c r="AK1425" s="1">
        <v>60.0</v>
      </c>
      <c r="AL1425" s="1" t="s">
        <v>21846</v>
      </c>
      <c r="AM1425" s="1" t="s">
        <v>21847</v>
      </c>
      <c r="AN1425" s="7" t="s">
        <v>21848</v>
      </c>
      <c r="AO1425" s="8" t="str">
        <f>HYPERLINK("https://docs.google.com/document/d/1ihz7MV5qHBeSwE5T0h_OstR8p-b8AobWu2k-YeAdzX4/edit?usp=drivesdk","Al-Wildan 4 Lebak Bulus_Dwi Febriana Rochmah, S,Si_Guru Matematika dan IPA")</f>
        <v>Al-Wildan 4 Lebak Bulus_Dwi Febriana Rochmah, S,Si_Guru Matematika dan IPA</v>
      </c>
      <c r="AP1425" s="1" t="s">
        <v>21849</v>
      </c>
    </row>
    <row r="1426">
      <c r="A1426" s="6">
        <v>46187.50521809028</v>
      </c>
      <c r="B1426" s="7" t="s">
        <v>21850</v>
      </c>
      <c r="C1426" s="8" t="s">
        <v>21851</v>
      </c>
      <c r="D1426" s="1" t="s">
        <v>21852</v>
      </c>
      <c r="E1426" s="9" t="s">
        <v>21853</v>
      </c>
      <c r="F1426" s="1" t="s">
        <v>21854</v>
      </c>
      <c r="G1426" s="1" t="s">
        <v>8198</v>
      </c>
      <c r="H1426" s="1" t="s">
        <v>11166</v>
      </c>
      <c r="I1426" s="9" t="s">
        <v>21855</v>
      </c>
      <c r="J1426" s="1" t="s">
        <v>986</v>
      </c>
      <c r="K1426" s="1" t="s">
        <v>102</v>
      </c>
      <c r="L1426" s="1" t="s">
        <v>103</v>
      </c>
      <c r="M1426" s="1" t="s">
        <v>104</v>
      </c>
      <c r="N1426" s="1" t="s">
        <v>6720</v>
      </c>
      <c r="O1426" s="1" t="s">
        <v>312</v>
      </c>
      <c r="P1426" s="1" t="s">
        <v>21771</v>
      </c>
      <c r="Q1426" s="1" t="s">
        <v>1022</v>
      </c>
      <c r="R1426" s="1" t="s">
        <v>193</v>
      </c>
      <c r="S1426" s="1" t="s">
        <v>21856</v>
      </c>
      <c r="Z1426" s="1" t="s">
        <v>21857</v>
      </c>
      <c r="AA1426" s="10">
        <v>4400000.0</v>
      </c>
      <c r="AF1426" s="10">
        <v>4500000.0</v>
      </c>
      <c r="AG1426" s="1">
        <v>6.14491435E9</v>
      </c>
      <c r="AI1426" s="1" t="s">
        <v>5113</v>
      </c>
      <c r="AJ1426" s="1">
        <v>162.0</v>
      </c>
      <c r="AK1426" s="1">
        <v>63.0</v>
      </c>
      <c r="AL1426" s="1" t="s">
        <v>21858</v>
      </c>
      <c r="AM1426" s="1" t="s">
        <v>21859</v>
      </c>
      <c r="AN1426" s="7" t="s">
        <v>21860</v>
      </c>
      <c r="AO1426" s="8" t="str">
        <f>HYPERLINK("https://docs.google.com/document/d/1RU-dvObTCc1Veq63RNquOsAlGOoNbiA5gST4YG84wFw/edit?usp=drivesdk","Al-Wildan 25 Yogyakarta_Helmi Kurnia Rahman, B. A. _Tahfidz")</f>
        <v>Al-Wildan 25 Yogyakarta_Helmi Kurnia Rahman, B. A. _Tahfidz</v>
      </c>
      <c r="AP1426" s="1" t="s">
        <v>21861</v>
      </c>
    </row>
    <row r="1427">
      <c r="A1427" s="6">
        <v>46187.520490254625</v>
      </c>
      <c r="B1427" s="7" t="s">
        <v>21862</v>
      </c>
      <c r="C1427" s="8" t="s">
        <v>21863</v>
      </c>
      <c r="D1427" s="1" t="s">
        <v>21864</v>
      </c>
      <c r="E1427" s="9" t="s">
        <v>21865</v>
      </c>
      <c r="F1427" s="1" t="s">
        <v>21866</v>
      </c>
      <c r="G1427" s="1" t="s">
        <v>21867</v>
      </c>
      <c r="H1427" s="1" t="s">
        <v>169</v>
      </c>
      <c r="I1427" s="9" t="s">
        <v>17436</v>
      </c>
      <c r="J1427" s="1" t="s">
        <v>11139</v>
      </c>
      <c r="K1427" s="1" t="s">
        <v>151</v>
      </c>
      <c r="L1427" s="1" t="s">
        <v>103</v>
      </c>
      <c r="M1427" s="1" t="s">
        <v>8033</v>
      </c>
      <c r="O1427" s="1" t="s">
        <v>14262</v>
      </c>
      <c r="P1427" s="1" t="s">
        <v>14335</v>
      </c>
      <c r="Q1427" s="1" t="s">
        <v>21868</v>
      </c>
      <c r="R1427" s="1" t="s">
        <v>21869</v>
      </c>
      <c r="S1427" s="1">
        <v>3.52</v>
      </c>
      <c r="Z1427" s="1" t="s">
        <v>21870</v>
      </c>
      <c r="AA1427" s="10">
        <v>4500000.0</v>
      </c>
      <c r="AF1427" s="10">
        <v>6000000.0</v>
      </c>
      <c r="AG1427" s="1">
        <v>7.291022407E9</v>
      </c>
      <c r="AJ1427" s="1">
        <v>173.0</v>
      </c>
      <c r="AK1427" s="1">
        <v>60.0</v>
      </c>
      <c r="AL1427" s="1" t="s">
        <v>21871</v>
      </c>
      <c r="AM1427" s="1" t="s">
        <v>21872</v>
      </c>
      <c r="AN1427" s="7" t="s">
        <v>21873</v>
      </c>
      <c r="AO1427" s="8" t="str">
        <f>HYPERLINK("https://docs.google.com/document/d/1cb69c_ZL4kHwW1DlBKOXwttsqRbB_hWj4_hs44-C-d4/edit?usp=drivesdk","Al-Wildan 13 Tembalang, Bekasi_Muhammad Hawlaa Abdussalam Shadra, S.P._")</f>
        <v>Al-Wildan 13 Tembalang, Bekasi_Muhammad Hawlaa Abdussalam Shadra, S.P._</v>
      </c>
      <c r="AP1427" s="1" t="s">
        <v>21874</v>
      </c>
    </row>
    <row r="1428">
      <c r="A1428" s="6">
        <v>46187.71580695602</v>
      </c>
      <c r="B1428" s="7" t="s">
        <v>21875</v>
      </c>
      <c r="C1428" s="8" t="s">
        <v>21876</v>
      </c>
      <c r="D1428" s="1" t="s">
        <v>10808</v>
      </c>
      <c r="E1428" s="9" t="s">
        <v>10809</v>
      </c>
      <c r="F1428" s="1" t="s">
        <v>21877</v>
      </c>
      <c r="G1428" s="1" t="s">
        <v>21878</v>
      </c>
      <c r="H1428" s="1" t="s">
        <v>169</v>
      </c>
      <c r="I1428" s="9" t="s">
        <v>21879</v>
      </c>
      <c r="J1428" s="1" t="s">
        <v>9260</v>
      </c>
      <c r="K1428" s="1" t="s">
        <v>102</v>
      </c>
      <c r="L1428" s="1" t="s">
        <v>103</v>
      </c>
      <c r="M1428" s="1" t="s">
        <v>104</v>
      </c>
      <c r="N1428" s="1" t="s">
        <v>1275</v>
      </c>
      <c r="O1428" s="1" t="s">
        <v>236</v>
      </c>
      <c r="P1428" s="1" t="s">
        <v>5712</v>
      </c>
      <c r="Q1428" s="1" t="s">
        <v>2721</v>
      </c>
      <c r="R1428" s="1" t="s">
        <v>1277</v>
      </c>
      <c r="S1428" s="1" t="s">
        <v>240</v>
      </c>
      <c r="T1428" s="1" t="s">
        <v>21880</v>
      </c>
      <c r="U1428" s="1" t="s">
        <v>1541</v>
      </c>
      <c r="Z1428" s="1" t="s">
        <v>21881</v>
      </c>
      <c r="AA1428" s="10">
        <v>6.0E7</v>
      </c>
      <c r="AB1428" s="1" t="s">
        <v>21882</v>
      </c>
      <c r="AC1428" s="10">
        <v>8000000.0</v>
      </c>
      <c r="AF1428" s="1" t="s">
        <v>21883</v>
      </c>
      <c r="AH1428" s="1">
        <v>8.831619201E9</v>
      </c>
      <c r="AI1428" s="1" t="s">
        <v>222</v>
      </c>
      <c r="AJ1428" s="1">
        <v>180.0</v>
      </c>
      <c r="AK1428" s="1">
        <v>88.0</v>
      </c>
      <c r="AL1428" s="1" t="s">
        <v>10817</v>
      </c>
      <c r="AM1428" s="1" t="s">
        <v>21884</v>
      </c>
      <c r="AN1428" s="7" t="s">
        <v>21885</v>
      </c>
      <c r="AO1428" s="8" t="str">
        <f>HYPERLINK("https://docs.google.com/document/d/1RG7ZEEZUZp39Rvye2Kq9zZOTeS6cfcLDnM7yAA2T9r8/edit?usp=drivesdk","Al-Wildan 3 BSD City_Muhammad Nicova Kresnada Kamil Putra S.Pd_Biologi")</f>
        <v>Al-Wildan 3 BSD City_Muhammad Nicova Kresnada Kamil Putra S.Pd_Biologi</v>
      </c>
      <c r="AP1428" s="1" t="s">
        <v>21886</v>
      </c>
    </row>
    <row r="1429">
      <c r="A1429" s="6">
        <v>46188.46112688657</v>
      </c>
      <c r="B1429" s="7" t="s">
        <v>21887</v>
      </c>
      <c r="C1429" s="8" t="s">
        <v>21888</v>
      </c>
      <c r="D1429" s="1" t="s">
        <v>21889</v>
      </c>
      <c r="E1429" s="9" t="s">
        <v>21890</v>
      </c>
      <c r="F1429" s="1" t="s">
        <v>21891</v>
      </c>
      <c r="G1429" s="1" t="s">
        <v>21892</v>
      </c>
      <c r="H1429" s="1" t="s">
        <v>21893</v>
      </c>
      <c r="I1429" s="9" t="s">
        <v>21894</v>
      </c>
      <c r="J1429" s="1">
        <v>37.0</v>
      </c>
      <c r="K1429" s="1" t="s">
        <v>102</v>
      </c>
      <c r="L1429" s="1" t="s">
        <v>256</v>
      </c>
      <c r="M1429" s="1" t="s">
        <v>104</v>
      </c>
      <c r="N1429" s="1" t="s">
        <v>21895</v>
      </c>
      <c r="O1429" s="1" t="s">
        <v>9794</v>
      </c>
      <c r="P1429" s="1" t="s">
        <v>11168</v>
      </c>
      <c r="Q1429" s="1" t="s">
        <v>238</v>
      </c>
      <c r="R1429" s="1" t="s">
        <v>21896</v>
      </c>
      <c r="T1429" s="1" t="s">
        <v>21897</v>
      </c>
      <c r="Z1429" s="1" t="s">
        <v>21898</v>
      </c>
      <c r="AH1429" s="9" t="s">
        <v>21899</v>
      </c>
      <c r="AI1429" s="1" t="s">
        <v>222</v>
      </c>
      <c r="AJ1429" s="1">
        <v>157.0</v>
      </c>
      <c r="AK1429" s="1">
        <v>53.0</v>
      </c>
      <c r="AL1429" s="1" t="s">
        <v>21900</v>
      </c>
      <c r="AM1429" s="1" t="s">
        <v>21901</v>
      </c>
      <c r="AN1429" s="7" t="s">
        <v>21902</v>
      </c>
      <c r="AO1429" s="8" t="str">
        <f>HYPERLINK("https://docs.google.com/document/d/17XXF96WMZ8cSHu8Dger57-HDTXfjrdQ0LM-8TdsA4ZU/edit?usp=drivesdk","Al-Wildan 8 Parung_Noor ali abdullah bakadadah_Bahsa arb")</f>
        <v>Al-Wildan 8 Parung_Noor ali abdullah bakadadah_Bahsa arb</v>
      </c>
      <c r="AP1429" s="1" t="s">
        <v>21903</v>
      </c>
    </row>
    <row r="1430">
      <c r="A1430" s="6">
        <v>46188.51400726852</v>
      </c>
      <c r="B1430" s="7" t="s">
        <v>21904</v>
      </c>
      <c r="C1430" s="8" t="s">
        <v>21905</v>
      </c>
      <c r="D1430" s="1" t="s">
        <v>21906</v>
      </c>
      <c r="E1430" s="9" t="s">
        <v>21907</v>
      </c>
      <c r="F1430" s="1" t="s">
        <v>21908</v>
      </c>
      <c r="G1430" s="1" t="s">
        <v>21909</v>
      </c>
      <c r="H1430" s="1" t="s">
        <v>169</v>
      </c>
      <c r="I1430" s="9" t="s">
        <v>21910</v>
      </c>
      <c r="J1430" s="1" t="s">
        <v>10442</v>
      </c>
      <c r="K1430" s="1" t="s">
        <v>151</v>
      </c>
      <c r="L1430" s="1" t="s">
        <v>103</v>
      </c>
      <c r="M1430" s="1" t="s">
        <v>104</v>
      </c>
      <c r="N1430" s="1" t="s">
        <v>17680</v>
      </c>
      <c r="O1430" s="1" t="s">
        <v>312</v>
      </c>
      <c r="P1430" s="1" t="s">
        <v>6659</v>
      </c>
      <c r="Q1430" s="1" t="s">
        <v>21911</v>
      </c>
      <c r="R1430" s="1" t="s">
        <v>21912</v>
      </c>
      <c r="S1430" s="1" t="s">
        <v>7975</v>
      </c>
      <c r="Z1430" s="1" t="s">
        <v>21913</v>
      </c>
      <c r="AA1430" s="10">
        <v>5700000.0</v>
      </c>
      <c r="AF1430" s="10">
        <v>6500000.0</v>
      </c>
      <c r="AH1430" s="9" t="s">
        <v>21914</v>
      </c>
      <c r="AI1430" s="1" t="s">
        <v>14725</v>
      </c>
      <c r="AJ1430" s="1">
        <v>156.0</v>
      </c>
      <c r="AK1430" s="1">
        <v>75.0</v>
      </c>
      <c r="AL1430" s="1" t="s">
        <v>21915</v>
      </c>
      <c r="AM1430" s="1" t="s">
        <v>21916</v>
      </c>
      <c r="AN1430" s="7" t="s">
        <v>21917</v>
      </c>
      <c r="AO1430" s="8" t="str">
        <f>HYPERLINK("https://docs.google.com/document/d/1Nn_6Ecn7oo06udKB3s4AKxhqQYqENPc6MODCZonVsXs/edit?usp=drivesdk","Al-Wildan 15 Kompas Indah, Tambun Bekasi._Nadia Adristi Raissa, S.Pd._S.E.M")</f>
        <v>Al-Wildan 15 Kompas Indah, Tambun Bekasi._Nadia Adristi Raissa, S.Pd._S.E.M</v>
      </c>
      <c r="AP1430" s="1" t="s">
        <v>21918</v>
      </c>
    </row>
    <row r="1431">
      <c r="A1431" s="6">
        <v>46188.52987474537</v>
      </c>
      <c r="B1431" s="7" t="s">
        <v>21919</v>
      </c>
      <c r="C1431" s="8" t="s">
        <v>21920</v>
      </c>
      <c r="D1431" s="1" t="s">
        <v>21921</v>
      </c>
      <c r="E1431" s="9" t="s">
        <v>21922</v>
      </c>
      <c r="F1431" s="1" t="s">
        <v>21923</v>
      </c>
      <c r="G1431" s="1" t="s">
        <v>21924</v>
      </c>
      <c r="H1431" s="1" t="s">
        <v>169</v>
      </c>
      <c r="I1431" s="9" t="s">
        <v>21925</v>
      </c>
      <c r="J1431" s="1" t="s">
        <v>21926</v>
      </c>
      <c r="K1431" s="1" t="s">
        <v>102</v>
      </c>
      <c r="L1431" s="1" t="s">
        <v>103</v>
      </c>
      <c r="M1431" s="1" t="s">
        <v>104</v>
      </c>
      <c r="N1431" s="1" t="s">
        <v>126</v>
      </c>
      <c r="O1431" s="1" t="s">
        <v>236</v>
      </c>
      <c r="P1431" s="1" t="s">
        <v>7162</v>
      </c>
      <c r="Q1431" s="1" t="s">
        <v>291</v>
      </c>
      <c r="R1431" s="1" t="s">
        <v>130</v>
      </c>
      <c r="S1431" s="1" t="s">
        <v>8549</v>
      </c>
      <c r="T1431" s="1" t="s">
        <v>21927</v>
      </c>
      <c r="U1431" s="1" t="s">
        <v>21928</v>
      </c>
      <c r="V1431" s="1" t="s">
        <v>5523</v>
      </c>
      <c r="Z1431" s="1" t="s">
        <v>21929</v>
      </c>
      <c r="AA1431" s="10">
        <v>1.1E7</v>
      </c>
      <c r="AB1431" s="1" t="s">
        <v>21930</v>
      </c>
      <c r="AC1431" s="10">
        <v>5500000.0</v>
      </c>
      <c r="AF1431" s="10">
        <v>8000000.0</v>
      </c>
      <c r="AH1431" s="1">
        <v>1.630009915318E12</v>
      </c>
      <c r="AI1431" s="1" t="s">
        <v>2119</v>
      </c>
      <c r="AJ1431" s="1">
        <v>174.0</v>
      </c>
      <c r="AK1431" s="1">
        <v>80.0</v>
      </c>
      <c r="AL1431" s="1" t="s">
        <v>21931</v>
      </c>
      <c r="AM1431" s="1" t="s">
        <v>21932</v>
      </c>
      <c r="AN1431" s="7" t="s">
        <v>21933</v>
      </c>
      <c r="AO1431" s="8" t="str">
        <f>HYPERLINK("https://docs.google.com/document/d/1-qf7TuqBDeQYxTephUxhqFqJlkSoK6D2v_pP0sHh2Ls/edit?usp=drivesdk","Al-Wildan 7 Serang_Faizal Ridwan, S.Pd., M.Ed._Matematika")</f>
        <v>Al-Wildan 7 Serang_Faizal Ridwan, S.Pd., M.Ed._Matematika</v>
      </c>
      <c r="AP1431" s="1" t="s">
        <v>21934</v>
      </c>
    </row>
    <row r="1432">
      <c r="A1432" s="6">
        <v>46188.531384999995</v>
      </c>
      <c r="B1432" s="7" t="s">
        <v>21935</v>
      </c>
      <c r="C1432" s="8" t="s">
        <v>21936</v>
      </c>
      <c r="D1432" s="1" t="s">
        <v>21937</v>
      </c>
      <c r="E1432" s="9" t="s">
        <v>21938</v>
      </c>
      <c r="F1432" s="1" t="s">
        <v>21939</v>
      </c>
      <c r="G1432" s="1" t="s">
        <v>21940</v>
      </c>
      <c r="H1432" s="1" t="s">
        <v>21941</v>
      </c>
      <c r="I1432" s="9" t="s">
        <v>21942</v>
      </c>
      <c r="J1432" s="1" t="s">
        <v>150</v>
      </c>
      <c r="K1432" s="1" t="s">
        <v>151</v>
      </c>
      <c r="L1432" s="1" t="s">
        <v>103</v>
      </c>
      <c r="M1432" s="1" t="s">
        <v>104</v>
      </c>
      <c r="N1432" s="1" t="s">
        <v>6734</v>
      </c>
      <c r="O1432" s="1" t="s">
        <v>9794</v>
      </c>
      <c r="P1432" s="1" t="s">
        <v>6091</v>
      </c>
      <c r="Q1432" s="1" t="s">
        <v>3362</v>
      </c>
      <c r="R1432" s="1" t="s">
        <v>21943</v>
      </c>
      <c r="Z1432" s="1" t="s">
        <v>21944</v>
      </c>
      <c r="AA1432" s="10">
        <v>5000000.0</v>
      </c>
      <c r="AB1432" s="1" t="s">
        <v>21945</v>
      </c>
      <c r="AC1432" s="10">
        <v>4000000.0</v>
      </c>
      <c r="AF1432" s="10">
        <v>4500000.0</v>
      </c>
      <c r="AG1432" s="1">
        <v>7.256613888E9</v>
      </c>
      <c r="AH1432" s="1">
        <v>2.28801006291504E14</v>
      </c>
      <c r="AI1432" s="1" t="s">
        <v>2407</v>
      </c>
      <c r="AJ1432" s="1">
        <v>172.0</v>
      </c>
      <c r="AK1432" s="1">
        <v>95.0</v>
      </c>
      <c r="AL1432" s="1" t="s">
        <v>21946</v>
      </c>
      <c r="AM1432" s="1" t="s">
        <v>21947</v>
      </c>
      <c r="AN1432" s="7" t="s">
        <v>21948</v>
      </c>
      <c r="AO1432" s="8" t="str">
        <f>HYPERLINK("https://docs.google.com/document/d/1czQoZL_0yA8n1vDUtxzggTTtqI9OVqeU4NEfqW5QwVo/edit?usp=drivesdk","Al-Wildan 10 Cipinang, Jakarta Timur_Muhammad Faris Sabilli _Guru Al-Qur'an ")</f>
        <v>Al-Wildan 10 Cipinang, Jakarta Timur_Muhammad Faris Sabilli _Guru Al-Qur'an </v>
      </c>
      <c r="AP1432" s="1" t="s">
        <v>21949</v>
      </c>
    </row>
    <row r="1433">
      <c r="A1433" s="6">
        <v>46188.65695405092</v>
      </c>
      <c r="B1433" s="7" t="s">
        <v>21950</v>
      </c>
      <c r="C1433" s="8" t="s">
        <v>21951</v>
      </c>
      <c r="D1433" s="1" t="s">
        <v>21952</v>
      </c>
      <c r="E1433" s="9" t="s">
        <v>21953</v>
      </c>
      <c r="F1433" s="1" t="s">
        <v>21954</v>
      </c>
      <c r="G1433" s="1" t="s">
        <v>21955</v>
      </c>
      <c r="H1433" s="1" t="s">
        <v>4092</v>
      </c>
      <c r="I1433" s="9" t="s">
        <v>21956</v>
      </c>
      <c r="J1433" s="1" t="s">
        <v>7366</v>
      </c>
      <c r="K1433" s="1" t="s">
        <v>102</v>
      </c>
      <c r="L1433" s="1" t="s">
        <v>256</v>
      </c>
      <c r="M1433" s="1" t="s">
        <v>104</v>
      </c>
      <c r="N1433" s="1" t="s">
        <v>21957</v>
      </c>
      <c r="O1433" s="1" t="s">
        <v>236</v>
      </c>
      <c r="P1433" s="1" t="s">
        <v>21771</v>
      </c>
      <c r="Q1433" s="1" t="s">
        <v>4511</v>
      </c>
      <c r="R1433" s="1" t="s">
        <v>1521</v>
      </c>
      <c r="S1433" s="1" t="s">
        <v>6303</v>
      </c>
      <c r="T1433" s="1" t="s">
        <v>2927</v>
      </c>
      <c r="U1433" s="1" t="s">
        <v>1523</v>
      </c>
      <c r="V1433" s="1" t="s">
        <v>2582</v>
      </c>
      <c r="Z1433" s="1" t="s">
        <v>21958</v>
      </c>
      <c r="AA1433" s="10">
        <v>7500000.0</v>
      </c>
      <c r="AB1433" s="1" t="s">
        <v>21959</v>
      </c>
      <c r="AC1433" s="10">
        <v>3000000.0</v>
      </c>
      <c r="AD1433" s="1" t="s">
        <v>21960</v>
      </c>
      <c r="AE1433" s="10">
        <v>3000000.0</v>
      </c>
      <c r="AF1433" s="10">
        <v>7000000.0</v>
      </c>
      <c r="AG1433" s="1">
        <v>8.55739877E9</v>
      </c>
      <c r="AI1433" s="1" t="s">
        <v>13676</v>
      </c>
      <c r="AJ1433" s="1">
        <v>165.0</v>
      </c>
      <c r="AK1433" s="1">
        <v>69.0</v>
      </c>
      <c r="AL1433" s="1" t="s">
        <v>21961</v>
      </c>
      <c r="AM1433" s="1" t="s">
        <v>21962</v>
      </c>
      <c r="AN1433" s="7" t="s">
        <v>21963</v>
      </c>
      <c r="AO1433" s="8" t="str">
        <f>HYPERLINK("https://docs.google.com/document/d/1rEBP_HQXUjwYg51-zQ4ZxmThdSC9EVC0fdkJErdjslw/edit?usp=drivesdk","Al-Wildan 25 Yogyakarta_Rudi Hartono, S.Pd., M.Si._Chemistry cambridge")</f>
        <v>Al-Wildan 25 Yogyakarta_Rudi Hartono, S.Pd., M.Si._Chemistry cambridge</v>
      </c>
      <c r="AP1433" s="1" t="s">
        <v>21964</v>
      </c>
    </row>
    <row r="1434">
      <c r="A1434" s="6">
        <v>46188.65996055555</v>
      </c>
      <c r="B1434" s="7" t="s">
        <v>21965</v>
      </c>
      <c r="C1434" s="8" t="s">
        <v>21966</v>
      </c>
      <c r="D1434" s="1" t="s">
        <v>21967</v>
      </c>
      <c r="E1434" s="9" t="s">
        <v>21968</v>
      </c>
      <c r="F1434" s="1" t="s">
        <v>21969</v>
      </c>
      <c r="G1434" s="1" t="s">
        <v>21970</v>
      </c>
      <c r="H1434" s="1" t="s">
        <v>11766</v>
      </c>
      <c r="I1434" s="9" t="s">
        <v>10430</v>
      </c>
      <c r="J1434" s="1" t="s">
        <v>12063</v>
      </c>
      <c r="K1434" s="1" t="s">
        <v>102</v>
      </c>
      <c r="L1434" s="1" t="s">
        <v>103</v>
      </c>
      <c r="M1434" s="1" t="s">
        <v>104</v>
      </c>
      <c r="N1434" s="1" t="s">
        <v>1275</v>
      </c>
      <c r="O1434" s="1" t="s">
        <v>9794</v>
      </c>
      <c r="P1434" s="1" t="s">
        <v>21771</v>
      </c>
      <c r="Q1434" s="1" t="s">
        <v>7637</v>
      </c>
      <c r="R1434" s="1" t="s">
        <v>1275</v>
      </c>
      <c r="S1434" s="1" t="s">
        <v>537</v>
      </c>
      <c r="T1434" s="1" t="s">
        <v>10945</v>
      </c>
      <c r="U1434" s="1" t="s">
        <v>1275</v>
      </c>
      <c r="V1434" s="1" t="s">
        <v>14645</v>
      </c>
      <c r="Z1434" s="1" t="s">
        <v>21971</v>
      </c>
      <c r="AA1434" s="10">
        <v>3000000.0</v>
      </c>
      <c r="AB1434" s="1" t="s">
        <v>21972</v>
      </c>
      <c r="AC1434" s="10">
        <v>2000000.0</v>
      </c>
      <c r="AD1434" s="1" t="s">
        <v>21973</v>
      </c>
      <c r="AE1434" s="10">
        <v>400000.0</v>
      </c>
      <c r="AF1434" s="10">
        <v>5000000.0</v>
      </c>
      <c r="AH1434" s="1">
        <v>1.710005877876E12</v>
      </c>
      <c r="AI1434" s="1" t="s">
        <v>2119</v>
      </c>
      <c r="AJ1434" s="1">
        <v>165.0</v>
      </c>
      <c r="AK1434" s="1">
        <v>75.0</v>
      </c>
      <c r="AL1434" s="1" t="s">
        <v>21974</v>
      </c>
      <c r="AM1434" s="1" t="s">
        <v>21975</v>
      </c>
      <c r="AN1434" s="7" t="s">
        <v>21976</v>
      </c>
      <c r="AO1434" s="8" t="str">
        <f>HYPERLINK("https://docs.google.com/document/d/1Njn_ZsYDUYIOSdGn6euKpjsMy9j5g8Ablhkrwur79no/edit?usp=drivesdk","Al-Wildan 25 Yogyakarta_Ulil Albab, S.Si., M.Sc., Gr._Biologi")</f>
        <v>Al-Wildan 25 Yogyakarta_Ulil Albab, S.Si., M.Sc., Gr._Biologi</v>
      </c>
      <c r="AP1434" s="1" t="s">
        <v>21977</v>
      </c>
    </row>
    <row r="1435">
      <c r="A1435" s="6">
        <v>46188.70503997685</v>
      </c>
      <c r="B1435" s="7" t="s">
        <v>21978</v>
      </c>
      <c r="C1435" s="8" t="s">
        <v>21979</v>
      </c>
      <c r="D1435" s="1" t="s">
        <v>21980</v>
      </c>
      <c r="E1435" s="9" t="s">
        <v>21981</v>
      </c>
      <c r="F1435" s="1" t="s">
        <v>21982</v>
      </c>
      <c r="G1435" s="1" t="s">
        <v>99</v>
      </c>
      <c r="H1435" s="1" t="s">
        <v>99</v>
      </c>
      <c r="I1435" s="9" t="s">
        <v>21983</v>
      </c>
      <c r="J1435" s="1" t="s">
        <v>21984</v>
      </c>
      <c r="K1435" s="1" t="s">
        <v>151</v>
      </c>
      <c r="L1435" s="1" t="s">
        <v>496</v>
      </c>
      <c r="M1435" s="1" t="s">
        <v>8769</v>
      </c>
      <c r="O1435" s="1" t="s">
        <v>127</v>
      </c>
      <c r="P1435" s="1" t="s">
        <v>11207</v>
      </c>
      <c r="Q1435" s="1" t="s">
        <v>21357</v>
      </c>
      <c r="R1435" s="1" t="s">
        <v>2355</v>
      </c>
      <c r="S1435" s="1">
        <v>3.43</v>
      </c>
      <c r="Z1435" s="1" t="s">
        <v>21985</v>
      </c>
      <c r="AA1435" s="1" t="s">
        <v>21986</v>
      </c>
      <c r="AB1435" s="1" t="s">
        <v>21987</v>
      </c>
      <c r="AC1435" s="1" t="s">
        <v>21988</v>
      </c>
      <c r="AF1435" s="1" t="s">
        <v>21989</v>
      </c>
      <c r="AG1435" s="1">
        <v>7.176911508E9</v>
      </c>
      <c r="AI1435" s="1" t="s">
        <v>21990</v>
      </c>
      <c r="AJ1435" s="1">
        <v>160.0</v>
      </c>
      <c r="AK1435" s="1">
        <v>42.0</v>
      </c>
      <c r="AL1435" s="1" t="s">
        <v>21991</v>
      </c>
      <c r="AM1435" s="1" t="s">
        <v>21992</v>
      </c>
      <c r="AN1435" s="7" t="s">
        <v>21993</v>
      </c>
      <c r="AO1435" s="8" t="str">
        <f>HYPERLINK("https://docs.google.com/document/d/1xZ8_HfZNTGNrA2HlR0Dj_YoJf4BQiuaieE1whv9pUo0/edit?usp=drivesdk","Al-Wildan 16 Ciledug_Nadia Aulia, S.Pd._")</f>
        <v>Al-Wildan 16 Ciledug_Nadia Aulia, S.Pd._</v>
      </c>
      <c r="AP1435" s="1" t="s">
        <v>21994</v>
      </c>
    </row>
    <row r="1436">
      <c r="A1436" s="6">
        <v>46188.849468263885</v>
      </c>
      <c r="B1436" s="7" t="s">
        <v>21995</v>
      </c>
      <c r="C1436" s="8" t="s">
        <v>21996</v>
      </c>
      <c r="D1436" s="1" t="s">
        <v>21997</v>
      </c>
      <c r="E1436" s="9" t="s">
        <v>21998</v>
      </c>
      <c r="F1436" s="1" t="s">
        <v>21999</v>
      </c>
      <c r="G1436" s="1" t="s">
        <v>22000</v>
      </c>
      <c r="H1436" s="1" t="s">
        <v>15264</v>
      </c>
      <c r="I1436" s="9" t="s">
        <v>22001</v>
      </c>
      <c r="J1436" s="1" t="s">
        <v>2095</v>
      </c>
      <c r="K1436" s="1" t="s">
        <v>102</v>
      </c>
      <c r="L1436" s="1" t="s">
        <v>103</v>
      </c>
      <c r="M1436" s="1" t="s">
        <v>104</v>
      </c>
      <c r="N1436" s="1" t="s">
        <v>152</v>
      </c>
      <c r="O1436" s="1" t="s">
        <v>9794</v>
      </c>
      <c r="P1436" s="1" t="s">
        <v>22002</v>
      </c>
      <c r="Q1436" s="1" t="s">
        <v>5414</v>
      </c>
      <c r="R1436" s="1" t="s">
        <v>5612</v>
      </c>
      <c r="S1436" s="1" t="s">
        <v>2180</v>
      </c>
      <c r="T1436" s="1" t="s">
        <v>1344</v>
      </c>
      <c r="U1436" s="1" t="s">
        <v>172</v>
      </c>
      <c r="V1436" s="1" t="s">
        <v>5523</v>
      </c>
      <c r="Z1436" s="1" t="s">
        <v>22003</v>
      </c>
      <c r="AA1436" s="10">
        <v>2000000.0</v>
      </c>
      <c r="AB1436" s="1" t="s">
        <v>22004</v>
      </c>
      <c r="AC1436" s="10">
        <v>800000.0</v>
      </c>
      <c r="AD1436" s="1" t="s">
        <v>22005</v>
      </c>
      <c r="AE1436" s="10">
        <v>1600000.0</v>
      </c>
      <c r="AF1436" s="10">
        <v>3500000.0</v>
      </c>
      <c r="AG1436" s="1">
        <v>0.0</v>
      </c>
      <c r="AH1436" s="9" t="s">
        <v>22006</v>
      </c>
      <c r="AI1436" s="1" t="s">
        <v>159</v>
      </c>
      <c r="AJ1436" s="1">
        <v>160.0</v>
      </c>
      <c r="AK1436" s="1">
        <v>59.0</v>
      </c>
      <c r="AL1436" s="1" t="s">
        <v>22007</v>
      </c>
      <c r="AM1436" s="1" t="s">
        <v>22008</v>
      </c>
      <c r="AN1436" s="7" t="s">
        <v>22009</v>
      </c>
      <c r="AO1436" s="8" t="str">
        <f>HYPERLINK("https://docs.google.com/document/d/1HR2aeIKS9Vc0-5Rpp70IrnTyOCYUwTEWjGNyq3zXVYM/edit?usp=drivesdk","Al-Wildan 24 Yogyakarta_Umul Fajar Khoiriah_Bahasa Inggris")</f>
        <v>Al-Wildan 24 Yogyakarta_Umul Fajar Khoiriah_Bahasa Inggris</v>
      </c>
      <c r="AP1436" s="1" t="s">
        <v>22010</v>
      </c>
    </row>
    <row r="1437">
      <c r="A1437" s="6">
        <v>46188.884706365745</v>
      </c>
      <c r="B1437" s="7" t="s">
        <v>22011</v>
      </c>
      <c r="C1437" s="8" t="s">
        <v>22012</v>
      </c>
      <c r="D1437" s="1" t="s">
        <v>22013</v>
      </c>
      <c r="E1437" s="9" t="s">
        <v>22014</v>
      </c>
      <c r="F1437" s="1" t="s">
        <v>22015</v>
      </c>
      <c r="G1437" s="1" t="s">
        <v>22016</v>
      </c>
      <c r="H1437" s="1" t="s">
        <v>22017</v>
      </c>
      <c r="I1437" s="9" t="s">
        <v>22018</v>
      </c>
      <c r="J1437" s="1" t="s">
        <v>392</v>
      </c>
      <c r="K1437" s="1" t="s">
        <v>151</v>
      </c>
      <c r="L1437" s="1" t="s">
        <v>103</v>
      </c>
      <c r="M1437" s="1" t="s">
        <v>104</v>
      </c>
      <c r="N1437" s="1" t="s">
        <v>22019</v>
      </c>
      <c r="O1437" s="1" t="s">
        <v>312</v>
      </c>
      <c r="P1437" s="1" t="s">
        <v>6091</v>
      </c>
      <c r="Q1437" s="1" t="s">
        <v>10481</v>
      </c>
      <c r="R1437" s="1" t="s">
        <v>22020</v>
      </c>
      <c r="S1437" s="1" t="s">
        <v>22021</v>
      </c>
      <c r="Z1437" s="1" t="s">
        <v>22022</v>
      </c>
      <c r="AA1437" s="10">
        <v>1900000.0</v>
      </c>
      <c r="AB1437" s="1" t="s">
        <v>22023</v>
      </c>
      <c r="AC1437" s="10">
        <v>500000.0</v>
      </c>
      <c r="AF1437" s="10">
        <v>7000000.0</v>
      </c>
      <c r="AG1437" s="1">
        <v>7.177374169E9</v>
      </c>
      <c r="AJ1437" s="1">
        <v>170.0</v>
      </c>
      <c r="AK1437" s="1">
        <v>54.0</v>
      </c>
      <c r="AL1437" s="1" t="s">
        <v>22024</v>
      </c>
      <c r="AM1437" s="1" t="s">
        <v>22025</v>
      </c>
      <c r="AN1437" s="7" t="s">
        <v>22026</v>
      </c>
      <c r="AO1437" s="8" t="str">
        <f>HYPERLINK("https://docs.google.com/document/d/1yn_ZyOCrPvvKjtS8r6yDXSK7sOrm1L_CT7sTGMdE5wA/edit?usp=drivesdk","Al-Wildan 10 Cipinang, Jakarta Timur_Hudzaifah Azzam, B.A._Aqidah, Fiqh &amp; SKI")</f>
        <v>Al-Wildan 10 Cipinang, Jakarta Timur_Hudzaifah Azzam, B.A._Aqidah, Fiqh &amp; SKI</v>
      </c>
      <c r="AP1437" s="1" t="s">
        <v>22027</v>
      </c>
    </row>
    <row r="1438">
      <c r="A1438" s="6">
        <v>46188.935770324075</v>
      </c>
      <c r="B1438" s="7" t="s">
        <v>22028</v>
      </c>
      <c r="C1438" s="8" t="s">
        <v>22029</v>
      </c>
      <c r="D1438" s="1" t="s">
        <v>22030</v>
      </c>
      <c r="E1438" s="9" t="s">
        <v>22031</v>
      </c>
      <c r="F1438" s="1" t="s">
        <v>22032</v>
      </c>
      <c r="G1438" s="1" t="s">
        <v>2949</v>
      </c>
      <c r="H1438" s="1" t="s">
        <v>5159</v>
      </c>
      <c r="I1438" s="9" t="s">
        <v>22033</v>
      </c>
      <c r="J1438" s="1" t="s">
        <v>6813</v>
      </c>
      <c r="K1438" s="1" t="s">
        <v>151</v>
      </c>
      <c r="L1438" s="1" t="s">
        <v>496</v>
      </c>
      <c r="M1438" s="1" t="s">
        <v>6186</v>
      </c>
      <c r="O1438" s="1" t="s">
        <v>14334</v>
      </c>
      <c r="P1438" s="1" t="s">
        <v>5712</v>
      </c>
      <c r="Q1438" s="1" t="s">
        <v>22034</v>
      </c>
      <c r="R1438" s="1" t="s">
        <v>22035</v>
      </c>
      <c r="S1438" s="1">
        <v>3.32</v>
      </c>
      <c r="Z1438" s="1" t="s">
        <v>22036</v>
      </c>
      <c r="AA1438" s="1">
        <v>5.2</v>
      </c>
      <c r="AB1438" s="1" t="s">
        <v>22037</v>
      </c>
      <c r="AF1438" s="10">
        <v>5000000.0</v>
      </c>
      <c r="AH1438" s="1">
        <v>1.045961125E9</v>
      </c>
      <c r="AI1438" s="1" t="s">
        <v>9002</v>
      </c>
      <c r="AJ1438" s="1">
        <v>169.0</v>
      </c>
      <c r="AK1438" s="1">
        <v>68.0</v>
      </c>
      <c r="AL1438" s="1" t="s">
        <v>22038</v>
      </c>
      <c r="AM1438" s="1" t="s">
        <v>22039</v>
      </c>
      <c r="AN1438" s="7" t="s">
        <v>22040</v>
      </c>
      <c r="AO1438" s="8" t="str">
        <f>HYPERLINK("https://docs.google.com/document/d/14JcRTMv1AKeyAw71CiyvWf7DnyNFTA9HyBTaUvp8Fug/edit?usp=drivesdk","Al-Wildan 3 BSD City_Faisal Nur Akbar_")</f>
        <v>Al-Wildan 3 BSD City_Faisal Nur Akbar_</v>
      </c>
      <c r="AP1438" s="1" t="s">
        <v>22041</v>
      </c>
    </row>
    <row r="1439">
      <c r="A1439" s="6">
        <v>46190.515570891206</v>
      </c>
      <c r="B1439" s="7" t="s">
        <v>22042</v>
      </c>
      <c r="C1439" s="8" t="s">
        <v>22043</v>
      </c>
      <c r="D1439" s="1" t="s">
        <v>22044</v>
      </c>
      <c r="E1439" s="9" t="s">
        <v>22045</v>
      </c>
      <c r="F1439" s="1" t="s">
        <v>22046</v>
      </c>
      <c r="G1439" s="1" t="s">
        <v>22047</v>
      </c>
      <c r="H1439" s="1" t="s">
        <v>15811</v>
      </c>
      <c r="I1439" s="9" t="s">
        <v>22048</v>
      </c>
      <c r="J1439" s="1">
        <v>25.0</v>
      </c>
      <c r="K1439" s="1" t="s">
        <v>151</v>
      </c>
      <c r="L1439" s="1" t="s">
        <v>496</v>
      </c>
      <c r="M1439" s="1" t="s">
        <v>22049</v>
      </c>
      <c r="O1439" s="1" t="s">
        <v>9794</v>
      </c>
      <c r="P1439" s="1" t="s">
        <v>17019</v>
      </c>
      <c r="Q1439" s="1" t="s">
        <v>22050</v>
      </c>
      <c r="R1439" s="1" t="s">
        <v>193</v>
      </c>
      <c r="S1439" s="1">
        <v>4.02</v>
      </c>
      <c r="T1439" s="1" t="s">
        <v>13981</v>
      </c>
      <c r="U1439" s="1" t="s">
        <v>13981</v>
      </c>
      <c r="V1439" s="1" t="s">
        <v>13981</v>
      </c>
      <c r="W1439" s="1" t="s">
        <v>13981</v>
      </c>
      <c r="X1439" s="1" t="s">
        <v>13981</v>
      </c>
      <c r="Y1439" s="1">
        <v>0.0</v>
      </c>
      <c r="Z1439" s="1" t="s">
        <v>22051</v>
      </c>
      <c r="AA1439" s="1">
        <v>0.0</v>
      </c>
      <c r="AB1439" s="1" t="s">
        <v>22052</v>
      </c>
      <c r="AC1439" s="10">
        <v>600000.0</v>
      </c>
      <c r="AD1439" s="1" t="s">
        <v>22053</v>
      </c>
      <c r="AE1439" s="1" t="s">
        <v>22054</v>
      </c>
      <c r="AF1439" s="10">
        <v>3000000.0</v>
      </c>
      <c r="AG1439" s="1">
        <v>9.1146826E9</v>
      </c>
      <c r="AJ1439" s="1">
        <v>169.0</v>
      </c>
      <c r="AK1439" s="1">
        <v>55.0</v>
      </c>
      <c r="AL1439" s="1" t="s">
        <v>22055</v>
      </c>
      <c r="AM1439" s="1" t="s">
        <v>22056</v>
      </c>
      <c r="AN1439" s="7" t="s">
        <v>22057</v>
      </c>
      <c r="AO1439" s="8" t="str">
        <f>HYPERLINK("https://docs.google.com/document/d/1WQ2UAxOIDPideQAlczSQ8Cs3s1yUfTC4IT8ACnYQfzM/edit?usp=drivesdk","Al-Wildan 20 Mataram_Lalu Muhammad Hasanal fahmi B.sh_")</f>
        <v>Al-Wildan 20 Mataram_Lalu Muhammad Hasanal fahmi B.sh_</v>
      </c>
      <c r="AP1439" s="1" t="s">
        <v>22058</v>
      </c>
    </row>
    <row r="1440">
      <c r="A1440" s="6">
        <v>46190.576086851856</v>
      </c>
      <c r="B1440" s="7" t="s">
        <v>22059</v>
      </c>
      <c r="C1440" s="8" t="s">
        <v>22060</v>
      </c>
      <c r="D1440" s="1" t="s">
        <v>22061</v>
      </c>
      <c r="E1440" s="9" t="s">
        <v>22062</v>
      </c>
      <c r="F1440" s="1" t="s">
        <v>22063</v>
      </c>
      <c r="G1440" s="1" t="s">
        <v>22064</v>
      </c>
      <c r="H1440" s="1" t="s">
        <v>11957</v>
      </c>
      <c r="I1440" s="9" t="s">
        <v>22065</v>
      </c>
      <c r="J1440" s="1" t="s">
        <v>2882</v>
      </c>
      <c r="K1440" s="1" t="s">
        <v>151</v>
      </c>
      <c r="L1440" s="1" t="s">
        <v>103</v>
      </c>
      <c r="M1440" s="1" t="s">
        <v>5671</v>
      </c>
      <c r="O1440" s="1" t="s">
        <v>127</v>
      </c>
      <c r="P1440" s="1" t="s">
        <v>17019</v>
      </c>
      <c r="Q1440" s="1" t="s">
        <v>22066</v>
      </c>
      <c r="R1440" s="1" t="s">
        <v>12915</v>
      </c>
      <c r="S1440" s="1" t="s">
        <v>1668</v>
      </c>
      <c r="Z1440" s="1" t="s">
        <v>22067</v>
      </c>
      <c r="AA1440" s="10">
        <v>600000.0</v>
      </c>
      <c r="AF1440" s="1" t="s">
        <v>22068</v>
      </c>
      <c r="AH1440" s="1">
        <v>1.230688983E9</v>
      </c>
      <c r="AI1440" s="1" t="s">
        <v>159</v>
      </c>
      <c r="AJ1440" s="1">
        <v>165.0</v>
      </c>
      <c r="AK1440" s="1" t="s">
        <v>22069</v>
      </c>
      <c r="AL1440" s="1" t="s">
        <v>22070</v>
      </c>
      <c r="AM1440" s="1" t="s">
        <v>22071</v>
      </c>
      <c r="AN1440" s="7" t="s">
        <v>22072</v>
      </c>
      <c r="AO1440" s="8" t="str">
        <f>HYPERLINK("https://docs.google.com/document/d/1bI4k8p7kf0SZCY6UO2qKiDEfPZnUNhTBqI-UkG0lPX4/edit?usp=drivesdk","Al-Wildan 20 Mataram_Goliz Cahyadi_")</f>
        <v>Al-Wildan 20 Mataram_Goliz Cahyadi_</v>
      </c>
      <c r="AP1440" s="1" t="s">
        <v>22073</v>
      </c>
    </row>
    <row r="1441">
      <c r="A1441" s="6">
        <v>46190.69828538194</v>
      </c>
      <c r="B1441" s="7" t="s">
        <v>22074</v>
      </c>
      <c r="C1441" s="8" t="s">
        <v>22075</v>
      </c>
      <c r="D1441" s="1" t="s">
        <v>22076</v>
      </c>
      <c r="E1441" s="9" t="s">
        <v>22077</v>
      </c>
      <c r="F1441" s="1" t="s">
        <v>22078</v>
      </c>
      <c r="G1441" s="1" t="s">
        <v>22079</v>
      </c>
      <c r="H1441" s="1" t="s">
        <v>327</v>
      </c>
      <c r="I1441" s="9" t="s">
        <v>22080</v>
      </c>
      <c r="J1441" s="1" t="s">
        <v>22081</v>
      </c>
      <c r="K1441" s="1" t="s">
        <v>151</v>
      </c>
      <c r="L1441" s="1" t="s">
        <v>496</v>
      </c>
      <c r="M1441" s="1" t="s">
        <v>8769</v>
      </c>
      <c r="O1441" s="1" t="s">
        <v>127</v>
      </c>
      <c r="P1441" s="1" t="s">
        <v>17019</v>
      </c>
      <c r="Q1441" s="1" t="s">
        <v>22082</v>
      </c>
      <c r="R1441" s="1" t="s">
        <v>238</v>
      </c>
      <c r="S1441" s="1" t="s">
        <v>1366</v>
      </c>
      <c r="Z1441" s="1" t="s">
        <v>22083</v>
      </c>
      <c r="AA1441" s="10">
        <v>750000.0</v>
      </c>
      <c r="AG1441" s="1">
        <v>7.233697968E9</v>
      </c>
      <c r="AJ1441" s="1">
        <v>153.0</v>
      </c>
      <c r="AK1441" s="1">
        <v>42.0</v>
      </c>
      <c r="AL1441" s="1" t="s">
        <v>22084</v>
      </c>
      <c r="AM1441" s="1" t="s">
        <v>22085</v>
      </c>
      <c r="AN1441" s="7" t="s">
        <v>22086</v>
      </c>
      <c r="AO1441" s="8" t="str">
        <f>HYPERLINK("https://docs.google.com/document/d/1QfJhfeCvMPIRn7cG-ZbM5m78Pr9IwSst9uzQRS776Ck/edit?usp=drivesdk","Al-Wildan 20 Mataram_Dita Nursafitri S.Ag_")</f>
        <v>Al-Wildan 20 Mataram_Dita Nursafitri S.Ag_</v>
      </c>
      <c r="AP1441" s="1" t="s">
        <v>22087</v>
      </c>
    </row>
    <row r="1442">
      <c r="A1442" s="6">
        <v>46190.70757165509</v>
      </c>
      <c r="B1442" s="7" t="s">
        <v>22088</v>
      </c>
      <c r="C1442" s="8" t="s">
        <v>22089</v>
      </c>
      <c r="D1442" s="1" t="s">
        <v>22090</v>
      </c>
      <c r="E1442" s="1">
        <v>8.7874802936E10</v>
      </c>
      <c r="F1442" s="1" t="s">
        <v>22091</v>
      </c>
      <c r="G1442" s="1" t="s">
        <v>22092</v>
      </c>
      <c r="H1442" s="1" t="s">
        <v>327</v>
      </c>
      <c r="I1442" s="9" t="s">
        <v>22093</v>
      </c>
      <c r="J1442" s="1" t="s">
        <v>17231</v>
      </c>
      <c r="K1442" s="1" t="s">
        <v>151</v>
      </c>
      <c r="L1442" s="1" t="s">
        <v>496</v>
      </c>
      <c r="M1442" s="1" t="s">
        <v>8769</v>
      </c>
      <c r="O1442" s="1" t="s">
        <v>127</v>
      </c>
      <c r="P1442" s="1" t="s">
        <v>17019</v>
      </c>
      <c r="Q1442" s="1" t="s">
        <v>22094</v>
      </c>
      <c r="R1442" s="1" t="s">
        <v>22095</v>
      </c>
      <c r="S1442" s="1">
        <v>3.72</v>
      </c>
      <c r="T1442" s="1" t="s">
        <v>217</v>
      </c>
      <c r="U1442" s="1" t="s">
        <v>217</v>
      </c>
      <c r="V1442" s="1" t="s">
        <v>217</v>
      </c>
      <c r="W1442" s="1" t="s">
        <v>217</v>
      </c>
      <c r="X1442" s="1" t="s">
        <v>217</v>
      </c>
      <c r="Z1442" s="1" t="s">
        <v>22096</v>
      </c>
      <c r="AG1442" s="1">
        <v>7.268463407E9</v>
      </c>
      <c r="AI1442" s="1" t="s">
        <v>5113</v>
      </c>
      <c r="AJ1442" s="1">
        <v>150.0</v>
      </c>
      <c r="AK1442" s="1">
        <v>48.0</v>
      </c>
      <c r="AL1442" s="1" t="s">
        <v>22097</v>
      </c>
      <c r="AM1442" s="1" t="s">
        <v>22098</v>
      </c>
      <c r="AN1442" s="7" t="s">
        <v>22099</v>
      </c>
      <c r="AO1442" s="8" t="str">
        <f>HYPERLINK("https://docs.google.com/document/d/1dd4Q_zX_2pUckLRn4e5UCNA6nAUVSOHD8UWhf34mvik/edit?usp=drivesdk","Al-Wildan 20 Mataram_CITA RAHASTI PURNAMASARI S.Ag_")</f>
        <v>Al-Wildan 20 Mataram_CITA RAHASTI PURNAMASARI S.Ag_</v>
      </c>
      <c r="AP1442" s="1" t="s">
        <v>22100</v>
      </c>
    </row>
    <row r="1443">
      <c r="A1443" s="6">
        <v>46190.77276075231</v>
      </c>
      <c r="B1443" s="7" t="s">
        <v>22101</v>
      </c>
      <c r="C1443" s="8" t="s">
        <v>22102</v>
      </c>
      <c r="D1443" s="1" t="s">
        <v>22103</v>
      </c>
      <c r="E1443" s="9" t="s">
        <v>22077</v>
      </c>
      <c r="F1443" s="1" t="s">
        <v>22078</v>
      </c>
      <c r="G1443" s="1" t="s">
        <v>22079</v>
      </c>
      <c r="H1443" s="1" t="s">
        <v>327</v>
      </c>
      <c r="I1443" s="9" t="s">
        <v>22080</v>
      </c>
      <c r="J1443" s="1" t="s">
        <v>12019</v>
      </c>
      <c r="K1443" s="1" t="s">
        <v>151</v>
      </c>
      <c r="L1443" s="1" t="s">
        <v>496</v>
      </c>
      <c r="M1443" s="1" t="s">
        <v>8769</v>
      </c>
      <c r="O1443" s="1" t="s">
        <v>127</v>
      </c>
      <c r="P1443" s="1" t="s">
        <v>17019</v>
      </c>
      <c r="Q1443" s="1" t="s">
        <v>22104</v>
      </c>
      <c r="R1443" s="1" t="s">
        <v>238</v>
      </c>
      <c r="S1443" s="1" t="s">
        <v>1366</v>
      </c>
      <c r="Z1443" s="1" t="s">
        <v>22105</v>
      </c>
      <c r="AA1443" s="10">
        <v>750000.0</v>
      </c>
      <c r="AF1443" s="1" t="s">
        <v>20922</v>
      </c>
      <c r="AG1443" s="1">
        <v>7.233697968E9</v>
      </c>
      <c r="AJ1443" s="1">
        <v>152.0</v>
      </c>
      <c r="AK1443" s="1">
        <v>42.0</v>
      </c>
      <c r="AL1443" s="1" t="s">
        <v>22084</v>
      </c>
      <c r="AM1443" s="1" t="s">
        <v>22106</v>
      </c>
      <c r="AN1443" s="7" t="s">
        <v>22107</v>
      </c>
      <c r="AO1443" s="8" t="str">
        <f>HYPERLINK("https://docs.google.com/document/d/1z1Rs6lbnCEBbJ3NWTjC_alwpepF-DoYfWTMKKT8MI48/edit?usp=drivesdk","Al-Wildan 20 Mataram_Dita Nursafitri_")</f>
        <v>Al-Wildan 20 Mataram_Dita Nursafitri_</v>
      </c>
      <c r="AP1443" s="1" t="s">
        <v>22108</v>
      </c>
    </row>
    <row r="1444">
      <c r="A1444" s="6">
        <v>46190.77772153935</v>
      </c>
      <c r="B1444" s="7" t="s">
        <v>22109</v>
      </c>
      <c r="C1444" s="8" t="s">
        <v>22110</v>
      </c>
      <c r="D1444" s="1" t="s">
        <v>22111</v>
      </c>
      <c r="E1444" s="9" t="s">
        <v>22112</v>
      </c>
      <c r="F1444" s="1" t="s">
        <v>22091</v>
      </c>
      <c r="G1444" s="1" t="s">
        <v>22113</v>
      </c>
      <c r="H1444" s="1" t="s">
        <v>327</v>
      </c>
      <c r="I1444" s="9" t="s">
        <v>22093</v>
      </c>
      <c r="J1444" s="1">
        <v>23.0</v>
      </c>
      <c r="K1444" s="1" t="s">
        <v>151</v>
      </c>
      <c r="L1444" s="1" t="s">
        <v>496</v>
      </c>
      <c r="M1444" s="1" t="s">
        <v>8769</v>
      </c>
      <c r="O1444" s="1" t="s">
        <v>127</v>
      </c>
      <c r="P1444" s="1" t="s">
        <v>17019</v>
      </c>
      <c r="Q1444" s="1" t="s">
        <v>22114</v>
      </c>
      <c r="R1444" s="1" t="s">
        <v>22095</v>
      </c>
      <c r="S1444" s="1">
        <v>3.72</v>
      </c>
      <c r="AA1444" s="1" t="s">
        <v>22115</v>
      </c>
      <c r="AF1444" s="1" t="s">
        <v>22116</v>
      </c>
      <c r="AG1444" s="1">
        <v>7.268463407E9</v>
      </c>
      <c r="AI1444" s="1" t="s">
        <v>5113</v>
      </c>
      <c r="AJ1444" s="1">
        <v>150.0</v>
      </c>
      <c r="AK1444" s="1">
        <v>48.0</v>
      </c>
      <c r="AL1444" s="1" t="s">
        <v>22097</v>
      </c>
      <c r="AM1444" s="1" t="s">
        <v>22117</v>
      </c>
      <c r="AN1444" s="7" t="s">
        <v>22118</v>
      </c>
      <c r="AO1444" s="8" t="str">
        <f>HYPERLINK("https://docs.google.com/document/d/1fZWm5UcIGMre6J6NEWYbLCe6MjCgKaf2jMi_hUFqszw/edit?usp=drivesdk","Al-Wildan 20 Mataram_CITA RAHASTI PURNAMA SARI_")</f>
        <v>Al-Wildan 20 Mataram_CITA RAHASTI PURNAMA SARI_</v>
      </c>
      <c r="AP1444" s="1" t="s">
        <v>22119</v>
      </c>
    </row>
    <row r="1445">
      <c r="A1445" s="6">
        <v>46191.294840243056</v>
      </c>
      <c r="B1445" s="7" t="s">
        <v>22120</v>
      </c>
      <c r="C1445" s="8" t="s">
        <v>22121</v>
      </c>
      <c r="D1445" s="1" t="s">
        <v>22122</v>
      </c>
      <c r="E1445" s="9" t="s">
        <v>22123</v>
      </c>
      <c r="F1445" s="1" t="s">
        <v>22124</v>
      </c>
      <c r="G1445" s="1" t="s">
        <v>22125</v>
      </c>
      <c r="H1445" s="1" t="s">
        <v>22126</v>
      </c>
      <c r="I1445" s="9" t="s">
        <v>22127</v>
      </c>
      <c r="J1445" s="1">
        <v>26.0</v>
      </c>
      <c r="K1445" s="1" t="s">
        <v>151</v>
      </c>
      <c r="L1445" s="1" t="s">
        <v>496</v>
      </c>
      <c r="M1445" s="1" t="s">
        <v>5671</v>
      </c>
      <c r="O1445" s="1" t="s">
        <v>9794</v>
      </c>
      <c r="P1445" s="1" t="s">
        <v>17019</v>
      </c>
      <c r="Q1445" s="1" t="s">
        <v>8582</v>
      </c>
      <c r="R1445" s="1" t="s">
        <v>193</v>
      </c>
      <c r="S1445" s="1" t="s">
        <v>3093</v>
      </c>
      <c r="Z1445" s="1" t="s">
        <v>22128</v>
      </c>
      <c r="AB1445" s="1" t="s">
        <v>22128</v>
      </c>
      <c r="AD1445" s="1" t="s">
        <v>22128</v>
      </c>
      <c r="AF1445" s="10">
        <v>5000000.0</v>
      </c>
      <c r="AG1445" s="1">
        <v>9.48636878E9</v>
      </c>
      <c r="AH1445" s="1">
        <v>1.762805398E9</v>
      </c>
      <c r="AI1445" s="1" t="s">
        <v>159</v>
      </c>
      <c r="AJ1445" s="1">
        <v>160.0</v>
      </c>
      <c r="AK1445" s="1">
        <v>64.0</v>
      </c>
      <c r="AL1445" s="1" t="s">
        <v>22129</v>
      </c>
      <c r="AM1445" s="1" t="s">
        <v>22130</v>
      </c>
      <c r="AN1445" s="7" t="s">
        <v>22131</v>
      </c>
      <c r="AO1445" s="8" t="str">
        <f>HYPERLINK("https://docs.google.com/document/d/1T7BHnE-Kc89GQuE7nU2ere1SXIgm-5qEUp3a38S50U8/edit?usp=drivesdk","Al-Wildan 20 Mataram_AKHSANUL FAHRI KAMIL. Bsh_")</f>
        <v>Al-Wildan 20 Mataram_AKHSANUL FAHRI KAMIL. Bsh_</v>
      </c>
      <c r="AP1445" s="1" t="s">
        <v>22132</v>
      </c>
    </row>
    <row r="1446">
      <c r="A1446" s="6">
        <v>46191.39201471065</v>
      </c>
      <c r="B1446" s="7" t="s">
        <v>22133</v>
      </c>
      <c r="C1446" s="8" t="s">
        <v>22134</v>
      </c>
      <c r="D1446" s="1" t="s">
        <v>22135</v>
      </c>
      <c r="E1446" s="9" t="s">
        <v>22136</v>
      </c>
      <c r="F1446" s="1">
        <v>3.27104700394001E15</v>
      </c>
      <c r="G1446" s="1" t="s">
        <v>685</v>
      </c>
      <c r="H1446" s="1" t="s">
        <v>685</v>
      </c>
      <c r="I1446" s="9" t="s">
        <v>22137</v>
      </c>
      <c r="J1446" s="1" t="s">
        <v>8099</v>
      </c>
      <c r="K1446" s="1" t="s">
        <v>102</v>
      </c>
      <c r="L1446" s="1" t="s">
        <v>310</v>
      </c>
      <c r="M1446" s="1" t="s">
        <v>104</v>
      </c>
      <c r="N1446" s="1" t="s">
        <v>552</v>
      </c>
      <c r="O1446" s="1" t="s">
        <v>106</v>
      </c>
      <c r="P1446" s="1" t="s">
        <v>21626</v>
      </c>
      <c r="Q1446" s="1" t="s">
        <v>7637</v>
      </c>
      <c r="R1446" s="1" t="s">
        <v>552</v>
      </c>
      <c r="S1446" s="1" t="s">
        <v>4701</v>
      </c>
      <c r="Z1446" s="1" t="s">
        <v>22138</v>
      </c>
      <c r="AA1446" s="10">
        <v>9000000.0</v>
      </c>
      <c r="AB1446" s="1" t="s">
        <v>22139</v>
      </c>
      <c r="AC1446" s="10">
        <v>9200000.0</v>
      </c>
      <c r="AF1446" s="10">
        <v>9600000.0</v>
      </c>
      <c r="AH1446" s="9" t="s">
        <v>22140</v>
      </c>
      <c r="AI1446" s="1" t="s">
        <v>222</v>
      </c>
      <c r="AJ1446" s="1">
        <v>160.0</v>
      </c>
      <c r="AK1446" s="1">
        <v>70.0</v>
      </c>
      <c r="AL1446" s="1" t="s">
        <v>22141</v>
      </c>
      <c r="AM1446" s="1" t="s">
        <v>22142</v>
      </c>
      <c r="AN1446" s="7" t="s">
        <v>22143</v>
      </c>
      <c r="AO1446" s="8" t="str">
        <f>HYPERLINK("https://docs.google.com/document/d/1YPVxOExxQI7J7FZVZplRMmlQy2B9R3NVSx4RIdHgt-A/edit?usp=drivesdk","Al-Wildan 29 DEPOK_Furi Alifiari, S.Si_Fisika")</f>
        <v>Al-Wildan 29 DEPOK_Furi Alifiari, S.Si_Fisika</v>
      </c>
      <c r="AP1446" s="1" t="s">
        <v>22144</v>
      </c>
    </row>
    <row r="1447">
      <c r="A1447" s="6">
        <v>46191.71452335648</v>
      </c>
      <c r="B1447" s="7" t="s">
        <v>22145</v>
      </c>
      <c r="C1447" s="8" t="s">
        <v>22146</v>
      </c>
      <c r="D1447" s="1" t="s">
        <v>22147</v>
      </c>
      <c r="E1447" s="9" t="s">
        <v>22148</v>
      </c>
      <c r="F1447" s="1" t="s">
        <v>22149</v>
      </c>
      <c r="G1447" s="1" t="s">
        <v>22150</v>
      </c>
      <c r="H1447" s="1" t="s">
        <v>11166</v>
      </c>
      <c r="I1447" s="9" t="s">
        <v>22151</v>
      </c>
      <c r="J1447" s="1" t="s">
        <v>4311</v>
      </c>
      <c r="K1447" s="1" t="s">
        <v>102</v>
      </c>
      <c r="L1447" s="1" t="s">
        <v>103</v>
      </c>
      <c r="M1447" s="1" t="s">
        <v>104</v>
      </c>
      <c r="N1447" s="1" t="s">
        <v>126</v>
      </c>
      <c r="O1447" s="1" t="s">
        <v>127</v>
      </c>
      <c r="P1447" s="1" t="s">
        <v>22002</v>
      </c>
      <c r="Q1447" s="1" t="s">
        <v>11943</v>
      </c>
      <c r="R1447" s="1" t="s">
        <v>130</v>
      </c>
      <c r="S1447" s="1">
        <v>3.49</v>
      </c>
      <c r="Z1447" s="1" t="s">
        <v>22152</v>
      </c>
      <c r="AG1447" s="1">
        <v>8.53761066E9</v>
      </c>
      <c r="AJ1447" s="1">
        <v>163.0</v>
      </c>
      <c r="AK1447" s="1">
        <v>65.0</v>
      </c>
      <c r="AL1447" s="1" t="s">
        <v>22153</v>
      </c>
      <c r="AM1447" s="1" t="s">
        <v>22154</v>
      </c>
      <c r="AN1447" s="7" t="s">
        <v>22155</v>
      </c>
      <c r="AO1447" s="8" t="str">
        <f>HYPERLINK("https://docs.google.com/document/d/1RoQFFQCMHwmkHS6DhmQfbZezdOHwjnu2847X2Q9qLxI/edit?usp=drivesdk","Al-Wildan 24 Yogyakarta_Lulu Fajriatus Rafsanjani, S.Pd., Gr._Matematika")</f>
        <v>Al-Wildan 24 Yogyakarta_Lulu Fajriatus Rafsanjani, S.Pd., Gr._Matematika</v>
      </c>
      <c r="AP1447" s="1" t="s">
        <v>22156</v>
      </c>
    </row>
    <row r="1448">
      <c r="A1448" s="6">
        <v>46192.401260196755</v>
      </c>
      <c r="B1448" s="7" t="s">
        <v>22157</v>
      </c>
      <c r="C1448" s="8" t="s">
        <v>22158</v>
      </c>
      <c r="D1448" s="1" t="s">
        <v>22159</v>
      </c>
      <c r="E1448" s="1">
        <v>6.285609293007E12</v>
      </c>
      <c r="F1448" s="1" t="s">
        <v>22160</v>
      </c>
      <c r="G1448" s="1" t="s">
        <v>22161</v>
      </c>
      <c r="H1448" s="1" t="s">
        <v>3703</v>
      </c>
      <c r="I1448" s="9" t="s">
        <v>22162</v>
      </c>
      <c r="J1448" s="1" t="s">
        <v>6548</v>
      </c>
      <c r="K1448" s="1" t="s">
        <v>151</v>
      </c>
      <c r="L1448" s="1" t="s">
        <v>103</v>
      </c>
      <c r="M1448" s="1" t="s">
        <v>104</v>
      </c>
      <c r="N1448" s="1" t="s">
        <v>22163</v>
      </c>
      <c r="O1448" s="1" t="s">
        <v>9794</v>
      </c>
      <c r="P1448" s="1" t="s">
        <v>6091</v>
      </c>
      <c r="Q1448" s="1" t="s">
        <v>22164</v>
      </c>
      <c r="R1448" s="1" t="s">
        <v>2249</v>
      </c>
      <c r="S1448" s="1" t="s">
        <v>22165</v>
      </c>
      <c r="Z1448" s="1" t="s">
        <v>22166</v>
      </c>
      <c r="AA1448" s="10">
        <v>700000.0</v>
      </c>
      <c r="AB1448" s="1" t="s">
        <v>22167</v>
      </c>
      <c r="AC1448" s="10">
        <v>800000.0</v>
      </c>
      <c r="AD1448" s="1" t="s">
        <v>22168</v>
      </c>
      <c r="AE1448" s="10">
        <v>2500000.0</v>
      </c>
      <c r="AF1448" s="10">
        <v>6000000.0</v>
      </c>
      <c r="AG1448" s="1">
        <v>1.038415308E9</v>
      </c>
      <c r="AJ1448" s="1">
        <v>155.0</v>
      </c>
      <c r="AK1448" s="1">
        <v>39.0</v>
      </c>
      <c r="AL1448" s="1" t="s">
        <v>22169</v>
      </c>
      <c r="AM1448" s="1" t="s">
        <v>22170</v>
      </c>
      <c r="AN1448" s="7" t="s">
        <v>22171</v>
      </c>
      <c r="AO1448" s="8" t="str">
        <f>HYPERLINK("https://docs.google.com/document/d/1iT-OdL58nc5Zw72Ffyu7hbQvBw8RFxsQhknydd86dpw/edit?usp=drivesdk","Al-Wildan 10 Cipinang, Jakarta Timur_Lulu Latifa, B.A._Diniyah/Bahasa Arab")</f>
        <v>Al-Wildan 10 Cipinang, Jakarta Timur_Lulu Latifa, B.A._Diniyah/Bahasa Arab</v>
      </c>
      <c r="AP1448" s="1" t="s">
        <v>22172</v>
      </c>
    </row>
    <row r="1449">
      <c r="A1449" s="6">
        <v>46192.6337355787</v>
      </c>
      <c r="B1449" s="7" t="s">
        <v>22173</v>
      </c>
      <c r="C1449" s="8" t="s">
        <v>22174</v>
      </c>
      <c r="D1449" s="1" t="s">
        <v>22175</v>
      </c>
      <c r="E1449" s="9" t="s">
        <v>22176</v>
      </c>
      <c r="F1449" s="1" t="s">
        <v>22177</v>
      </c>
      <c r="G1449" s="1" t="s">
        <v>22178</v>
      </c>
      <c r="H1449" s="1" t="s">
        <v>2816</v>
      </c>
      <c r="I1449" s="9" t="s">
        <v>22179</v>
      </c>
      <c r="J1449" s="1" t="s">
        <v>15676</v>
      </c>
      <c r="K1449" s="1" t="s">
        <v>102</v>
      </c>
      <c r="L1449" s="1" t="s">
        <v>103</v>
      </c>
      <c r="M1449" s="1" t="s">
        <v>18796</v>
      </c>
      <c r="O1449" s="1" t="s">
        <v>13406</v>
      </c>
      <c r="P1449" s="1" t="s">
        <v>21734</v>
      </c>
      <c r="Z1449" s="1" t="s">
        <v>22180</v>
      </c>
      <c r="AA1449" s="1">
        <v>4000000.0</v>
      </c>
      <c r="AB1449" s="1" t="s">
        <v>22181</v>
      </c>
      <c r="AC1449" s="1">
        <v>4000000.0</v>
      </c>
      <c r="AD1449" s="1" t="s">
        <v>22182</v>
      </c>
      <c r="AE1449" s="1">
        <v>4500000.0</v>
      </c>
      <c r="AF1449" s="1">
        <v>6500000.0</v>
      </c>
      <c r="AG1449" s="1">
        <v>7.101576463E9</v>
      </c>
      <c r="AJ1449" s="1">
        <v>165.0</v>
      </c>
      <c r="AK1449" s="1">
        <v>73.0</v>
      </c>
      <c r="AL1449" s="1" t="s">
        <v>22183</v>
      </c>
      <c r="AM1449" s="1" t="s">
        <v>22184</v>
      </c>
      <c r="AN1449" s="7" t="s">
        <v>22185</v>
      </c>
      <c r="AO1449" s="8" t="str">
        <f>HYPERLINK("https://docs.google.com/document/d/1HD3DwKv1Tg3mzPj1Q3s96MXDrcyVpPgQJanNV0nB6Yc/edit?usp=drivesdk","Al-Wildan 23 SEMARANG_Hoerul Anam_")</f>
        <v>Al-Wildan 23 SEMARANG_Hoerul Anam_</v>
      </c>
      <c r="AP1449" s="1" t="s">
        <v>22186</v>
      </c>
    </row>
    <row r="1450">
      <c r="A1450" s="6">
        <v>46192.743312453706</v>
      </c>
      <c r="B1450" s="7" t="s">
        <v>22187</v>
      </c>
      <c r="C1450" s="8" t="s">
        <v>22188</v>
      </c>
      <c r="D1450" s="1" t="s">
        <v>22189</v>
      </c>
      <c r="E1450" s="9" t="s">
        <v>22190</v>
      </c>
      <c r="F1450" s="1">
        <v>3.08155987E8</v>
      </c>
      <c r="G1450" s="1" t="s">
        <v>22191</v>
      </c>
      <c r="H1450" s="1" t="s">
        <v>22192</v>
      </c>
      <c r="I1450" s="9" t="s">
        <v>22193</v>
      </c>
      <c r="J1450" s="1">
        <v>32.0</v>
      </c>
      <c r="K1450" s="1" t="s">
        <v>102</v>
      </c>
      <c r="L1450" s="1" t="s">
        <v>256</v>
      </c>
      <c r="M1450" s="1" t="s">
        <v>104</v>
      </c>
      <c r="N1450" s="1" t="s">
        <v>22194</v>
      </c>
      <c r="O1450" s="1" t="s">
        <v>9794</v>
      </c>
      <c r="P1450" s="1" t="s">
        <v>7991</v>
      </c>
      <c r="Q1450" s="1" t="s">
        <v>22195</v>
      </c>
      <c r="R1450" s="1" t="s">
        <v>6953</v>
      </c>
      <c r="Z1450" s="1" t="s">
        <v>22196</v>
      </c>
      <c r="AA1450" s="1" t="s">
        <v>22197</v>
      </c>
      <c r="AB1450" s="1" t="s">
        <v>22196</v>
      </c>
      <c r="AC1450" s="1" t="s">
        <v>22198</v>
      </c>
      <c r="AD1450" s="1" t="s">
        <v>8963</v>
      </c>
      <c r="AE1450" s="1" t="s">
        <v>22199</v>
      </c>
      <c r="AF1450" s="1" t="s">
        <v>22200</v>
      </c>
      <c r="AH1450" s="1">
        <v>3.262392357E9</v>
      </c>
      <c r="AI1450" s="1" t="s">
        <v>222</v>
      </c>
      <c r="AJ1450" s="1">
        <v>178.0</v>
      </c>
      <c r="AK1450" s="1">
        <v>80.0</v>
      </c>
      <c r="AL1450" s="1" t="s">
        <v>22201</v>
      </c>
      <c r="AM1450" s="1" t="s">
        <v>22202</v>
      </c>
      <c r="AN1450" s="7" t="s">
        <v>22203</v>
      </c>
      <c r="AO1450" s="8" t="str">
        <f>HYPERLINK("https://docs.google.com/document/d/1vmpIXtAj22tAWpRvBuhd-FK3FIWgWtZuvifqMcl2wsY/edit?usp=drivesdk","Al-Wildan 12 Bulak Kapal, Bekasi_Mr. Makhlouf Merouani_English Language.")</f>
        <v>Al-Wildan 12 Bulak Kapal, Bekasi_Mr. Makhlouf Merouani_English Language.</v>
      </c>
      <c r="AP1450" s="1" t="s">
        <v>22204</v>
      </c>
    </row>
    <row r="1451">
      <c r="A1451" s="6">
        <v>46192.80555138889</v>
      </c>
      <c r="B1451" s="7" t="s">
        <v>22205</v>
      </c>
      <c r="C1451" s="8" t="s">
        <v>22206</v>
      </c>
      <c r="D1451" s="1" t="s">
        <v>22207</v>
      </c>
      <c r="E1451" s="9" t="s">
        <v>22208</v>
      </c>
      <c r="F1451" s="1" t="s">
        <v>22209</v>
      </c>
      <c r="G1451" s="1" t="s">
        <v>22210</v>
      </c>
      <c r="H1451" s="1" t="s">
        <v>1341</v>
      </c>
      <c r="I1451" s="9" t="s">
        <v>22211</v>
      </c>
      <c r="J1451" s="1" t="s">
        <v>22212</v>
      </c>
      <c r="K1451" s="1" t="s">
        <v>151</v>
      </c>
      <c r="L1451" s="1" t="s">
        <v>103</v>
      </c>
      <c r="M1451" s="1" t="s">
        <v>104</v>
      </c>
      <c r="N1451" s="1" t="s">
        <v>22213</v>
      </c>
      <c r="O1451" s="1" t="s">
        <v>236</v>
      </c>
      <c r="P1451" s="1" t="s">
        <v>22002</v>
      </c>
      <c r="Q1451" s="1" t="s">
        <v>22214</v>
      </c>
      <c r="R1451" s="1" t="s">
        <v>536</v>
      </c>
      <c r="S1451" s="1">
        <v>3.57</v>
      </c>
      <c r="Z1451" s="1" t="s">
        <v>22215</v>
      </c>
      <c r="AA1451" s="1" t="s">
        <v>22216</v>
      </c>
      <c r="AB1451" s="1" t="s">
        <v>22217</v>
      </c>
      <c r="AC1451" s="10">
        <v>250000.0</v>
      </c>
      <c r="AF1451" s="1" t="s">
        <v>22218</v>
      </c>
      <c r="AH1451" s="1">
        <v>7.066173868E11</v>
      </c>
      <c r="AI1451" s="1" t="s">
        <v>22219</v>
      </c>
      <c r="AJ1451" s="1">
        <v>163.0</v>
      </c>
      <c r="AK1451" s="1">
        <v>60.0</v>
      </c>
      <c r="AL1451" s="1" t="s">
        <v>22220</v>
      </c>
      <c r="AM1451" s="1" t="s">
        <v>22221</v>
      </c>
      <c r="AN1451" s="7" t="s">
        <v>22222</v>
      </c>
      <c r="AO1451" s="8" t="str">
        <f>HYPERLINK("https://docs.google.com/document/d/1yc8g3ugHadv4WcLNZOThMRQZm5e-yVPVUdmrclDc2sY/edit?usp=drivesdk","Al-Wildan 24 Yogyakarta_Juliana Putri Utami, S. Pd_Guru Geografi")</f>
        <v>Al-Wildan 24 Yogyakarta_Juliana Putri Utami, S. Pd_Guru Geografi</v>
      </c>
      <c r="AP1451" s="1" t="s">
        <v>22223</v>
      </c>
    </row>
    <row r="1452">
      <c r="A1452" s="6">
        <v>46192.84876631944</v>
      </c>
      <c r="B1452" s="7" t="s">
        <v>22224</v>
      </c>
      <c r="C1452" s="8" t="s">
        <v>22225</v>
      </c>
      <c r="D1452" s="1" t="s">
        <v>22226</v>
      </c>
      <c r="E1452" s="9" t="s">
        <v>22227</v>
      </c>
      <c r="F1452" s="1" t="s">
        <v>22228</v>
      </c>
      <c r="G1452" s="1" t="s">
        <v>22229</v>
      </c>
      <c r="H1452" s="1" t="s">
        <v>169</v>
      </c>
      <c r="I1452" s="9" t="s">
        <v>22230</v>
      </c>
      <c r="J1452" s="1" t="s">
        <v>407</v>
      </c>
      <c r="K1452" s="1" t="s">
        <v>151</v>
      </c>
      <c r="L1452" s="1" t="s">
        <v>256</v>
      </c>
      <c r="M1452" s="1" t="s">
        <v>104</v>
      </c>
      <c r="N1452" s="1" t="s">
        <v>5937</v>
      </c>
      <c r="O1452" s="1" t="s">
        <v>106</v>
      </c>
      <c r="P1452" s="1" t="s">
        <v>11207</v>
      </c>
      <c r="Q1452" s="1" t="s">
        <v>22231</v>
      </c>
      <c r="R1452" s="1" t="s">
        <v>22232</v>
      </c>
      <c r="S1452" s="1" t="s">
        <v>7147</v>
      </c>
      <c r="Z1452" s="1" t="s">
        <v>22233</v>
      </c>
      <c r="AA1452" s="10">
        <v>1000000.0</v>
      </c>
      <c r="AB1452" s="1" t="s">
        <v>22234</v>
      </c>
      <c r="AC1452" s="10">
        <v>1500000.0</v>
      </c>
      <c r="AD1452" s="1" t="s">
        <v>22235</v>
      </c>
      <c r="AE1452" s="10">
        <v>2000000.0</v>
      </c>
      <c r="AF1452" s="10">
        <v>5000000.0</v>
      </c>
      <c r="AH1452" s="1">
        <v>4.83601037409531E14</v>
      </c>
      <c r="AI1452" s="1" t="s">
        <v>5466</v>
      </c>
      <c r="AJ1452" s="1">
        <v>155.0</v>
      </c>
      <c r="AK1452" s="1">
        <v>47.0</v>
      </c>
      <c r="AL1452" s="1" t="s">
        <v>22236</v>
      </c>
      <c r="AM1452" s="1" t="s">
        <v>22237</v>
      </c>
      <c r="AN1452" s="7" t="s">
        <v>22238</v>
      </c>
      <c r="AO1452" s="8" t="str">
        <f>HYPERLINK("https://docs.google.com/document/d/1e5uC3Gnw_oMee855RG7xk4mWIVmyZ01h5jRQh_LoDGk/edit?usp=drivesdk","Al-Wildan 16 Ciledug_Alifia Mulyadina Putri, S.Pd._PAI English")</f>
        <v>Al-Wildan 16 Ciledug_Alifia Mulyadina Putri, S.Pd._PAI English</v>
      </c>
      <c r="AP1452" s="1" t="s">
        <v>22239</v>
      </c>
    </row>
    <row r="1453">
      <c r="A1453" s="6">
        <v>46192.94635841435</v>
      </c>
      <c r="B1453" s="7" t="s">
        <v>22240</v>
      </c>
      <c r="C1453" s="8" t="s">
        <v>22241</v>
      </c>
      <c r="D1453" s="1" t="s">
        <v>22242</v>
      </c>
      <c r="E1453" s="9" t="s">
        <v>22243</v>
      </c>
      <c r="F1453" s="1" t="s">
        <v>22244</v>
      </c>
      <c r="G1453" s="1" t="s">
        <v>22245</v>
      </c>
      <c r="H1453" s="1" t="s">
        <v>12707</v>
      </c>
      <c r="I1453" s="9" t="s">
        <v>22246</v>
      </c>
      <c r="J1453" s="1" t="s">
        <v>2580</v>
      </c>
      <c r="K1453" s="1" t="s">
        <v>151</v>
      </c>
      <c r="L1453" s="1" t="s">
        <v>103</v>
      </c>
      <c r="M1453" s="1" t="s">
        <v>10541</v>
      </c>
      <c r="N1453" s="1" t="s">
        <v>152</v>
      </c>
      <c r="O1453" s="1" t="s">
        <v>312</v>
      </c>
      <c r="P1453" s="1" t="s">
        <v>11207</v>
      </c>
      <c r="Q1453" s="1" t="s">
        <v>5611</v>
      </c>
      <c r="R1453" s="1" t="s">
        <v>5612</v>
      </c>
      <c r="S1453" s="1" t="s">
        <v>1958</v>
      </c>
      <c r="Z1453" s="1" t="s">
        <v>22247</v>
      </c>
      <c r="AA1453" s="10">
        <v>1300000.0</v>
      </c>
      <c r="AB1453" s="1" t="s">
        <v>22248</v>
      </c>
      <c r="AC1453" s="10">
        <v>1900000.0</v>
      </c>
      <c r="AF1453" s="10">
        <v>5000000.0</v>
      </c>
      <c r="AG1453" s="1">
        <v>7.328980465E9</v>
      </c>
      <c r="AJ1453" s="1">
        <v>175.0</v>
      </c>
      <c r="AK1453" s="1">
        <v>47.0</v>
      </c>
      <c r="AL1453" s="1" t="s">
        <v>22249</v>
      </c>
      <c r="AM1453" s="1" t="s">
        <v>22250</v>
      </c>
      <c r="AN1453" s="7" t="s">
        <v>22251</v>
      </c>
      <c r="AO1453" s="8" t="str">
        <f>HYPERLINK("https://docs.google.com/document/d/1OAxFbUkDt41NZ8lB0DU9J7vbASvlz06R7sDSQekJA_4/edit?usp=drivesdk","Al-Wildan 16 Ciledug_Ibnu Rifki, S.Hum._Bahasa Inggris")</f>
        <v>Al-Wildan 16 Ciledug_Ibnu Rifki, S.Hum._Bahasa Inggris</v>
      </c>
      <c r="AP1453" s="1" t="s">
        <v>22252</v>
      </c>
    </row>
    <row r="1454">
      <c r="A1454" s="6">
        <v>46192.952102650466</v>
      </c>
      <c r="B1454" s="7" t="s">
        <v>22253</v>
      </c>
      <c r="C1454" s="8" t="s">
        <v>22254</v>
      </c>
      <c r="D1454" s="1" t="s">
        <v>22255</v>
      </c>
      <c r="E1454" s="9" t="s">
        <v>22256</v>
      </c>
      <c r="F1454" s="1" t="s">
        <v>22257</v>
      </c>
      <c r="G1454" s="1" t="s">
        <v>22258</v>
      </c>
      <c r="H1454" s="1" t="s">
        <v>22259</v>
      </c>
      <c r="I1454" s="9" t="s">
        <v>22260</v>
      </c>
      <c r="J1454" s="1" t="s">
        <v>3942</v>
      </c>
      <c r="K1454" s="1" t="s">
        <v>151</v>
      </c>
      <c r="L1454" s="1" t="s">
        <v>103</v>
      </c>
      <c r="M1454" s="1" t="s">
        <v>104</v>
      </c>
      <c r="N1454" s="1" t="s">
        <v>13918</v>
      </c>
      <c r="O1454" s="1" t="s">
        <v>9794</v>
      </c>
      <c r="P1454" s="1" t="s">
        <v>11207</v>
      </c>
      <c r="Q1454" s="1" t="s">
        <v>22261</v>
      </c>
      <c r="R1454" s="1" t="s">
        <v>10055</v>
      </c>
      <c r="S1454" s="9" t="s">
        <v>2785</v>
      </c>
      <c r="Z1454" s="1" t="s">
        <v>22262</v>
      </c>
      <c r="AA1454" s="10">
        <v>2500000.0</v>
      </c>
      <c r="AF1454" s="10">
        <v>5000000.0</v>
      </c>
      <c r="AG1454" s="1">
        <v>7.329366507E9</v>
      </c>
      <c r="AJ1454" s="1">
        <v>158.0</v>
      </c>
      <c r="AK1454" s="1">
        <v>45.0</v>
      </c>
      <c r="AL1454" s="1" t="s">
        <v>22263</v>
      </c>
      <c r="AM1454" s="1" t="s">
        <v>22264</v>
      </c>
      <c r="AN1454" s="7" t="s">
        <v>22265</v>
      </c>
      <c r="AO1454" s="8" t="str">
        <f>HYPERLINK("https://docs.google.com/document/d/1VgF4fCbHjvuCRYdw9N1KoJGxhIIXOqmROUJZb1ABGLI/edit?usp=drivesdk","Al-Wildan 16 Ciledug_Rizky Amalia Astauriyah BSc.Psy_PJOK")</f>
        <v>Al-Wildan 16 Ciledug_Rizky Amalia Astauriyah BSc.Psy_PJOK</v>
      </c>
      <c r="AP1454" s="1" t="s">
        <v>22266</v>
      </c>
    </row>
    <row r="1455">
      <c r="A1455" s="6">
        <v>46193.37993476852</v>
      </c>
      <c r="B1455" s="7" t="s">
        <v>22267</v>
      </c>
      <c r="C1455" s="8" t="s">
        <v>22268</v>
      </c>
      <c r="D1455" s="1" t="s">
        <v>22269</v>
      </c>
      <c r="E1455" s="9" t="s">
        <v>22270</v>
      </c>
      <c r="F1455" s="1" t="s">
        <v>22271</v>
      </c>
      <c r="G1455" s="1" t="s">
        <v>22272</v>
      </c>
      <c r="H1455" s="1" t="s">
        <v>22273</v>
      </c>
      <c r="I1455" s="9" t="s">
        <v>22274</v>
      </c>
      <c r="J1455" s="1" t="s">
        <v>3508</v>
      </c>
      <c r="K1455" s="1" t="s">
        <v>102</v>
      </c>
      <c r="L1455" s="1" t="s">
        <v>103</v>
      </c>
      <c r="M1455" s="1" t="s">
        <v>104</v>
      </c>
      <c r="N1455" s="1" t="s">
        <v>22275</v>
      </c>
      <c r="O1455" s="1" t="s">
        <v>312</v>
      </c>
      <c r="P1455" s="1" t="s">
        <v>21626</v>
      </c>
      <c r="Q1455" s="1" t="s">
        <v>22276</v>
      </c>
      <c r="R1455" s="1" t="s">
        <v>552</v>
      </c>
      <c r="S1455" s="9" t="s">
        <v>6976</v>
      </c>
      <c r="Z1455" s="1" t="s">
        <v>22277</v>
      </c>
      <c r="AA1455" s="10">
        <v>3800000.0</v>
      </c>
      <c r="AB1455" s="1" t="s">
        <v>22278</v>
      </c>
      <c r="AC1455" s="1" t="s">
        <v>22279</v>
      </c>
      <c r="AF1455" s="10">
        <v>4800000.0</v>
      </c>
      <c r="AG1455" s="1">
        <v>8.06887665E9</v>
      </c>
      <c r="AJ1455" s="1">
        <v>155.0</v>
      </c>
      <c r="AK1455" s="1">
        <v>55.0</v>
      </c>
      <c r="AL1455" s="1" t="s">
        <v>22280</v>
      </c>
      <c r="AM1455" s="1" t="s">
        <v>22281</v>
      </c>
      <c r="AN1455" s="7" t="s">
        <v>22282</v>
      </c>
      <c r="AO1455" s="8" t="str">
        <f>HYPERLINK("https://docs.google.com/document/d/1UxOfnhY_0Q8wXz8C8N6FZD9AWzFplMlHwFDlwccV6Sc/edit?usp=drivesdk","Al-Wildan 29 DEPOK_Cilia Hakiky, S.Si._Science, Mathematica")</f>
        <v>Al-Wildan 29 DEPOK_Cilia Hakiky, S.Si._Science, Mathematica</v>
      </c>
      <c r="AP1455" s="1" t="s">
        <v>22283</v>
      </c>
    </row>
    <row r="1456">
      <c r="A1456" s="6">
        <v>46193.703407071764</v>
      </c>
      <c r="B1456" s="7" t="s">
        <v>22284</v>
      </c>
      <c r="C1456" s="8" t="s">
        <v>22285</v>
      </c>
      <c r="D1456" s="1" t="s">
        <v>22286</v>
      </c>
      <c r="E1456" s="9" t="s">
        <v>22287</v>
      </c>
      <c r="F1456" s="1" t="s">
        <v>22288</v>
      </c>
      <c r="G1456" s="1" t="s">
        <v>22289</v>
      </c>
      <c r="H1456" s="1" t="s">
        <v>22290</v>
      </c>
      <c r="I1456" s="9" t="s">
        <v>22291</v>
      </c>
      <c r="J1456" s="1" t="s">
        <v>7062</v>
      </c>
      <c r="K1456" s="1" t="s">
        <v>151</v>
      </c>
      <c r="L1456" s="1" t="s">
        <v>103</v>
      </c>
      <c r="M1456" s="1" t="s">
        <v>104</v>
      </c>
      <c r="N1456" s="1" t="s">
        <v>22292</v>
      </c>
      <c r="O1456" s="1" t="s">
        <v>312</v>
      </c>
      <c r="P1456" s="1" t="s">
        <v>237</v>
      </c>
      <c r="Q1456" s="1" t="s">
        <v>11769</v>
      </c>
      <c r="R1456" s="1" t="s">
        <v>2355</v>
      </c>
      <c r="S1456" s="1" t="s">
        <v>1624</v>
      </c>
      <c r="T1456" s="1" t="s">
        <v>9389</v>
      </c>
      <c r="U1456" s="1" t="s">
        <v>22293</v>
      </c>
      <c r="V1456" s="1" t="s">
        <v>1023</v>
      </c>
      <c r="Z1456" s="1" t="s">
        <v>22294</v>
      </c>
      <c r="AA1456" s="10">
        <v>3200000.0</v>
      </c>
      <c r="AB1456" s="1" t="s">
        <v>22295</v>
      </c>
      <c r="AC1456" s="10">
        <v>4500000.0</v>
      </c>
      <c r="AD1456" s="1" t="s">
        <v>22296</v>
      </c>
      <c r="AE1456" s="10">
        <v>1.5E7</v>
      </c>
      <c r="AF1456" s="10">
        <v>6500000.0</v>
      </c>
      <c r="AG1456" s="1">
        <v>7.123990891E9</v>
      </c>
      <c r="AH1456" s="1">
        <v>0.0</v>
      </c>
      <c r="AI1456" s="1" t="s">
        <v>16512</v>
      </c>
      <c r="AJ1456" s="1">
        <v>173.0</v>
      </c>
      <c r="AK1456" s="1">
        <v>72.0</v>
      </c>
      <c r="AL1456" s="1" t="s">
        <v>22297</v>
      </c>
      <c r="AM1456" s="1" t="s">
        <v>22298</v>
      </c>
      <c r="AN1456" s="7" t="s">
        <v>22299</v>
      </c>
      <c r="AO1456" s="8" t="str">
        <f>HYPERLINK("https://docs.google.com/document/d/119SdC9js08nQzYduYp1T0f7jdOt4Pb0ehWiuVBAN1Bw/edit?usp=drivesdk","Al-Wildan 4 Lebak Bulus_Razik Insani, S.Pd, M.Pd_ADA (Arabic-Diniyyah-Alquran)")</f>
        <v>Al-Wildan 4 Lebak Bulus_Razik Insani, S.Pd, M.Pd_ADA (Arabic-Diniyyah-Alquran)</v>
      </c>
      <c r="AP1456" s="1" t="s">
        <v>22300</v>
      </c>
    </row>
    <row r="1457">
      <c r="A1457" s="6">
        <v>46193.87790678241</v>
      </c>
      <c r="B1457" s="7" t="s">
        <v>22301</v>
      </c>
      <c r="C1457" s="8" t="s">
        <v>22302</v>
      </c>
      <c r="D1457" s="1" t="s">
        <v>22303</v>
      </c>
      <c r="E1457" s="9" t="s">
        <v>22304</v>
      </c>
      <c r="F1457" s="1" t="s">
        <v>7854</v>
      </c>
      <c r="G1457" s="1" t="s">
        <v>22305</v>
      </c>
      <c r="H1457" s="1" t="s">
        <v>288</v>
      </c>
      <c r="I1457" s="9" t="s">
        <v>7855</v>
      </c>
      <c r="J1457" s="1" t="s">
        <v>645</v>
      </c>
      <c r="K1457" s="1" t="s">
        <v>102</v>
      </c>
      <c r="L1457" s="1" t="s">
        <v>103</v>
      </c>
      <c r="M1457" s="1" t="s">
        <v>104</v>
      </c>
      <c r="N1457" s="1" t="s">
        <v>235</v>
      </c>
      <c r="O1457" s="1" t="s">
        <v>9794</v>
      </c>
      <c r="P1457" s="1" t="s">
        <v>11207</v>
      </c>
      <c r="Q1457" s="1" t="s">
        <v>7857</v>
      </c>
      <c r="R1457" s="1" t="s">
        <v>7391</v>
      </c>
      <c r="S1457" s="1" t="s">
        <v>3093</v>
      </c>
      <c r="T1457" s="1" t="s">
        <v>2802</v>
      </c>
      <c r="U1457" s="1" t="s">
        <v>12191</v>
      </c>
      <c r="V1457" s="1" t="s">
        <v>2181</v>
      </c>
      <c r="Z1457" s="1" t="s">
        <v>7897</v>
      </c>
      <c r="AA1457" s="10">
        <v>5700000.0</v>
      </c>
      <c r="AF1457" s="10">
        <v>8000000.0</v>
      </c>
      <c r="AG1457" s="1">
        <v>7.147392219E9</v>
      </c>
      <c r="AJ1457" s="1">
        <v>153.0</v>
      </c>
      <c r="AK1457" s="1">
        <v>65.0</v>
      </c>
      <c r="AL1457" s="1" t="s">
        <v>22306</v>
      </c>
      <c r="AM1457" s="1" t="s">
        <v>22307</v>
      </c>
      <c r="AN1457" s="7" t="s">
        <v>22308</v>
      </c>
      <c r="AO1457" s="8" t="str">
        <f>HYPERLINK("https://docs.google.com/document/d/1wm-V9qazKg_D7hTv8yaxfplEY3ekibaRpulKPLJ5Dmk/edit?usp=drivesdk","Al-Wildan 16 Ciledug_Muhamad Rahmatullah, M.Pd.,C.MA.,C.MB._Bahasa Arab")</f>
        <v>Al-Wildan 16 Ciledug_Muhamad Rahmatullah, M.Pd.,C.MA.,C.MB._Bahasa Arab</v>
      </c>
      <c r="AP1457" s="1" t="s">
        <v>22309</v>
      </c>
    </row>
    <row r="1458">
      <c r="A1458" s="6">
        <v>46194.48852604166</v>
      </c>
      <c r="B1458" s="7" t="s">
        <v>22310</v>
      </c>
      <c r="C1458" s="8" t="s">
        <v>22311</v>
      </c>
      <c r="D1458" s="1" t="s">
        <v>22312</v>
      </c>
      <c r="E1458" s="9" t="s">
        <v>22313</v>
      </c>
      <c r="F1458" s="1" t="s">
        <v>22314</v>
      </c>
      <c r="G1458" s="1" t="s">
        <v>22315</v>
      </c>
      <c r="H1458" s="1" t="s">
        <v>1003</v>
      </c>
      <c r="I1458" s="9" t="s">
        <v>22316</v>
      </c>
      <c r="J1458" s="1" t="s">
        <v>610</v>
      </c>
      <c r="K1458" s="1" t="s">
        <v>151</v>
      </c>
      <c r="L1458" s="1" t="s">
        <v>256</v>
      </c>
      <c r="M1458" s="1" t="s">
        <v>104</v>
      </c>
      <c r="N1458" s="1" t="s">
        <v>22317</v>
      </c>
      <c r="O1458" s="1" t="s">
        <v>9794</v>
      </c>
      <c r="P1458" s="1" t="s">
        <v>21626</v>
      </c>
      <c r="Q1458" s="1" t="s">
        <v>22318</v>
      </c>
      <c r="R1458" s="1" t="s">
        <v>22319</v>
      </c>
      <c r="S1458" s="1">
        <v>3.76</v>
      </c>
      <c r="T1458" s="1" t="s">
        <v>16883</v>
      </c>
      <c r="U1458" s="1" t="s">
        <v>22320</v>
      </c>
      <c r="V1458" s="1">
        <v>3.94</v>
      </c>
      <c r="Z1458" s="1" t="s">
        <v>22321</v>
      </c>
      <c r="AA1458" s="1" t="s">
        <v>22322</v>
      </c>
      <c r="AB1458" s="1" t="s">
        <v>22323</v>
      </c>
      <c r="AC1458" s="10">
        <v>300000.0</v>
      </c>
      <c r="AD1458" s="1" t="s">
        <v>22324</v>
      </c>
      <c r="AE1458" s="1" t="s">
        <v>22322</v>
      </c>
      <c r="AF1458" s="1" t="s">
        <v>22325</v>
      </c>
      <c r="AH1458" s="1">
        <v>7.13259046E8</v>
      </c>
      <c r="AI1458" s="1" t="s">
        <v>159</v>
      </c>
      <c r="AJ1458" s="1">
        <v>150.0</v>
      </c>
      <c r="AK1458" s="1">
        <v>45.0</v>
      </c>
      <c r="AL1458" s="1" t="s">
        <v>22326</v>
      </c>
      <c r="AM1458" s="1" t="s">
        <v>22327</v>
      </c>
      <c r="AN1458" s="7" t="s">
        <v>22328</v>
      </c>
      <c r="AO1458" s="8" t="str">
        <f>HYPERLINK("https://docs.google.com/document/d/1jLCY05EbPv3LcG5dtbcO3-eTQQnGwG0-ygnUDDjcg1g/edit?usp=drivesdk","Al-Wildan 29 DEPOK_Melania Sarah Huwaida, Lc. M.Ag._Arabic Diniyyah Al-Quran")</f>
        <v>Al-Wildan 29 DEPOK_Melania Sarah Huwaida, Lc. M.Ag._Arabic Diniyyah Al-Quran</v>
      </c>
      <c r="AP1458" s="1" t="s">
        <v>22329</v>
      </c>
    </row>
    <row r="1459">
      <c r="A1459" s="6">
        <v>46194.52871210648</v>
      </c>
      <c r="B1459" s="7" t="s">
        <v>22330</v>
      </c>
      <c r="C1459" s="8" t="s">
        <v>22331</v>
      </c>
      <c r="D1459" s="1" t="s">
        <v>22332</v>
      </c>
      <c r="E1459" s="9" t="s">
        <v>22333</v>
      </c>
      <c r="F1459" s="1" t="s">
        <v>22334</v>
      </c>
      <c r="G1459" s="1" t="s">
        <v>22335</v>
      </c>
      <c r="H1459" s="1" t="s">
        <v>327</v>
      </c>
      <c r="I1459" s="9" t="s">
        <v>7822</v>
      </c>
      <c r="J1459" s="1" t="s">
        <v>1557</v>
      </c>
      <c r="K1459" s="1" t="s">
        <v>151</v>
      </c>
      <c r="L1459" s="1" t="s">
        <v>103</v>
      </c>
      <c r="M1459" s="1" t="s">
        <v>104</v>
      </c>
      <c r="N1459" s="1" t="s">
        <v>152</v>
      </c>
      <c r="O1459" s="1" t="s">
        <v>312</v>
      </c>
      <c r="P1459" s="1" t="s">
        <v>17019</v>
      </c>
      <c r="Q1459" s="1" t="s">
        <v>590</v>
      </c>
      <c r="R1459" s="1" t="s">
        <v>172</v>
      </c>
      <c r="S1459" s="1" t="s">
        <v>1668</v>
      </c>
      <c r="Z1459" s="1" t="s">
        <v>22336</v>
      </c>
      <c r="AA1459" s="10">
        <v>2500000.0</v>
      </c>
      <c r="AF1459" s="10">
        <v>5000000.0</v>
      </c>
      <c r="AH1459" s="1">
        <v>4.70501079209534E14</v>
      </c>
      <c r="AI1459" s="1" t="s">
        <v>2407</v>
      </c>
      <c r="AJ1459" s="1">
        <v>179.0</v>
      </c>
      <c r="AK1459" s="1">
        <v>97.0</v>
      </c>
      <c r="AL1459" s="1" t="s">
        <v>22337</v>
      </c>
      <c r="AM1459" s="1" t="s">
        <v>22338</v>
      </c>
      <c r="AN1459" s="7" t="s">
        <v>22339</v>
      </c>
      <c r="AO1459" s="8" t="str">
        <f>HYPERLINK("https://docs.google.com/document/d/19vmneUJDShtSHt25RtR3sHkHwBfj6Kfu0BmPfZTYdE8/edit?usp=drivesdk","Al-Wildan 20 Mataram_Muhamad Azzuri, S.Pd_Bahasa Inggris")</f>
        <v>Al-Wildan 20 Mataram_Muhamad Azzuri, S.Pd_Bahasa Inggris</v>
      </c>
      <c r="AP1459" s="1" t="s">
        <v>22340</v>
      </c>
    </row>
    <row r="1460">
      <c r="A1460" s="6">
        <v>46194.53289539352</v>
      </c>
      <c r="B1460" s="7" t="s">
        <v>22341</v>
      </c>
      <c r="C1460" s="8" t="s">
        <v>22342</v>
      </c>
      <c r="D1460" s="1" t="s">
        <v>22343</v>
      </c>
      <c r="E1460" s="9" t="s">
        <v>22344</v>
      </c>
      <c r="F1460" s="1" t="s">
        <v>22345</v>
      </c>
      <c r="G1460" s="1" t="s">
        <v>22346</v>
      </c>
      <c r="H1460" s="1" t="s">
        <v>22347</v>
      </c>
      <c r="I1460" s="9" t="s">
        <v>22348</v>
      </c>
      <c r="J1460" s="1" t="s">
        <v>1933</v>
      </c>
      <c r="K1460" s="1" t="s">
        <v>102</v>
      </c>
      <c r="L1460" s="1" t="s">
        <v>103</v>
      </c>
      <c r="M1460" s="1" t="s">
        <v>104</v>
      </c>
      <c r="N1460" s="1" t="s">
        <v>22349</v>
      </c>
      <c r="O1460" s="1" t="s">
        <v>312</v>
      </c>
      <c r="P1460" s="1" t="s">
        <v>17019</v>
      </c>
      <c r="Q1460" s="1" t="s">
        <v>590</v>
      </c>
      <c r="R1460" s="1" t="s">
        <v>14854</v>
      </c>
      <c r="S1460" s="1" t="s">
        <v>753</v>
      </c>
      <c r="T1460" s="1" t="s">
        <v>590</v>
      </c>
      <c r="U1460" s="1" t="s">
        <v>6816</v>
      </c>
      <c r="V1460" s="1" t="s">
        <v>14645</v>
      </c>
      <c r="Z1460" s="1" t="s">
        <v>22350</v>
      </c>
      <c r="AA1460" s="10">
        <v>500000.0</v>
      </c>
      <c r="AB1460" s="1" t="s">
        <v>22351</v>
      </c>
      <c r="AC1460" s="10">
        <v>500000.0</v>
      </c>
      <c r="AD1460" s="1" t="s">
        <v>22352</v>
      </c>
      <c r="AE1460" s="10">
        <v>1300000.0</v>
      </c>
      <c r="AF1460" s="10">
        <v>4000000.0</v>
      </c>
      <c r="AG1460" s="1">
        <v>7.216606617E9</v>
      </c>
      <c r="AH1460" s="1">
        <v>0.0</v>
      </c>
      <c r="AI1460" s="1" t="s">
        <v>5113</v>
      </c>
      <c r="AJ1460" s="1">
        <v>155.0</v>
      </c>
      <c r="AK1460" s="1">
        <v>65.0</v>
      </c>
      <c r="AL1460" s="1" t="s">
        <v>22353</v>
      </c>
      <c r="AM1460" s="1" t="s">
        <v>22354</v>
      </c>
      <c r="AN1460" s="7" t="s">
        <v>22355</v>
      </c>
      <c r="AO1460" s="8" t="str">
        <f>HYPERLINK("https://docs.google.com/document/d/14OY2edX7oen9nKRdK4vzaOfZBsFVFKQZ7cK901Vv3zs/edit?usp=drivesdk","Al-Wildan 20 Mataram_Siti Maulidiya Nabila, S.Pd., Gr._Tematik &amp; Bahasa Indonesia")</f>
        <v>Al-Wildan 20 Mataram_Siti Maulidiya Nabila, S.Pd., Gr._Tematik &amp; Bahasa Indonesia</v>
      </c>
      <c r="AP1460" s="1" t="s">
        <v>22356</v>
      </c>
    </row>
    <row r="1461">
      <c r="A1461" s="6">
        <v>46194.54170902778</v>
      </c>
      <c r="B1461" s="7" t="s">
        <v>22357</v>
      </c>
      <c r="C1461" s="8" t="s">
        <v>22358</v>
      </c>
      <c r="D1461" s="1" t="s">
        <v>22359</v>
      </c>
      <c r="E1461" s="9" t="s">
        <v>22360</v>
      </c>
      <c r="F1461" s="1" t="s">
        <v>22361</v>
      </c>
      <c r="G1461" s="1" t="s">
        <v>22362</v>
      </c>
      <c r="H1461" s="1" t="s">
        <v>22363</v>
      </c>
      <c r="I1461" s="9" t="s">
        <v>22364</v>
      </c>
      <c r="J1461" s="1" t="s">
        <v>18136</v>
      </c>
      <c r="K1461" s="1" t="s">
        <v>151</v>
      </c>
      <c r="L1461" s="1" t="s">
        <v>103</v>
      </c>
      <c r="M1461" s="1" t="s">
        <v>424</v>
      </c>
      <c r="O1461" s="1" t="s">
        <v>9794</v>
      </c>
      <c r="P1461" s="1" t="s">
        <v>17019</v>
      </c>
      <c r="Q1461" s="1" t="s">
        <v>17032</v>
      </c>
      <c r="R1461" s="1" t="s">
        <v>22365</v>
      </c>
      <c r="S1461" s="1" t="s">
        <v>1279</v>
      </c>
      <c r="Z1461" s="1" t="s">
        <v>22366</v>
      </c>
      <c r="AA1461" s="10">
        <v>250000.0</v>
      </c>
      <c r="AB1461" s="1" t="s">
        <v>22367</v>
      </c>
      <c r="AC1461" s="10">
        <v>700000.0</v>
      </c>
      <c r="AD1461" s="1" t="s">
        <v>22368</v>
      </c>
      <c r="AF1461" s="10">
        <v>5000000.0</v>
      </c>
      <c r="AG1461" s="1">
        <v>7.222055045E9</v>
      </c>
      <c r="AI1461" s="1" t="s">
        <v>4856</v>
      </c>
      <c r="AJ1461" s="1">
        <v>153.0</v>
      </c>
      <c r="AK1461" s="1">
        <v>68.0</v>
      </c>
      <c r="AL1461" s="1" t="s">
        <v>22369</v>
      </c>
      <c r="AM1461" s="1" t="s">
        <v>22370</v>
      </c>
      <c r="AN1461" s="7" t="s">
        <v>22371</v>
      </c>
      <c r="AO1461" s="8" t="str">
        <f>HYPERLINK("https://docs.google.com/document/d/1x2dDibXZksOh9fbjbF5FIf0NsDPIpP9lwra9SQqjju8/edit?usp=drivesdk","Al-Wildan 20 Mataram_Nasywa Indah Nurannisa, S.Sos_")</f>
        <v>Al-Wildan 20 Mataram_Nasywa Indah Nurannisa, S.Sos_</v>
      </c>
      <c r="AP1461" s="1" t="s">
        <v>22372</v>
      </c>
    </row>
    <row r="1462">
      <c r="A1462" s="6">
        <v>46194.54244333333</v>
      </c>
      <c r="B1462" s="7" t="s">
        <v>22373</v>
      </c>
      <c r="C1462" s="8" t="s">
        <v>22374</v>
      </c>
      <c r="D1462" s="1" t="s">
        <v>22375</v>
      </c>
      <c r="E1462" s="9" t="s">
        <v>22376</v>
      </c>
      <c r="F1462" s="1" t="s">
        <v>22377</v>
      </c>
      <c r="G1462" s="1" t="s">
        <v>22378</v>
      </c>
      <c r="H1462" s="1" t="s">
        <v>22379</v>
      </c>
      <c r="I1462" s="9" t="s">
        <v>22380</v>
      </c>
      <c r="J1462" s="1" t="s">
        <v>22381</v>
      </c>
      <c r="K1462" s="1" t="s">
        <v>151</v>
      </c>
      <c r="L1462" s="1" t="s">
        <v>103</v>
      </c>
      <c r="M1462" s="1" t="s">
        <v>104</v>
      </c>
      <c r="N1462" s="1" t="s">
        <v>1523</v>
      </c>
      <c r="O1462" s="1" t="s">
        <v>236</v>
      </c>
      <c r="P1462" s="1" t="s">
        <v>17019</v>
      </c>
      <c r="Q1462" s="1" t="s">
        <v>18484</v>
      </c>
      <c r="R1462" s="1" t="s">
        <v>22382</v>
      </c>
      <c r="S1462" s="1" t="s">
        <v>2180</v>
      </c>
      <c r="AF1462" s="10">
        <v>4500000.0</v>
      </c>
      <c r="AH1462" s="9" t="s">
        <v>22383</v>
      </c>
      <c r="AI1462" s="1" t="s">
        <v>22384</v>
      </c>
      <c r="AJ1462" s="1">
        <v>171.0</v>
      </c>
      <c r="AK1462" s="1">
        <v>56.0</v>
      </c>
      <c r="AL1462" s="1" t="s">
        <v>22385</v>
      </c>
      <c r="AM1462" s="1" t="s">
        <v>22386</v>
      </c>
      <c r="AN1462" s="7" t="s">
        <v>22387</v>
      </c>
      <c r="AO1462" s="8" t="str">
        <f>HYPERLINK("https://docs.google.com/document/d/1LovKhg07mJC1jsYelQn9RmApLzhurOSSui3TahS_kvA/edit?usp=drivesdk","Al-Wildan 20 Mataram_Riza Mahendra, S.Pd._Kimia")</f>
        <v>Al-Wildan 20 Mataram_Riza Mahendra, S.Pd._Kimia</v>
      </c>
      <c r="AP1462" s="1" t="s">
        <v>22388</v>
      </c>
    </row>
    <row r="1463">
      <c r="A1463" s="6">
        <v>46194.552618483795</v>
      </c>
      <c r="B1463" s="7" t="s">
        <v>22389</v>
      </c>
      <c r="C1463" s="8" t="s">
        <v>22390</v>
      </c>
      <c r="D1463" s="1" t="s">
        <v>22391</v>
      </c>
      <c r="E1463" s="9" t="s">
        <v>22392</v>
      </c>
      <c r="F1463" s="1" t="s">
        <v>22393</v>
      </c>
      <c r="G1463" s="1" t="s">
        <v>22394</v>
      </c>
      <c r="H1463" s="1" t="s">
        <v>4139</v>
      </c>
      <c r="I1463" s="9" t="s">
        <v>22395</v>
      </c>
      <c r="J1463" s="1" t="s">
        <v>22396</v>
      </c>
      <c r="K1463" s="1" t="s">
        <v>151</v>
      </c>
      <c r="L1463" s="1" t="s">
        <v>329</v>
      </c>
      <c r="M1463" s="1" t="s">
        <v>104</v>
      </c>
      <c r="N1463" s="1" t="s">
        <v>22397</v>
      </c>
      <c r="O1463" s="1" t="s">
        <v>9794</v>
      </c>
      <c r="P1463" s="1" t="s">
        <v>21626</v>
      </c>
      <c r="Q1463" s="1" t="s">
        <v>22398</v>
      </c>
      <c r="R1463" s="1" t="s">
        <v>2355</v>
      </c>
      <c r="S1463" s="1">
        <v>3.72</v>
      </c>
      <c r="T1463" s="1" t="s">
        <v>217</v>
      </c>
      <c r="U1463" s="1" t="s">
        <v>217</v>
      </c>
      <c r="V1463" s="1" t="s">
        <v>217</v>
      </c>
      <c r="W1463" s="1" t="s">
        <v>217</v>
      </c>
      <c r="X1463" s="1" t="s">
        <v>217</v>
      </c>
      <c r="Y1463" s="1">
        <v>0.0</v>
      </c>
      <c r="Z1463" s="1" t="s">
        <v>22399</v>
      </c>
      <c r="AA1463" s="10">
        <v>1000000.0</v>
      </c>
      <c r="AB1463" s="1" t="s">
        <v>22400</v>
      </c>
      <c r="AC1463" s="10">
        <v>800000.0</v>
      </c>
      <c r="AD1463" s="1" t="s">
        <v>22401</v>
      </c>
      <c r="AE1463" s="1" t="s">
        <v>217</v>
      </c>
      <c r="AF1463" s="10">
        <v>5000000.0</v>
      </c>
      <c r="AG1463" s="1">
        <v>1.05143426E9</v>
      </c>
      <c r="AH1463" s="1">
        <v>7.176898598E9</v>
      </c>
      <c r="AI1463" s="1" t="s">
        <v>5113</v>
      </c>
      <c r="AJ1463" s="1">
        <v>157.0</v>
      </c>
      <c r="AK1463" s="1">
        <v>50.0</v>
      </c>
      <c r="AL1463" s="1" t="s">
        <v>22402</v>
      </c>
      <c r="AM1463" s="1" t="s">
        <v>22403</v>
      </c>
      <c r="AN1463" s="7" t="s">
        <v>22404</v>
      </c>
      <c r="AO1463" s="8" t="str">
        <f>HYPERLINK("https://docs.google.com/document/d/16SGXwXXzTHm5aVMPIp-4Gom_XXJIg1FcvM1_Bed_ads/edit?usp=drivesdk","Al-Wildan 29 DEPOK_Siti Fatimah Azzahra S.Pd_Al-qur'an Diniyyah Arab")</f>
        <v>Al-Wildan 29 DEPOK_Siti Fatimah Azzahra S.Pd_Al-qur'an Diniyyah Arab</v>
      </c>
      <c r="AP1463" s="1" t="s">
        <v>22405</v>
      </c>
    </row>
    <row r="1464">
      <c r="A1464" s="6">
        <v>46194.612363946755</v>
      </c>
      <c r="B1464" s="7" t="s">
        <v>22406</v>
      </c>
      <c r="C1464" s="8" t="s">
        <v>22407</v>
      </c>
      <c r="D1464" s="1" t="s">
        <v>22408</v>
      </c>
      <c r="E1464" s="9" t="s">
        <v>22409</v>
      </c>
      <c r="F1464" s="1" t="s">
        <v>22410</v>
      </c>
      <c r="G1464" s="1" t="s">
        <v>2076</v>
      </c>
      <c r="H1464" s="1" t="s">
        <v>11017</v>
      </c>
      <c r="I1464" s="9" t="s">
        <v>21034</v>
      </c>
      <c r="J1464" s="1" t="s">
        <v>2737</v>
      </c>
      <c r="K1464" s="1" t="s">
        <v>151</v>
      </c>
      <c r="L1464" s="1" t="s">
        <v>103</v>
      </c>
      <c r="M1464" s="1" t="s">
        <v>104</v>
      </c>
      <c r="N1464" s="1" t="s">
        <v>22411</v>
      </c>
      <c r="O1464" s="1" t="s">
        <v>312</v>
      </c>
      <c r="P1464" s="1" t="s">
        <v>17019</v>
      </c>
      <c r="Q1464" s="1" t="s">
        <v>590</v>
      </c>
      <c r="R1464" s="1" t="s">
        <v>172</v>
      </c>
      <c r="S1464" s="1" t="s">
        <v>753</v>
      </c>
      <c r="Z1464" s="1" t="s">
        <v>22412</v>
      </c>
      <c r="AA1464" s="1" t="s">
        <v>22413</v>
      </c>
      <c r="AB1464" s="1" t="s">
        <v>22414</v>
      </c>
      <c r="AC1464" s="10">
        <v>1500000.0</v>
      </c>
      <c r="AF1464" s="1" t="s">
        <v>22415</v>
      </c>
      <c r="AH1464" s="1">
        <v>1.610007613396E12</v>
      </c>
      <c r="AI1464" s="1" t="s">
        <v>14426</v>
      </c>
      <c r="AJ1464" s="1">
        <v>167.0</v>
      </c>
      <c r="AK1464" s="1">
        <v>65.0</v>
      </c>
      <c r="AL1464" s="1" t="s">
        <v>22416</v>
      </c>
      <c r="AM1464" s="1" t="s">
        <v>22417</v>
      </c>
      <c r="AN1464" s="7" t="s">
        <v>22418</v>
      </c>
      <c r="AO1464" s="8" t="str">
        <f>HYPERLINK("https://docs.google.com/document/d/1d9ct6_8vVidmbHXbmJh805G2kCXWGuVg3XpGjZA1ANw/edit?usp=drivesdk","Al-Wildan 20 Mataram_Nasya Almira, S.Pd. _English (Bahasa Inggris)")</f>
        <v>Al-Wildan 20 Mataram_Nasya Almira, S.Pd. _English (Bahasa Inggris)</v>
      </c>
      <c r="AP1464" s="1" t="s">
        <v>22419</v>
      </c>
    </row>
    <row r="1465">
      <c r="A1465" s="6">
        <v>46194.70384136574</v>
      </c>
      <c r="B1465" s="7" t="s">
        <v>22420</v>
      </c>
      <c r="C1465" s="8" t="s">
        <v>22421</v>
      </c>
      <c r="D1465" s="1" t="s">
        <v>22422</v>
      </c>
      <c r="E1465" s="9" t="s">
        <v>22423</v>
      </c>
      <c r="F1465" s="1" t="s">
        <v>22424</v>
      </c>
      <c r="G1465" s="1" t="s">
        <v>22425</v>
      </c>
      <c r="H1465" s="1" t="s">
        <v>11881</v>
      </c>
      <c r="I1465" s="9" t="s">
        <v>22426</v>
      </c>
      <c r="J1465" s="1" t="s">
        <v>610</v>
      </c>
      <c r="K1465" s="1" t="s">
        <v>102</v>
      </c>
      <c r="L1465" s="1" t="s">
        <v>103</v>
      </c>
      <c r="M1465" s="1" t="s">
        <v>104</v>
      </c>
      <c r="N1465" s="1" t="s">
        <v>9388</v>
      </c>
      <c r="O1465" s="1" t="s">
        <v>236</v>
      </c>
      <c r="P1465" s="1" t="s">
        <v>11168</v>
      </c>
      <c r="Q1465" s="1" t="s">
        <v>214</v>
      </c>
      <c r="R1465" s="1" t="s">
        <v>10318</v>
      </c>
      <c r="S1465" s="9" t="s">
        <v>3642</v>
      </c>
      <c r="T1465" s="1" t="s">
        <v>217</v>
      </c>
      <c r="U1465" s="1" t="s">
        <v>217</v>
      </c>
      <c r="V1465" s="1" t="s">
        <v>217</v>
      </c>
      <c r="W1465" s="1" t="s">
        <v>217</v>
      </c>
      <c r="X1465" s="1" t="s">
        <v>217</v>
      </c>
      <c r="Y1465" s="1">
        <v>0.0</v>
      </c>
      <c r="Z1465" s="1" t="s">
        <v>22427</v>
      </c>
      <c r="AA1465" s="1" t="s">
        <v>22428</v>
      </c>
      <c r="AB1465" s="1" t="s">
        <v>22429</v>
      </c>
      <c r="AC1465" s="1" t="s">
        <v>22430</v>
      </c>
      <c r="AD1465" s="1" t="s">
        <v>22431</v>
      </c>
      <c r="AE1465" s="1" t="s">
        <v>22432</v>
      </c>
      <c r="AF1465" s="1" t="s">
        <v>22433</v>
      </c>
      <c r="AG1465" s="1">
        <v>7.222309667E9</v>
      </c>
      <c r="AJ1465" s="1">
        <v>156.0</v>
      </c>
      <c r="AK1465" s="1">
        <v>85.0</v>
      </c>
      <c r="AL1465" s="1" t="s">
        <v>22434</v>
      </c>
      <c r="AM1465" s="1" t="s">
        <v>22435</v>
      </c>
      <c r="AN1465" s="7" t="s">
        <v>22436</v>
      </c>
      <c r="AO1465" s="8" t="str">
        <f>HYPERLINK("https://docs.google.com/document/d/100xlQp2ZxXc2NVTssw9TyOC7bN_UxVhA9__Pxi5quzg/edit?usp=drivesdk","Al-Wildan 8 Parung_Muhammad Tajriyan, S.S._English ")</f>
        <v>Al-Wildan 8 Parung_Muhammad Tajriyan, S.S._English </v>
      </c>
      <c r="AP1465" s="1" t="s">
        <v>22437</v>
      </c>
    </row>
    <row r="1466">
      <c r="A1466" s="6">
        <v>46194.71640725694</v>
      </c>
      <c r="B1466" s="7" t="s">
        <v>22438</v>
      </c>
      <c r="C1466" s="8" t="s">
        <v>22439</v>
      </c>
      <c r="D1466" s="1" t="s">
        <v>22440</v>
      </c>
      <c r="E1466" s="9" t="s">
        <v>22441</v>
      </c>
      <c r="F1466" s="1" t="s">
        <v>22442</v>
      </c>
      <c r="G1466" s="1" t="s">
        <v>22443</v>
      </c>
      <c r="H1466" s="1" t="s">
        <v>2076</v>
      </c>
      <c r="I1466" s="9" t="s">
        <v>22444</v>
      </c>
      <c r="J1466" s="1" t="s">
        <v>2095</v>
      </c>
      <c r="K1466" s="1" t="s">
        <v>151</v>
      </c>
      <c r="L1466" s="1" t="s">
        <v>103</v>
      </c>
      <c r="M1466" s="1" t="s">
        <v>104</v>
      </c>
      <c r="N1466" s="1" t="s">
        <v>126</v>
      </c>
      <c r="O1466" s="1" t="s">
        <v>236</v>
      </c>
      <c r="P1466" s="1" t="s">
        <v>17019</v>
      </c>
      <c r="Q1466" s="1" t="s">
        <v>590</v>
      </c>
      <c r="R1466" s="1" t="s">
        <v>410</v>
      </c>
      <c r="S1466" s="1" t="s">
        <v>7147</v>
      </c>
      <c r="Z1466" s="1" t="s">
        <v>22445</v>
      </c>
      <c r="AA1466" s="10">
        <v>600000.0</v>
      </c>
      <c r="AB1466" s="1" t="s">
        <v>22446</v>
      </c>
      <c r="AC1466" s="10">
        <v>400000.0</v>
      </c>
      <c r="AD1466" s="1" t="s">
        <v>22447</v>
      </c>
      <c r="AE1466" s="10">
        <v>800000.0</v>
      </c>
      <c r="AG1466" s="1">
        <v>8.52569704E9</v>
      </c>
      <c r="AJ1466" s="1">
        <v>170.0</v>
      </c>
      <c r="AK1466" s="1">
        <v>65.0</v>
      </c>
      <c r="AL1466" s="1" t="s">
        <v>22448</v>
      </c>
      <c r="AM1466" s="1" t="s">
        <v>22449</v>
      </c>
      <c r="AN1466" s="7" t="s">
        <v>22450</v>
      </c>
      <c r="AO1466" s="8" t="str">
        <f>HYPERLINK("https://docs.google.com/document/d/1lboTWMcNy_cf4n3ItL98cuPxiIVO37muZaqI97JZftQ/edit?usp=drivesdk","Al-Wildan 20 Mataram_Ap'aludin, S.Pd._Matematika")</f>
        <v>Al-Wildan 20 Mataram_Ap'aludin, S.Pd._Matematika</v>
      </c>
      <c r="AP1466" s="1" t="s">
        <v>22451</v>
      </c>
    </row>
    <row r="1467">
      <c r="A1467" s="6">
        <v>46194.73355012732</v>
      </c>
      <c r="B1467" s="7" t="s">
        <v>22452</v>
      </c>
      <c r="C1467" s="8" t="s">
        <v>22453</v>
      </c>
      <c r="D1467" s="1" t="s">
        <v>22454</v>
      </c>
      <c r="E1467" s="9" t="s">
        <v>22455</v>
      </c>
      <c r="F1467" s="1" t="s">
        <v>22456</v>
      </c>
      <c r="G1467" s="1" t="s">
        <v>22457</v>
      </c>
      <c r="H1467" s="1" t="s">
        <v>1868</v>
      </c>
      <c r="I1467" s="9" t="s">
        <v>22458</v>
      </c>
      <c r="J1467" s="1" t="s">
        <v>2737</v>
      </c>
      <c r="K1467" s="1" t="s">
        <v>151</v>
      </c>
      <c r="L1467" s="1" t="s">
        <v>256</v>
      </c>
      <c r="M1467" s="1" t="s">
        <v>104</v>
      </c>
      <c r="N1467" s="1" t="s">
        <v>771</v>
      </c>
      <c r="O1467" s="1" t="s">
        <v>312</v>
      </c>
      <c r="P1467" s="1" t="s">
        <v>6533</v>
      </c>
      <c r="Q1467" s="1" t="s">
        <v>22459</v>
      </c>
      <c r="R1467" s="1" t="s">
        <v>172</v>
      </c>
      <c r="S1467" s="1" t="s">
        <v>134</v>
      </c>
      <c r="Z1467" s="1" t="s">
        <v>22460</v>
      </c>
      <c r="AA1467" s="10">
        <v>2200000.0</v>
      </c>
      <c r="AB1467" s="1" t="s">
        <v>22461</v>
      </c>
      <c r="AC1467" s="10">
        <v>2600000.0</v>
      </c>
      <c r="AD1467" s="1" t="s">
        <v>22462</v>
      </c>
      <c r="AE1467" s="10">
        <v>5500000.0</v>
      </c>
      <c r="AF1467" s="1" t="s">
        <v>13309</v>
      </c>
      <c r="AH1467" s="1">
        <v>1.57601008780505E14</v>
      </c>
      <c r="AI1467" s="1" t="s">
        <v>2407</v>
      </c>
      <c r="AJ1467" s="1">
        <v>173.0</v>
      </c>
      <c r="AK1467" s="1">
        <v>55.0</v>
      </c>
      <c r="AL1467" s="1" t="s">
        <v>22463</v>
      </c>
      <c r="AM1467" s="1" t="s">
        <v>22464</v>
      </c>
      <c r="AN1467" s="7" t="s">
        <v>22465</v>
      </c>
      <c r="AO1467" s="8" t="str">
        <f>HYPERLINK("https://docs.google.com/document/d/1OS7lMSjjtl9v5oYnLcbIRQnN1Usbz3oRVYRnXwAdsEc/edit?usp=drivesdk","Al-Wildan 5 Benhil_Angga Dhanar Kencana Putra S.Pd_English")</f>
        <v>Al-Wildan 5 Benhil_Angga Dhanar Kencana Putra S.Pd_English</v>
      </c>
      <c r="AP1467" s="1" t="s">
        <v>22466</v>
      </c>
    </row>
    <row r="1468">
      <c r="A1468" s="6">
        <v>46194.799639375</v>
      </c>
      <c r="B1468" s="7" t="s">
        <v>22467</v>
      </c>
      <c r="C1468" s="8" t="s">
        <v>22468</v>
      </c>
      <c r="D1468" s="1" t="s">
        <v>22469</v>
      </c>
      <c r="E1468" s="9" t="s">
        <v>22304</v>
      </c>
      <c r="F1468" s="1" t="s">
        <v>7854</v>
      </c>
      <c r="G1468" s="1" t="s">
        <v>22305</v>
      </c>
      <c r="H1468" s="1" t="s">
        <v>288</v>
      </c>
      <c r="I1468" s="9" t="s">
        <v>7855</v>
      </c>
      <c r="J1468" s="1" t="s">
        <v>15156</v>
      </c>
      <c r="K1468" s="1" t="s">
        <v>102</v>
      </c>
      <c r="L1468" s="1" t="s">
        <v>103</v>
      </c>
      <c r="M1468" s="1" t="s">
        <v>104</v>
      </c>
      <c r="N1468" s="1" t="s">
        <v>235</v>
      </c>
      <c r="O1468" s="1" t="s">
        <v>9794</v>
      </c>
      <c r="P1468" s="1" t="s">
        <v>11207</v>
      </c>
      <c r="Q1468" s="1" t="s">
        <v>22470</v>
      </c>
      <c r="R1468" s="1" t="s">
        <v>2355</v>
      </c>
      <c r="S1468" s="1" t="s">
        <v>3093</v>
      </c>
      <c r="T1468" s="1" t="s">
        <v>3409</v>
      </c>
      <c r="U1468" s="1" t="s">
        <v>22471</v>
      </c>
      <c r="V1468" s="1" t="s">
        <v>2181</v>
      </c>
      <c r="W1468" s="1" t="s">
        <v>217</v>
      </c>
      <c r="X1468" s="1" t="s">
        <v>217</v>
      </c>
      <c r="Z1468" s="1" t="s">
        <v>22472</v>
      </c>
      <c r="AA1468" s="10">
        <v>5700000.0</v>
      </c>
      <c r="AF1468" s="10">
        <v>8000000.0</v>
      </c>
      <c r="AG1468" s="1">
        <v>7.147392219E9</v>
      </c>
      <c r="AJ1468" s="1">
        <v>153.0</v>
      </c>
      <c r="AK1468" s="1">
        <v>65.0</v>
      </c>
      <c r="AL1468" s="1" t="s">
        <v>22306</v>
      </c>
      <c r="AM1468" s="1" t="s">
        <v>22473</v>
      </c>
      <c r="AN1468" s="7" t="s">
        <v>22474</v>
      </c>
      <c r="AO1468" s="8" t="str">
        <f>HYPERLINK("https://docs.google.com/document/d/1i4-5yqI12tHvGAXQ1YCH6rYG3HbOU105FYTU4to2i88/edit?usp=drivesdk","Al-Wildan 16 Ciledug_Muhamad Rahmatullah, M.Pd., C.MA.,C.MB._Bahasa Arab")</f>
        <v>Al-Wildan 16 Ciledug_Muhamad Rahmatullah, M.Pd., C.MA.,C.MB._Bahasa Arab</v>
      </c>
      <c r="AP1468" s="1" t="s">
        <v>22475</v>
      </c>
    </row>
    <row r="1469">
      <c r="A1469" s="6">
        <v>46194.825127268516</v>
      </c>
      <c r="B1469" s="7" t="s">
        <v>22476</v>
      </c>
      <c r="C1469" s="8" t="s">
        <v>22477</v>
      </c>
      <c r="D1469" s="1" t="s">
        <v>22478</v>
      </c>
      <c r="E1469" s="9" t="s">
        <v>22479</v>
      </c>
      <c r="F1469" s="1" t="s">
        <v>22480</v>
      </c>
      <c r="G1469" s="1" t="s">
        <v>22481</v>
      </c>
      <c r="H1469" s="1" t="s">
        <v>169</v>
      </c>
      <c r="I1469" s="9" t="s">
        <v>22482</v>
      </c>
      <c r="J1469" s="1" t="s">
        <v>22483</v>
      </c>
      <c r="K1469" s="1" t="s">
        <v>102</v>
      </c>
      <c r="L1469" s="1" t="s">
        <v>103</v>
      </c>
      <c r="M1469" s="1" t="s">
        <v>104</v>
      </c>
      <c r="N1469" s="1" t="s">
        <v>22484</v>
      </c>
      <c r="O1469" s="1" t="s">
        <v>236</v>
      </c>
      <c r="P1469" s="1" t="s">
        <v>11168</v>
      </c>
      <c r="Q1469" s="1" t="s">
        <v>9493</v>
      </c>
      <c r="R1469" s="1" t="s">
        <v>1521</v>
      </c>
      <c r="S1469" s="1" t="s">
        <v>1279</v>
      </c>
      <c r="T1469" s="1" t="s">
        <v>108</v>
      </c>
      <c r="U1469" s="1" t="s">
        <v>1521</v>
      </c>
      <c r="V1469" s="1" t="s">
        <v>9479</v>
      </c>
      <c r="W1469" s="1" t="s">
        <v>3348</v>
      </c>
      <c r="X1469" s="1" t="s">
        <v>3348</v>
      </c>
      <c r="Y1469" s="1">
        <v>0.0</v>
      </c>
      <c r="Z1469" s="1" t="s">
        <v>22485</v>
      </c>
      <c r="AA1469" s="10">
        <v>1500000.0</v>
      </c>
      <c r="AB1469" s="1" t="s">
        <v>22486</v>
      </c>
      <c r="AC1469" s="10">
        <v>4300000.0</v>
      </c>
      <c r="AD1469" s="1" t="s">
        <v>22487</v>
      </c>
      <c r="AE1469" s="10">
        <v>2000000.0</v>
      </c>
      <c r="AF1469" s="1" t="s">
        <v>6858</v>
      </c>
      <c r="AG1469" s="1">
        <v>0.0</v>
      </c>
      <c r="AH1469" s="1">
        <v>6.871820721E9</v>
      </c>
      <c r="AI1469" s="1" t="s">
        <v>22488</v>
      </c>
      <c r="AJ1469" s="1">
        <v>160.0</v>
      </c>
      <c r="AK1469" s="1">
        <v>76.0</v>
      </c>
      <c r="AL1469" s="1" t="s">
        <v>22489</v>
      </c>
      <c r="AM1469" s="1" t="s">
        <v>22490</v>
      </c>
      <c r="AN1469" s="7" t="s">
        <v>22491</v>
      </c>
      <c r="AO1469" s="8" t="str">
        <f>HYPERLINK("https://docs.google.com/document/d/1GA3bmTfiIsNlFzkSV4oYM3Mp_Vvy72K6T8hQ_KIpKOg/edit?usp=drivesdk","Al-Wildan 8 Parung_Lia Agustina, M.Pd._Chemistry Cambridge")</f>
        <v>Al-Wildan 8 Parung_Lia Agustina, M.Pd._Chemistry Cambridge</v>
      </c>
      <c r="AP1469" s="1" t="s">
        <v>22492</v>
      </c>
    </row>
    <row r="1470">
      <c r="A1470" s="6">
        <v>46195.36122278935</v>
      </c>
      <c r="B1470" s="7" t="s">
        <v>22493</v>
      </c>
      <c r="C1470" s="8" t="s">
        <v>22494</v>
      </c>
      <c r="D1470" s="1" t="s">
        <v>22495</v>
      </c>
      <c r="E1470" s="9" t="s">
        <v>22496</v>
      </c>
      <c r="F1470" s="1" t="s">
        <v>22497</v>
      </c>
      <c r="G1470" s="1" t="s">
        <v>22498</v>
      </c>
      <c r="H1470" s="1" t="s">
        <v>169</v>
      </c>
      <c r="I1470" s="9" t="s">
        <v>22499</v>
      </c>
      <c r="J1470" s="1" t="s">
        <v>15927</v>
      </c>
      <c r="K1470" s="1" t="s">
        <v>102</v>
      </c>
      <c r="L1470" s="1" t="s">
        <v>103</v>
      </c>
      <c r="M1470" s="1" t="s">
        <v>104</v>
      </c>
      <c r="N1470" s="1" t="s">
        <v>552</v>
      </c>
      <c r="O1470" s="1" t="s">
        <v>236</v>
      </c>
      <c r="P1470" s="1" t="s">
        <v>22002</v>
      </c>
      <c r="Q1470" s="1" t="s">
        <v>1362</v>
      </c>
      <c r="R1470" s="1" t="s">
        <v>552</v>
      </c>
      <c r="S1470" s="1" t="s">
        <v>216</v>
      </c>
      <c r="T1470" s="1" t="s">
        <v>12065</v>
      </c>
      <c r="U1470" s="1" t="s">
        <v>6337</v>
      </c>
      <c r="V1470" s="1" t="s">
        <v>9479</v>
      </c>
      <c r="W1470" s="1" t="s">
        <v>22500</v>
      </c>
      <c r="X1470" s="1" t="s">
        <v>22501</v>
      </c>
      <c r="Y1470" s="1">
        <v>0.0</v>
      </c>
      <c r="Z1470" s="1" t="s">
        <v>22502</v>
      </c>
      <c r="AA1470" s="1" t="s">
        <v>22503</v>
      </c>
      <c r="AB1470" s="1" t="s">
        <v>22504</v>
      </c>
      <c r="AC1470" s="1" t="s">
        <v>13309</v>
      </c>
      <c r="AD1470" s="1" t="s">
        <v>22505</v>
      </c>
      <c r="AE1470" s="1" t="s">
        <v>7164</v>
      </c>
      <c r="AF1470" s="1" t="s">
        <v>757</v>
      </c>
      <c r="AG1470" s="1">
        <v>6.35861594E9</v>
      </c>
      <c r="AJ1470" s="1">
        <v>180.0</v>
      </c>
      <c r="AK1470" s="1">
        <v>79.0</v>
      </c>
      <c r="AL1470" s="1" t="s">
        <v>22506</v>
      </c>
      <c r="AM1470" s="1" t="s">
        <v>22507</v>
      </c>
      <c r="AN1470" s="7" t="s">
        <v>22508</v>
      </c>
      <c r="AO1470" s="8" t="str">
        <f>HYPERLINK("https://docs.google.com/document/d/1vjNblCD0LnG6swnikNeLfdaa3wC8XOS5Mi1J9bxjD9Y/edit?usp=drivesdk","Al-Wildan 24 Yogyakarta_Wahid Sidik Sarifuddin, M.Si_Fisika")</f>
        <v>Al-Wildan 24 Yogyakarta_Wahid Sidik Sarifuddin, M.Si_Fisika</v>
      </c>
      <c r="AP1470" s="1" t="s">
        <v>22509</v>
      </c>
    </row>
    <row r="1471">
      <c r="A1471" s="6">
        <v>46195.37645069444</v>
      </c>
      <c r="B1471" s="7" t="s">
        <v>22510</v>
      </c>
      <c r="C1471" s="8" t="s">
        <v>22511</v>
      </c>
      <c r="D1471" s="1" t="s">
        <v>22512</v>
      </c>
      <c r="E1471" s="9" t="s">
        <v>22513</v>
      </c>
      <c r="F1471" s="1" t="s">
        <v>22514</v>
      </c>
      <c r="G1471" s="1" t="s">
        <v>4092</v>
      </c>
      <c r="H1471" s="1" t="s">
        <v>22515</v>
      </c>
      <c r="I1471" s="1" t="s">
        <v>22516</v>
      </c>
      <c r="J1471" s="1">
        <v>29.0</v>
      </c>
      <c r="K1471" s="1" t="s">
        <v>151</v>
      </c>
      <c r="L1471" s="1" t="s">
        <v>496</v>
      </c>
      <c r="M1471" s="1" t="s">
        <v>7580</v>
      </c>
      <c r="N1471" s="1" t="s">
        <v>1634</v>
      </c>
      <c r="O1471" s="1" t="s">
        <v>127</v>
      </c>
      <c r="P1471" s="1" t="s">
        <v>17019</v>
      </c>
      <c r="Q1471" s="1" t="s">
        <v>22517</v>
      </c>
      <c r="R1471" s="1" t="s">
        <v>238</v>
      </c>
      <c r="S1471" s="1">
        <v>3.2</v>
      </c>
      <c r="Z1471" s="1" t="s">
        <v>22518</v>
      </c>
      <c r="AA1471" s="1">
        <v>5000000.0</v>
      </c>
      <c r="AF1471" s="1">
        <v>5000000.0</v>
      </c>
      <c r="AH1471" s="9" t="s">
        <v>22519</v>
      </c>
      <c r="AI1471" s="1" t="s">
        <v>13208</v>
      </c>
      <c r="AJ1471" s="1">
        <v>150.0</v>
      </c>
      <c r="AK1471" s="1">
        <v>50.0</v>
      </c>
      <c r="AL1471" s="1" t="s">
        <v>22520</v>
      </c>
      <c r="AM1471" s="1" t="s">
        <v>22521</v>
      </c>
      <c r="AN1471" s="7" t="s">
        <v>22522</v>
      </c>
      <c r="AO1471" s="8" t="str">
        <f>HYPERLINK("https://docs.google.com/document/d/1KQK54KcMagfTKdYr1RwnlkMiQdNaTp6WfjgumYRsNEE/edit?usp=drivesdk","Al-Wildan 20 Mataram_Al azharni rubiati khaz llm.dipl_Diniyah")</f>
        <v>Al-Wildan 20 Mataram_Al azharni rubiati khaz llm.dipl_Diniyah</v>
      </c>
      <c r="AP1471" s="1" t="s">
        <v>22523</v>
      </c>
    </row>
    <row r="1472">
      <c r="A1472" s="6">
        <v>46195.37996979167</v>
      </c>
      <c r="B1472" s="7" t="s">
        <v>22524</v>
      </c>
      <c r="C1472" s="8" t="s">
        <v>22525</v>
      </c>
      <c r="D1472" s="1" t="s">
        <v>10808</v>
      </c>
      <c r="E1472" s="9" t="s">
        <v>10809</v>
      </c>
      <c r="F1472" s="1" t="s">
        <v>10810</v>
      </c>
      <c r="G1472" s="1" t="s">
        <v>21878</v>
      </c>
      <c r="H1472" s="1" t="s">
        <v>1411</v>
      </c>
      <c r="I1472" s="9" t="s">
        <v>21879</v>
      </c>
      <c r="J1472" s="1" t="s">
        <v>9260</v>
      </c>
      <c r="K1472" s="1" t="s">
        <v>102</v>
      </c>
      <c r="L1472" s="1" t="s">
        <v>103</v>
      </c>
      <c r="M1472" s="1" t="s">
        <v>104</v>
      </c>
      <c r="N1472" s="1" t="s">
        <v>22526</v>
      </c>
      <c r="O1472" s="1" t="s">
        <v>127</v>
      </c>
      <c r="P1472" s="1" t="s">
        <v>5712</v>
      </c>
      <c r="Q1472" s="1" t="s">
        <v>2721</v>
      </c>
      <c r="R1472" s="1" t="s">
        <v>1277</v>
      </c>
      <c r="S1472" s="1" t="s">
        <v>240</v>
      </c>
      <c r="T1472" s="1" t="s">
        <v>1791</v>
      </c>
      <c r="U1472" s="1" t="s">
        <v>11802</v>
      </c>
      <c r="V1472" s="1" t="s">
        <v>22527</v>
      </c>
      <c r="Z1472" s="1" t="s">
        <v>22528</v>
      </c>
      <c r="AA1472" s="1" t="s">
        <v>22529</v>
      </c>
      <c r="AB1472" s="1" t="s">
        <v>22530</v>
      </c>
      <c r="AC1472" s="1" t="s">
        <v>22531</v>
      </c>
      <c r="AF1472" s="1" t="s">
        <v>14950</v>
      </c>
      <c r="AH1472" s="1">
        <v>8.831619201E9</v>
      </c>
      <c r="AI1472" s="1" t="s">
        <v>222</v>
      </c>
      <c r="AJ1472" s="1">
        <v>180.0</v>
      </c>
      <c r="AK1472" s="1">
        <v>88.0</v>
      </c>
      <c r="AL1472" s="1" t="s">
        <v>10817</v>
      </c>
      <c r="AM1472" s="1" t="s">
        <v>22532</v>
      </c>
      <c r="AN1472" s="7" t="s">
        <v>22533</v>
      </c>
      <c r="AO1472" s="8" t="str">
        <f>HYPERLINK("https://docs.google.com/document/d/1xdurwv4Z9XwJIQSoE3DMNv-ZzKKs3S_xcNxLt4EXykA/edit?usp=drivesdk","Al-Wildan 3 BSD City_Muhammad Nicova Kresnada Kamil Putra S.Pd_Math, Phys")</f>
        <v>Al-Wildan 3 BSD City_Muhammad Nicova Kresnada Kamil Putra S.Pd_Math, Phys</v>
      </c>
      <c r="AP1472" s="1" t="s">
        <v>22534</v>
      </c>
    </row>
    <row r="1473">
      <c r="A1473" s="6">
        <v>46195.657645983796</v>
      </c>
      <c r="B1473" s="7" t="s">
        <v>22535</v>
      </c>
      <c r="C1473" s="8" t="s">
        <v>22536</v>
      </c>
      <c r="D1473" s="1" t="s">
        <v>22537</v>
      </c>
      <c r="E1473" s="9" t="s">
        <v>22538</v>
      </c>
      <c r="F1473" s="1" t="s">
        <v>22539</v>
      </c>
      <c r="G1473" s="1" t="s">
        <v>22540</v>
      </c>
      <c r="H1473" s="1" t="s">
        <v>22541</v>
      </c>
      <c r="I1473" s="9" t="s">
        <v>22542</v>
      </c>
      <c r="J1473" s="1" t="s">
        <v>10156</v>
      </c>
      <c r="K1473" s="1" t="s">
        <v>151</v>
      </c>
      <c r="L1473" s="1" t="s">
        <v>329</v>
      </c>
      <c r="M1473" s="1" t="s">
        <v>104</v>
      </c>
      <c r="N1473" s="1" t="s">
        <v>1275</v>
      </c>
      <c r="O1473" s="1" t="s">
        <v>9794</v>
      </c>
      <c r="P1473" s="1" t="s">
        <v>5712</v>
      </c>
      <c r="Q1473" s="1" t="s">
        <v>754</v>
      </c>
      <c r="R1473" s="1" t="s">
        <v>1275</v>
      </c>
      <c r="S1473" s="1" t="s">
        <v>1612</v>
      </c>
      <c r="T1473" s="1" t="s">
        <v>2927</v>
      </c>
      <c r="U1473" s="1" t="s">
        <v>18525</v>
      </c>
      <c r="V1473" s="1" t="s">
        <v>5399</v>
      </c>
      <c r="Z1473" s="1" t="s">
        <v>22543</v>
      </c>
      <c r="AA1473" s="10">
        <v>2800000.0</v>
      </c>
      <c r="AF1473" s="10">
        <v>7000000.0</v>
      </c>
      <c r="AH1473" s="9" t="s">
        <v>22544</v>
      </c>
      <c r="AI1473" s="1" t="s">
        <v>22545</v>
      </c>
      <c r="AJ1473" s="1">
        <v>174.0</v>
      </c>
      <c r="AK1473" s="1">
        <v>64.0</v>
      </c>
      <c r="AL1473" s="1" t="s">
        <v>22546</v>
      </c>
      <c r="AM1473" s="1" t="s">
        <v>22547</v>
      </c>
      <c r="AN1473" s="7" t="s">
        <v>22548</v>
      </c>
      <c r="AO1473" s="8" t="str">
        <f>HYPERLINK("https://docs.google.com/document/d/1RS8fBCpUYgNUnXg-88FLYGL7iIZ_e-BMtSuOlIJ3Bfc/edit?usp=drivesdk","Al-Wildan 3 BSD City_Rizal Fanany S.Si., M.Si_Biologi")</f>
        <v>Al-Wildan 3 BSD City_Rizal Fanany S.Si., M.Si_Biologi</v>
      </c>
      <c r="AP1473" s="1" t="s">
        <v>22549</v>
      </c>
    </row>
    <row r="1474">
      <c r="A1474" s="6">
        <v>46195.70034444444</v>
      </c>
      <c r="B1474" s="7" t="s">
        <v>22550</v>
      </c>
      <c r="C1474" s="8" t="s">
        <v>22551</v>
      </c>
      <c r="D1474" s="1" t="s">
        <v>22552</v>
      </c>
      <c r="E1474" s="9" t="s">
        <v>22553</v>
      </c>
      <c r="F1474" s="1" t="s">
        <v>22554</v>
      </c>
      <c r="G1474" s="1" t="s">
        <v>22555</v>
      </c>
      <c r="H1474" s="1" t="s">
        <v>5608</v>
      </c>
      <c r="I1474" s="9" t="s">
        <v>22556</v>
      </c>
      <c r="J1474" s="1" t="s">
        <v>22557</v>
      </c>
      <c r="K1474" s="1" t="s">
        <v>102</v>
      </c>
      <c r="L1474" s="1" t="s">
        <v>103</v>
      </c>
      <c r="M1474" s="1" t="s">
        <v>104</v>
      </c>
      <c r="N1474" s="1" t="s">
        <v>22558</v>
      </c>
      <c r="O1474" s="1" t="s">
        <v>236</v>
      </c>
      <c r="P1474" s="1" t="s">
        <v>5712</v>
      </c>
      <c r="Q1474" s="1" t="s">
        <v>5611</v>
      </c>
      <c r="R1474" s="1" t="s">
        <v>22559</v>
      </c>
      <c r="S1474" s="1" t="s">
        <v>3378</v>
      </c>
      <c r="T1474" s="1" t="s">
        <v>22560</v>
      </c>
      <c r="U1474" s="1" t="s">
        <v>1541</v>
      </c>
      <c r="V1474" s="1" t="s">
        <v>5590</v>
      </c>
      <c r="Z1474" s="1" t="s">
        <v>104</v>
      </c>
      <c r="AA1474" s="10">
        <v>6250000.0</v>
      </c>
      <c r="AB1474" s="1" t="s">
        <v>22561</v>
      </c>
      <c r="AC1474" s="10">
        <v>1500000.0</v>
      </c>
      <c r="AF1474" s="10">
        <v>9500000.0</v>
      </c>
      <c r="AG1474" s="1">
        <v>7.048704977E9</v>
      </c>
      <c r="AJ1474" s="1">
        <v>171.0</v>
      </c>
      <c r="AK1474" s="1">
        <v>72.0</v>
      </c>
      <c r="AL1474" s="1" t="s">
        <v>22562</v>
      </c>
      <c r="AM1474" s="1" t="s">
        <v>22563</v>
      </c>
      <c r="AN1474" s="7" t="s">
        <v>22564</v>
      </c>
      <c r="AO1474" s="8" t="str">
        <f>HYPERLINK("https://docs.google.com/document/d/1OdZwvYAmHFVloHaqnWGT8r7yrbCizHUU8PS7Y--UG_Y/edit?usp=drivesdk","Al-Wildan 3 BSD City_Hardinal Jais, S.Si., M.Pd., Gr._Fisika dan Matematika ")</f>
        <v>Al-Wildan 3 BSD City_Hardinal Jais, S.Si., M.Pd., Gr._Fisika dan Matematika </v>
      </c>
      <c r="AP1474" s="1" t="s">
        <v>22565</v>
      </c>
    </row>
    <row r="1475">
      <c r="A1475" s="6">
        <v>46195.868122858796</v>
      </c>
      <c r="B1475" s="7" t="s">
        <v>22566</v>
      </c>
      <c r="C1475" s="8" t="s">
        <v>22567</v>
      </c>
      <c r="D1475" s="1" t="s">
        <v>22568</v>
      </c>
      <c r="E1475" s="9" t="s">
        <v>22569</v>
      </c>
      <c r="F1475" s="1" t="s">
        <v>22570</v>
      </c>
      <c r="G1475" s="1" t="s">
        <v>22571</v>
      </c>
      <c r="H1475" s="1" t="s">
        <v>4585</v>
      </c>
      <c r="I1475" s="9" t="s">
        <v>22572</v>
      </c>
      <c r="J1475" s="1" t="s">
        <v>6642</v>
      </c>
      <c r="K1475" s="1" t="s">
        <v>102</v>
      </c>
      <c r="L1475" s="1" t="s">
        <v>103</v>
      </c>
      <c r="M1475" s="1" t="s">
        <v>104</v>
      </c>
      <c r="N1475" s="1" t="s">
        <v>126</v>
      </c>
      <c r="O1475" s="1" t="s">
        <v>236</v>
      </c>
      <c r="P1475" s="1" t="s">
        <v>11168</v>
      </c>
      <c r="Q1475" s="1" t="s">
        <v>10084</v>
      </c>
      <c r="R1475" s="1" t="s">
        <v>126</v>
      </c>
      <c r="S1475" s="1">
        <v>3.56</v>
      </c>
      <c r="T1475" s="1" t="s">
        <v>1362</v>
      </c>
      <c r="U1475" s="1" t="s">
        <v>13597</v>
      </c>
      <c r="V1475" s="1">
        <v>3.19</v>
      </c>
      <c r="Z1475" s="1" t="s">
        <v>22573</v>
      </c>
      <c r="AA1475" s="10">
        <v>9000000.0</v>
      </c>
      <c r="AF1475" s="10">
        <v>8000000.0</v>
      </c>
      <c r="AG1475" s="1">
        <v>7.125501917E9</v>
      </c>
      <c r="AJ1475" s="1">
        <v>158.0</v>
      </c>
      <c r="AK1475" s="1">
        <v>52.0</v>
      </c>
      <c r="AL1475" s="1" t="s">
        <v>22574</v>
      </c>
      <c r="AM1475" s="1" t="s">
        <v>22575</v>
      </c>
      <c r="AN1475" s="7" t="s">
        <v>22576</v>
      </c>
      <c r="AO1475" s="8" t="str">
        <f>HYPERLINK("https://docs.google.com/document/d/1lDuW76GRqt91GUbOMvw-5fSBJLrrGy0-b2SbUKPDAPI/edit?usp=drivesdk","Al-Wildan 8 Parung_Rafiqah Setiawaty S.Si. M.Si._Matematika")</f>
        <v>Al-Wildan 8 Parung_Rafiqah Setiawaty S.Si. M.Si._Matematika</v>
      </c>
      <c r="AP1475" s="1" t="s">
        <v>22577</v>
      </c>
    </row>
    <row r="1476">
      <c r="A1476" s="6">
        <v>46196.411499699076</v>
      </c>
      <c r="B1476" s="7" t="s">
        <v>22578</v>
      </c>
      <c r="C1476" s="8" t="s">
        <v>22579</v>
      </c>
      <c r="D1476" s="1" t="s">
        <v>22580</v>
      </c>
      <c r="E1476" s="1">
        <v>8.5829383528E10</v>
      </c>
      <c r="F1476" s="1" t="s">
        <v>22581</v>
      </c>
      <c r="G1476" s="1" t="s">
        <v>22582</v>
      </c>
      <c r="H1476" s="1" t="s">
        <v>10727</v>
      </c>
      <c r="I1476" s="9" t="s">
        <v>22583</v>
      </c>
      <c r="J1476" s="1" t="s">
        <v>1574</v>
      </c>
      <c r="K1476" s="1" t="s">
        <v>151</v>
      </c>
      <c r="L1476" s="1" t="s">
        <v>329</v>
      </c>
      <c r="M1476" s="1" t="s">
        <v>22584</v>
      </c>
      <c r="O1476" s="1" t="s">
        <v>127</v>
      </c>
      <c r="P1476" s="1" t="s">
        <v>5712</v>
      </c>
      <c r="Z1476" s="1" t="s">
        <v>22585</v>
      </c>
      <c r="AA1476" s="10">
        <v>2500000.0</v>
      </c>
      <c r="AB1476" s="1" t="s">
        <v>22586</v>
      </c>
      <c r="AC1476" s="10">
        <v>1500000.0</v>
      </c>
      <c r="AF1476" s="10">
        <v>2500000.0</v>
      </c>
      <c r="AG1476" s="1">
        <v>7.321479191E9</v>
      </c>
      <c r="AI1476" s="1" t="s">
        <v>5113</v>
      </c>
      <c r="AJ1476" s="1">
        <v>162.0</v>
      </c>
      <c r="AK1476" s="1">
        <v>55.0</v>
      </c>
      <c r="AL1476" s="1" t="s">
        <v>22587</v>
      </c>
      <c r="AM1476" s="1" t="s">
        <v>22588</v>
      </c>
      <c r="AN1476" s="7" t="s">
        <v>22589</v>
      </c>
      <c r="AO1476" s="8" t="str">
        <f>HYPERLINK("https://docs.google.com/document/d/1aK2ZOQ3FLkP0eVFeAoNHeOrbZw_1eol3cY2kwhRRvIA/edit?usp=drivesdk","Al-Wildan 3 BSD City_ismail Daulan _")</f>
        <v>Al-Wildan 3 BSD City_ismail Daulan _</v>
      </c>
      <c r="AP1476" s="1" t="s">
        <v>22590</v>
      </c>
    </row>
    <row r="1477">
      <c r="A1477" s="6">
        <v>46196.53758592592</v>
      </c>
      <c r="B1477" s="7" t="s">
        <v>22591</v>
      </c>
      <c r="C1477" s="8" t="s">
        <v>22592</v>
      </c>
      <c r="D1477" s="1" t="s">
        <v>22593</v>
      </c>
      <c r="E1477" s="9" t="s">
        <v>22594</v>
      </c>
      <c r="F1477" s="1" t="s">
        <v>22595</v>
      </c>
      <c r="G1477" s="1" t="s">
        <v>22596</v>
      </c>
      <c r="H1477" s="1" t="s">
        <v>6897</v>
      </c>
      <c r="I1477" s="9" t="s">
        <v>22597</v>
      </c>
      <c r="J1477" s="1" t="s">
        <v>3772</v>
      </c>
      <c r="K1477" s="1" t="s">
        <v>151</v>
      </c>
      <c r="L1477" s="1" t="s">
        <v>496</v>
      </c>
      <c r="M1477" s="1" t="s">
        <v>16318</v>
      </c>
      <c r="O1477" s="1" t="s">
        <v>127</v>
      </c>
      <c r="P1477" s="1" t="s">
        <v>5712</v>
      </c>
      <c r="Z1477" s="1" t="s">
        <v>22598</v>
      </c>
      <c r="AA1477" s="10">
        <v>1000000.0</v>
      </c>
      <c r="AB1477" s="1" t="s">
        <v>22599</v>
      </c>
      <c r="AC1477" s="10">
        <v>1550000.0</v>
      </c>
      <c r="AF1477" s="10">
        <v>1350000.0</v>
      </c>
      <c r="AG1477" s="1">
        <v>7.274164438E9</v>
      </c>
      <c r="AI1477" s="1" t="s">
        <v>5113</v>
      </c>
      <c r="AJ1477" s="1">
        <v>162.0</v>
      </c>
      <c r="AK1477" s="1">
        <v>55.0</v>
      </c>
      <c r="AL1477" s="1" t="s">
        <v>22600</v>
      </c>
      <c r="AM1477" s="1" t="s">
        <v>22601</v>
      </c>
      <c r="AN1477" s="7" t="s">
        <v>22602</v>
      </c>
      <c r="AO1477" s="8" t="str">
        <f>HYPERLINK("https://docs.google.com/document/d/1N8aDHVx1_EcQdTwdBpsCxqNau93Ul-ACjFTv2e3nKgA/edit?usp=drivesdk","Al-Wildan 3 BSD City_Yusuf_")</f>
        <v>Al-Wildan 3 BSD City_Yusuf_</v>
      </c>
      <c r="AP1477" s="1" t="s">
        <v>22603</v>
      </c>
    </row>
    <row r="1478">
      <c r="A1478" s="6">
        <v>46196.54921074074</v>
      </c>
      <c r="B1478" s="7" t="s">
        <v>22604</v>
      </c>
      <c r="C1478" s="8" t="s">
        <v>22605</v>
      </c>
      <c r="D1478" s="1" t="s">
        <v>22606</v>
      </c>
      <c r="E1478" s="9" t="s">
        <v>22607</v>
      </c>
      <c r="F1478" s="1" t="s">
        <v>22608</v>
      </c>
      <c r="G1478" s="1" t="s">
        <v>22609</v>
      </c>
      <c r="H1478" s="1" t="s">
        <v>685</v>
      </c>
      <c r="I1478" s="9" t="s">
        <v>22610</v>
      </c>
      <c r="J1478" s="1" t="s">
        <v>1648</v>
      </c>
      <c r="K1478" s="1" t="s">
        <v>151</v>
      </c>
      <c r="L1478" s="1" t="s">
        <v>256</v>
      </c>
      <c r="M1478" s="1" t="s">
        <v>104</v>
      </c>
      <c r="N1478" s="1" t="s">
        <v>1523</v>
      </c>
      <c r="O1478" s="1" t="s">
        <v>236</v>
      </c>
      <c r="P1478" s="1" t="s">
        <v>7991</v>
      </c>
      <c r="Q1478" s="1" t="s">
        <v>7637</v>
      </c>
      <c r="R1478" s="1" t="s">
        <v>1523</v>
      </c>
      <c r="S1478" s="1">
        <v>3.24</v>
      </c>
      <c r="AF1478" s="10">
        <v>7000000.0</v>
      </c>
      <c r="AJ1478" s="1">
        <v>179.0</v>
      </c>
      <c r="AK1478" s="1">
        <v>65.0</v>
      </c>
      <c r="AL1478" s="1" t="s">
        <v>22611</v>
      </c>
      <c r="AM1478" s="1" t="s">
        <v>22612</v>
      </c>
      <c r="AN1478" s="7" t="s">
        <v>22613</v>
      </c>
      <c r="AO1478" s="8" t="str">
        <f>HYPERLINK("https://docs.google.com/document/d/1WRwKfLsk6R011iGHfeaFpBaAxjpA6YY2GJI3Zp6NznE/edit?usp=drivesdk","Al-Wildan 12 Bulak Kapal, Bekasi_Fardhan Roiza S.Si._Kimia")</f>
        <v>Al-Wildan 12 Bulak Kapal, Bekasi_Fardhan Roiza S.Si._Kimia</v>
      </c>
      <c r="AP1478" s="1" t="s">
        <v>22614</v>
      </c>
    </row>
    <row r="1479">
      <c r="A1479" s="6">
        <v>46196.675811712965</v>
      </c>
      <c r="B1479" s="7" t="s">
        <v>22615</v>
      </c>
      <c r="C1479" s="8" t="s">
        <v>22616</v>
      </c>
      <c r="D1479" s="1" t="s">
        <v>22617</v>
      </c>
      <c r="E1479" s="9" t="s">
        <v>22618</v>
      </c>
      <c r="F1479" s="1" t="s">
        <v>22619</v>
      </c>
      <c r="G1479" s="1" t="s">
        <v>22620</v>
      </c>
      <c r="H1479" s="1" t="s">
        <v>22621</v>
      </c>
      <c r="I1479" s="9" t="s">
        <v>22622</v>
      </c>
      <c r="J1479" s="1" t="s">
        <v>15175</v>
      </c>
      <c r="K1479" s="1" t="s">
        <v>151</v>
      </c>
      <c r="L1479" s="1" t="s">
        <v>496</v>
      </c>
      <c r="M1479" s="1" t="s">
        <v>16318</v>
      </c>
      <c r="O1479" s="1" t="s">
        <v>9794</v>
      </c>
      <c r="P1479" s="1" t="s">
        <v>107</v>
      </c>
      <c r="Q1479" s="1" t="s">
        <v>22623</v>
      </c>
      <c r="R1479" s="1" t="s">
        <v>259</v>
      </c>
      <c r="S1479" s="1" t="s">
        <v>22624</v>
      </c>
      <c r="Z1479" s="1" t="s">
        <v>22625</v>
      </c>
      <c r="AA1479" s="10">
        <v>2000000.0</v>
      </c>
      <c r="AF1479" s="10">
        <v>5000000.0</v>
      </c>
      <c r="AG1479" s="1">
        <v>7.298403506E9</v>
      </c>
      <c r="AJ1479" s="1">
        <v>152.0</v>
      </c>
      <c r="AK1479" s="1">
        <v>48.0</v>
      </c>
      <c r="AL1479" s="1" t="s">
        <v>22626</v>
      </c>
      <c r="AM1479" s="1" t="s">
        <v>22627</v>
      </c>
      <c r="AN1479" s="7" t="s">
        <v>22628</v>
      </c>
      <c r="AO1479" s="8" t="str">
        <f>HYPERLINK("https://docs.google.com/document/d/1phrHDqbjvsrVYGxiAPYE9rAU-t9Mbo-Zf7EMa_lJyuU/edit?usp=drivesdk","Al-Wildan 1 Gading Serpong_farhah faidah rozani S.Pd._")</f>
        <v>Al-Wildan 1 Gading Serpong_farhah faidah rozani S.Pd._</v>
      </c>
      <c r="AP1479" s="1" t="s">
        <v>22629</v>
      </c>
    </row>
    <row r="1480">
      <c r="A1480" s="6">
        <v>46196.67690695602</v>
      </c>
      <c r="B1480" s="7" t="s">
        <v>22630</v>
      </c>
      <c r="C1480" s="8" t="s">
        <v>22631</v>
      </c>
      <c r="D1480" s="1" t="s">
        <v>22632</v>
      </c>
      <c r="E1480" s="9" t="s">
        <v>22633</v>
      </c>
      <c r="F1480" s="1" t="s">
        <v>22634</v>
      </c>
      <c r="G1480" s="1" t="s">
        <v>22635</v>
      </c>
      <c r="H1480" s="1" t="s">
        <v>99</v>
      </c>
      <c r="I1480" s="9" t="s">
        <v>22636</v>
      </c>
      <c r="J1480" s="1">
        <v>20.0</v>
      </c>
      <c r="K1480" s="1" t="s">
        <v>151</v>
      </c>
      <c r="L1480" s="1" t="s">
        <v>496</v>
      </c>
      <c r="M1480" s="1" t="s">
        <v>16318</v>
      </c>
      <c r="O1480" s="1" t="s">
        <v>127</v>
      </c>
      <c r="P1480" s="1" t="s">
        <v>5712</v>
      </c>
      <c r="Z1480" s="1" t="s">
        <v>22637</v>
      </c>
      <c r="AA1480" s="10">
        <v>750000.0</v>
      </c>
      <c r="AF1480" s="1" t="s">
        <v>22638</v>
      </c>
      <c r="AG1480" s="1">
        <v>7.362660739E9</v>
      </c>
      <c r="AI1480" s="1" t="s">
        <v>5113</v>
      </c>
      <c r="AJ1480" s="1">
        <v>165.0</v>
      </c>
      <c r="AK1480" s="1">
        <v>57.0</v>
      </c>
      <c r="AL1480" s="1" t="s">
        <v>22639</v>
      </c>
      <c r="AM1480" s="1" t="s">
        <v>22640</v>
      </c>
      <c r="AN1480" s="7" t="s">
        <v>22641</v>
      </c>
      <c r="AO1480" s="8" t="str">
        <f>HYPERLINK("https://docs.google.com/document/d/1DmLlPooKBYlXnF879vJFKOGtfANSMeW_--Y2YjGt6d4/edit?usp=drivesdk","Al-Wildan 3 BSD City_Vidyapati Adhinugraha Suwardjo_")</f>
        <v>Al-Wildan 3 BSD City_Vidyapati Adhinugraha Suwardjo_</v>
      </c>
      <c r="AP1480" s="1" t="s">
        <v>22642</v>
      </c>
    </row>
    <row r="1481">
      <c r="A1481" s="6">
        <v>46196.74059693287</v>
      </c>
      <c r="B1481" s="7" t="s">
        <v>22643</v>
      </c>
      <c r="C1481" s="8" t="s">
        <v>22644</v>
      </c>
      <c r="D1481" s="1" t="s">
        <v>22645</v>
      </c>
      <c r="E1481" s="9" t="s">
        <v>22646</v>
      </c>
      <c r="F1481" s="1" t="s">
        <v>22647</v>
      </c>
      <c r="G1481" s="1" t="s">
        <v>22648</v>
      </c>
      <c r="H1481" s="1" t="s">
        <v>99</v>
      </c>
      <c r="I1481" s="9" t="s">
        <v>22649</v>
      </c>
      <c r="J1481" s="1" t="s">
        <v>5054</v>
      </c>
      <c r="K1481" s="1" t="s">
        <v>151</v>
      </c>
      <c r="L1481" s="1" t="s">
        <v>496</v>
      </c>
      <c r="M1481" s="1" t="s">
        <v>8769</v>
      </c>
      <c r="O1481" s="1" t="s">
        <v>127</v>
      </c>
      <c r="P1481" s="1" t="s">
        <v>14335</v>
      </c>
      <c r="Q1481" s="1" t="s">
        <v>22650</v>
      </c>
      <c r="R1481" s="1" t="s">
        <v>2355</v>
      </c>
      <c r="S1481" s="1" t="s">
        <v>592</v>
      </c>
      <c r="Z1481" s="1" t="s">
        <v>22651</v>
      </c>
      <c r="AA1481" s="1" t="s">
        <v>217</v>
      </c>
      <c r="AB1481" s="1" t="s">
        <v>22652</v>
      </c>
      <c r="AC1481" s="10">
        <v>250000.0</v>
      </c>
      <c r="AD1481" s="1" t="s">
        <v>22653</v>
      </c>
      <c r="AE1481" s="10">
        <v>80000.0</v>
      </c>
      <c r="AF1481" s="1" t="s">
        <v>16993</v>
      </c>
      <c r="AG1481" s="1">
        <v>7.176806553E9</v>
      </c>
      <c r="AI1481" s="1" t="s">
        <v>4856</v>
      </c>
      <c r="AJ1481" s="1">
        <v>159.0</v>
      </c>
      <c r="AK1481" s="1">
        <v>48.0</v>
      </c>
      <c r="AL1481" s="1" t="s">
        <v>22654</v>
      </c>
      <c r="AM1481" s="1" t="s">
        <v>22655</v>
      </c>
      <c r="AN1481" s="7" t="s">
        <v>22656</v>
      </c>
      <c r="AO1481" s="8" t="str">
        <f>HYPERLINK("https://docs.google.com/document/d/165GB7gg99P32LlSdEtr3oCWrlB5BbmdbEoEgSdW6uxA/edit?usp=drivesdk","Al-Wildan 13 Tembalang, Bekasi_Ishlah Muwaffiq S.Pd._")</f>
        <v>Al-Wildan 13 Tembalang, Bekasi_Ishlah Muwaffiq S.Pd._</v>
      </c>
      <c r="AP1481" s="1" t="s">
        <v>22657</v>
      </c>
    </row>
    <row r="1482">
      <c r="A1482" s="6">
        <v>46196.83820493055</v>
      </c>
      <c r="B1482" s="7" t="s">
        <v>22658</v>
      </c>
      <c r="C1482" s="8" t="s">
        <v>22659</v>
      </c>
      <c r="D1482" s="1" t="s">
        <v>22660</v>
      </c>
      <c r="E1482" s="9" t="s">
        <v>22661</v>
      </c>
      <c r="F1482" s="1" t="s">
        <v>22662</v>
      </c>
      <c r="G1482" s="1" t="s">
        <v>722</v>
      </c>
      <c r="H1482" s="1" t="s">
        <v>685</v>
      </c>
      <c r="I1482" s="9" t="s">
        <v>22663</v>
      </c>
      <c r="J1482" s="1" t="s">
        <v>1020</v>
      </c>
      <c r="K1482" s="1" t="s">
        <v>151</v>
      </c>
      <c r="L1482" s="1" t="s">
        <v>256</v>
      </c>
      <c r="M1482" s="1" t="s">
        <v>104</v>
      </c>
      <c r="N1482" s="1" t="s">
        <v>22664</v>
      </c>
      <c r="O1482" s="1" t="s">
        <v>312</v>
      </c>
      <c r="P1482" s="1" t="s">
        <v>21626</v>
      </c>
      <c r="Q1482" s="1" t="s">
        <v>153</v>
      </c>
      <c r="R1482" s="1" t="s">
        <v>22665</v>
      </c>
      <c r="S1482" s="1" t="s">
        <v>1668</v>
      </c>
      <c r="Z1482" s="1" t="s">
        <v>22666</v>
      </c>
      <c r="AA1482" s="10">
        <v>3400000.0</v>
      </c>
      <c r="AF1482" s="1" t="s">
        <v>22667</v>
      </c>
      <c r="AG1482" s="1">
        <v>7.219000458E9</v>
      </c>
      <c r="AI1482" s="1" t="s">
        <v>5113</v>
      </c>
      <c r="AJ1482" s="1">
        <v>165.0</v>
      </c>
      <c r="AK1482" s="1">
        <v>52.0</v>
      </c>
      <c r="AL1482" s="1" t="s">
        <v>22668</v>
      </c>
      <c r="AM1482" s="1" t="s">
        <v>22669</v>
      </c>
      <c r="AN1482" s="7" t="s">
        <v>22670</v>
      </c>
      <c r="AO1482" s="8" t="str">
        <f>HYPERLINK("https://docs.google.com/document/d/1Ya61WoPrYy_gEdwz_0k7ZINus_0BGUR0EDcNY7JW2Ng/edit?usp=drivesdk","Al-Wildan 29 DEPOK_Auliya Nurhasanah, S.Pd._PGSD/Tematik")</f>
        <v>Al-Wildan 29 DEPOK_Auliya Nurhasanah, S.Pd._PGSD/Tematik</v>
      </c>
      <c r="AP1482" s="1" t="s">
        <v>22671</v>
      </c>
    </row>
    <row r="1483">
      <c r="A1483" s="6">
        <v>46196.85297559028</v>
      </c>
      <c r="B1483" s="7" t="s">
        <v>22672</v>
      </c>
      <c r="C1483" s="8" t="s">
        <v>22673</v>
      </c>
      <c r="D1483" s="1" t="s">
        <v>22674</v>
      </c>
      <c r="E1483" s="9" t="s">
        <v>3030</v>
      </c>
      <c r="F1483" s="1" t="s">
        <v>3031</v>
      </c>
      <c r="G1483" s="1" t="s">
        <v>22675</v>
      </c>
      <c r="H1483" s="1" t="s">
        <v>3033</v>
      </c>
      <c r="I1483" s="9" t="s">
        <v>22676</v>
      </c>
      <c r="J1483" s="1" t="s">
        <v>628</v>
      </c>
      <c r="K1483" s="1" t="s">
        <v>151</v>
      </c>
      <c r="L1483" s="1" t="s">
        <v>496</v>
      </c>
      <c r="M1483" s="1" t="s">
        <v>16318</v>
      </c>
      <c r="N1483" s="1" t="s">
        <v>217</v>
      </c>
      <c r="O1483" s="1" t="s">
        <v>236</v>
      </c>
      <c r="P1483" s="1" t="s">
        <v>5712</v>
      </c>
      <c r="Q1483" s="1" t="s">
        <v>22677</v>
      </c>
      <c r="R1483" s="1" t="s">
        <v>10527</v>
      </c>
      <c r="S1483" s="1" t="s">
        <v>3589</v>
      </c>
      <c r="T1483" s="1" t="s">
        <v>217</v>
      </c>
      <c r="U1483" s="1" t="s">
        <v>217</v>
      </c>
      <c r="W1483" s="1" t="s">
        <v>217</v>
      </c>
      <c r="X1483" s="1" t="s">
        <v>217</v>
      </c>
      <c r="Z1483" s="1" t="s">
        <v>22678</v>
      </c>
      <c r="AA1483" s="10">
        <v>5000000.0</v>
      </c>
      <c r="AB1483" s="1" t="s">
        <v>217</v>
      </c>
      <c r="AC1483" s="1" t="s">
        <v>217</v>
      </c>
      <c r="AD1483" s="1" t="s">
        <v>217</v>
      </c>
      <c r="AE1483" s="1" t="s">
        <v>217</v>
      </c>
      <c r="AF1483" s="10">
        <v>7000000.0</v>
      </c>
      <c r="AG1483" s="1">
        <v>9.05623177E9</v>
      </c>
      <c r="AI1483" s="1" t="s">
        <v>217</v>
      </c>
      <c r="AJ1483" s="1">
        <v>182.0</v>
      </c>
      <c r="AK1483" s="1">
        <v>78.0</v>
      </c>
      <c r="AL1483" s="1" t="s">
        <v>22679</v>
      </c>
      <c r="AM1483" s="1" t="s">
        <v>22680</v>
      </c>
      <c r="AN1483" s="7" t="s">
        <v>22681</v>
      </c>
      <c r="AO1483" s="8" t="str">
        <f>HYPERLINK("https://docs.google.com/document/d/1YT7XQqFp89C3DRI3BMJ8qh6fzMKsY-swr95JyO0p1UU/edit?usp=drivesdk","Al-Wildan 3 BSD City_Muhammad Ihsan Zakky Almubarak, S.Ag._-")</f>
        <v>Al-Wildan 3 BSD City_Muhammad Ihsan Zakky Almubarak, S.Ag._-</v>
      </c>
      <c r="AP1483" s="1" t="s">
        <v>22682</v>
      </c>
    </row>
    <row r="1484">
      <c r="A1484" s="6">
        <v>46197.37600265046</v>
      </c>
      <c r="B1484" s="7" t="s">
        <v>22683</v>
      </c>
      <c r="C1484" s="8" t="s">
        <v>22684</v>
      </c>
      <c r="D1484" s="1" t="s">
        <v>22685</v>
      </c>
      <c r="E1484" s="9" t="s">
        <v>22686</v>
      </c>
      <c r="F1484" s="1" t="s">
        <v>22687</v>
      </c>
      <c r="G1484" s="1" t="s">
        <v>22688</v>
      </c>
      <c r="H1484" s="1" t="s">
        <v>10727</v>
      </c>
      <c r="I1484" s="9" t="s">
        <v>22689</v>
      </c>
      <c r="J1484" s="1">
        <v>29.0</v>
      </c>
      <c r="K1484" s="1" t="s">
        <v>102</v>
      </c>
      <c r="L1484" s="1" t="s">
        <v>329</v>
      </c>
      <c r="M1484" s="1" t="s">
        <v>21308</v>
      </c>
      <c r="N1484" s="1" t="s">
        <v>7307</v>
      </c>
      <c r="O1484" s="1" t="s">
        <v>236</v>
      </c>
      <c r="P1484" s="1" t="s">
        <v>5712</v>
      </c>
      <c r="Q1484" s="1" t="s">
        <v>22690</v>
      </c>
      <c r="R1484" s="1" t="s">
        <v>238</v>
      </c>
      <c r="S1484" s="1">
        <v>3.77</v>
      </c>
      <c r="T1484" s="1" t="s">
        <v>22690</v>
      </c>
      <c r="Z1484" s="1" t="s">
        <v>2917</v>
      </c>
      <c r="AA1484" s="10">
        <v>5000000.0</v>
      </c>
      <c r="AG1484" s="1">
        <v>1.11758825E8</v>
      </c>
      <c r="AI1484" s="1" t="s">
        <v>5113</v>
      </c>
      <c r="AJ1484" s="1">
        <v>165.0</v>
      </c>
      <c r="AK1484" s="1">
        <v>60.0</v>
      </c>
      <c r="AL1484" s="1" t="s">
        <v>22691</v>
      </c>
      <c r="AM1484" s="1" t="s">
        <v>22692</v>
      </c>
      <c r="AN1484" s="7" t="s">
        <v>22693</v>
      </c>
      <c r="AO1484" s="8" t="str">
        <f>HYPERLINK("https://docs.google.com/document/d/1DBQ65kyZkykyVqqnmclMjDO06BRKjBBxjG6z9cXQs_U/edit?usp=drivesdk","Al-Wildan 3 BSD City_RASYIDIN S.AG._Al-Quran ")</f>
        <v>Al-Wildan 3 BSD City_RASYIDIN S.AG._Al-Quran </v>
      </c>
      <c r="AP1484" s="1" t="s">
        <v>22694</v>
      </c>
    </row>
    <row r="1485">
      <c r="A1485" s="6">
        <v>46197.45980048611</v>
      </c>
      <c r="B1485" s="7" t="s">
        <v>22695</v>
      </c>
      <c r="C1485" s="8" t="s">
        <v>22696</v>
      </c>
      <c r="D1485" s="1" t="s">
        <v>22697</v>
      </c>
      <c r="E1485" s="9" t="s">
        <v>22698</v>
      </c>
      <c r="F1485" s="1" t="s">
        <v>22699</v>
      </c>
      <c r="G1485" s="1" t="s">
        <v>22700</v>
      </c>
      <c r="H1485" s="1" t="s">
        <v>99</v>
      </c>
      <c r="I1485" s="9" t="s">
        <v>22701</v>
      </c>
      <c r="J1485" s="1" t="s">
        <v>22702</v>
      </c>
      <c r="K1485" s="1" t="s">
        <v>151</v>
      </c>
      <c r="L1485" s="1" t="s">
        <v>103</v>
      </c>
      <c r="M1485" s="1" t="s">
        <v>104</v>
      </c>
      <c r="N1485" s="1" t="s">
        <v>22703</v>
      </c>
      <c r="O1485" s="1" t="s">
        <v>127</v>
      </c>
      <c r="P1485" s="1" t="s">
        <v>5712</v>
      </c>
      <c r="Q1485" s="1" t="s">
        <v>22704</v>
      </c>
      <c r="R1485" s="1" t="s">
        <v>259</v>
      </c>
      <c r="Z1485" s="1" t="s">
        <v>22705</v>
      </c>
      <c r="AA1485" s="10">
        <v>1700000.0</v>
      </c>
      <c r="AB1485" s="1" t="s">
        <v>22706</v>
      </c>
      <c r="AC1485" s="10">
        <v>2500000.0</v>
      </c>
      <c r="AD1485" s="1" t="s">
        <v>22707</v>
      </c>
      <c r="AE1485" s="10">
        <v>5000000.0</v>
      </c>
      <c r="AF1485" s="10">
        <v>3750000.0</v>
      </c>
      <c r="AG1485" s="1">
        <v>7.254058755E9</v>
      </c>
      <c r="AI1485" s="1" t="s">
        <v>22708</v>
      </c>
      <c r="AJ1485" s="1">
        <v>174.0</v>
      </c>
      <c r="AK1485" s="1">
        <v>83.0</v>
      </c>
      <c r="AL1485" s="1" t="s">
        <v>22709</v>
      </c>
      <c r="AM1485" s="1" t="s">
        <v>22710</v>
      </c>
      <c r="AN1485" s="7" t="s">
        <v>22711</v>
      </c>
      <c r="AO1485" s="8" t="str">
        <f>HYPERLINK("https://docs.google.com/document/d/1CPzL0drnIJV12pVwr51P6FPmnMK2TZHJAq9PVaTqAS0/edit?usp=drivesdk","Al-Wildan 3 BSD City_Ahmad Abdul Hamid_Mata Pelajaran Al-Qur'an dan Tajwid")</f>
        <v>Al-Wildan 3 BSD City_Ahmad Abdul Hamid_Mata Pelajaran Al-Qur'an dan Tajwid</v>
      </c>
      <c r="AP1485" s="1" t="s">
        <v>22712</v>
      </c>
    </row>
    <row r="1486">
      <c r="A1486" s="6">
        <v>46197.55001334491</v>
      </c>
      <c r="B1486" s="7" t="s">
        <v>22713</v>
      </c>
      <c r="C1486" s="8" t="s">
        <v>22714</v>
      </c>
      <c r="D1486" s="1" t="s">
        <v>22715</v>
      </c>
      <c r="E1486" s="9" t="s">
        <v>22716</v>
      </c>
      <c r="F1486" s="1" t="s">
        <v>22717</v>
      </c>
      <c r="G1486" s="1" t="s">
        <v>22718</v>
      </c>
      <c r="H1486" s="1" t="s">
        <v>148</v>
      </c>
      <c r="I1486" s="9" t="s">
        <v>22719</v>
      </c>
      <c r="J1486" s="1" t="s">
        <v>22720</v>
      </c>
      <c r="K1486" s="1" t="s">
        <v>151</v>
      </c>
      <c r="L1486" s="1" t="s">
        <v>329</v>
      </c>
      <c r="M1486" s="1" t="s">
        <v>104</v>
      </c>
      <c r="N1486" s="1" t="s">
        <v>2163</v>
      </c>
      <c r="O1486" s="1" t="s">
        <v>127</v>
      </c>
      <c r="P1486" s="1" t="s">
        <v>5712</v>
      </c>
      <c r="Q1486" s="1" t="s">
        <v>22721</v>
      </c>
      <c r="R1486" s="1" t="s">
        <v>22722</v>
      </c>
      <c r="Z1486" s="1" t="s">
        <v>3282</v>
      </c>
      <c r="AA1486" s="10">
        <v>3000000.0</v>
      </c>
      <c r="AB1486" s="1" t="s">
        <v>3282</v>
      </c>
      <c r="AC1486" s="10">
        <v>750000.0</v>
      </c>
      <c r="AD1486" s="1" t="s">
        <v>2162</v>
      </c>
      <c r="AE1486" s="10">
        <v>750000.0</v>
      </c>
      <c r="AG1486" s="1">
        <v>7.243742239E9</v>
      </c>
      <c r="AI1486" s="1" t="s">
        <v>5113</v>
      </c>
      <c r="AJ1486" s="1">
        <v>165.0</v>
      </c>
      <c r="AK1486" s="1">
        <v>60.0</v>
      </c>
      <c r="AL1486" s="1" t="s">
        <v>22723</v>
      </c>
      <c r="AM1486" s="1" t="s">
        <v>22724</v>
      </c>
      <c r="AN1486" s="7" t="s">
        <v>22725</v>
      </c>
      <c r="AO1486" s="8" t="str">
        <f>HYPERLINK("https://docs.google.com/document/d/1h0RRFxMdNbkPwXCTFQpA-iDLL2iKd0J3E1GKufpVAYM/edit?usp=drivesdk","Al-Wildan 3 BSD City_MUHAMMAD FAIZ ADLIY S.Pd._Alquran")</f>
        <v>Al-Wildan 3 BSD City_MUHAMMAD FAIZ ADLIY S.Pd._Alquran</v>
      </c>
      <c r="AP1486" s="1" t="s">
        <v>22726</v>
      </c>
    </row>
    <row r="1487">
      <c r="A1487" s="6">
        <v>46197.56079928241</v>
      </c>
      <c r="B1487" s="7" t="s">
        <v>22727</v>
      </c>
      <c r="C1487" s="8" t="s">
        <v>22728</v>
      </c>
      <c r="D1487" s="1" t="s">
        <v>22729</v>
      </c>
      <c r="E1487" s="9" t="s">
        <v>8872</v>
      </c>
      <c r="F1487" s="1" t="s">
        <v>8873</v>
      </c>
      <c r="G1487" s="1" t="s">
        <v>22730</v>
      </c>
      <c r="H1487" s="1" t="s">
        <v>6897</v>
      </c>
      <c r="I1487" s="9" t="s">
        <v>8874</v>
      </c>
      <c r="J1487" s="1" t="s">
        <v>22731</v>
      </c>
      <c r="K1487" s="1" t="s">
        <v>102</v>
      </c>
      <c r="L1487" s="1" t="s">
        <v>103</v>
      </c>
      <c r="M1487" s="1" t="s">
        <v>104</v>
      </c>
      <c r="N1487" s="1" t="s">
        <v>22732</v>
      </c>
      <c r="O1487" s="1" t="s">
        <v>127</v>
      </c>
      <c r="P1487" s="1" t="s">
        <v>5712</v>
      </c>
      <c r="Q1487" s="1" t="s">
        <v>22733</v>
      </c>
      <c r="R1487" s="1" t="s">
        <v>22734</v>
      </c>
      <c r="S1487" s="1" t="s">
        <v>1060</v>
      </c>
      <c r="Z1487" s="1" t="s">
        <v>22735</v>
      </c>
      <c r="AA1487" s="10">
        <v>2500000.0</v>
      </c>
      <c r="AB1487" s="1" t="s">
        <v>22736</v>
      </c>
      <c r="AC1487" s="10">
        <v>4000000.0</v>
      </c>
      <c r="AD1487" s="1" t="s">
        <v>22737</v>
      </c>
      <c r="AE1487" s="10">
        <v>3750000.0</v>
      </c>
      <c r="AF1487" s="10">
        <v>5500000.0</v>
      </c>
      <c r="AG1487" s="1">
        <v>8.29249467E9</v>
      </c>
      <c r="AJ1487" s="1">
        <v>171.0</v>
      </c>
      <c r="AK1487" s="1">
        <v>102.0</v>
      </c>
      <c r="AL1487" s="1" t="s">
        <v>8878</v>
      </c>
      <c r="AM1487" s="1" t="s">
        <v>22738</v>
      </c>
      <c r="AN1487" s="7" t="s">
        <v>22739</v>
      </c>
      <c r="AO1487" s="8" t="str">
        <f>HYPERLINK("https://docs.google.com/document/d/1ijI3y0CjTzjPaq4mS1pwfT_8L5TYS7sor4HkVc5MZbY/edit?usp=drivesdk","Al-Wildan 3 BSD City_Ilham Akbar Firdaus S.Pd._Qur'an ")</f>
        <v>Al-Wildan 3 BSD City_Ilham Akbar Firdaus S.Pd._Qur'an </v>
      </c>
      <c r="AP1487" s="1" t="s">
        <v>22740</v>
      </c>
    </row>
    <row r="1488">
      <c r="A1488" s="6">
        <v>46197.59787107639</v>
      </c>
      <c r="B1488" s="7" t="s">
        <v>22741</v>
      </c>
      <c r="C1488" s="8" t="s">
        <v>22742</v>
      </c>
      <c r="D1488" s="1" t="s">
        <v>22743</v>
      </c>
      <c r="E1488" s="9" t="s">
        <v>7937</v>
      </c>
      <c r="F1488" s="1" t="s">
        <v>7938</v>
      </c>
      <c r="G1488" s="1" t="s">
        <v>22744</v>
      </c>
      <c r="H1488" s="1" t="s">
        <v>22745</v>
      </c>
      <c r="I1488" s="9" t="s">
        <v>22746</v>
      </c>
      <c r="J1488" s="1" t="s">
        <v>9808</v>
      </c>
      <c r="K1488" s="1" t="s">
        <v>102</v>
      </c>
      <c r="L1488" s="1" t="s">
        <v>103</v>
      </c>
      <c r="M1488" s="1" t="s">
        <v>104</v>
      </c>
      <c r="N1488" s="1" t="s">
        <v>235</v>
      </c>
      <c r="O1488" s="1" t="s">
        <v>127</v>
      </c>
      <c r="P1488" s="1" t="s">
        <v>237</v>
      </c>
      <c r="Q1488" s="1" t="s">
        <v>22747</v>
      </c>
      <c r="R1488" s="1" t="s">
        <v>2355</v>
      </c>
      <c r="S1488" s="1">
        <v>3.73</v>
      </c>
      <c r="T1488" s="1" t="s">
        <v>22748</v>
      </c>
      <c r="U1488" s="1" t="s">
        <v>22749</v>
      </c>
      <c r="V1488" s="1">
        <v>3.65</v>
      </c>
      <c r="Z1488" s="1" t="s">
        <v>22750</v>
      </c>
      <c r="AA1488" s="10">
        <v>5000000.0</v>
      </c>
      <c r="AB1488" s="1" t="s">
        <v>22751</v>
      </c>
      <c r="AC1488" s="10">
        <v>6000000.0</v>
      </c>
      <c r="AF1488" s="10">
        <v>8000000.0</v>
      </c>
      <c r="AG1488" s="1">
        <v>1.120467313E9</v>
      </c>
      <c r="AI1488" s="1" t="s">
        <v>22752</v>
      </c>
      <c r="AJ1488" s="1">
        <v>160.0</v>
      </c>
      <c r="AK1488" s="1">
        <v>78.0</v>
      </c>
      <c r="AL1488" s="1" t="s">
        <v>7945</v>
      </c>
      <c r="AM1488" s="1" t="s">
        <v>22753</v>
      </c>
      <c r="AN1488" s="7" t="s">
        <v>22754</v>
      </c>
      <c r="AO1488" s="8" t="str">
        <f>HYPERLINK("https://docs.google.com/document/d/1rPH-NYfHDALXrgUSXDvHX_XKBZAQkBMV6-TZyXlQ1WA/edit?usp=drivesdk","Al-Wildan 4 Lebak Bulus_MUH. MUHOLLIS, M.Pd._Bahasa Arab")</f>
        <v>Al-Wildan 4 Lebak Bulus_MUH. MUHOLLIS, M.Pd._Bahasa Arab</v>
      </c>
      <c r="AP1488" s="1" t="s">
        <v>22755</v>
      </c>
    </row>
    <row r="1489">
      <c r="A1489" s="6">
        <v>46197.60102033565</v>
      </c>
      <c r="B1489" s="7" t="s">
        <v>22756</v>
      </c>
      <c r="C1489" s="8" t="s">
        <v>22757</v>
      </c>
      <c r="D1489" s="1" t="s">
        <v>22758</v>
      </c>
      <c r="E1489" s="9" t="s">
        <v>22759</v>
      </c>
      <c r="F1489" s="1" t="s">
        <v>22760</v>
      </c>
      <c r="G1489" s="1" t="s">
        <v>22761</v>
      </c>
      <c r="H1489" s="1" t="s">
        <v>148</v>
      </c>
      <c r="I1489" s="9" t="s">
        <v>22762</v>
      </c>
      <c r="J1489" s="1" t="s">
        <v>273</v>
      </c>
      <c r="K1489" s="1" t="s">
        <v>151</v>
      </c>
      <c r="L1489" s="1" t="s">
        <v>256</v>
      </c>
      <c r="M1489" s="1" t="s">
        <v>104</v>
      </c>
      <c r="N1489" s="1" t="s">
        <v>152</v>
      </c>
      <c r="O1489" s="1" t="s">
        <v>312</v>
      </c>
      <c r="P1489" s="1" t="s">
        <v>6091</v>
      </c>
      <c r="Q1489" s="1" t="s">
        <v>108</v>
      </c>
      <c r="R1489" s="1" t="s">
        <v>2355</v>
      </c>
      <c r="S1489" s="1" t="s">
        <v>2372</v>
      </c>
      <c r="Z1489" s="1" t="s">
        <v>22763</v>
      </c>
      <c r="AA1489" s="10">
        <v>5729876.0</v>
      </c>
      <c r="AF1489" s="10">
        <v>5729876.0</v>
      </c>
      <c r="AG1489" s="1">
        <v>7.190818343E9</v>
      </c>
      <c r="AI1489" s="1" t="s">
        <v>5113</v>
      </c>
      <c r="AJ1489" s="1">
        <v>165.0</v>
      </c>
      <c r="AK1489" s="1">
        <v>49.0</v>
      </c>
      <c r="AL1489" s="1" t="s">
        <v>22764</v>
      </c>
      <c r="AM1489" s="1" t="s">
        <v>22765</v>
      </c>
      <c r="AN1489" s="7" t="s">
        <v>22766</v>
      </c>
      <c r="AO1489" s="8" t="str">
        <f>HYPERLINK("https://docs.google.com/document/d/1zaYJGyB1lRz22jdqbMIQ0VuxAee2xLXDtFQEhT7ifDE/edit?usp=drivesdk","Al-Wildan 10 Cipinang, Jakarta Timur_Bintang Paramitha Andika Putri, S.Pd._Bahasa Inggris")</f>
        <v>Al-Wildan 10 Cipinang, Jakarta Timur_Bintang Paramitha Andika Putri, S.Pd._Bahasa Inggris</v>
      </c>
      <c r="AP1489" s="1" t="s">
        <v>22767</v>
      </c>
    </row>
    <row r="1490">
      <c r="A1490" s="6">
        <v>46197.65281210648</v>
      </c>
      <c r="B1490" s="7" t="s">
        <v>22768</v>
      </c>
      <c r="C1490" s="8" t="s">
        <v>22769</v>
      </c>
      <c r="D1490" s="1" t="s">
        <v>22770</v>
      </c>
      <c r="E1490" s="9" t="s">
        <v>22771</v>
      </c>
      <c r="F1490" s="1" t="s">
        <v>22772</v>
      </c>
      <c r="G1490" s="1" t="s">
        <v>22773</v>
      </c>
      <c r="H1490" s="1" t="s">
        <v>22774</v>
      </c>
      <c r="I1490" s="9" t="s">
        <v>22775</v>
      </c>
      <c r="J1490" s="1" t="s">
        <v>1557</v>
      </c>
      <c r="K1490" s="1" t="s">
        <v>102</v>
      </c>
      <c r="L1490" s="1" t="s">
        <v>103</v>
      </c>
      <c r="M1490" s="1" t="s">
        <v>13917</v>
      </c>
      <c r="N1490" s="1" t="s">
        <v>20661</v>
      </c>
      <c r="O1490" s="1" t="s">
        <v>106</v>
      </c>
      <c r="P1490" s="1" t="s">
        <v>17019</v>
      </c>
      <c r="Q1490" s="1" t="s">
        <v>22776</v>
      </c>
      <c r="R1490" s="1" t="s">
        <v>15312</v>
      </c>
      <c r="S1490" s="1" t="s">
        <v>2180</v>
      </c>
      <c r="Z1490" s="1" t="s">
        <v>22777</v>
      </c>
      <c r="AA1490" s="10">
        <v>6000000.0</v>
      </c>
      <c r="AB1490" s="1" t="s">
        <v>22778</v>
      </c>
      <c r="AC1490" s="10">
        <v>6000000.0</v>
      </c>
      <c r="AD1490" s="1" t="s">
        <v>22779</v>
      </c>
      <c r="AE1490" s="10">
        <v>3500000.0</v>
      </c>
      <c r="AF1490" s="10">
        <v>4000000.0</v>
      </c>
      <c r="AH1490" s="9" t="s">
        <v>22780</v>
      </c>
      <c r="AI1490" s="1" t="s">
        <v>222</v>
      </c>
      <c r="AJ1490" s="1">
        <v>169.0</v>
      </c>
      <c r="AK1490" s="1">
        <v>78.0</v>
      </c>
      <c r="AL1490" s="1" t="s">
        <v>22781</v>
      </c>
      <c r="AM1490" s="1" t="s">
        <v>22782</v>
      </c>
      <c r="AN1490" s="7" t="s">
        <v>22783</v>
      </c>
      <c r="AO1490" s="8" t="str">
        <f>HYPERLINK("https://docs.google.com/document/d/1JSpDLlXPxO-qcmPvxvh6aNSFkS5YKQQUG_s7JvezqF0/edit?usp=drivesdk","Al-Wildan 20 Mataram_Habibi S.Pd., Gr._Penjaskes")</f>
        <v>Al-Wildan 20 Mataram_Habibi S.Pd., Gr._Penjaskes</v>
      </c>
      <c r="AP1490" s="1" t="s">
        <v>22784</v>
      </c>
    </row>
    <row r="1491">
      <c r="A1491" s="6">
        <v>46197.88942527778</v>
      </c>
      <c r="B1491" s="7" t="s">
        <v>22785</v>
      </c>
      <c r="C1491" s="8" t="s">
        <v>22786</v>
      </c>
      <c r="D1491" s="1" t="s">
        <v>22787</v>
      </c>
      <c r="E1491" s="9" t="s">
        <v>22788</v>
      </c>
      <c r="F1491" s="1">
        <v>5.20426460902004E14</v>
      </c>
      <c r="G1491" s="1" t="s">
        <v>22789</v>
      </c>
      <c r="H1491" s="1" t="s">
        <v>2176</v>
      </c>
      <c r="I1491" s="9" t="s">
        <v>22790</v>
      </c>
      <c r="J1491" s="1" t="s">
        <v>14081</v>
      </c>
      <c r="K1491" s="1" t="s">
        <v>151</v>
      </c>
      <c r="L1491" s="1" t="s">
        <v>103</v>
      </c>
      <c r="M1491" s="1" t="s">
        <v>104</v>
      </c>
      <c r="N1491" s="1" t="s">
        <v>22791</v>
      </c>
      <c r="O1491" s="1" t="s">
        <v>1202</v>
      </c>
      <c r="P1491" s="1" t="s">
        <v>17019</v>
      </c>
      <c r="Q1491" s="1" t="s">
        <v>590</v>
      </c>
      <c r="R1491" s="1" t="s">
        <v>8612</v>
      </c>
      <c r="S1491" s="1" t="s">
        <v>9479</v>
      </c>
      <c r="Z1491" s="1" t="s">
        <v>22792</v>
      </c>
      <c r="AA1491" s="10">
        <v>2000000.0</v>
      </c>
      <c r="AF1491" s="10">
        <v>3500000.0</v>
      </c>
      <c r="AH1491" s="1">
        <v>1.222682234E9</v>
      </c>
      <c r="AI1491" s="1" t="s">
        <v>159</v>
      </c>
      <c r="AJ1491" s="1">
        <v>155.0</v>
      </c>
      <c r="AK1491" s="1">
        <v>75.0</v>
      </c>
      <c r="AL1491" s="1" t="s">
        <v>22793</v>
      </c>
      <c r="AM1491" s="1" t="s">
        <v>22794</v>
      </c>
      <c r="AN1491" s="7" t="s">
        <v>22795</v>
      </c>
      <c r="AO1491" s="8" t="str">
        <f>HYPERLINK("https://docs.google.com/document/d/12onhc4t9amWMtFDHp_wP05ocmX2leUsHc3wEAgp5RuI/edit?usp=drivesdk","Al-Wildan 20 Mataram_Safa Cinta Adilah, S.Pd_Kindergarten (english)")</f>
        <v>Al-Wildan 20 Mataram_Safa Cinta Adilah, S.Pd_Kindergarten (english)</v>
      </c>
      <c r="AP1491" s="1" t="s">
        <v>22796</v>
      </c>
    </row>
    <row r="1492">
      <c r="A1492" s="6">
        <v>46197.915908587966</v>
      </c>
      <c r="B1492" s="7" t="s">
        <v>22797</v>
      </c>
      <c r="C1492" s="8" t="s">
        <v>22798</v>
      </c>
      <c r="D1492" s="1" t="s">
        <v>22799</v>
      </c>
      <c r="E1492" s="9" t="s">
        <v>22800</v>
      </c>
      <c r="F1492" s="1" t="s">
        <v>22801</v>
      </c>
      <c r="G1492" s="1" t="s">
        <v>22802</v>
      </c>
      <c r="H1492" s="1" t="s">
        <v>685</v>
      </c>
      <c r="I1492" s="9" t="s">
        <v>22803</v>
      </c>
      <c r="J1492" s="1" t="s">
        <v>5874</v>
      </c>
      <c r="K1492" s="1" t="s">
        <v>102</v>
      </c>
      <c r="L1492" s="1" t="s">
        <v>103</v>
      </c>
      <c r="M1492" s="1" t="s">
        <v>104</v>
      </c>
      <c r="N1492" s="1" t="s">
        <v>22804</v>
      </c>
      <c r="O1492" s="1" t="s">
        <v>236</v>
      </c>
      <c r="P1492" s="1" t="s">
        <v>5712</v>
      </c>
      <c r="Q1492" s="1" t="s">
        <v>153</v>
      </c>
      <c r="R1492" s="1" t="s">
        <v>22805</v>
      </c>
      <c r="S1492" s="1" t="s">
        <v>1524</v>
      </c>
      <c r="T1492" s="1" t="s">
        <v>10945</v>
      </c>
      <c r="U1492" s="1" t="s">
        <v>22806</v>
      </c>
      <c r="V1492" s="1" t="s">
        <v>1023</v>
      </c>
      <c r="Z1492" s="1" t="s">
        <v>22807</v>
      </c>
      <c r="AA1492" s="10">
        <v>4900000.0</v>
      </c>
      <c r="AB1492" s="1" t="s">
        <v>22808</v>
      </c>
      <c r="AC1492" s="10">
        <v>7000000.0</v>
      </c>
      <c r="AF1492" s="10">
        <v>8000000.0</v>
      </c>
      <c r="AH1492" s="1">
        <v>1.330029481645E12</v>
      </c>
      <c r="AI1492" s="1" t="s">
        <v>2119</v>
      </c>
      <c r="AJ1492" s="1">
        <v>167.0</v>
      </c>
      <c r="AK1492" s="1">
        <v>55.0</v>
      </c>
      <c r="AL1492" s="1" t="s">
        <v>22809</v>
      </c>
      <c r="AM1492" s="1" t="s">
        <v>22810</v>
      </c>
      <c r="AN1492" s="7" t="s">
        <v>22811</v>
      </c>
      <c r="AO1492" s="8" t="str">
        <f>HYPERLINK("https://docs.google.com/document/d/161wQ3FDD1nCxeRxwcjelhcqcD1b6XClGt4vwAA9qWT4/edit?usp=drivesdk","Al-Wildan 3 BSD City_WIDIANTO AJI WIBOWO, S.Pd., M.URP._Geografi/Sosiologi")</f>
        <v>Al-Wildan 3 BSD City_WIDIANTO AJI WIBOWO, S.Pd., M.URP._Geografi/Sosiologi</v>
      </c>
      <c r="AP1492" s="1" t="s">
        <v>22812</v>
      </c>
    </row>
    <row r="1493">
      <c r="A1493" s="6">
        <v>46198.01981534722</v>
      </c>
      <c r="B1493" s="7" t="s">
        <v>22813</v>
      </c>
      <c r="C1493" s="8" t="s">
        <v>22814</v>
      </c>
      <c r="D1493" s="1" t="s">
        <v>22815</v>
      </c>
      <c r="E1493" s="9" t="s">
        <v>22816</v>
      </c>
      <c r="F1493" s="1" t="s">
        <v>22817</v>
      </c>
      <c r="G1493" s="1" t="s">
        <v>22818</v>
      </c>
      <c r="H1493" s="1" t="s">
        <v>22819</v>
      </c>
      <c r="I1493" s="9" t="s">
        <v>22820</v>
      </c>
      <c r="J1493" s="1">
        <v>42.0</v>
      </c>
      <c r="K1493" s="1" t="s">
        <v>102</v>
      </c>
      <c r="L1493" s="1" t="s">
        <v>103</v>
      </c>
      <c r="M1493" s="1" t="s">
        <v>104</v>
      </c>
      <c r="N1493" s="1" t="s">
        <v>3583</v>
      </c>
      <c r="O1493" s="1" t="s">
        <v>127</v>
      </c>
      <c r="P1493" s="1" t="s">
        <v>21626</v>
      </c>
      <c r="Q1493" s="1" t="s">
        <v>22821</v>
      </c>
      <c r="R1493" s="1" t="s">
        <v>13073</v>
      </c>
      <c r="S1493" s="1" t="s">
        <v>217</v>
      </c>
      <c r="T1493" s="1" t="s">
        <v>217</v>
      </c>
      <c r="Z1493" s="1" t="s">
        <v>22822</v>
      </c>
      <c r="AA1493" s="10">
        <v>-5000000.0</v>
      </c>
      <c r="AB1493" s="1" t="s">
        <v>217</v>
      </c>
      <c r="AC1493" s="1" t="s">
        <v>217</v>
      </c>
      <c r="AD1493" s="1" t="s">
        <v>217</v>
      </c>
      <c r="AE1493" s="1" t="s">
        <v>217</v>
      </c>
      <c r="AF1493" s="1" t="s">
        <v>22823</v>
      </c>
      <c r="AG1493" s="1">
        <v>7.352122682E9</v>
      </c>
      <c r="AJ1493" s="1">
        <v>162.0</v>
      </c>
      <c r="AK1493" s="1">
        <v>60.0</v>
      </c>
      <c r="AL1493" s="1" t="s">
        <v>22824</v>
      </c>
      <c r="AM1493" s="1" t="s">
        <v>22825</v>
      </c>
      <c r="AN1493" s="7" t="s">
        <v>22826</v>
      </c>
      <c r="AO1493" s="8" t="str">
        <f>HYPERLINK("https://docs.google.com/document/d/1UrbYGLzOaJQLWBqd-_M1bgBnDxcba6Emo_hDyroMSUg/edit?usp=drivesdk","Al-Wildan 29 DEPOK_Muhammad Ridwan_Bahasa Arab ")</f>
        <v>Al-Wildan 29 DEPOK_Muhammad Ridwan_Bahasa Arab </v>
      </c>
      <c r="AP1493" s="1" t="s">
        <v>22827</v>
      </c>
    </row>
    <row r="1494">
      <c r="A1494" s="6">
        <v>46198.36519148148</v>
      </c>
      <c r="B1494" s="7" t="s">
        <v>22828</v>
      </c>
      <c r="C1494" s="8" t="s">
        <v>22829</v>
      </c>
      <c r="D1494" s="1" t="s">
        <v>22830</v>
      </c>
      <c r="E1494" s="9" t="s">
        <v>22831</v>
      </c>
      <c r="F1494" s="1" t="s">
        <v>22832</v>
      </c>
      <c r="G1494" s="1" t="s">
        <v>22833</v>
      </c>
      <c r="H1494" s="1" t="s">
        <v>22834</v>
      </c>
      <c r="I1494" s="9" t="s">
        <v>22835</v>
      </c>
      <c r="J1494" s="1" t="s">
        <v>4777</v>
      </c>
      <c r="K1494" s="1" t="s">
        <v>151</v>
      </c>
      <c r="L1494" s="1" t="s">
        <v>103</v>
      </c>
      <c r="M1494" s="1" t="s">
        <v>104</v>
      </c>
      <c r="N1494" s="1" t="s">
        <v>22836</v>
      </c>
      <c r="O1494" s="1" t="s">
        <v>312</v>
      </c>
      <c r="P1494" s="1" t="s">
        <v>17019</v>
      </c>
      <c r="Q1494" s="1" t="s">
        <v>22837</v>
      </c>
      <c r="R1494" s="1" t="s">
        <v>130</v>
      </c>
      <c r="S1494" s="1" t="s">
        <v>5523</v>
      </c>
      <c r="Z1494" s="1" t="s">
        <v>22838</v>
      </c>
      <c r="AA1494" s="10">
        <v>1000000.0</v>
      </c>
      <c r="AB1494" s="1" t="s">
        <v>22839</v>
      </c>
      <c r="AC1494" s="10">
        <v>500000.0</v>
      </c>
      <c r="AF1494" s="10">
        <v>2500000.0</v>
      </c>
      <c r="AH1494" s="1">
        <v>1.610013451609E12</v>
      </c>
      <c r="AI1494" s="1" t="s">
        <v>14426</v>
      </c>
      <c r="AJ1494" s="1">
        <v>168.0</v>
      </c>
      <c r="AK1494" s="1">
        <v>60.0</v>
      </c>
      <c r="AL1494" s="1" t="s">
        <v>22840</v>
      </c>
      <c r="AM1494" s="1" t="s">
        <v>22841</v>
      </c>
      <c r="AN1494" s="7" t="s">
        <v>22842</v>
      </c>
      <c r="AO1494" s="8" t="str">
        <f>HYPERLINK("https://docs.google.com/document/d/13wYwNfG1yhPDla54QVCvrxIx4_CYcYlQWWW-uXlkD6Q/edit?usp=drivesdk","Al-Wildan 20 Mataram_LL. Gede Damar Wulan, S.Pd._Math English")</f>
        <v>Al-Wildan 20 Mataram_LL. Gede Damar Wulan, S.Pd._Math English</v>
      </c>
      <c r="AP1494" s="1" t="s">
        <v>22843</v>
      </c>
    </row>
    <row r="1495">
      <c r="A1495" s="6">
        <v>46198.608324155095</v>
      </c>
      <c r="B1495" s="7" t="s">
        <v>22844</v>
      </c>
      <c r="C1495" s="8" t="s">
        <v>22845</v>
      </c>
      <c r="D1495" s="1" t="s">
        <v>22846</v>
      </c>
      <c r="E1495" s="9" t="s">
        <v>22847</v>
      </c>
      <c r="F1495" s="1" t="s">
        <v>22848</v>
      </c>
      <c r="G1495" s="1" t="s">
        <v>22849</v>
      </c>
      <c r="H1495" s="1" t="s">
        <v>768</v>
      </c>
      <c r="I1495" s="9" t="s">
        <v>22850</v>
      </c>
      <c r="J1495" s="1" t="s">
        <v>22851</v>
      </c>
      <c r="K1495" s="1" t="s">
        <v>102</v>
      </c>
      <c r="L1495" s="1" t="s">
        <v>103</v>
      </c>
      <c r="M1495" s="1" t="s">
        <v>104</v>
      </c>
      <c r="N1495" s="1" t="s">
        <v>126</v>
      </c>
      <c r="O1495" s="1" t="s">
        <v>9794</v>
      </c>
      <c r="P1495" s="1" t="s">
        <v>21734</v>
      </c>
      <c r="Q1495" s="1" t="s">
        <v>22852</v>
      </c>
      <c r="R1495" s="1" t="s">
        <v>1539</v>
      </c>
      <c r="S1495" s="1" t="s">
        <v>2582</v>
      </c>
      <c r="T1495" s="1" t="s">
        <v>22853</v>
      </c>
      <c r="U1495" s="1" t="s">
        <v>5285</v>
      </c>
      <c r="V1495" s="1" t="s">
        <v>755</v>
      </c>
      <c r="Z1495" s="1" t="s">
        <v>13445</v>
      </c>
      <c r="AA1495" s="10">
        <v>3300000.0</v>
      </c>
      <c r="AG1495" s="1">
        <v>7.32754503E9</v>
      </c>
      <c r="AI1495" s="1" t="s">
        <v>5561</v>
      </c>
      <c r="AJ1495" s="1">
        <v>154.0</v>
      </c>
      <c r="AK1495" s="1">
        <v>48.0</v>
      </c>
      <c r="AL1495" s="1" t="s">
        <v>22854</v>
      </c>
      <c r="AM1495" s="1" t="s">
        <v>22855</v>
      </c>
      <c r="AN1495" s="7" t="s">
        <v>22856</v>
      </c>
      <c r="AO1495" s="8" t="str">
        <f>HYPERLINK("https://docs.google.com/document/d/1pijsl0e3qXruMejGUSNJvC4APJoAK2FqvH1ttascsw0/edit?usp=drivesdk","Al-Wildan 23 SEMARANG_Nurmalia Beladina, S.Pd., M.Sc., Gr._Matematika")</f>
        <v>Al-Wildan 23 SEMARANG_Nurmalia Beladina, S.Pd., M.Sc., Gr._Matematika</v>
      </c>
      <c r="AP1495" s="1" t="s">
        <v>22857</v>
      </c>
    </row>
    <row r="1496">
      <c r="A1496" s="6">
        <v>46198.643552187496</v>
      </c>
      <c r="B1496" s="7" t="s">
        <v>22858</v>
      </c>
      <c r="C1496" s="8" t="s">
        <v>22859</v>
      </c>
      <c r="D1496" s="1" t="s">
        <v>22860</v>
      </c>
      <c r="E1496" s="9" t="s">
        <v>22861</v>
      </c>
      <c r="F1496" s="1" t="s">
        <v>22862</v>
      </c>
      <c r="G1496" s="1" t="s">
        <v>22863</v>
      </c>
      <c r="H1496" s="1" t="s">
        <v>22864</v>
      </c>
      <c r="I1496" s="9" t="s">
        <v>22865</v>
      </c>
      <c r="J1496" s="1" t="s">
        <v>20677</v>
      </c>
      <c r="K1496" s="1" t="s">
        <v>151</v>
      </c>
      <c r="L1496" s="1" t="s">
        <v>103</v>
      </c>
      <c r="M1496" s="1" t="s">
        <v>104</v>
      </c>
      <c r="N1496" s="1" t="s">
        <v>552</v>
      </c>
      <c r="O1496" s="1" t="s">
        <v>127</v>
      </c>
      <c r="P1496" s="1" t="s">
        <v>21734</v>
      </c>
      <c r="Q1496" s="1" t="s">
        <v>22866</v>
      </c>
      <c r="R1496" s="1" t="s">
        <v>410</v>
      </c>
      <c r="S1496" s="1" t="s">
        <v>753</v>
      </c>
      <c r="T1496" s="1" t="s">
        <v>6011</v>
      </c>
      <c r="U1496" s="1" t="s">
        <v>410</v>
      </c>
      <c r="V1496" s="1" t="s">
        <v>5399</v>
      </c>
      <c r="Z1496" s="1" t="s">
        <v>22867</v>
      </c>
      <c r="AA1496" s="10">
        <v>500000.0</v>
      </c>
      <c r="AB1496" s="1" t="s">
        <v>22868</v>
      </c>
      <c r="AC1496" s="10">
        <v>2000000.0</v>
      </c>
      <c r="AF1496" s="10">
        <v>5500000.0</v>
      </c>
      <c r="AH1496" s="1">
        <v>5.9220103642153E14</v>
      </c>
      <c r="AI1496" s="1" t="s">
        <v>2407</v>
      </c>
      <c r="AJ1496" s="1">
        <v>159.0</v>
      </c>
      <c r="AK1496" s="1">
        <v>44.0</v>
      </c>
      <c r="AL1496" s="1" t="s">
        <v>22869</v>
      </c>
      <c r="AM1496" s="1" t="s">
        <v>22870</v>
      </c>
      <c r="AN1496" s="7" t="s">
        <v>22871</v>
      </c>
      <c r="AO1496" s="8" t="str">
        <f>HYPERLINK("https://docs.google.com/document/d/16dGWRa0QbqJJK8Wpm8BGi0Exyn7BJWzmXad0sheLJ24/edit?usp=drivesdk","Al-Wildan 23 SEMARANG_Maya Shofani, M.Pd_Fisika")</f>
        <v>Al-Wildan 23 SEMARANG_Maya Shofani, M.Pd_Fisika</v>
      </c>
      <c r="AP1496" s="1" t="s">
        <v>22872</v>
      </c>
    </row>
    <row r="1497">
      <c r="A1497" s="6">
        <v>46198.904326504635</v>
      </c>
      <c r="B1497" s="7" t="s">
        <v>22873</v>
      </c>
      <c r="C1497" s="8" t="s">
        <v>22874</v>
      </c>
      <c r="D1497" s="1" t="s">
        <v>22875</v>
      </c>
      <c r="E1497" s="9" t="s">
        <v>22876</v>
      </c>
      <c r="F1497" s="1" t="s">
        <v>22877</v>
      </c>
      <c r="G1497" s="1" t="s">
        <v>22878</v>
      </c>
      <c r="H1497" s="1" t="s">
        <v>4458</v>
      </c>
      <c r="I1497" s="9" t="s">
        <v>22879</v>
      </c>
      <c r="J1497" s="1" t="s">
        <v>22880</v>
      </c>
      <c r="K1497" s="1" t="s">
        <v>6075</v>
      </c>
      <c r="L1497" s="1" t="s">
        <v>256</v>
      </c>
      <c r="M1497" s="1" t="s">
        <v>104</v>
      </c>
      <c r="N1497" s="1" t="s">
        <v>152</v>
      </c>
      <c r="O1497" s="1" t="s">
        <v>9794</v>
      </c>
      <c r="P1497" s="1" t="s">
        <v>5712</v>
      </c>
      <c r="Q1497" s="1" t="s">
        <v>22881</v>
      </c>
      <c r="R1497" s="1" t="s">
        <v>172</v>
      </c>
      <c r="S1497" s="1" t="s">
        <v>2372</v>
      </c>
      <c r="T1497" s="1" t="s">
        <v>217</v>
      </c>
      <c r="U1497" s="1" t="s">
        <v>217</v>
      </c>
      <c r="V1497" s="1" t="s">
        <v>217</v>
      </c>
      <c r="W1497" s="1" t="s">
        <v>217</v>
      </c>
      <c r="X1497" s="1" t="s">
        <v>217</v>
      </c>
      <c r="Y1497" s="1" t="s">
        <v>22882</v>
      </c>
      <c r="Z1497" s="1" t="s">
        <v>22883</v>
      </c>
      <c r="AA1497" s="10">
        <v>6000000.0</v>
      </c>
      <c r="AB1497" s="1" t="s">
        <v>22884</v>
      </c>
      <c r="AC1497" s="10">
        <v>4500000.0</v>
      </c>
      <c r="AD1497" s="1" t="s">
        <v>22885</v>
      </c>
      <c r="AE1497" s="10">
        <v>3500000.0</v>
      </c>
      <c r="AF1497" s="1" t="s">
        <v>1066</v>
      </c>
      <c r="AG1497" s="1">
        <v>0.0</v>
      </c>
      <c r="AH1497" s="1">
        <v>9.0187513744E11</v>
      </c>
      <c r="AI1497" s="1" t="s">
        <v>22886</v>
      </c>
      <c r="AJ1497" s="1">
        <v>163.0</v>
      </c>
      <c r="AK1497" s="1">
        <v>49.0</v>
      </c>
      <c r="AL1497" s="1" t="s">
        <v>22887</v>
      </c>
      <c r="AM1497" s="1" t="s">
        <v>22888</v>
      </c>
      <c r="AN1497" s="7" t="s">
        <v>22889</v>
      </c>
      <c r="AO1497" s="8" t="str">
        <f>HYPERLINK("https://docs.google.com/document/d/16vA9t6JcydZyWdFTchKDDAODvQ5uQJTK4__IfisfmKM/edit?usp=drivesdk","Al-Wildan 3 BSD City_Zhuhri S.Pratama S.Pd_Bahasa Inggris")</f>
        <v>Al-Wildan 3 BSD City_Zhuhri S.Pratama S.Pd_Bahasa Inggris</v>
      </c>
      <c r="AP1497" s="1" t="s">
        <v>22890</v>
      </c>
    </row>
    <row r="1498">
      <c r="A1498" s="6">
        <v>46199.079715659725</v>
      </c>
      <c r="B1498" s="7" t="s">
        <v>22891</v>
      </c>
      <c r="C1498" s="8" t="s">
        <v>22892</v>
      </c>
      <c r="D1498" s="1" t="s">
        <v>22893</v>
      </c>
      <c r="E1498" s="9" t="s">
        <v>22894</v>
      </c>
      <c r="F1498" s="1" t="s">
        <v>22895</v>
      </c>
      <c r="G1498" s="1" t="s">
        <v>1555</v>
      </c>
      <c r="H1498" s="1" t="s">
        <v>1555</v>
      </c>
      <c r="I1498" s="9" t="s">
        <v>22896</v>
      </c>
      <c r="J1498" s="1" t="s">
        <v>22897</v>
      </c>
      <c r="K1498" s="1" t="s">
        <v>102</v>
      </c>
      <c r="L1498" s="1" t="s">
        <v>103</v>
      </c>
      <c r="M1498" s="1" t="s">
        <v>104</v>
      </c>
      <c r="N1498" s="1" t="s">
        <v>22898</v>
      </c>
      <c r="O1498" s="1" t="s">
        <v>127</v>
      </c>
      <c r="P1498" s="1" t="s">
        <v>5712</v>
      </c>
      <c r="Q1498" s="1" t="s">
        <v>668</v>
      </c>
      <c r="R1498" s="1" t="s">
        <v>238</v>
      </c>
      <c r="S1498" s="1">
        <v>4.51</v>
      </c>
      <c r="T1498" s="1" t="s">
        <v>217</v>
      </c>
      <c r="U1498" s="1" t="s">
        <v>217</v>
      </c>
      <c r="V1498" s="1" t="s">
        <v>217</v>
      </c>
      <c r="W1498" s="1" t="s">
        <v>217</v>
      </c>
      <c r="X1498" s="1" t="s">
        <v>217</v>
      </c>
      <c r="Y1498" s="1">
        <v>0.0</v>
      </c>
      <c r="Z1498" s="1" t="s">
        <v>1998</v>
      </c>
      <c r="AA1498" s="1" t="s">
        <v>22899</v>
      </c>
      <c r="AB1498" s="1" t="s">
        <v>22900</v>
      </c>
      <c r="AC1498" s="1" t="s">
        <v>217</v>
      </c>
      <c r="AD1498" s="1" t="s">
        <v>217</v>
      </c>
      <c r="AE1498" s="1" t="s">
        <v>217</v>
      </c>
      <c r="AF1498" s="10">
        <v>7000000.0</v>
      </c>
      <c r="AG1498" s="1">
        <v>7.314525463E9</v>
      </c>
      <c r="AH1498" s="1">
        <v>0.0</v>
      </c>
      <c r="AI1498" s="1" t="s">
        <v>217</v>
      </c>
      <c r="AJ1498" s="1">
        <v>163.0</v>
      </c>
      <c r="AK1498" s="1">
        <v>55.0</v>
      </c>
      <c r="AL1498" s="1" t="s">
        <v>22901</v>
      </c>
      <c r="AM1498" s="1" t="s">
        <v>22902</v>
      </c>
      <c r="AN1498" s="7" t="s">
        <v>22903</v>
      </c>
      <c r="AO1498" s="8" t="str">
        <f>HYPERLINK("https://docs.google.com/document/d/1d3TRFwaoSMlryj432St1Wc1WAry8ElecI0JK1eCh5cc/edit?usp=drivesdk","Al-Wildan 3 BSD City_Syuban Bashthotah .BA _Bahasa arab dan Syar'i")</f>
        <v>Al-Wildan 3 BSD City_Syuban Bashthotah .BA _Bahasa arab dan Syar'i</v>
      </c>
      <c r="AP1498" s="1" t="s">
        <v>22904</v>
      </c>
    </row>
    <row r="1499">
      <c r="A1499" s="6">
        <v>46199.458762106486</v>
      </c>
      <c r="B1499" s="7" t="s">
        <v>22905</v>
      </c>
      <c r="C1499" s="8" t="s">
        <v>22906</v>
      </c>
      <c r="D1499" s="1" t="s">
        <v>22907</v>
      </c>
      <c r="E1499" s="9" t="s">
        <v>22908</v>
      </c>
      <c r="F1499" s="1" t="s">
        <v>22909</v>
      </c>
      <c r="G1499" s="1" t="s">
        <v>22910</v>
      </c>
      <c r="H1499" s="1" t="s">
        <v>22911</v>
      </c>
      <c r="I1499" s="9" t="s">
        <v>22912</v>
      </c>
      <c r="J1499" s="1">
        <v>25.0</v>
      </c>
      <c r="K1499" s="1" t="s">
        <v>151</v>
      </c>
      <c r="L1499" s="1" t="s">
        <v>256</v>
      </c>
      <c r="M1499" s="1" t="s">
        <v>22913</v>
      </c>
      <c r="O1499" s="1" t="s">
        <v>14262</v>
      </c>
      <c r="P1499" s="1" t="s">
        <v>6044</v>
      </c>
      <c r="Q1499" s="1" t="s">
        <v>22914</v>
      </c>
      <c r="R1499" s="1" t="s">
        <v>22915</v>
      </c>
      <c r="S1499" s="1" t="s">
        <v>7252</v>
      </c>
      <c r="Z1499" s="1" t="s">
        <v>22916</v>
      </c>
      <c r="AA1499" s="15">
        <v>3500000.0</v>
      </c>
      <c r="AB1499" s="1" t="s">
        <v>22917</v>
      </c>
      <c r="AC1499" s="15">
        <v>3500000.0</v>
      </c>
      <c r="AD1499" s="1" t="s">
        <v>22917</v>
      </c>
      <c r="AE1499" s="15">
        <v>3500000.0</v>
      </c>
      <c r="AF1499" s="10">
        <v>6000000.0</v>
      </c>
      <c r="AH1499" s="1">
        <v>1.891959826E9</v>
      </c>
      <c r="AI1499" s="1" t="s">
        <v>159</v>
      </c>
      <c r="AJ1499" s="1">
        <v>167.0</v>
      </c>
      <c r="AK1499" s="1">
        <v>65.0</v>
      </c>
      <c r="AL1499" s="1" t="s">
        <v>22918</v>
      </c>
      <c r="AM1499" s="1" t="s">
        <v>22919</v>
      </c>
      <c r="AN1499" s="7" t="s">
        <v>22920</v>
      </c>
      <c r="AO1499" s="8" t="str">
        <f>HYPERLINK("https://docs.google.com/document/d/1KubwXJYhKRWNKL8H41ZCuDXuchI6vi0PnPxKDhZRoBw/edit?usp=drivesdk","Al-Wildan Holding_Sahrul Atnangar_")</f>
        <v>Al-Wildan Holding_Sahrul Atnangar_</v>
      </c>
      <c r="AP1499" s="1" t="s">
        <v>22921</v>
      </c>
    </row>
    <row r="1500">
      <c r="A1500" s="6">
        <v>46199.49978986111</v>
      </c>
      <c r="B1500" s="7" t="s">
        <v>22922</v>
      </c>
      <c r="C1500" s="8" t="s">
        <v>22923</v>
      </c>
      <c r="D1500" s="1" t="s">
        <v>22924</v>
      </c>
      <c r="E1500" s="9" t="s">
        <v>22925</v>
      </c>
      <c r="F1500" s="1" t="s">
        <v>22926</v>
      </c>
      <c r="G1500" s="1" t="s">
        <v>22927</v>
      </c>
      <c r="H1500" s="1" t="s">
        <v>18149</v>
      </c>
      <c r="I1500" s="9" t="s">
        <v>22928</v>
      </c>
      <c r="J1500" s="1" t="s">
        <v>22929</v>
      </c>
      <c r="K1500" s="1" t="s">
        <v>151</v>
      </c>
      <c r="L1500" s="1" t="s">
        <v>310</v>
      </c>
      <c r="M1500" s="1" t="s">
        <v>104</v>
      </c>
      <c r="N1500" s="1" t="s">
        <v>1523</v>
      </c>
      <c r="O1500" s="1" t="s">
        <v>127</v>
      </c>
      <c r="P1500" s="1" t="s">
        <v>21626</v>
      </c>
      <c r="Q1500" s="1" t="s">
        <v>22930</v>
      </c>
      <c r="R1500" s="1" t="s">
        <v>1523</v>
      </c>
      <c r="S1500" s="1" t="s">
        <v>1624</v>
      </c>
      <c r="T1500" s="1" t="s">
        <v>2927</v>
      </c>
      <c r="U1500" s="1" t="s">
        <v>1523</v>
      </c>
      <c r="V1500" s="1" t="s">
        <v>277</v>
      </c>
      <c r="Z1500" s="1" t="s">
        <v>22931</v>
      </c>
      <c r="AA1500" s="10">
        <v>2.5E7</v>
      </c>
      <c r="AB1500" s="1" t="s">
        <v>22932</v>
      </c>
      <c r="AC1500" s="10">
        <v>9000000.0</v>
      </c>
      <c r="AD1500" s="1" t="s">
        <v>22933</v>
      </c>
      <c r="AE1500" s="10">
        <v>1.8E7</v>
      </c>
      <c r="AF1500" s="1" t="s">
        <v>22934</v>
      </c>
      <c r="AH1500" s="1">
        <v>2.250919885E9</v>
      </c>
      <c r="AI1500" s="1" t="s">
        <v>159</v>
      </c>
      <c r="AJ1500" s="1">
        <v>165.0</v>
      </c>
      <c r="AK1500" s="1">
        <v>68.0</v>
      </c>
      <c r="AL1500" s="1" t="s">
        <v>22935</v>
      </c>
      <c r="AM1500" s="1" t="s">
        <v>22936</v>
      </c>
      <c r="AN1500" s="7" t="s">
        <v>22937</v>
      </c>
      <c r="AO1500" s="8" t="str">
        <f>HYPERLINK("https://docs.google.com/document/d/133gmJob2JZW-GeWldUCG4-E26cYOzC_qZTph89wdA9Q/edit?usp=drivesdk","Al-Wildan 29 DEPOK_Diani Ria Septina, M.Si_Kimia")</f>
        <v>Al-Wildan 29 DEPOK_Diani Ria Septina, M.Si_Kimia</v>
      </c>
      <c r="AP1500" s="1" t="s">
        <v>22938</v>
      </c>
    </row>
    <row r="1501">
      <c r="A1501" s="6">
        <v>46199.502834548606</v>
      </c>
      <c r="B1501" s="7" t="s">
        <v>22939</v>
      </c>
      <c r="C1501" s="8" t="s">
        <v>22940</v>
      </c>
      <c r="D1501" s="1" t="s">
        <v>22645</v>
      </c>
      <c r="E1501" s="9" t="s">
        <v>22646</v>
      </c>
      <c r="F1501" s="1" t="s">
        <v>22647</v>
      </c>
      <c r="G1501" s="1" t="s">
        <v>22941</v>
      </c>
      <c r="H1501" s="1" t="s">
        <v>99</v>
      </c>
      <c r="I1501" s="9" t="s">
        <v>22649</v>
      </c>
      <c r="J1501" s="1" t="s">
        <v>8731</v>
      </c>
      <c r="K1501" s="1" t="s">
        <v>151</v>
      </c>
      <c r="L1501" s="1" t="s">
        <v>496</v>
      </c>
      <c r="M1501" s="1" t="s">
        <v>8769</v>
      </c>
      <c r="N1501" s="1" t="s">
        <v>2769</v>
      </c>
      <c r="O1501" s="1" t="s">
        <v>127</v>
      </c>
      <c r="P1501" s="1" t="s">
        <v>14335</v>
      </c>
      <c r="Q1501" s="1" t="s">
        <v>22650</v>
      </c>
      <c r="R1501" s="1" t="s">
        <v>2355</v>
      </c>
      <c r="S1501" s="1" t="s">
        <v>592</v>
      </c>
      <c r="Z1501" s="1" t="s">
        <v>22942</v>
      </c>
      <c r="AB1501" s="1" t="s">
        <v>22943</v>
      </c>
      <c r="AC1501" s="10">
        <v>250000.0</v>
      </c>
      <c r="AD1501" s="1" t="s">
        <v>22653</v>
      </c>
      <c r="AE1501" s="10">
        <v>80000.0</v>
      </c>
      <c r="AF1501" s="1" t="s">
        <v>16993</v>
      </c>
      <c r="AG1501" s="1">
        <v>7.176806553E9</v>
      </c>
      <c r="AI1501" s="1" t="s">
        <v>22944</v>
      </c>
      <c r="AJ1501" s="1">
        <v>159.0</v>
      </c>
      <c r="AK1501" s="1">
        <v>48.0</v>
      </c>
      <c r="AL1501" s="1" t="s">
        <v>22654</v>
      </c>
      <c r="AM1501" s="1" t="s">
        <v>22945</v>
      </c>
      <c r="AN1501" s="7" t="s">
        <v>22946</v>
      </c>
      <c r="AO1501" s="8" t="str">
        <f>HYPERLINK("https://docs.google.com/document/d/1cvFmUiEogF7z_4ERonKSZP_fbXnb-CHVhyscqf2Zm-Q/edit?usp=drivesdk","Al-Wildan 13 Tembalang, Bekasi_Ishlah Muwaffiq S.Pd._Arabic")</f>
        <v>Al-Wildan 13 Tembalang, Bekasi_Ishlah Muwaffiq S.Pd._Arabic</v>
      </c>
      <c r="AP1501" s="1" t="s">
        <v>22947</v>
      </c>
    </row>
    <row r="1502">
      <c r="A1502" s="6">
        <v>46199.820076539356</v>
      </c>
      <c r="B1502" s="7" t="s">
        <v>22948</v>
      </c>
      <c r="C1502" s="8" t="s">
        <v>22949</v>
      </c>
      <c r="D1502" s="1" t="s">
        <v>22950</v>
      </c>
      <c r="E1502" s="9" t="s">
        <v>22951</v>
      </c>
      <c r="F1502" s="1" t="s">
        <v>22952</v>
      </c>
      <c r="G1502" s="1" t="s">
        <v>22953</v>
      </c>
      <c r="H1502" s="1" t="s">
        <v>11766</v>
      </c>
      <c r="I1502" s="9" t="s">
        <v>22954</v>
      </c>
      <c r="J1502" s="1" t="s">
        <v>7941</v>
      </c>
      <c r="K1502" s="1" t="s">
        <v>151</v>
      </c>
      <c r="L1502" s="1" t="s">
        <v>103</v>
      </c>
      <c r="M1502" s="1" t="s">
        <v>104</v>
      </c>
      <c r="N1502" s="1" t="s">
        <v>1978</v>
      </c>
      <c r="O1502" s="1" t="s">
        <v>127</v>
      </c>
      <c r="P1502" s="1" t="s">
        <v>21734</v>
      </c>
      <c r="Q1502" s="1" t="s">
        <v>16883</v>
      </c>
      <c r="R1502" s="1" t="s">
        <v>22955</v>
      </c>
      <c r="S1502" s="1" t="s">
        <v>753</v>
      </c>
      <c r="T1502" s="1" t="s">
        <v>16883</v>
      </c>
      <c r="U1502" s="1" t="s">
        <v>22956</v>
      </c>
      <c r="V1502" s="1" t="s">
        <v>7926</v>
      </c>
      <c r="Z1502" s="1" t="s">
        <v>22957</v>
      </c>
      <c r="AA1502" s="1" t="s">
        <v>22958</v>
      </c>
      <c r="AB1502" s="1" t="s">
        <v>22959</v>
      </c>
      <c r="AC1502" s="1" t="s">
        <v>22960</v>
      </c>
      <c r="AF1502" s="10">
        <v>4000000.0</v>
      </c>
      <c r="AG1502" s="1">
        <v>7.268966689E9</v>
      </c>
      <c r="AJ1502" s="1">
        <v>163.0</v>
      </c>
      <c r="AK1502" s="1">
        <v>50.0</v>
      </c>
      <c r="AL1502" s="1" t="s">
        <v>22961</v>
      </c>
      <c r="AM1502" s="1" t="s">
        <v>22962</v>
      </c>
      <c r="AN1502" s="7" t="s">
        <v>22963</v>
      </c>
      <c r="AO1502" s="8" t="str">
        <f>HYPERLINK("https://docs.google.com/document/d/1SHMZkEuDH6dan5DZMCj-eTuuTvdEfZ3HBCJv7iHNNtg/edit?usp=drivesdk","Al-Wildan 23 SEMARANG_Alfi Khilmi Khusnia, S.E., M.H._Ekonomi")</f>
        <v>Al-Wildan 23 SEMARANG_Alfi Khilmi Khusnia, S.E., M.H._Ekonomi</v>
      </c>
      <c r="AP1502" s="1" t="s">
        <v>22964</v>
      </c>
    </row>
    <row r="1503">
      <c r="A1503" s="6">
        <v>46200.338905185185</v>
      </c>
      <c r="B1503" s="7" t="s">
        <v>22965</v>
      </c>
      <c r="C1503" s="8" t="s">
        <v>22966</v>
      </c>
      <c r="D1503" s="1" t="s">
        <v>22967</v>
      </c>
      <c r="E1503" s="9" t="s">
        <v>22894</v>
      </c>
      <c r="F1503" s="1" t="s">
        <v>22895</v>
      </c>
      <c r="G1503" s="1" t="s">
        <v>8513</v>
      </c>
      <c r="H1503" s="1" t="s">
        <v>8513</v>
      </c>
      <c r="I1503" s="9" t="s">
        <v>22896</v>
      </c>
      <c r="J1503" s="1">
        <v>30.0</v>
      </c>
      <c r="K1503" s="1" t="s">
        <v>102</v>
      </c>
      <c r="L1503" s="1" t="s">
        <v>103</v>
      </c>
      <c r="M1503" s="1" t="s">
        <v>104</v>
      </c>
      <c r="N1503" s="1" t="s">
        <v>22968</v>
      </c>
      <c r="O1503" s="1" t="s">
        <v>236</v>
      </c>
      <c r="P1503" s="1" t="s">
        <v>5712</v>
      </c>
      <c r="Q1503" s="1" t="s">
        <v>22969</v>
      </c>
      <c r="R1503" s="1" t="s">
        <v>22970</v>
      </c>
      <c r="S1503" s="1" t="s">
        <v>22971</v>
      </c>
      <c r="T1503" s="1" t="s">
        <v>217</v>
      </c>
      <c r="U1503" s="1" t="s">
        <v>217</v>
      </c>
      <c r="V1503" s="1" t="s">
        <v>217</v>
      </c>
      <c r="W1503" s="1" t="s">
        <v>217</v>
      </c>
      <c r="X1503" s="1" t="s">
        <v>217</v>
      </c>
      <c r="Y1503" s="1">
        <v>0.0</v>
      </c>
      <c r="Z1503" s="1" t="s">
        <v>22972</v>
      </c>
      <c r="AA1503" s="1" t="s">
        <v>22973</v>
      </c>
      <c r="AB1503" s="1" t="s">
        <v>217</v>
      </c>
      <c r="AC1503" s="1" t="s">
        <v>217</v>
      </c>
      <c r="AD1503" s="1" t="s">
        <v>217</v>
      </c>
      <c r="AE1503" s="1" t="s">
        <v>217</v>
      </c>
      <c r="AF1503" s="1" t="s">
        <v>22974</v>
      </c>
      <c r="AG1503" s="1">
        <v>7.314525463E9</v>
      </c>
      <c r="AH1503" s="1">
        <v>0.0</v>
      </c>
      <c r="AI1503" s="1" t="s">
        <v>217</v>
      </c>
      <c r="AJ1503" s="1">
        <v>163.0</v>
      </c>
      <c r="AK1503" s="1">
        <v>55.0</v>
      </c>
      <c r="AL1503" s="1" t="s">
        <v>22901</v>
      </c>
      <c r="AM1503" s="1" t="s">
        <v>22975</v>
      </c>
      <c r="AN1503" s="7" t="s">
        <v>22976</v>
      </c>
      <c r="AO1503" s="8" t="str">
        <f>HYPERLINK("https://docs.google.com/document/d/1Ub731UpuME_qgLbHZR1Bn6JgBrsZigGISqNoL__S1I4/edit?usp=drivesdk","Al-Wildan 3 BSD City_Syuban Bashthotah, BA_Agama Islam/Syari")</f>
        <v>Al-Wildan 3 BSD City_Syuban Bashthotah, BA_Agama Islam/Syari</v>
      </c>
      <c r="AP1503" s="1" t="s">
        <v>22977</v>
      </c>
    </row>
    <row r="1504">
      <c r="A1504" s="6">
        <v>46200.668500115746</v>
      </c>
      <c r="B1504" s="7" t="s">
        <v>22978</v>
      </c>
      <c r="C1504" s="8" t="s">
        <v>22979</v>
      </c>
      <c r="D1504" s="1" t="s">
        <v>22980</v>
      </c>
      <c r="E1504" s="1">
        <v>8.2292395714E10</v>
      </c>
      <c r="F1504" s="1" t="s">
        <v>22981</v>
      </c>
      <c r="G1504" s="1" t="s">
        <v>22982</v>
      </c>
      <c r="H1504" s="1" t="s">
        <v>22983</v>
      </c>
      <c r="I1504" s="9" t="s">
        <v>22984</v>
      </c>
      <c r="J1504" s="1" t="s">
        <v>6870</v>
      </c>
      <c r="K1504" s="1" t="s">
        <v>102</v>
      </c>
      <c r="L1504" s="1" t="s">
        <v>827</v>
      </c>
      <c r="M1504" s="1" t="s">
        <v>104</v>
      </c>
      <c r="N1504" s="1" t="s">
        <v>21419</v>
      </c>
      <c r="O1504" s="1" t="s">
        <v>312</v>
      </c>
      <c r="P1504" s="1" t="s">
        <v>21626</v>
      </c>
      <c r="Q1504" s="1" t="s">
        <v>22985</v>
      </c>
      <c r="R1504" s="1" t="s">
        <v>552</v>
      </c>
      <c r="S1504" s="1">
        <v>3.24</v>
      </c>
      <c r="Z1504" s="1" t="s">
        <v>22986</v>
      </c>
      <c r="AA1504" s="10">
        <v>4000000.0</v>
      </c>
      <c r="AF1504" s="1" t="s">
        <v>6769</v>
      </c>
      <c r="AG1504" s="1">
        <v>1.030797748E9</v>
      </c>
      <c r="AJ1504" s="1">
        <v>147.0</v>
      </c>
      <c r="AK1504" s="1">
        <v>38.0</v>
      </c>
      <c r="AL1504" s="1" t="s">
        <v>22987</v>
      </c>
      <c r="AM1504" s="1" t="s">
        <v>22988</v>
      </c>
      <c r="AN1504" s="7" t="s">
        <v>22989</v>
      </c>
      <c r="AO1504" s="8" t="str">
        <f>HYPERLINK("https://docs.google.com/document/d/16eH-Kvow2WxsgiSs5Uys6KyZNPaqwqlnHC4nMfbOv3c/edit?usp=drivesdk","Al-Wildan 29 DEPOK_Devi Fadri, S.Si._Guru Al-Qur’an ")</f>
        <v>Al-Wildan 29 DEPOK_Devi Fadri, S.Si._Guru Al-Qur’an </v>
      </c>
      <c r="AP1504" s="1" t="s">
        <v>22990</v>
      </c>
    </row>
    <row r="1505">
      <c r="A1505" s="6">
        <v>46200.84631115741</v>
      </c>
      <c r="B1505" s="7" t="s">
        <v>22991</v>
      </c>
      <c r="C1505" s="8" t="s">
        <v>22992</v>
      </c>
      <c r="D1505" s="1" t="s">
        <v>22993</v>
      </c>
      <c r="E1505" s="9" t="s">
        <v>22994</v>
      </c>
      <c r="F1505" s="1" t="s">
        <v>22995</v>
      </c>
      <c r="G1505" s="1" t="s">
        <v>22996</v>
      </c>
      <c r="H1505" s="1" t="s">
        <v>169</v>
      </c>
      <c r="I1505" s="9" t="s">
        <v>22997</v>
      </c>
      <c r="J1505" s="1">
        <v>30.0</v>
      </c>
      <c r="K1505" s="1" t="s">
        <v>151</v>
      </c>
      <c r="L1505" s="1" t="s">
        <v>103</v>
      </c>
      <c r="M1505" s="1" t="s">
        <v>104</v>
      </c>
      <c r="N1505" s="1" t="s">
        <v>22998</v>
      </c>
      <c r="O1505" s="1" t="s">
        <v>236</v>
      </c>
      <c r="P1505" s="1" t="s">
        <v>5712</v>
      </c>
      <c r="Q1505" s="1" t="s">
        <v>22999</v>
      </c>
      <c r="R1505" s="1" t="s">
        <v>2249</v>
      </c>
      <c r="S1505" s="9" t="s">
        <v>1747</v>
      </c>
      <c r="T1505" s="1" t="s">
        <v>23000</v>
      </c>
      <c r="U1505" s="1" t="s">
        <v>23001</v>
      </c>
      <c r="V1505" s="1" t="s">
        <v>2372</v>
      </c>
      <c r="Z1505" s="1" t="s">
        <v>23002</v>
      </c>
      <c r="AA1505" s="10">
        <v>2000000.0</v>
      </c>
      <c r="AB1505" s="1" t="s">
        <v>23003</v>
      </c>
      <c r="AC1505" s="10">
        <v>2600000.0</v>
      </c>
      <c r="AD1505" s="1" t="s">
        <v>23004</v>
      </c>
      <c r="AE1505" s="1" t="s">
        <v>23005</v>
      </c>
      <c r="AF1505" s="10">
        <v>6500000.0</v>
      </c>
      <c r="AG1505" s="1">
        <v>7.337087757E9</v>
      </c>
      <c r="AH1505" s="9" t="s">
        <v>23006</v>
      </c>
      <c r="AI1505" s="1" t="s">
        <v>2407</v>
      </c>
      <c r="AJ1505" s="1">
        <v>178.0</v>
      </c>
      <c r="AK1505" s="1">
        <v>72.0</v>
      </c>
      <c r="AL1505" s="1" t="s">
        <v>23007</v>
      </c>
      <c r="AM1505" s="1" t="s">
        <v>23008</v>
      </c>
      <c r="AN1505" s="7" t="s">
        <v>23009</v>
      </c>
      <c r="AO1505" s="8" t="str">
        <f>HYPERLINK("https://docs.google.com/document/d/1VUWsa66ZiTyQCUjO0c3tBUP9KIds21Gj_B2B4nwQHPs/edit?usp=drivesdk","Al-Wildan 3 BSD City_Muhammad Adib Al-Fikri, S.Hum., M.Hum. _Sosiologi Cambridge")</f>
        <v>Al-Wildan 3 BSD City_Muhammad Adib Al-Fikri, S.Hum., M.Hum. _Sosiologi Cambridge</v>
      </c>
      <c r="AP1505" s="1" t="s">
        <v>23010</v>
      </c>
    </row>
    <row r="1506">
      <c r="A1506" s="6">
        <v>46200.86404851852</v>
      </c>
      <c r="B1506" s="7" t="s">
        <v>23011</v>
      </c>
      <c r="C1506" s="8" t="s">
        <v>23012</v>
      </c>
      <c r="D1506" s="1" t="s">
        <v>23013</v>
      </c>
      <c r="E1506" s="1" t="s">
        <v>23014</v>
      </c>
      <c r="F1506" s="1" t="s">
        <v>23015</v>
      </c>
      <c r="G1506" s="1" t="s">
        <v>4905</v>
      </c>
      <c r="H1506" s="1" t="s">
        <v>23016</v>
      </c>
      <c r="I1506" s="9" t="s">
        <v>23017</v>
      </c>
      <c r="J1506" s="1" t="s">
        <v>2095</v>
      </c>
      <c r="K1506" s="1" t="s">
        <v>102</v>
      </c>
      <c r="L1506" s="1" t="s">
        <v>103</v>
      </c>
      <c r="M1506" s="1" t="s">
        <v>104</v>
      </c>
      <c r="N1506" s="1" t="s">
        <v>1623</v>
      </c>
      <c r="O1506" s="1" t="s">
        <v>236</v>
      </c>
      <c r="P1506" s="1" t="s">
        <v>5712</v>
      </c>
      <c r="Q1506" s="1" t="s">
        <v>23018</v>
      </c>
      <c r="R1506" s="1" t="s">
        <v>23019</v>
      </c>
      <c r="S1506" s="9" t="s">
        <v>3639</v>
      </c>
      <c r="Z1506" s="1" t="s">
        <v>23020</v>
      </c>
      <c r="AA1506" s="10">
        <v>1.0E7</v>
      </c>
      <c r="AB1506" s="1" t="s">
        <v>23021</v>
      </c>
      <c r="AC1506" s="1" t="s">
        <v>23022</v>
      </c>
      <c r="AF1506" s="10">
        <v>7000000.0</v>
      </c>
      <c r="AH1506" s="1">
        <v>6.93819792153E11</v>
      </c>
      <c r="AI1506" s="1" t="s">
        <v>23023</v>
      </c>
      <c r="AJ1506" s="1">
        <v>171.0</v>
      </c>
      <c r="AK1506" s="1">
        <v>65.0</v>
      </c>
      <c r="AL1506" s="1" t="s">
        <v>23024</v>
      </c>
      <c r="AM1506" s="1" t="s">
        <v>23025</v>
      </c>
      <c r="AN1506" s="7" t="s">
        <v>23026</v>
      </c>
      <c r="AO1506" s="8" t="str">
        <f>HYPERLINK("https://docs.google.com/document/d/1-rYeXNu0-hrnjpFYqsbMimCjgyBZm5w3yv_HvpwMqCg/edit?usp=drivesdk","Al-Wildan 3 BSD City_Mochammad Yudha Pratama Lc._PAI")</f>
        <v>Al-Wildan 3 BSD City_Mochammad Yudha Pratama Lc._PAI</v>
      </c>
      <c r="AP1506" s="1" t="s">
        <v>23027</v>
      </c>
    </row>
    <row r="1507">
      <c r="A1507" s="6">
        <v>46200.9036240162</v>
      </c>
      <c r="B1507" s="7" t="s">
        <v>23028</v>
      </c>
      <c r="C1507" s="8" t="s">
        <v>23029</v>
      </c>
      <c r="D1507" s="1" t="s">
        <v>23030</v>
      </c>
      <c r="E1507" s="9" t="s">
        <v>23031</v>
      </c>
      <c r="F1507" s="1" t="s">
        <v>23032</v>
      </c>
      <c r="G1507" s="1" t="s">
        <v>23033</v>
      </c>
      <c r="H1507" s="1" t="s">
        <v>23034</v>
      </c>
      <c r="I1507" s="9" t="s">
        <v>23035</v>
      </c>
      <c r="J1507" s="1" t="s">
        <v>23036</v>
      </c>
      <c r="K1507" s="1" t="s">
        <v>102</v>
      </c>
      <c r="L1507" s="1" t="s">
        <v>103</v>
      </c>
      <c r="M1507" s="1" t="s">
        <v>424</v>
      </c>
      <c r="N1507" s="1" t="s">
        <v>23037</v>
      </c>
      <c r="O1507" s="1" t="s">
        <v>236</v>
      </c>
      <c r="P1507" s="1" t="s">
        <v>5712</v>
      </c>
      <c r="Q1507" s="1" t="s">
        <v>23038</v>
      </c>
      <c r="R1507" s="1" t="s">
        <v>425</v>
      </c>
      <c r="S1507" s="1" t="s">
        <v>753</v>
      </c>
      <c r="T1507" s="1" t="s">
        <v>23039</v>
      </c>
      <c r="U1507" s="1" t="s">
        <v>23040</v>
      </c>
      <c r="V1507" s="1" t="s">
        <v>3589</v>
      </c>
      <c r="Z1507" s="1" t="s">
        <v>23041</v>
      </c>
      <c r="AA1507" s="10">
        <v>5400000.0</v>
      </c>
      <c r="AB1507" s="1" t="s">
        <v>23042</v>
      </c>
      <c r="AC1507" s="10">
        <v>1000000.0</v>
      </c>
      <c r="AD1507" s="1" t="s">
        <v>23043</v>
      </c>
      <c r="AE1507" s="10">
        <v>700000.0</v>
      </c>
      <c r="AF1507" s="1" t="s">
        <v>891</v>
      </c>
      <c r="AG1507" s="1">
        <v>1.004103706E9</v>
      </c>
      <c r="AH1507" s="1">
        <v>1.390033365143E12</v>
      </c>
      <c r="AI1507" s="1" t="s">
        <v>4483</v>
      </c>
      <c r="AJ1507" s="1">
        <v>165.0</v>
      </c>
      <c r="AK1507" s="1">
        <v>61.0</v>
      </c>
      <c r="AL1507" s="1" t="s">
        <v>23044</v>
      </c>
      <c r="AM1507" s="1" t="s">
        <v>23045</v>
      </c>
      <c r="AN1507" s="7" t="s">
        <v>23046</v>
      </c>
      <c r="AO1507" s="8" t="str">
        <f>HYPERLINK("https://docs.google.com/document/d/1I4t8xMfzy3A_wkUapJSKEtiymHuEwJc02VjKPxm4zUE/edit?usp=drivesdk","Al-Wildan 3 BSD City_ISMAIL SUNY, M.Pd.,Gr_Guru Bimbingan dan Konseling")</f>
        <v>Al-Wildan 3 BSD City_ISMAIL SUNY, M.Pd.,Gr_Guru Bimbingan dan Konseling</v>
      </c>
      <c r="AP1507" s="1" t="s">
        <v>23047</v>
      </c>
    </row>
    <row r="1508">
      <c r="A1508" s="6">
        <v>46200.918494502315</v>
      </c>
      <c r="B1508" s="7" t="s">
        <v>23048</v>
      </c>
      <c r="C1508" s="8" t="s">
        <v>23049</v>
      </c>
      <c r="D1508" s="1" t="s">
        <v>23050</v>
      </c>
      <c r="E1508" s="9" t="s">
        <v>23051</v>
      </c>
      <c r="F1508" s="1" t="s">
        <v>23052</v>
      </c>
      <c r="G1508" s="1" t="s">
        <v>23053</v>
      </c>
      <c r="H1508" s="1" t="s">
        <v>23054</v>
      </c>
      <c r="I1508" s="9" t="s">
        <v>23055</v>
      </c>
      <c r="J1508" s="1" t="s">
        <v>12063</v>
      </c>
      <c r="K1508" s="1" t="s">
        <v>102</v>
      </c>
      <c r="L1508" s="1" t="s">
        <v>103</v>
      </c>
      <c r="M1508" s="1" t="s">
        <v>104</v>
      </c>
      <c r="N1508" s="1" t="s">
        <v>23056</v>
      </c>
      <c r="O1508" s="1" t="s">
        <v>127</v>
      </c>
      <c r="P1508" s="1" t="s">
        <v>21626</v>
      </c>
      <c r="Q1508" s="1" t="s">
        <v>23057</v>
      </c>
      <c r="R1508" s="1" t="s">
        <v>259</v>
      </c>
      <c r="S1508" s="1" t="s">
        <v>3093</v>
      </c>
      <c r="Z1508" s="1" t="s">
        <v>2326</v>
      </c>
      <c r="AA1508" s="1" t="s">
        <v>23058</v>
      </c>
      <c r="AF1508" s="10">
        <v>8000000.0</v>
      </c>
      <c r="AG1508" s="1">
        <v>7.173862118E9</v>
      </c>
      <c r="AI1508" s="1" t="s">
        <v>4856</v>
      </c>
      <c r="AJ1508" s="1">
        <v>65.0</v>
      </c>
      <c r="AK1508" s="1">
        <v>72.0</v>
      </c>
      <c r="AL1508" s="1" t="s">
        <v>23059</v>
      </c>
      <c r="AM1508" s="1" t="s">
        <v>23060</v>
      </c>
      <c r="AN1508" s="7" t="s">
        <v>23061</v>
      </c>
      <c r="AO1508" s="8" t="str">
        <f>HYPERLINK("https://docs.google.com/document/d/1i13s0zvyoqmp_7OQlnIAxBJDyt901jm7-ntUwIydTkg/edit?usp=drivesdk","Al-Wildan 29 DEPOK_FIRDAMANSYAH, S.Pd.I_Arabic, Diniyah, Al-Qur'an")</f>
        <v>Al-Wildan 29 DEPOK_FIRDAMANSYAH, S.Pd.I_Arabic, Diniyah, Al-Qur'an</v>
      </c>
      <c r="AP1508" s="1" t="s">
        <v>23062</v>
      </c>
    </row>
    <row r="1509">
      <c r="A1509" s="6">
        <v>46200.93098913194</v>
      </c>
      <c r="B1509" s="7" t="s">
        <v>23063</v>
      </c>
      <c r="C1509" s="8" t="s">
        <v>23064</v>
      </c>
      <c r="D1509" s="1" t="s">
        <v>23050</v>
      </c>
      <c r="E1509" s="9" t="s">
        <v>23051</v>
      </c>
      <c r="F1509" s="1" t="s">
        <v>23052</v>
      </c>
      <c r="G1509" s="1" t="s">
        <v>23065</v>
      </c>
      <c r="H1509" s="1" t="s">
        <v>23054</v>
      </c>
      <c r="I1509" s="9" t="s">
        <v>23055</v>
      </c>
      <c r="J1509" s="1" t="s">
        <v>12063</v>
      </c>
      <c r="K1509" s="1" t="s">
        <v>102</v>
      </c>
      <c r="L1509" s="1" t="s">
        <v>103</v>
      </c>
      <c r="M1509" s="1" t="s">
        <v>104</v>
      </c>
      <c r="N1509" s="1" t="s">
        <v>23066</v>
      </c>
      <c r="O1509" s="1" t="s">
        <v>127</v>
      </c>
      <c r="P1509" s="1" t="s">
        <v>21626</v>
      </c>
      <c r="Q1509" s="1" t="s">
        <v>23057</v>
      </c>
      <c r="R1509" s="1" t="s">
        <v>259</v>
      </c>
      <c r="S1509" s="1" t="s">
        <v>3093</v>
      </c>
      <c r="Z1509" s="1" t="s">
        <v>23067</v>
      </c>
      <c r="AA1509" s="10">
        <v>6200000.0</v>
      </c>
      <c r="AF1509" s="10">
        <v>8000000.0</v>
      </c>
      <c r="AG1509" s="1">
        <v>7.173862118E9</v>
      </c>
      <c r="AI1509" s="1" t="s">
        <v>4856</v>
      </c>
      <c r="AJ1509" s="1">
        <v>165.0</v>
      </c>
      <c r="AK1509" s="1">
        <v>72.0</v>
      </c>
      <c r="AL1509" s="1" t="s">
        <v>23059</v>
      </c>
      <c r="AM1509" s="1" t="s">
        <v>23068</v>
      </c>
      <c r="AN1509" s="7" t="s">
        <v>23069</v>
      </c>
      <c r="AO1509" s="8" t="str">
        <f>HYPERLINK("https://docs.google.com/document/d/1ZNvnzDEpIR_AZriQ9Wl7NQUbWFPUEm0G1BjjxngQAIA/edit?usp=drivesdk","Al-Wildan 29 DEPOK_FIRDAMANSYAH, S.Pd.I_Arabic, Diniyah dan Al-Qur'an")</f>
        <v>Al-Wildan 29 DEPOK_FIRDAMANSYAH, S.Pd.I_Arabic, Diniyah dan Al-Qur'an</v>
      </c>
      <c r="AP1509" s="1" t="s">
        <v>23070</v>
      </c>
    </row>
    <row r="1510">
      <c r="A1510" s="6">
        <v>46200.97694995371</v>
      </c>
      <c r="B1510" s="7" t="s">
        <v>23071</v>
      </c>
      <c r="C1510" s="8" t="s">
        <v>23072</v>
      </c>
      <c r="D1510" s="1" t="s">
        <v>23073</v>
      </c>
      <c r="E1510" s="9" t="s">
        <v>23074</v>
      </c>
      <c r="F1510" s="1" t="s">
        <v>23075</v>
      </c>
      <c r="G1510" s="1" t="s">
        <v>23076</v>
      </c>
      <c r="H1510" s="1" t="s">
        <v>685</v>
      </c>
      <c r="I1510" s="9" t="s">
        <v>23077</v>
      </c>
      <c r="J1510" s="1">
        <v>36.0</v>
      </c>
      <c r="K1510" s="1" t="s">
        <v>102</v>
      </c>
      <c r="L1510" s="1" t="s">
        <v>103</v>
      </c>
      <c r="M1510" s="1" t="s">
        <v>6060</v>
      </c>
      <c r="N1510" s="1" t="s">
        <v>13981</v>
      </c>
      <c r="O1510" s="1" t="s">
        <v>9794</v>
      </c>
      <c r="P1510" s="1" t="s">
        <v>21626</v>
      </c>
      <c r="Q1510" s="1" t="s">
        <v>23078</v>
      </c>
      <c r="R1510" s="1" t="s">
        <v>259</v>
      </c>
      <c r="S1510" s="1">
        <v>3.28</v>
      </c>
      <c r="T1510" s="1" t="s">
        <v>23079</v>
      </c>
      <c r="U1510" s="1" t="s">
        <v>23080</v>
      </c>
      <c r="V1510" s="1">
        <v>3.4</v>
      </c>
      <c r="Z1510" s="1" t="s">
        <v>23081</v>
      </c>
      <c r="AA1510" s="1" t="s">
        <v>8245</v>
      </c>
      <c r="AB1510" s="1" t="s">
        <v>23082</v>
      </c>
      <c r="AC1510" s="10">
        <v>4500000.0</v>
      </c>
      <c r="AF1510" s="1" t="s">
        <v>23083</v>
      </c>
      <c r="AG1510" s="1">
        <v>4.82376439E9</v>
      </c>
      <c r="AJ1510" s="1">
        <v>168.0</v>
      </c>
      <c r="AK1510" s="1">
        <v>73.0</v>
      </c>
      <c r="AL1510" s="1" t="s">
        <v>23084</v>
      </c>
      <c r="AM1510" s="1" t="s">
        <v>23085</v>
      </c>
      <c r="AN1510" s="7" t="s">
        <v>23086</v>
      </c>
      <c r="AO1510" s="8" t="str">
        <f>HYPERLINK("https://docs.google.com/document/d/17tKpBjTgbZsjNVlGXFMsV3gTPXXxCTrgsfGr_hH94TY/edit?usp=drivesdk","Al-Wildan 29 DEPOK_Suhendra, S.Pd.I, M.Ag__")</f>
        <v>Al-Wildan 29 DEPOK_Suhendra, S.Pd.I, M.Ag__</v>
      </c>
      <c r="AP1510" s="1" t="s">
        <v>23087</v>
      </c>
    </row>
    <row r="1511">
      <c r="A1511" s="6">
        <v>46201.4468265162</v>
      </c>
      <c r="B1511" s="7" t="s">
        <v>23088</v>
      </c>
      <c r="C1511" s="8" t="s">
        <v>23089</v>
      </c>
      <c r="D1511" s="1" t="s">
        <v>23090</v>
      </c>
      <c r="E1511" s="9" t="s">
        <v>23091</v>
      </c>
      <c r="F1511" s="1" t="s">
        <v>23092</v>
      </c>
      <c r="G1511" s="1" t="s">
        <v>23093</v>
      </c>
      <c r="H1511" s="1" t="s">
        <v>14608</v>
      </c>
      <c r="I1511" s="9" t="s">
        <v>23094</v>
      </c>
      <c r="J1511" s="1" t="s">
        <v>23095</v>
      </c>
      <c r="K1511" s="1" t="s">
        <v>102</v>
      </c>
      <c r="L1511" s="1" t="s">
        <v>103</v>
      </c>
      <c r="M1511" s="1" t="s">
        <v>104</v>
      </c>
      <c r="N1511" s="1" t="s">
        <v>152</v>
      </c>
      <c r="O1511" s="1" t="s">
        <v>127</v>
      </c>
      <c r="P1511" s="1" t="s">
        <v>5712</v>
      </c>
      <c r="Q1511" s="1" t="s">
        <v>15826</v>
      </c>
      <c r="R1511" s="1" t="s">
        <v>172</v>
      </c>
      <c r="S1511" s="1" t="s">
        <v>8452</v>
      </c>
      <c r="T1511" s="1" t="s">
        <v>2583</v>
      </c>
      <c r="U1511" s="1" t="s">
        <v>172</v>
      </c>
      <c r="V1511" s="1" t="s">
        <v>6303</v>
      </c>
      <c r="Z1511" s="1" t="s">
        <v>23096</v>
      </c>
      <c r="AA1511" s="10">
        <v>2800000.0</v>
      </c>
      <c r="AF1511" s="10">
        <v>4000000.0</v>
      </c>
      <c r="AG1511" s="1">
        <v>7.269154758E9</v>
      </c>
      <c r="AH1511" s="9" t="s">
        <v>23097</v>
      </c>
      <c r="AI1511" s="1" t="s">
        <v>23098</v>
      </c>
      <c r="AJ1511" s="1">
        <v>170.0</v>
      </c>
      <c r="AK1511" s="1">
        <v>78.0</v>
      </c>
      <c r="AL1511" s="1" t="s">
        <v>23099</v>
      </c>
      <c r="AM1511" s="1" t="s">
        <v>23100</v>
      </c>
      <c r="AN1511" s="7" t="s">
        <v>23101</v>
      </c>
      <c r="AO1511" s="8" t="str">
        <f>HYPERLINK("https://docs.google.com/document/d/1KApxReg3pBtcn-xPoraMvN3CjjyDoe_h_XoDiQweXK4/edit?usp=drivesdk","Al-Wildan 3 BSD City_Widya Junianto Suparyadi, M.Pd_Bahasa Inggris")</f>
        <v>Al-Wildan 3 BSD City_Widya Junianto Suparyadi, M.Pd_Bahasa Inggris</v>
      </c>
      <c r="AP1511" s="1" t="s">
        <v>23102</v>
      </c>
    </row>
    <row r="1512">
      <c r="A1512" s="6">
        <v>46201.47635210648</v>
      </c>
      <c r="B1512" s="7" t="s">
        <v>23103</v>
      </c>
      <c r="C1512" s="8" t="s">
        <v>23104</v>
      </c>
      <c r="D1512" s="1" t="s">
        <v>23105</v>
      </c>
      <c r="E1512" s="9" t="s">
        <v>23106</v>
      </c>
      <c r="F1512" s="1" t="s">
        <v>23107</v>
      </c>
      <c r="G1512" s="1" t="s">
        <v>23108</v>
      </c>
      <c r="H1512" s="1" t="s">
        <v>169</v>
      </c>
      <c r="I1512" s="9" t="s">
        <v>23109</v>
      </c>
      <c r="J1512" s="1">
        <v>33.0</v>
      </c>
      <c r="K1512" s="1" t="s">
        <v>151</v>
      </c>
      <c r="L1512" s="1" t="s">
        <v>256</v>
      </c>
      <c r="M1512" s="1" t="s">
        <v>104</v>
      </c>
      <c r="N1512" s="1" t="s">
        <v>10004</v>
      </c>
      <c r="O1512" s="1" t="s">
        <v>106</v>
      </c>
      <c r="P1512" s="1" t="s">
        <v>5712</v>
      </c>
      <c r="Q1512" s="1" t="s">
        <v>23110</v>
      </c>
      <c r="R1512" s="1" t="s">
        <v>5612</v>
      </c>
      <c r="S1512" s="1" t="s">
        <v>277</v>
      </c>
      <c r="Z1512" s="1" t="s">
        <v>23111</v>
      </c>
      <c r="AA1512" s="10">
        <v>5000000.0</v>
      </c>
      <c r="AB1512" s="1" t="s">
        <v>23112</v>
      </c>
      <c r="AC1512" s="10">
        <v>6000000.0</v>
      </c>
      <c r="AD1512" s="1" t="s">
        <v>23113</v>
      </c>
      <c r="AE1512" s="10">
        <v>4000000.0</v>
      </c>
      <c r="AF1512" s="10">
        <v>6000000.0</v>
      </c>
      <c r="AG1512" s="1">
        <v>7.128599708E9</v>
      </c>
      <c r="AJ1512" s="1">
        <v>164.0</v>
      </c>
      <c r="AK1512" s="1">
        <v>75.0</v>
      </c>
      <c r="AL1512" s="1" t="s">
        <v>23114</v>
      </c>
      <c r="AM1512" s="1" t="s">
        <v>23115</v>
      </c>
      <c r="AN1512" s="7" t="s">
        <v>23116</v>
      </c>
      <c r="AO1512" s="8" t="str">
        <f>HYPERLINK("https://docs.google.com/document/d/1wDH8XI6tYb5bFdgy7nzNyqHGWHG7blMeudYj0ojQ95M/edit?usp=drivesdk","Al-Wildan 3 BSD City_Gilang Afkara Sihbudi_Bahasa Inggris ")</f>
        <v>Al-Wildan 3 BSD City_Gilang Afkara Sihbudi_Bahasa Inggris </v>
      </c>
      <c r="AP1512" s="1" t="s">
        <v>23117</v>
      </c>
    </row>
    <row r="1513">
      <c r="A1513" s="6">
        <v>46201.80985636574</v>
      </c>
      <c r="B1513" s="7" t="s">
        <v>23118</v>
      </c>
      <c r="C1513" s="8" t="s">
        <v>23119</v>
      </c>
      <c r="D1513" s="1" t="s">
        <v>23120</v>
      </c>
      <c r="E1513" s="9" t="s">
        <v>23121</v>
      </c>
      <c r="F1513" s="1" t="s">
        <v>23122</v>
      </c>
      <c r="G1513" s="1" t="s">
        <v>23123</v>
      </c>
      <c r="H1513" s="1" t="s">
        <v>23124</v>
      </c>
      <c r="I1513" s="9" t="s">
        <v>23125</v>
      </c>
      <c r="J1513" s="1" t="s">
        <v>6606</v>
      </c>
      <c r="K1513" s="1" t="s">
        <v>151</v>
      </c>
      <c r="L1513" s="1" t="s">
        <v>103</v>
      </c>
      <c r="M1513" s="1" t="s">
        <v>5671</v>
      </c>
      <c r="O1513" s="1" t="s">
        <v>127</v>
      </c>
      <c r="P1513" s="1" t="s">
        <v>17019</v>
      </c>
      <c r="Q1513" s="1" t="s">
        <v>23126</v>
      </c>
      <c r="AG1513" s="1">
        <v>1.154124706E9</v>
      </c>
      <c r="AJ1513" s="1">
        <v>165.0</v>
      </c>
      <c r="AK1513" s="1">
        <v>75.0</v>
      </c>
      <c r="AL1513" s="1" t="s">
        <v>23127</v>
      </c>
      <c r="AM1513" s="1" t="s">
        <v>23128</v>
      </c>
      <c r="AN1513" s="7" t="s">
        <v>23129</v>
      </c>
      <c r="AO1513" s="8" t="str">
        <f>HYPERLINK("https://docs.google.com/document/d/1FrChy60CsPUH4EPNyimlkLCep_bRIxR3Vq7JQ8U3NpE/edit?usp=drivesdk","Al-Wildan 20 Mataram_Islahuddin alfarisi_")</f>
        <v>Al-Wildan 20 Mataram_Islahuddin alfarisi_</v>
      </c>
      <c r="AP1513" s="1" t="s">
        <v>23130</v>
      </c>
    </row>
    <row r="1514">
      <c r="A1514" s="6">
        <v>46202.30213026621</v>
      </c>
      <c r="B1514" s="7" t="s">
        <v>23131</v>
      </c>
      <c r="C1514" s="8" t="s">
        <v>23132</v>
      </c>
      <c r="D1514" s="1" t="s">
        <v>23133</v>
      </c>
      <c r="E1514" s="9" t="s">
        <v>23134</v>
      </c>
      <c r="F1514" s="1" t="s">
        <v>23135</v>
      </c>
      <c r="G1514" s="1" t="s">
        <v>23136</v>
      </c>
      <c r="H1514" s="1" t="s">
        <v>1411</v>
      </c>
      <c r="I1514" s="9" t="s">
        <v>23137</v>
      </c>
      <c r="J1514" s="1">
        <v>32.0</v>
      </c>
      <c r="K1514" s="1" t="s">
        <v>102</v>
      </c>
      <c r="L1514" s="1" t="s">
        <v>103</v>
      </c>
      <c r="M1514" s="1" t="s">
        <v>6060</v>
      </c>
      <c r="O1514" s="1" t="s">
        <v>9794</v>
      </c>
      <c r="P1514" s="1" t="s">
        <v>6091</v>
      </c>
      <c r="Q1514" s="1" t="s">
        <v>9572</v>
      </c>
      <c r="R1514" s="1" t="s">
        <v>2584</v>
      </c>
      <c r="S1514" s="1" t="s">
        <v>908</v>
      </c>
      <c r="Z1514" s="1" t="s">
        <v>23138</v>
      </c>
      <c r="AA1514" s="10">
        <v>2000000.0</v>
      </c>
      <c r="AB1514" s="1" t="s">
        <v>23139</v>
      </c>
      <c r="AC1514" s="10">
        <v>4000000.0</v>
      </c>
      <c r="AF1514" s="1" t="s">
        <v>15389</v>
      </c>
      <c r="AG1514" s="1">
        <v>7.102579587E9</v>
      </c>
      <c r="AH1514" s="1">
        <v>1.278654608E9</v>
      </c>
      <c r="AI1514" s="1" t="s">
        <v>23140</v>
      </c>
      <c r="AJ1514" s="1">
        <v>152.0</v>
      </c>
      <c r="AK1514" s="1">
        <v>64.0</v>
      </c>
      <c r="AL1514" s="1" t="s">
        <v>23141</v>
      </c>
      <c r="AM1514" s="1" t="s">
        <v>23142</v>
      </c>
      <c r="AN1514" s="7" t="s">
        <v>23143</v>
      </c>
      <c r="AO1514" s="8" t="str">
        <f>HYPERLINK("https://docs.google.com/document/d/15mi3Oi2X9R7YCLOB8R26xM8u-wABVAmy5EqTYiNmpDs/edit?usp=drivesdk","Al-Wildan 10 Cipinang, Jakarta Timur_Siti Febrianti Kholila, S.Pd._")</f>
        <v>Al-Wildan 10 Cipinang, Jakarta Timur_Siti Febrianti Kholila, S.Pd._</v>
      </c>
      <c r="AP1514" s="1" t="s">
        <v>23144</v>
      </c>
    </row>
    <row r="1515">
      <c r="A1515" s="6">
        <v>46202.374192187504</v>
      </c>
      <c r="B1515" s="7" t="s">
        <v>23145</v>
      </c>
      <c r="C1515" s="8" t="s">
        <v>23146</v>
      </c>
      <c r="D1515" s="1" t="s">
        <v>23147</v>
      </c>
      <c r="E1515" s="9" t="s">
        <v>23148</v>
      </c>
      <c r="F1515" s="1" t="s">
        <v>23149</v>
      </c>
      <c r="G1515" s="1" t="s">
        <v>23150</v>
      </c>
      <c r="H1515" s="1" t="s">
        <v>4139</v>
      </c>
      <c r="I1515" s="9" t="s">
        <v>23151</v>
      </c>
      <c r="J1515" s="1" t="s">
        <v>13102</v>
      </c>
      <c r="K1515" s="1" t="s">
        <v>151</v>
      </c>
      <c r="L1515" s="1" t="s">
        <v>103</v>
      </c>
      <c r="M1515" s="1" t="s">
        <v>104</v>
      </c>
      <c r="N1515" s="1" t="s">
        <v>152</v>
      </c>
      <c r="O1515" s="1" t="s">
        <v>9794</v>
      </c>
      <c r="P1515" s="1" t="s">
        <v>6091</v>
      </c>
      <c r="Q1515" s="1" t="s">
        <v>1344</v>
      </c>
      <c r="R1515" s="1" t="s">
        <v>172</v>
      </c>
      <c r="S1515" s="1">
        <v>3.72</v>
      </c>
      <c r="Z1515" s="1" t="s">
        <v>23152</v>
      </c>
      <c r="AA1515" s="1" t="s">
        <v>23153</v>
      </c>
      <c r="AB1515" s="1" t="s">
        <v>23154</v>
      </c>
      <c r="AC1515" s="1" t="s">
        <v>23155</v>
      </c>
      <c r="AF1515" s="1" t="s">
        <v>23156</v>
      </c>
      <c r="AH1515" s="1">
        <v>4.20312648E8</v>
      </c>
      <c r="AI1515" s="1" t="s">
        <v>159</v>
      </c>
      <c r="AJ1515" s="1">
        <v>157.0</v>
      </c>
      <c r="AK1515" s="1">
        <v>41.0</v>
      </c>
      <c r="AL1515" s="1" t="s">
        <v>23157</v>
      </c>
      <c r="AM1515" s="1" t="s">
        <v>23158</v>
      </c>
      <c r="AN1515" s="7" t="s">
        <v>23159</v>
      </c>
      <c r="AO1515" s="8" t="str">
        <f>HYPERLINK("https://docs.google.com/document/d/1nxGdEJVu6vfRWazifCQOvVnYPrPa59IOk7MPOze8cvQ/edit?usp=drivesdk","Al-Wildan 10 Cipinang, Jakarta Timur_Keneswangi Jofita, S. Pd_Bahasa Inggris")</f>
        <v>Al-Wildan 10 Cipinang, Jakarta Timur_Keneswangi Jofita, S. Pd_Bahasa Inggris</v>
      </c>
      <c r="AP1515" s="1" t="s">
        <v>23160</v>
      </c>
    </row>
    <row r="1516">
      <c r="A1516" s="6">
        <v>46202.47364802084</v>
      </c>
      <c r="B1516" s="7" t="s">
        <v>23161</v>
      </c>
      <c r="C1516" s="8" t="s">
        <v>23162</v>
      </c>
      <c r="D1516" s="1" t="s">
        <v>23163</v>
      </c>
      <c r="E1516" s="9" t="s">
        <v>23164</v>
      </c>
      <c r="F1516" s="1" t="s">
        <v>23165</v>
      </c>
      <c r="G1516" s="1" t="s">
        <v>23166</v>
      </c>
      <c r="H1516" s="1" t="s">
        <v>1664</v>
      </c>
      <c r="I1516" s="9" t="s">
        <v>23167</v>
      </c>
      <c r="J1516" s="1">
        <v>36.0</v>
      </c>
      <c r="K1516" s="1" t="s">
        <v>102</v>
      </c>
      <c r="L1516" s="1" t="s">
        <v>103</v>
      </c>
      <c r="M1516" s="1" t="s">
        <v>213</v>
      </c>
      <c r="O1516" s="1" t="s">
        <v>9794</v>
      </c>
      <c r="P1516" s="1" t="s">
        <v>22002</v>
      </c>
      <c r="Q1516" s="1" t="s">
        <v>17948</v>
      </c>
      <c r="R1516" s="1" t="s">
        <v>707</v>
      </c>
      <c r="S1516" s="1" t="s">
        <v>9749</v>
      </c>
      <c r="T1516" s="1" t="s">
        <v>23168</v>
      </c>
      <c r="U1516" s="1" t="s">
        <v>23169</v>
      </c>
      <c r="V1516" s="1" t="s">
        <v>753</v>
      </c>
      <c r="Z1516" s="1" t="s">
        <v>23170</v>
      </c>
      <c r="AA1516" s="12">
        <v>4000000.0</v>
      </c>
      <c r="AB1516" s="1" t="s">
        <v>23171</v>
      </c>
      <c r="AC1516" s="12">
        <v>6100000.0</v>
      </c>
      <c r="AF1516" s="1" t="s">
        <v>23172</v>
      </c>
      <c r="AG1516" s="1">
        <v>7.349716016E9</v>
      </c>
      <c r="AI1516" s="1" t="s">
        <v>8790</v>
      </c>
      <c r="AJ1516" s="1">
        <v>170.0</v>
      </c>
      <c r="AK1516" s="1">
        <v>83.0</v>
      </c>
      <c r="AL1516" s="1" t="s">
        <v>23173</v>
      </c>
      <c r="AM1516" s="1" t="s">
        <v>23174</v>
      </c>
      <c r="AN1516" s="7" t="s">
        <v>23175</v>
      </c>
      <c r="AO1516" s="8" t="str">
        <f>HYPERLINK("https://docs.google.com/document/d/1shLW-RqlP4ZS6dlDlvXredHsyT4WwvT1gTH8T55UF50/edit?usp=drivesdk","Al-Wildan 24 Yogyakarta_Jamal, B.Sh., M.H., Gr._")</f>
        <v>Al-Wildan 24 Yogyakarta_Jamal, B.Sh., M.H., Gr._</v>
      </c>
      <c r="AP1516" s="1" t="s">
        <v>23176</v>
      </c>
    </row>
    <row r="1517">
      <c r="A1517" s="6">
        <v>46202.47486740741</v>
      </c>
      <c r="B1517" s="7" t="s">
        <v>23177</v>
      </c>
      <c r="C1517" s="8" t="s">
        <v>23178</v>
      </c>
      <c r="D1517" s="1" t="s">
        <v>23179</v>
      </c>
      <c r="E1517" s="9" t="s">
        <v>23180</v>
      </c>
      <c r="F1517" s="1" t="s">
        <v>23181</v>
      </c>
      <c r="G1517" s="1" t="s">
        <v>23182</v>
      </c>
      <c r="H1517" s="1" t="s">
        <v>6482</v>
      </c>
      <c r="I1517" s="9" t="s">
        <v>23183</v>
      </c>
      <c r="J1517" s="1">
        <v>28.0</v>
      </c>
      <c r="K1517" s="1" t="s">
        <v>102</v>
      </c>
      <c r="L1517" s="1" t="s">
        <v>103</v>
      </c>
      <c r="M1517" s="1" t="s">
        <v>104</v>
      </c>
      <c r="N1517" s="1" t="s">
        <v>311</v>
      </c>
      <c r="O1517" s="1" t="s">
        <v>312</v>
      </c>
      <c r="P1517" s="1" t="s">
        <v>6091</v>
      </c>
      <c r="Q1517" s="1" t="s">
        <v>15826</v>
      </c>
      <c r="R1517" s="1" t="s">
        <v>23184</v>
      </c>
      <c r="S1517" s="1">
        <v>3.66</v>
      </c>
      <c r="Z1517" s="1" t="s">
        <v>23185</v>
      </c>
      <c r="AA1517" s="10">
        <v>3300000.0</v>
      </c>
      <c r="AF1517" s="1" t="s">
        <v>23186</v>
      </c>
      <c r="AH1517" s="1">
        <v>1.35401015874507E14</v>
      </c>
      <c r="AI1517" s="1" t="s">
        <v>2407</v>
      </c>
      <c r="AJ1517" s="1">
        <v>150.0</v>
      </c>
      <c r="AK1517" s="1">
        <v>44.0</v>
      </c>
      <c r="AL1517" s="1" t="s">
        <v>23187</v>
      </c>
      <c r="AM1517" s="1" t="s">
        <v>23188</v>
      </c>
      <c r="AN1517" s="7" t="s">
        <v>23189</v>
      </c>
      <c r="AO1517" s="8" t="str">
        <f>HYPERLINK("https://docs.google.com/document/d/1WaOvMMyGbEMKHAbxs9k3Nh6K7xfxT9EzNuS3_0P-0DI/edit?usp=drivesdk","Al-Wildan 10 Cipinang, Jakarta Timur_Selis Azizah, S. Ag., Gr. _Al Qur'an")</f>
        <v>Al-Wildan 10 Cipinang, Jakarta Timur_Selis Azizah, S. Ag., Gr. _Al Qur'an</v>
      </c>
      <c r="AP1517" s="1" t="s">
        <v>23190</v>
      </c>
    </row>
    <row r="1518">
      <c r="A1518" s="6">
        <v>46203.429035925925</v>
      </c>
      <c r="B1518" s="7" t="s">
        <v>23191</v>
      </c>
      <c r="C1518" s="8" t="s">
        <v>23192</v>
      </c>
      <c r="D1518" s="1" t="s">
        <v>23193</v>
      </c>
      <c r="E1518" s="9" t="s">
        <v>23194</v>
      </c>
      <c r="F1518" s="1" t="s">
        <v>23195</v>
      </c>
      <c r="G1518" s="1" t="s">
        <v>23196</v>
      </c>
      <c r="H1518" s="1" t="s">
        <v>99</v>
      </c>
      <c r="I1518" s="9" t="s">
        <v>23197</v>
      </c>
      <c r="J1518" s="1" t="s">
        <v>5874</v>
      </c>
      <c r="K1518" s="1" t="s">
        <v>151</v>
      </c>
      <c r="L1518" s="1" t="s">
        <v>256</v>
      </c>
      <c r="M1518" s="1" t="s">
        <v>13917</v>
      </c>
      <c r="N1518" s="1" t="s">
        <v>23198</v>
      </c>
      <c r="O1518" s="1" t="s">
        <v>9794</v>
      </c>
      <c r="P1518" s="1" t="s">
        <v>6187</v>
      </c>
      <c r="Q1518" s="1" t="s">
        <v>17654</v>
      </c>
      <c r="R1518" s="1" t="s">
        <v>23199</v>
      </c>
      <c r="S1518" s="1" t="s">
        <v>2369</v>
      </c>
      <c r="T1518" s="1" t="s">
        <v>217</v>
      </c>
      <c r="U1518" s="1" t="s">
        <v>217</v>
      </c>
      <c r="V1518" s="1" t="s">
        <v>217</v>
      </c>
      <c r="W1518" s="1" t="s">
        <v>217</v>
      </c>
      <c r="X1518" s="1" t="s">
        <v>217</v>
      </c>
      <c r="Z1518" s="1" t="s">
        <v>23200</v>
      </c>
      <c r="AA1518" s="10">
        <v>2500000.0</v>
      </c>
      <c r="AF1518" s="10">
        <v>5000000.0</v>
      </c>
      <c r="AH1518" s="1">
        <v>1.040613206E9</v>
      </c>
      <c r="AI1518" s="1" t="s">
        <v>222</v>
      </c>
      <c r="AJ1518" s="1">
        <v>171.0</v>
      </c>
      <c r="AK1518" s="1">
        <v>65.0</v>
      </c>
      <c r="AL1518" s="1" t="s">
        <v>23201</v>
      </c>
      <c r="AM1518" s="1" t="s">
        <v>23202</v>
      </c>
      <c r="AN1518" s="7" t="s">
        <v>23203</v>
      </c>
      <c r="AO1518" s="8" t="str">
        <f>HYPERLINK("https://docs.google.com/document/d/1gWwz1u5TJzSgCdIp-viI6cpGPASE8Wx-a0ETtVJQX3c/edit?usp=drivesdk","Al-Wildan 14 Bumi Mutiara, Bogor_Dimas Iqbal Wahyu Aji S.Pd_Guru Penjaskes")</f>
        <v>Al-Wildan 14 Bumi Mutiara, Bogor_Dimas Iqbal Wahyu Aji S.Pd_Guru Penjaskes</v>
      </c>
      <c r="AP1518" s="1" t="s">
        <v>23204</v>
      </c>
    </row>
    <row r="1519">
      <c r="A1519" s="6">
        <v>46203.4946840162</v>
      </c>
      <c r="B1519" s="7" t="s">
        <v>23205</v>
      </c>
      <c r="C1519" s="8" t="s">
        <v>23206</v>
      </c>
      <c r="D1519" s="1" t="s">
        <v>23207</v>
      </c>
      <c r="E1519" s="1">
        <v>8.138268334E10</v>
      </c>
      <c r="F1519" s="1" t="s">
        <v>23208</v>
      </c>
      <c r="G1519" s="1" t="s">
        <v>23209</v>
      </c>
      <c r="H1519" s="1" t="s">
        <v>1411</v>
      </c>
      <c r="I1519" s="9" t="s">
        <v>23210</v>
      </c>
      <c r="J1519" s="1" t="s">
        <v>2496</v>
      </c>
      <c r="K1519" s="1" t="s">
        <v>151</v>
      </c>
      <c r="L1519" s="1" t="s">
        <v>496</v>
      </c>
      <c r="M1519" s="1" t="s">
        <v>16318</v>
      </c>
      <c r="N1519" s="1" t="s">
        <v>217</v>
      </c>
      <c r="O1519" s="1" t="s">
        <v>127</v>
      </c>
      <c r="P1519" s="1" t="s">
        <v>107</v>
      </c>
      <c r="Q1519" s="1" t="s">
        <v>3361</v>
      </c>
      <c r="R1519" s="1" t="s">
        <v>8565</v>
      </c>
      <c r="S1519" s="1">
        <v>3.3</v>
      </c>
      <c r="T1519" s="1" t="s">
        <v>217</v>
      </c>
      <c r="U1519" s="1" t="s">
        <v>217</v>
      </c>
      <c r="V1519" s="1" t="s">
        <v>217</v>
      </c>
      <c r="W1519" s="1" t="s">
        <v>217</v>
      </c>
      <c r="X1519" s="1" t="s">
        <v>217</v>
      </c>
      <c r="Y1519" s="1">
        <v>0.0</v>
      </c>
      <c r="Z1519" s="1" t="s">
        <v>23211</v>
      </c>
      <c r="AA1519" s="10">
        <v>2000000.0</v>
      </c>
      <c r="AB1519" s="1" t="s">
        <v>217</v>
      </c>
      <c r="AC1519" s="1" t="s">
        <v>217</v>
      </c>
      <c r="AD1519" s="1" t="s">
        <v>217</v>
      </c>
      <c r="AE1519" s="1" t="s">
        <v>217</v>
      </c>
      <c r="AF1519" s="10">
        <v>5000000.0</v>
      </c>
      <c r="AG1519" s="1">
        <v>3.69742353E9</v>
      </c>
      <c r="AJ1519" s="1">
        <v>164.0</v>
      </c>
      <c r="AK1519" s="1">
        <v>51.0</v>
      </c>
      <c r="AL1519" s="1" t="s">
        <v>23212</v>
      </c>
      <c r="AM1519" s="1" t="s">
        <v>23213</v>
      </c>
      <c r="AN1519" s="7" t="s">
        <v>23214</v>
      </c>
      <c r="AO1519" s="8" t="str">
        <f>HYPERLINK("https://docs.google.com/document/d/1dUT_J2EvS8jIoEMmyJ61BEBpxWzrH-c_euEpE1wKym0/edit?usp=drivesdk","Al-Wildan 1 Gading Serpong_Azzahrah Widyariana, S.Pd_-")</f>
        <v>Al-Wildan 1 Gading Serpong_Azzahrah Widyariana, S.Pd_-</v>
      </c>
      <c r="AP1519" s="1" t="s">
        <v>23215</v>
      </c>
    </row>
    <row r="1520">
      <c r="A1520" s="6">
        <v>46203.554356608794</v>
      </c>
      <c r="B1520" s="7" t="s">
        <v>23216</v>
      </c>
      <c r="C1520" s="8" t="s">
        <v>23217</v>
      </c>
      <c r="D1520" s="1" t="s">
        <v>23218</v>
      </c>
      <c r="E1520" s="9" t="s">
        <v>23219</v>
      </c>
      <c r="F1520" s="1" t="s">
        <v>23220</v>
      </c>
      <c r="G1520" s="1" t="s">
        <v>23221</v>
      </c>
      <c r="H1520" s="1" t="s">
        <v>23222</v>
      </c>
      <c r="I1520" s="9" t="s">
        <v>23223</v>
      </c>
      <c r="J1520" s="1" t="s">
        <v>23224</v>
      </c>
      <c r="K1520" s="1" t="s">
        <v>151</v>
      </c>
      <c r="L1520" s="1" t="s">
        <v>310</v>
      </c>
      <c r="M1520" s="1" t="s">
        <v>104</v>
      </c>
      <c r="N1520" s="1" t="s">
        <v>23225</v>
      </c>
      <c r="O1520" s="1" t="s">
        <v>236</v>
      </c>
      <c r="P1520" s="1" t="s">
        <v>14439</v>
      </c>
      <c r="Q1520" s="1" t="s">
        <v>23226</v>
      </c>
      <c r="R1520" s="1" t="s">
        <v>23227</v>
      </c>
      <c r="S1520" s="1" t="s">
        <v>2582</v>
      </c>
      <c r="T1520" s="1" t="s">
        <v>6011</v>
      </c>
      <c r="U1520" s="1" t="s">
        <v>23228</v>
      </c>
      <c r="V1520" s="1" t="s">
        <v>6437</v>
      </c>
      <c r="W1520" s="1" t="s">
        <v>217</v>
      </c>
      <c r="X1520" s="1" t="s">
        <v>217</v>
      </c>
      <c r="Z1520" s="1" t="s">
        <v>23229</v>
      </c>
      <c r="AA1520" s="10">
        <v>3050000.0</v>
      </c>
      <c r="AB1520" s="1" t="s">
        <v>23230</v>
      </c>
      <c r="AC1520" s="10">
        <v>1600000.0</v>
      </c>
      <c r="AD1520" s="1" t="s">
        <v>23231</v>
      </c>
      <c r="AE1520" s="10">
        <v>4200000.0</v>
      </c>
      <c r="AF1520" s="1" t="s">
        <v>23232</v>
      </c>
      <c r="AG1520" s="1">
        <v>7.200751285E9</v>
      </c>
      <c r="AJ1520" s="1">
        <v>160.0</v>
      </c>
      <c r="AK1520" s="1">
        <v>54.0</v>
      </c>
      <c r="AL1520" s="1" t="s">
        <v>23233</v>
      </c>
      <c r="AM1520" s="1" t="s">
        <v>23234</v>
      </c>
      <c r="AN1520" s="7" t="s">
        <v>23235</v>
      </c>
      <c r="AO1520" s="8" t="str">
        <f>HYPERLINK("https://docs.google.com/document/d/1eevPQk8LVuZxqqNZzX3jebtME7CzP3ztVvs3V9EqfyY/edit?usp=drivesdk","Al-Wildan 22 Makassar_SittI Lailatul Qamaria, S.Pd., M.Pd._Physics, Math, and  Chemistry")</f>
        <v>Al-Wildan 22 Makassar_SittI Lailatul Qamaria, S.Pd., M.Pd._Physics, Math, and  Chemistry</v>
      </c>
      <c r="AP1520" s="1" t="s">
        <v>23236</v>
      </c>
    </row>
    <row r="1521">
      <c r="A1521" s="6">
        <v>46203.92629707176</v>
      </c>
      <c r="B1521" s="7" t="s">
        <v>23237</v>
      </c>
      <c r="C1521" s="8" t="s">
        <v>23238</v>
      </c>
      <c r="D1521" s="1" t="s">
        <v>23239</v>
      </c>
      <c r="E1521" s="9" t="s">
        <v>23240</v>
      </c>
      <c r="F1521" s="1" t="s">
        <v>23241</v>
      </c>
      <c r="G1521" s="1" t="s">
        <v>23242</v>
      </c>
      <c r="H1521" s="1" t="s">
        <v>4585</v>
      </c>
      <c r="I1521" s="9" t="s">
        <v>23243</v>
      </c>
      <c r="J1521" s="1" t="s">
        <v>23244</v>
      </c>
      <c r="K1521" s="1" t="s">
        <v>102</v>
      </c>
      <c r="L1521" s="1" t="s">
        <v>103</v>
      </c>
      <c r="M1521" s="1" t="s">
        <v>104</v>
      </c>
      <c r="N1521" s="1" t="s">
        <v>23245</v>
      </c>
      <c r="O1521" s="1" t="s">
        <v>9794</v>
      </c>
      <c r="P1521" s="1" t="s">
        <v>14439</v>
      </c>
      <c r="Q1521" s="1" t="s">
        <v>23246</v>
      </c>
      <c r="R1521" s="1" t="s">
        <v>4793</v>
      </c>
      <c r="S1521" s="1" t="s">
        <v>2465</v>
      </c>
      <c r="Z1521" s="1" t="s">
        <v>23247</v>
      </c>
      <c r="AA1521" s="10">
        <v>5000000.0</v>
      </c>
      <c r="AB1521" s="1" t="s">
        <v>23248</v>
      </c>
      <c r="AC1521" s="10">
        <v>5000000.0</v>
      </c>
      <c r="AG1521" s="1">
        <v>3.4530487E9</v>
      </c>
      <c r="AJ1521" s="1">
        <v>165.0</v>
      </c>
      <c r="AK1521" s="1">
        <v>47.0</v>
      </c>
      <c r="AL1521" s="1" t="s">
        <v>23249</v>
      </c>
      <c r="AM1521" s="1" t="s">
        <v>23250</v>
      </c>
      <c r="AN1521" s="7" t="s">
        <v>23251</v>
      </c>
      <c r="AO1521" s="8" t="str">
        <f>HYPERLINK("https://docs.google.com/document/d/1p8EuCEhQeYAnnBQ32RSwXa_HBV7p4IFhLqXpU5DyLHc/edit?usp=drivesdk","Al-Wildan 22 Makassar_Ahmad Muflih Syauqi. Lc_Agama / Bhs. Arab")</f>
        <v>Al-Wildan 22 Makassar_Ahmad Muflih Syauqi. Lc_Agama / Bhs. Arab</v>
      </c>
      <c r="AP1521" s="1" t="s">
        <v>23252</v>
      </c>
    </row>
    <row r="1522">
      <c r="A1522" s="6">
        <v>46204.53715225695</v>
      </c>
      <c r="B1522" s="7" t="s">
        <v>23253</v>
      </c>
      <c r="C1522" s="8" t="s">
        <v>23254</v>
      </c>
      <c r="D1522" s="1" t="s">
        <v>23255</v>
      </c>
      <c r="E1522" s="9" t="s">
        <v>23256</v>
      </c>
      <c r="F1522" s="1" t="s">
        <v>23257</v>
      </c>
      <c r="G1522" s="1" t="s">
        <v>23258</v>
      </c>
      <c r="H1522" s="1" t="s">
        <v>23259</v>
      </c>
      <c r="I1522" s="9" t="s">
        <v>23260</v>
      </c>
      <c r="J1522" s="1" t="s">
        <v>23261</v>
      </c>
      <c r="K1522" s="1" t="s">
        <v>850</v>
      </c>
      <c r="L1522" s="1" t="s">
        <v>256</v>
      </c>
      <c r="M1522" s="1" t="s">
        <v>104</v>
      </c>
      <c r="N1522" s="1" t="s">
        <v>1135</v>
      </c>
      <c r="O1522" s="1" t="s">
        <v>127</v>
      </c>
      <c r="P1522" s="1" t="s">
        <v>5712</v>
      </c>
      <c r="Q1522" s="1" t="s">
        <v>23262</v>
      </c>
      <c r="R1522" s="1" t="s">
        <v>23263</v>
      </c>
      <c r="S1522" s="1" t="s">
        <v>2032</v>
      </c>
      <c r="T1522" s="1" t="s">
        <v>11607</v>
      </c>
      <c r="U1522" s="1" t="s">
        <v>10128</v>
      </c>
      <c r="V1522" s="1" t="s">
        <v>155</v>
      </c>
      <c r="Z1522" s="1" t="s">
        <v>23264</v>
      </c>
      <c r="AA1522" s="10">
        <v>5000000.0</v>
      </c>
      <c r="AB1522" s="1" t="s">
        <v>23265</v>
      </c>
      <c r="AC1522" s="10">
        <v>6000000.0</v>
      </c>
      <c r="AD1522" s="1" t="s">
        <v>23266</v>
      </c>
      <c r="AE1522" s="10">
        <v>7500000.0</v>
      </c>
      <c r="AF1522" s="10">
        <v>8500000.0</v>
      </c>
      <c r="AH1522" s="9" t="s">
        <v>23267</v>
      </c>
      <c r="AI1522" s="1" t="s">
        <v>222</v>
      </c>
      <c r="AJ1522" s="1">
        <v>165.0</v>
      </c>
      <c r="AK1522" s="1">
        <v>65.0</v>
      </c>
      <c r="AL1522" s="1" t="s">
        <v>23268</v>
      </c>
      <c r="AM1522" s="1" t="s">
        <v>23269</v>
      </c>
      <c r="AN1522" s="7" t="s">
        <v>23270</v>
      </c>
      <c r="AO1522" s="8" t="str">
        <f>HYPERLINK("https://docs.google.com/document/d/1SQ1DXoAVRyOwa7bSZku2gGfwUo9PAmHstUb5KJsE318/edit?usp=drivesdk","Al-Wildan 3 BSD City_Husnul Hakim, S.E., B.Comm., M.Pd_BAHASA INGGRIS")</f>
        <v>Al-Wildan 3 BSD City_Husnul Hakim, S.E., B.Comm., M.Pd_BAHASA INGGRIS</v>
      </c>
      <c r="AP1522" s="1" t="s">
        <v>23271</v>
      </c>
    </row>
    <row r="1523">
      <c r="A1523" s="6">
        <v>46204.60155453703</v>
      </c>
      <c r="B1523" s="7" t="s">
        <v>23272</v>
      </c>
      <c r="C1523" s="8" t="s">
        <v>23273</v>
      </c>
      <c r="D1523" s="1" t="s">
        <v>23274</v>
      </c>
      <c r="E1523" s="9" t="s">
        <v>23275</v>
      </c>
      <c r="F1523" s="1" t="s">
        <v>23276</v>
      </c>
      <c r="G1523" s="1" t="s">
        <v>23277</v>
      </c>
      <c r="H1523" s="1" t="s">
        <v>23278</v>
      </c>
      <c r="I1523" s="9" t="s">
        <v>23279</v>
      </c>
      <c r="J1523" s="1" t="s">
        <v>23280</v>
      </c>
      <c r="K1523" s="1" t="s">
        <v>102</v>
      </c>
      <c r="L1523" s="1" t="s">
        <v>827</v>
      </c>
      <c r="M1523" s="1" t="s">
        <v>104</v>
      </c>
      <c r="N1523" s="1" t="s">
        <v>23281</v>
      </c>
      <c r="O1523" s="1" t="s">
        <v>312</v>
      </c>
      <c r="P1523" s="1" t="s">
        <v>21626</v>
      </c>
      <c r="Q1523" s="1" t="s">
        <v>23282</v>
      </c>
      <c r="R1523" s="1" t="s">
        <v>930</v>
      </c>
      <c r="S1523" s="1" t="s">
        <v>11099</v>
      </c>
      <c r="Z1523" s="1" t="s">
        <v>23283</v>
      </c>
      <c r="AA1523" s="10">
        <v>2000000.0</v>
      </c>
      <c r="AB1523" s="1" t="s">
        <v>23284</v>
      </c>
      <c r="AC1523" s="10">
        <v>1500000.0</v>
      </c>
      <c r="AD1523" s="1" t="s">
        <v>23285</v>
      </c>
      <c r="AE1523" s="10">
        <v>4000000.0</v>
      </c>
      <c r="AF1523" s="1" t="s">
        <v>23286</v>
      </c>
      <c r="AG1523" s="1">
        <v>7.220769989E9</v>
      </c>
      <c r="AJ1523" s="1">
        <v>160.0</v>
      </c>
      <c r="AK1523" s="1">
        <v>90.0</v>
      </c>
      <c r="AL1523" s="1" t="s">
        <v>23287</v>
      </c>
      <c r="AM1523" s="1" t="s">
        <v>23288</v>
      </c>
      <c r="AN1523" s="7" t="s">
        <v>23289</v>
      </c>
      <c r="AO1523" s="8" t="str">
        <f>HYPERLINK("https://docs.google.com/document/d/1r1Y38SdVm3NKIhwkoNM2-KRMZWY3mKViihZPJr33i48/edit?usp=drivesdk","Al-Wildan 29 DEPOK_Leny Febriyanti, ST_SAINS")</f>
        <v>Al-Wildan 29 DEPOK_Leny Febriyanti, ST_SAINS</v>
      </c>
      <c r="AP1523" s="1" t="s">
        <v>23290</v>
      </c>
    </row>
    <row r="1524">
      <c r="A1524" s="6">
        <v>46204.823259780096</v>
      </c>
      <c r="B1524" s="7" t="s">
        <v>23291</v>
      </c>
      <c r="C1524" s="8" t="s">
        <v>23292</v>
      </c>
      <c r="D1524" s="1" t="s">
        <v>23293</v>
      </c>
      <c r="E1524" s="9" t="s">
        <v>23294</v>
      </c>
      <c r="F1524" s="1" t="s">
        <v>23295</v>
      </c>
      <c r="G1524" s="1" t="s">
        <v>23296</v>
      </c>
      <c r="H1524" s="1" t="s">
        <v>253</v>
      </c>
      <c r="I1524" s="9" t="s">
        <v>23297</v>
      </c>
      <c r="J1524" s="1" t="s">
        <v>10053</v>
      </c>
      <c r="K1524" s="1" t="s">
        <v>151</v>
      </c>
      <c r="L1524" s="1" t="s">
        <v>103</v>
      </c>
      <c r="M1524" s="1" t="s">
        <v>104</v>
      </c>
      <c r="N1524" s="1" t="s">
        <v>23298</v>
      </c>
      <c r="O1524" s="1" t="s">
        <v>312</v>
      </c>
      <c r="P1524" s="1" t="s">
        <v>6659</v>
      </c>
      <c r="Q1524" s="1" t="s">
        <v>6011</v>
      </c>
      <c r="R1524" s="1" t="s">
        <v>172</v>
      </c>
      <c r="S1524" s="1" t="s">
        <v>1060</v>
      </c>
      <c r="T1524" s="1" t="s">
        <v>6011</v>
      </c>
      <c r="U1524" s="1" t="s">
        <v>172</v>
      </c>
      <c r="V1524" s="1" t="s">
        <v>753</v>
      </c>
      <c r="Z1524" s="1" t="s">
        <v>23299</v>
      </c>
      <c r="AA1524" s="10">
        <v>3000000.0</v>
      </c>
      <c r="AB1524" s="1" t="s">
        <v>23300</v>
      </c>
      <c r="AC1524" s="1" t="s">
        <v>23301</v>
      </c>
      <c r="AD1524" s="1" t="s">
        <v>23302</v>
      </c>
      <c r="AE1524" s="10">
        <v>1000000.0</v>
      </c>
      <c r="AF1524" s="10">
        <v>8000000.0</v>
      </c>
      <c r="AH1524" s="1">
        <v>3.63687421E8</v>
      </c>
      <c r="AI1524" s="1" t="s">
        <v>159</v>
      </c>
      <c r="AJ1524" s="1">
        <v>165.0</v>
      </c>
      <c r="AK1524" s="1">
        <v>72.0</v>
      </c>
      <c r="AL1524" s="1" t="s">
        <v>23303</v>
      </c>
      <c r="AM1524" s="1" t="s">
        <v>23304</v>
      </c>
      <c r="AN1524" s="7" t="s">
        <v>23305</v>
      </c>
      <c r="AO1524" s="8" t="str">
        <f>HYPERLINK("https://docs.google.com/document/d/1Ot9f_TQuoqb6e5o4zNMlrFRLdQ2xeA1QG7mTdgFANpk/edit?usp=drivesdk","Al-Wildan 15 Kompas Indah, Tambun Bekasi._Muhammad Yusuf Ikhsan Pramadeva, M.Pd._SEM (Science, English, Math)")</f>
        <v>Al-Wildan 15 Kompas Indah, Tambun Bekasi._Muhammad Yusuf Ikhsan Pramadeva, M.Pd._SEM (Science, English, Math)</v>
      </c>
      <c r="AP1524" s="1" t="s">
        <v>23306</v>
      </c>
    </row>
    <row r="1525">
      <c r="A1525" s="6">
        <v>46206.365639780095</v>
      </c>
      <c r="B1525" s="7" t="s">
        <v>23307</v>
      </c>
      <c r="C1525" s="8" t="s">
        <v>23308</v>
      </c>
      <c r="D1525" s="1" t="s">
        <v>23309</v>
      </c>
      <c r="E1525" s="9" t="s">
        <v>23310</v>
      </c>
      <c r="F1525" s="1" t="s">
        <v>23311</v>
      </c>
      <c r="G1525" s="1" t="s">
        <v>23312</v>
      </c>
      <c r="H1525" s="1" t="s">
        <v>685</v>
      </c>
      <c r="I1525" s="9" t="s">
        <v>23313</v>
      </c>
      <c r="J1525" s="1" t="s">
        <v>14081</v>
      </c>
      <c r="K1525" s="1" t="s">
        <v>151</v>
      </c>
      <c r="L1525" s="1" t="s">
        <v>103</v>
      </c>
      <c r="M1525" s="1" t="s">
        <v>104</v>
      </c>
      <c r="N1525" s="1" t="s">
        <v>2200</v>
      </c>
      <c r="O1525" s="1" t="s">
        <v>127</v>
      </c>
      <c r="P1525" s="1" t="s">
        <v>7991</v>
      </c>
      <c r="Q1525" s="1" t="s">
        <v>23314</v>
      </c>
      <c r="R1525" s="1" t="s">
        <v>12915</v>
      </c>
      <c r="S1525" s="1">
        <v>3.45</v>
      </c>
      <c r="Z1525" s="1" t="s">
        <v>23315</v>
      </c>
      <c r="AA1525" s="10">
        <v>600000.0</v>
      </c>
      <c r="AF1525" s="1" t="s">
        <v>16993</v>
      </c>
      <c r="AG1525" s="1">
        <v>7.153746917E9</v>
      </c>
      <c r="AJ1525" s="1">
        <v>160.0</v>
      </c>
      <c r="AK1525" s="1">
        <v>60.0</v>
      </c>
      <c r="AL1525" s="1" t="s">
        <v>23316</v>
      </c>
      <c r="AM1525" s="1" t="s">
        <v>23317</v>
      </c>
      <c r="AN1525" s="7" t="s">
        <v>23318</v>
      </c>
      <c r="AO1525" s="8" t="str">
        <f>HYPERLINK("https://docs.google.com/document/d/1sWwDIe1Ddpvhiv74d66weXDjjiqre0S6yPKiBDEDGJw/edit?usp=drivesdk","Al-Wildan 12 Bulak Kapal, Bekasi_Agung Gunawan_Guru Al-Qur'an")</f>
        <v>Al-Wildan 12 Bulak Kapal, Bekasi_Agung Gunawan_Guru Al-Qur'an</v>
      </c>
      <c r="AP1525" s="1" t="s">
        <v>23319</v>
      </c>
    </row>
    <row r="1526">
      <c r="A1526" s="6">
        <v>46206.36578733796</v>
      </c>
      <c r="B1526" s="7" t="s">
        <v>23320</v>
      </c>
      <c r="C1526" s="8" t="s">
        <v>23321</v>
      </c>
      <c r="D1526" s="1" t="s">
        <v>23322</v>
      </c>
      <c r="E1526" s="9" t="s">
        <v>23323</v>
      </c>
      <c r="F1526" s="1" t="s">
        <v>23324</v>
      </c>
      <c r="G1526" s="1" t="s">
        <v>23325</v>
      </c>
      <c r="H1526" s="1" t="s">
        <v>23326</v>
      </c>
      <c r="I1526" s="9" t="s">
        <v>11238</v>
      </c>
      <c r="J1526" s="1" t="s">
        <v>610</v>
      </c>
      <c r="K1526" s="1" t="s">
        <v>151</v>
      </c>
      <c r="L1526" s="1" t="s">
        <v>256</v>
      </c>
      <c r="M1526" s="1" t="s">
        <v>104</v>
      </c>
      <c r="N1526" s="1" t="s">
        <v>23327</v>
      </c>
      <c r="O1526" s="1" t="s">
        <v>9794</v>
      </c>
      <c r="P1526" s="1" t="s">
        <v>21626</v>
      </c>
      <c r="Q1526" s="1" t="s">
        <v>23328</v>
      </c>
      <c r="R1526" s="1" t="s">
        <v>499</v>
      </c>
      <c r="S1526" s="1" t="s">
        <v>4462</v>
      </c>
      <c r="Z1526" s="1" t="s">
        <v>23329</v>
      </c>
      <c r="AA1526" s="10">
        <v>500000.0</v>
      </c>
      <c r="AB1526" s="1" t="s">
        <v>23330</v>
      </c>
      <c r="AC1526" s="10">
        <v>2630000.0</v>
      </c>
      <c r="AG1526" s="1">
        <v>7.278629788E9</v>
      </c>
      <c r="AI1526" s="1" t="s">
        <v>222</v>
      </c>
      <c r="AJ1526" s="1">
        <v>169.0</v>
      </c>
      <c r="AK1526" s="1">
        <v>70.0</v>
      </c>
      <c r="AL1526" s="1" t="s">
        <v>23331</v>
      </c>
      <c r="AM1526" s="1" t="s">
        <v>23332</v>
      </c>
      <c r="AN1526" s="7" t="s">
        <v>23333</v>
      </c>
      <c r="AO1526" s="8" t="str">
        <f>HYPERLINK("https://docs.google.com/document/d/1PXrs0igzb11bWhuhG_SqcGALaRe2IuXI3L0DJoT12Ek/edit?usp=drivesdk","Al-Wildan 29 DEPOK_Ridwan Dwinanto_Bahasa Inggris, Bahasa Arab")</f>
        <v>Al-Wildan 29 DEPOK_Ridwan Dwinanto_Bahasa Inggris, Bahasa Arab</v>
      </c>
      <c r="AP1526" s="1" t="s">
        <v>23319</v>
      </c>
    </row>
    <row r="1527">
      <c r="A1527" s="6">
        <v>46206.623412534726</v>
      </c>
      <c r="B1527" s="7" t="s">
        <v>23334</v>
      </c>
      <c r="C1527" s="8" t="s">
        <v>23335</v>
      </c>
      <c r="D1527" s="1" t="s">
        <v>23336</v>
      </c>
      <c r="E1527" s="9" t="s">
        <v>23337</v>
      </c>
      <c r="F1527" s="1" t="s">
        <v>23338</v>
      </c>
      <c r="G1527" s="1" t="s">
        <v>23339</v>
      </c>
      <c r="H1527" s="1" t="s">
        <v>722</v>
      </c>
      <c r="I1527" s="9" t="s">
        <v>23340</v>
      </c>
      <c r="J1527" s="1" t="s">
        <v>8429</v>
      </c>
      <c r="K1527" s="1" t="s">
        <v>151</v>
      </c>
      <c r="L1527" s="1" t="s">
        <v>496</v>
      </c>
      <c r="M1527" s="1" t="s">
        <v>104</v>
      </c>
      <c r="N1527" s="1" t="s">
        <v>16561</v>
      </c>
      <c r="O1527" s="1" t="s">
        <v>312</v>
      </c>
      <c r="P1527" s="1" t="s">
        <v>22002</v>
      </c>
      <c r="Q1527" s="1" t="s">
        <v>23341</v>
      </c>
      <c r="R1527" s="1" t="s">
        <v>259</v>
      </c>
      <c r="Z1527" s="1" t="s">
        <v>23342</v>
      </c>
      <c r="AA1527" s="10">
        <v>1000000.0</v>
      </c>
      <c r="AF1527" s="1" t="s">
        <v>23343</v>
      </c>
      <c r="AG1527" s="1">
        <v>7.316729497E9</v>
      </c>
      <c r="AI1527" s="1" t="s">
        <v>23344</v>
      </c>
      <c r="AJ1527" s="1">
        <v>156.0</v>
      </c>
      <c r="AK1527" s="1">
        <v>50.0</v>
      </c>
      <c r="AL1527" s="1" t="s">
        <v>23345</v>
      </c>
      <c r="AM1527" s="1" t="s">
        <v>23346</v>
      </c>
      <c r="AN1527" s="7" t="s">
        <v>23347</v>
      </c>
      <c r="AO1527" s="8" t="str">
        <f>HYPERLINK("https://docs.google.com/document/d/1RTTIhBph_1UKFAhlA62iwA_877dfotoRhJ3K6xAKV2s/edit?usp=drivesdk","Al-Wildan 24 Yogyakarta_Annisa Sarvina_Bahasa Arab dan Al-Qur'an")</f>
        <v>Al-Wildan 24 Yogyakarta_Annisa Sarvina_Bahasa Arab dan Al-Qur'an</v>
      </c>
      <c r="AP1527" s="1" t="s">
        <v>23348</v>
      </c>
    </row>
    <row r="1528">
      <c r="A1528" s="6">
        <v>46206.893193275464</v>
      </c>
      <c r="B1528" s="7" t="s">
        <v>23349</v>
      </c>
      <c r="C1528" s="8" t="s">
        <v>23350</v>
      </c>
      <c r="D1528" s="1" t="s">
        <v>23351</v>
      </c>
      <c r="E1528" s="9" t="s">
        <v>23352</v>
      </c>
      <c r="F1528" s="1" t="s">
        <v>23353</v>
      </c>
      <c r="G1528" s="1" t="s">
        <v>23354</v>
      </c>
      <c r="H1528" s="1" t="s">
        <v>169</v>
      </c>
      <c r="I1528" s="9" t="s">
        <v>23355</v>
      </c>
      <c r="J1528" s="1">
        <v>28.0</v>
      </c>
      <c r="K1528" s="1" t="s">
        <v>102</v>
      </c>
      <c r="L1528" s="1" t="s">
        <v>103</v>
      </c>
      <c r="M1528" s="1" t="s">
        <v>104</v>
      </c>
      <c r="N1528" s="1" t="s">
        <v>23356</v>
      </c>
      <c r="O1528" s="1" t="s">
        <v>312</v>
      </c>
      <c r="P1528" s="1" t="s">
        <v>21626</v>
      </c>
      <c r="Q1528" s="1" t="s">
        <v>23357</v>
      </c>
      <c r="R1528" s="1" t="s">
        <v>109</v>
      </c>
      <c r="S1528" s="1">
        <v>3.69</v>
      </c>
      <c r="Z1528" s="1" t="s">
        <v>23358</v>
      </c>
      <c r="AA1528" s="1" t="s">
        <v>23359</v>
      </c>
      <c r="AB1528" s="1" t="s">
        <v>23360</v>
      </c>
      <c r="AC1528" s="1" t="s">
        <v>23361</v>
      </c>
      <c r="AD1528" s="1" t="s">
        <v>23362</v>
      </c>
      <c r="AE1528" s="1" t="s">
        <v>23363</v>
      </c>
      <c r="AF1528" s="1" t="s">
        <v>23364</v>
      </c>
      <c r="AG1528" s="1">
        <v>7.240580955E9</v>
      </c>
      <c r="AJ1528" s="1">
        <v>154.0</v>
      </c>
      <c r="AK1528" s="1">
        <v>45.0</v>
      </c>
      <c r="AL1528" s="1" t="s">
        <v>23365</v>
      </c>
      <c r="AM1528" s="1" t="s">
        <v>23366</v>
      </c>
      <c r="AN1528" s="7" t="s">
        <v>23367</v>
      </c>
      <c r="AO1528" s="8" t="str">
        <f>HYPERLINK("https://docs.google.com/document/d/1Ou1pL3tHOrZ-vTPGxoqZRpgOy7U80JUjuSrl-5Axiqc/edit?usp=drivesdk","Al-Wildan 29 DEPOK_Fika Roudlotul Ilmi, S. Pd_Math, Science, English, Bahasa Indonesia dan IPAS")</f>
        <v>Al-Wildan 29 DEPOK_Fika Roudlotul Ilmi, S. Pd_Math, Science, English, Bahasa Indonesia dan IPAS</v>
      </c>
      <c r="AP1528" s="1" t="s">
        <v>23368</v>
      </c>
    </row>
    <row r="1529">
      <c r="A1529" s="6">
        <v>46207.3006075</v>
      </c>
      <c r="B1529" s="7" t="s">
        <v>23369</v>
      </c>
      <c r="C1529" s="8" t="s">
        <v>23370</v>
      </c>
      <c r="D1529" s="1" t="s">
        <v>23371</v>
      </c>
      <c r="E1529" s="9" t="s">
        <v>23372</v>
      </c>
      <c r="F1529" s="1" t="s">
        <v>23373</v>
      </c>
      <c r="G1529" s="1" t="s">
        <v>685</v>
      </c>
      <c r="H1529" s="1" t="s">
        <v>685</v>
      </c>
      <c r="I1529" s="9" t="s">
        <v>23374</v>
      </c>
      <c r="J1529" s="1" t="s">
        <v>290</v>
      </c>
      <c r="K1529" s="1" t="s">
        <v>151</v>
      </c>
      <c r="L1529" s="1" t="s">
        <v>103</v>
      </c>
      <c r="M1529" s="1" t="s">
        <v>104</v>
      </c>
      <c r="N1529" s="1" t="s">
        <v>23375</v>
      </c>
      <c r="O1529" s="1" t="s">
        <v>9794</v>
      </c>
      <c r="P1529" s="1" t="s">
        <v>22002</v>
      </c>
      <c r="Q1529" s="1" t="s">
        <v>23376</v>
      </c>
      <c r="R1529" s="1" t="s">
        <v>23377</v>
      </c>
      <c r="S1529" s="1" t="s">
        <v>23378</v>
      </c>
      <c r="Z1529" s="1" t="s">
        <v>23379</v>
      </c>
      <c r="AA1529" s="10">
        <v>4282000.0</v>
      </c>
      <c r="AF1529" s="1" t="s">
        <v>17700</v>
      </c>
      <c r="AG1529" s="1">
        <v>8.21356657E9</v>
      </c>
      <c r="AJ1529" s="1">
        <v>142.0</v>
      </c>
      <c r="AK1529" s="1">
        <v>45.0</v>
      </c>
      <c r="AL1529" s="1" t="s">
        <v>23380</v>
      </c>
      <c r="AM1529" s="1" t="s">
        <v>23381</v>
      </c>
      <c r="AN1529" s="7" t="s">
        <v>23382</v>
      </c>
      <c r="AO1529" s="8" t="str">
        <f>HYPERLINK("https://docs.google.com/document/d/12Heu_2ASxBfaHpCKLuU5kpNXK6HAO6vXKcTNJlXsFW4/edit?usp=drivesdk","Al-Wildan 24 Yogyakarta_Hasibah Ahmad Fuad, S.Sos._B. Arab dan Al-qur'an")</f>
        <v>Al-Wildan 24 Yogyakarta_Hasibah Ahmad Fuad, S.Sos._B. Arab dan Al-qur'an</v>
      </c>
      <c r="AP1529" s="1" t="s">
        <v>23383</v>
      </c>
    </row>
    <row r="1530">
      <c r="A1530" s="6">
        <v>46207.46246944444</v>
      </c>
      <c r="B1530" s="7" t="s">
        <v>23384</v>
      </c>
      <c r="C1530" s="8" t="s">
        <v>23385</v>
      </c>
      <c r="D1530" s="1" t="s">
        <v>23386</v>
      </c>
      <c r="E1530" s="9" t="s">
        <v>23387</v>
      </c>
      <c r="F1530" s="1" t="s">
        <v>23388</v>
      </c>
      <c r="G1530" s="1" t="s">
        <v>23389</v>
      </c>
      <c r="H1530" s="1" t="s">
        <v>23390</v>
      </c>
      <c r="I1530" s="9" t="s">
        <v>23391</v>
      </c>
      <c r="J1530" s="1" t="s">
        <v>23392</v>
      </c>
      <c r="K1530" s="1" t="s">
        <v>151</v>
      </c>
      <c r="L1530" s="1" t="s">
        <v>103</v>
      </c>
      <c r="M1530" s="1" t="s">
        <v>104</v>
      </c>
      <c r="N1530" s="1" t="s">
        <v>1135</v>
      </c>
      <c r="O1530" s="1" t="s">
        <v>9794</v>
      </c>
      <c r="P1530" s="1" t="s">
        <v>14439</v>
      </c>
      <c r="Q1530" s="1" t="s">
        <v>23393</v>
      </c>
      <c r="R1530" s="1" t="s">
        <v>23394</v>
      </c>
      <c r="S1530" s="1" t="s">
        <v>9882</v>
      </c>
      <c r="T1530" s="1" t="s">
        <v>217</v>
      </c>
      <c r="U1530" s="1" t="s">
        <v>217</v>
      </c>
      <c r="W1530" s="1" t="s">
        <v>217</v>
      </c>
      <c r="X1530" s="1" t="s">
        <v>217</v>
      </c>
      <c r="Z1530" s="1" t="s">
        <v>23395</v>
      </c>
      <c r="AA1530" s="1" t="s">
        <v>23396</v>
      </c>
      <c r="AB1530" s="1" t="s">
        <v>23395</v>
      </c>
      <c r="AC1530" s="1" t="s">
        <v>23397</v>
      </c>
      <c r="AD1530" s="1" t="s">
        <v>217</v>
      </c>
      <c r="AE1530" s="1" t="s">
        <v>217</v>
      </c>
      <c r="AF1530" s="12">
        <v>3700000.0</v>
      </c>
      <c r="AG1530" s="1">
        <v>1.940170191E9</v>
      </c>
      <c r="AH1530" s="1">
        <v>1.940170191E9</v>
      </c>
      <c r="AI1530" s="1" t="s">
        <v>23398</v>
      </c>
      <c r="AJ1530" s="1">
        <v>170.0</v>
      </c>
      <c r="AK1530" s="1">
        <v>71.0</v>
      </c>
      <c r="AL1530" s="1" t="s">
        <v>23399</v>
      </c>
      <c r="AM1530" s="1" t="s">
        <v>23400</v>
      </c>
      <c r="AN1530" s="7" t="s">
        <v>23401</v>
      </c>
      <c r="AO1530" s="8" t="str">
        <f>HYPERLINK("https://docs.google.com/document/d/18SSfc4VlNs0N44xjvpKY15OokW8X5H8c9dC8DftjPBE/edit?usp=drivesdk","Al-Wildan 22 Makassar_MUHAMMAD FADHIL RAMADHAN, SE._BAHASA INGGRIS")</f>
        <v>Al-Wildan 22 Makassar_MUHAMMAD FADHIL RAMADHAN, SE._BAHASA INGGRIS</v>
      </c>
      <c r="AP1530" s="1" t="s">
        <v>23402</v>
      </c>
    </row>
    <row r="1531">
      <c r="A1531" s="6">
        <v>46207.77132859954</v>
      </c>
      <c r="B1531" s="7" t="s">
        <v>23403</v>
      </c>
      <c r="C1531" s="8" t="s">
        <v>23404</v>
      </c>
      <c r="D1531" s="1" t="s">
        <v>23405</v>
      </c>
      <c r="E1531" s="9" t="s">
        <v>23406</v>
      </c>
      <c r="F1531" s="1" t="s">
        <v>23407</v>
      </c>
      <c r="G1531" s="1" t="s">
        <v>8561</v>
      </c>
      <c r="H1531" s="1" t="s">
        <v>768</v>
      </c>
      <c r="I1531" s="9" t="s">
        <v>23408</v>
      </c>
      <c r="J1531" s="1" t="s">
        <v>2496</v>
      </c>
      <c r="K1531" s="1" t="s">
        <v>151</v>
      </c>
      <c r="L1531" s="1" t="s">
        <v>103</v>
      </c>
      <c r="M1531" s="1" t="s">
        <v>104</v>
      </c>
      <c r="N1531" s="1" t="s">
        <v>1634</v>
      </c>
      <c r="O1531" s="1" t="s">
        <v>9794</v>
      </c>
      <c r="P1531" s="1" t="s">
        <v>21734</v>
      </c>
      <c r="Q1531" s="1" t="s">
        <v>23409</v>
      </c>
      <c r="R1531" s="1" t="s">
        <v>238</v>
      </c>
      <c r="S1531" s="1" t="s">
        <v>23410</v>
      </c>
      <c r="AF1531" s="10">
        <v>6000000.0</v>
      </c>
      <c r="AG1531" s="1">
        <v>1.150856483E9</v>
      </c>
      <c r="AJ1531" s="1">
        <v>165.0</v>
      </c>
      <c r="AK1531" s="1">
        <v>57.0</v>
      </c>
      <c r="AL1531" s="1" t="s">
        <v>23411</v>
      </c>
      <c r="AM1531" s="1" t="s">
        <v>23412</v>
      </c>
      <c r="AN1531" s="7" t="s">
        <v>23413</v>
      </c>
      <c r="AO1531" s="8" t="str">
        <f>HYPERLINK("https://docs.google.com/document/d/1vxqQuYdPEJ89Yp1joh4FjI5q6xSTOVPlf98I3WUdNug/edit?usp=drivesdk","Al-Wildan 23 SEMARANG_Nawwar Rabbani, B.A._Diniyah")</f>
        <v>Al-Wildan 23 SEMARANG_Nawwar Rabbani, B.A._Diniyah</v>
      </c>
      <c r="AP1531" s="1" t="s">
        <v>23414</v>
      </c>
    </row>
    <row r="1532">
      <c r="A1532" s="6">
        <v>46207.841824166666</v>
      </c>
      <c r="B1532" s="7" t="s">
        <v>23415</v>
      </c>
      <c r="C1532" s="8" t="s">
        <v>23416</v>
      </c>
      <c r="D1532" s="1" t="s">
        <v>23417</v>
      </c>
      <c r="E1532" s="9" t="s">
        <v>23418</v>
      </c>
      <c r="F1532" s="1" t="s">
        <v>23419</v>
      </c>
      <c r="G1532" s="1" t="s">
        <v>23420</v>
      </c>
      <c r="H1532" s="1" t="s">
        <v>4585</v>
      </c>
      <c r="I1532" s="9" t="s">
        <v>23421</v>
      </c>
      <c r="J1532" s="1" t="s">
        <v>23422</v>
      </c>
      <c r="K1532" s="1" t="s">
        <v>151</v>
      </c>
      <c r="L1532" s="1" t="s">
        <v>103</v>
      </c>
      <c r="M1532" s="1" t="s">
        <v>23423</v>
      </c>
      <c r="N1532" s="1" t="s">
        <v>11668</v>
      </c>
      <c r="O1532" s="1" t="s">
        <v>9794</v>
      </c>
      <c r="P1532" s="1" t="s">
        <v>14439</v>
      </c>
      <c r="Q1532" s="1" t="s">
        <v>23424</v>
      </c>
      <c r="R1532" s="1" t="s">
        <v>3005</v>
      </c>
      <c r="S1532" s="1" t="s">
        <v>1612</v>
      </c>
      <c r="Z1532" s="1" t="s">
        <v>23425</v>
      </c>
      <c r="AA1532" s="10">
        <v>2000000.0</v>
      </c>
      <c r="AB1532" s="1" t="s">
        <v>23426</v>
      </c>
      <c r="AC1532" s="10">
        <v>5200000.0</v>
      </c>
      <c r="AF1532" s="10">
        <v>5000000.0</v>
      </c>
      <c r="AG1532" s="1">
        <v>7.205545667E9</v>
      </c>
      <c r="AI1532" s="1" t="s">
        <v>5113</v>
      </c>
      <c r="AJ1532" s="1">
        <v>152.0</v>
      </c>
      <c r="AK1532" s="1">
        <v>58.0</v>
      </c>
      <c r="AL1532" s="1" t="s">
        <v>23427</v>
      </c>
      <c r="AM1532" s="1" t="s">
        <v>23428</v>
      </c>
      <c r="AN1532" s="7" t="s">
        <v>23429</v>
      </c>
      <c r="AO1532" s="8" t="str">
        <f>HYPERLINK("https://docs.google.com/document/d/1H_r86Qn4wWN5_K8sk1uBnAKaRtc-1l7EMsKKRY8P3SA/edit?usp=drivesdk","Al-Wildan 22 Makassar_Musfita, S.Kom., Gr._Informatika")</f>
        <v>Al-Wildan 22 Makassar_Musfita, S.Kom., Gr._Informatika</v>
      </c>
      <c r="AP1532" s="1" t="s">
        <v>23430</v>
      </c>
    </row>
    <row r="1533">
      <c r="A1533" s="6">
        <v>46207.88148776621</v>
      </c>
      <c r="B1533" s="7" t="s">
        <v>23431</v>
      </c>
      <c r="C1533" s="8" t="s">
        <v>23432</v>
      </c>
      <c r="D1533" s="1" t="s">
        <v>23433</v>
      </c>
      <c r="E1533" s="9" t="s">
        <v>23434</v>
      </c>
      <c r="F1533" s="1" t="s">
        <v>23435</v>
      </c>
      <c r="G1533" s="1" t="s">
        <v>23436</v>
      </c>
      <c r="H1533" s="1" t="s">
        <v>9167</v>
      </c>
      <c r="I1533" s="9" t="s">
        <v>23437</v>
      </c>
      <c r="J1533" s="1" t="s">
        <v>23438</v>
      </c>
      <c r="K1533" s="1" t="s">
        <v>151</v>
      </c>
      <c r="L1533" s="1" t="s">
        <v>103</v>
      </c>
      <c r="M1533" s="1" t="s">
        <v>104</v>
      </c>
      <c r="N1533" s="1" t="s">
        <v>552</v>
      </c>
      <c r="O1533" s="1" t="s">
        <v>9794</v>
      </c>
      <c r="P1533" s="1" t="s">
        <v>21626</v>
      </c>
      <c r="Q1533" s="1" t="s">
        <v>9493</v>
      </c>
      <c r="R1533" s="1" t="s">
        <v>12851</v>
      </c>
      <c r="S1533" s="1" t="s">
        <v>7392</v>
      </c>
      <c r="T1533" s="1" t="s">
        <v>13981</v>
      </c>
      <c r="U1533" s="1" t="s">
        <v>13981</v>
      </c>
      <c r="V1533" s="1" t="s">
        <v>13981</v>
      </c>
      <c r="W1533" s="1" t="s">
        <v>13981</v>
      </c>
      <c r="X1533" s="1" t="s">
        <v>13981</v>
      </c>
      <c r="Y1533" s="1">
        <v>0.0</v>
      </c>
      <c r="Z1533" s="1" t="s">
        <v>23439</v>
      </c>
      <c r="AA1533" s="10">
        <v>4000000.0</v>
      </c>
      <c r="AB1533" s="1" t="s">
        <v>23440</v>
      </c>
      <c r="AC1533" s="10">
        <v>4000000.0</v>
      </c>
      <c r="AD1533" s="1" t="s">
        <v>13981</v>
      </c>
      <c r="AE1533" s="1" t="s">
        <v>13981</v>
      </c>
      <c r="AF1533" s="10">
        <v>5000000.0</v>
      </c>
      <c r="AG1533" s="1">
        <v>0.0</v>
      </c>
      <c r="AH1533" s="1">
        <v>4.86201046233534E14</v>
      </c>
      <c r="AI1533" s="1" t="s">
        <v>23441</v>
      </c>
      <c r="AJ1533" s="1">
        <v>162.0</v>
      </c>
      <c r="AK1533" s="1">
        <v>69.0</v>
      </c>
      <c r="AL1533" s="1" t="s">
        <v>23442</v>
      </c>
      <c r="AM1533" s="1" t="s">
        <v>23443</v>
      </c>
      <c r="AN1533" s="7" t="s">
        <v>23444</v>
      </c>
      <c r="AO1533" s="8" t="str">
        <f>HYPERLINK("https://docs.google.com/document/d/1jVCbezCVU6IgvR8UDH9tawfTad445z5W5s-ZnxbroNo/edit?usp=drivesdk","Al-Wildan 29 DEPOK_Nurul Esa Rahmah S. Pd_Fisika")</f>
        <v>Al-Wildan 29 DEPOK_Nurul Esa Rahmah S. Pd_Fisika</v>
      </c>
      <c r="AP1533" s="1" t="s">
        <v>23445</v>
      </c>
    </row>
    <row r="1534">
      <c r="A1534" s="6">
        <v>46208.74953693287</v>
      </c>
      <c r="B1534" s="7" t="s">
        <v>23446</v>
      </c>
      <c r="C1534" s="8" t="s">
        <v>23447</v>
      </c>
      <c r="D1534" s="1" t="s">
        <v>23448</v>
      </c>
      <c r="E1534" s="1" t="s">
        <v>23449</v>
      </c>
      <c r="F1534" s="1" t="s">
        <v>23450</v>
      </c>
      <c r="G1534" s="1" t="s">
        <v>23451</v>
      </c>
      <c r="H1534" s="1" t="s">
        <v>7289</v>
      </c>
      <c r="I1534" s="9" t="s">
        <v>23452</v>
      </c>
      <c r="J1534" s="1" t="s">
        <v>2336</v>
      </c>
      <c r="K1534" s="1" t="s">
        <v>151</v>
      </c>
      <c r="L1534" s="1" t="s">
        <v>256</v>
      </c>
      <c r="M1534" s="1" t="s">
        <v>104</v>
      </c>
      <c r="N1534" s="1" t="s">
        <v>23453</v>
      </c>
      <c r="O1534" s="1" t="s">
        <v>9794</v>
      </c>
      <c r="P1534" s="1" t="s">
        <v>14439</v>
      </c>
      <c r="Q1534" s="1" t="s">
        <v>4589</v>
      </c>
      <c r="R1534" s="1" t="s">
        <v>6220</v>
      </c>
      <c r="S1534" s="1" t="s">
        <v>969</v>
      </c>
      <c r="Z1534" s="1" t="s">
        <v>23454</v>
      </c>
      <c r="AA1534" s="10">
        <v>5000000.0</v>
      </c>
      <c r="AB1534" s="1" t="s">
        <v>23455</v>
      </c>
      <c r="AC1534" s="10">
        <v>3000000.0</v>
      </c>
      <c r="AD1534" s="1" t="s">
        <v>23456</v>
      </c>
      <c r="AE1534" s="10">
        <v>1000000.0</v>
      </c>
      <c r="AF1534" s="10">
        <v>4000000.0</v>
      </c>
      <c r="AH1534" s="1">
        <v>2.054010135325E14</v>
      </c>
      <c r="AI1534" s="1" t="s">
        <v>23098</v>
      </c>
      <c r="AJ1534" s="1">
        <v>174.0</v>
      </c>
      <c r="AK1534" s="1">
        <v>64.0</v>
      </c>
      <c r="AL1534" s="1" t="s">
        <v>23457</v>
      </c>
      <c r="AM1534" s="1" t="s">
        <v>23458</v>
      </c>
      <c r="AN1534" s="7" t="s">
        <v>23459</v>
      </c>
      <c r="AO1534" s="8" t="str">
        <f>HYPERLINK("https://docs.google.com/document/d/1ssf0H1iBncSUxdHqHwHDb2KVTSoUwSy4Xd9zqvGuC-w/edit?usp=drivesdk","Al-Wildan 22 Makassar_Washil Abdul Jalil, ST._Fiskim-Math")</f>
        <v>Al-Wildan 22 Makassar_Washil Abdul Jalil, ST._Fiskim-Math</v>
      </c>
      <c r="AP1534" s="1" t="s">
        <v>23460</v>
      </c>
    </row>
    <row r="1535">
      <c r="A1535" s="6">
        <v>46208.880206319445</v>
      </c>
      <c r="B1535" s="7" t="s">
        <v>23461</v>
      </c>
      <c r="C1535" s="8" t="s">
        <v>23462</v>
      </c>
      <c r="D1535" s="1" t="s">
        <v>23463</v>
      </c>
      <c r="E1535" s="9" t="s">
        <v>23464</v>
      </c>
      <c r="F1535" s="1" t="s">
        <v>23465</v>
      </c>
      <c r="G1535" s="1" t="s">
        <v>23466</v>
      </c>
      <c r="H1535" s="1" t="s">
        <v>23467</v>
      </c>
      <c r="I1535" s="9" t="s">
        <v>23468</v>
      </c>
      <c r="J1535" s="1" t="s">
        <v>23469</v>
      </c>
      <c r="K1535" s="1" t="s">
        <v>102</v>
      </c>
      <c r="L1535" s="1" t="s">
        <v>103</v>
      </c>
      <c r="M1535" s="1" t="s">
        <v>104</v>
      </c>
      <c r="N1535" s="1" t="s">
        <v>274</v>
      </c>
      <c r="O1535" s="1" t="s">
        <v>9794</v>
      </c>
      <c r="P1535" s="1" t="s">
        <v>21734</v>
      </c>
      <c r="Q1535" s="1" t="s">
        <v>23470</v>
      </c>
      <c r="R1535" s="1" t="s">
        <v>23471</v>
      </c>
      <c r="S1535" s="1" t="s">
        <v>831</v>
      </c>
      <c r="T1535" s="1" t="s">
        <v>23472</v>
      </c>
      <c r="U1535" s="1" t="s">
        <v>1083</v>
      </c>
      <c r="V1535" s="1" t="s">
        <v>990</v>
      </c>
      <c r="Z1535" s="1" t="s">
        <v>1998</v>
      </c>
      <c r="AF1535" s="1" t="s">
        <v>23473</v>
      </c>
      <c r="AG1535" s="1">
        <v>7.229090237E9</v>
      </c>
      <c r="AJ1535" s="1">
        <v>171.0</v>
      </c>
      <c r="AK1535" s="1">
        <v>64.0</v>
      </c>
      <c r="AL1535" s="1" t="s">
        <v>23474</v>
      </c>
      <c r="AM1535" s="1" t="s">
        <v>23475</v>
      </c>
      <c r="AN1535" s="7" t="s">
        <v>23476</v>
      </c>
      <c r="AO1535" s="8" t="str">
        <f>HYPERLINK("https://docs.google.com/document/d/1hLPyREStkWAncqaVWxczdeNKzFeG1XtIw2XFFV3vWHw/edit?usp=drivesdk","Al-Wildan 23 SEMARANG_Fahri Rizal Ma'ruf. B.S., MIRKH._Diniyyah")</f>
        <v>Al-Wildan 23 SEMARANG_Fahri Rizal Ma'ruf. B.S., MIRKH._Diniyyah</v>
      </c>
      <c r="AP1535" s="1" t="s">
        <v>23477</v>
      </c>
    </row>
    <row r="1536">
      <c r="A1536" s="6">
        <v>46209.39822282408</v>
      </c>
      <c r="B1536" s="7" t="s">
        <v>23478</v>
      </c>
      <c r="C1536" s="8" t="s">
        <v>23479</v>
      </c>
      <c r="D1536" s="1" t="s">
        <v>23480</v>
      </c>
      <c r="E1536" s="9" t="s">
        <v>23481</v>
      </c>
      <c r="F1536" s="1">
        <v>3.37410550303003E14</v>
      </c>
      <c r="G1536" s="1" t="s">
        <v>23482</v>
      </c>
      <c r="H1536" s="1" t="s">
        <v>1341</v>
      </c>
      <c r="I1536" s="9" t="s">
        <v>23483</v>
      </c>
      <c r="J1536" s="1" t="s">
        <v>23484</v>
      </c>
      <c r="K1536" s="1" t="s">
        <v>151</v>
      </c>
      <c r="L1536" s="1" t="s">
        <v>103</v>
      </c>
      <c r="M1536" s="1" t="s">
        <v>104</v>
      </c>
      <c r="N1536" s="1" t="s">
        <v>1634</v>
      </c>
      <c r="O1536" s="1" t="s">
        <v>9794</v>
      </c>
      <c r="P1536" s="1" t="s">
        <v>21734</v>
      </c>
      <c r="Q1536" s="1" t="s">
        <v>5126</v>
      </c>
      <c r="R1536" s="1" t="s">
        <v>6506</v>
      </c>
      <c r="S1536" s="1" t="s">
        <v>3589</v>
      </c>
      <c r="T1536" s="1" t="s">
        <v>217</v>
      </c>
      <c r="U1536" s="1" t="s">
        <v>217</v>
      </c>
      <c r="V1536" s="1" t="s">
        <v>217</v>
      </c>
      <c r="W1536" s="1" t="s">
        <v>217</v>
      </c>
      <c r="X1536" s="1" t="s">
        <v>217</v>
      </c>
      <c r="Z1536" s="1" t="s">
        <v>1998</v>
      </c>
      <c r="AA1536" s="10">
        <v>3000000.0</v>
      </c>
      <c r="AB1536" s="1" t="s">
        <v>217</v>
      </c>
      <c r="AC1536" s="1" t="s">
        <v>217</v>
      </c>
      <c r="AD1536" s="1" t="s">
        <v>217</v>
      </c>
      <c r="AE1536" s="1" t="s">
        <v>217</v>
      </c>
      <c r="AF1536" s="10">
        <v>3700000.0</v>
      </c>
      <c r="AH1536" s="1">
        <v>1.33465754E9</v>
      </c>
      <c r="AI1536" s="1" t="s">
        <v>159</v>
      </c>
      <c r="AJ1536" s="1">
        <v>152.0</v>
      </c>
      <c r="AK1536" s="1">
        <v>45.0</v>
      </c>
      <c r="AL1536" s="1" t="s">
        <v>23485</v>
      </c>
      <c r="AM1536" s="1" t="s">
        <v>23486</v>
      </c>
      <c r="AN1536" s="7" t="s">
        <v>23487</v>
      </c>
      <c r="AO1536" s="8" t="str">
        <f>HYPERLINK("https://docs.google.com/document/d/1E4YCw5xmqstKcn09jT4BxRLtYAKoIB9nvJNxhOs3lUU/edit?usp=drivesdk","Al-Wildan 23 SEMARANG_Salma Mutsmiroh, S.Ag_Diniyah")</f>
        <v>Al-Wildan 23 SEMARANG_Salma Mutsmiroh, S.Ag_Diniyah</v>
      </c>
      <c r="AP1536" s="1" t="s">
        <v>23488</v>
      </c>
    </row>
    <row r="1537">
      <c r="A1537" s="6">
        <v>46209.420901157406</v>
      </c>
      <c r="B1537" s="7" t="s">
        <v>23489</v>
      </c>
      <c r="C1537" s="8" t="s">
        <v>23490</v>
      </c>
      <c r="D1537" s="1" t="s">
        <v>23491</v>
      </c>
      <c r="E1537" s="9" t="s">
        <v>23492</v>
      </c>
      <c r="F1537" s="1" t="s">
        <v>23493</v>
      </c>
      <c r="G1537" s="1" t="s">
        <v>23494</v>
      </c>
      <c r="H1537" s="1" t="s">
        <v>23495</v>
      </c>
      <c r="I1537" s="9" t="s">
        <v>22572</v>
      </c>
      <c r="J1537" s="1">
        <v>33.0</v>
      </c>
      <c r="K1537" s="1" t="s">
        <v>102</v>
      </c>
      <c r="L1537" s="1" t="s">
        <v>310</v>
      </c>
      <c r="M1537" s="1" t="s">
        <v>104</v>
      </c>
      <c r="N1537" s="1" t="s">
        <v>126</v>
      </c>
      <c r="O1537" s="1" t="s">
        <v>9794</v>
      </c>
      <c r="P1537" s="1" t="s">
        <v>11168</v>
      </c>
      <c r="Q1537" s="1" t="s">
        <v>11240</v>
      </c>
      <c r="R1537" s="1" t="s">
        <v>130</v>
      </c>
      <c r="S1537" s="9" t="s">
        <v>5613</v>
      </c>
      <c r="T1537" s="1" t="s">
        <v>1362</v>
      </c>
      <c r="U1537" s="1" t="s">
        <v>13597</v>
      </c>
      <c r="V1537" s="1" t="s">
        <v>7392</v>
      </c>
      <c r="Z1537" s="1" t="s">
        <v>23496</v>
      </c>
      <c r="AA1537" s="10">
        <v>1.2E7</v>
      </c>
      <c r="AF1537" s="10">
        <v>9000000.0</v>
      </c>
      <c r="AH1537" s="1">
        <v>1.640002591248E12</v>
      </c>
      <c r="AI1537" s="1" t="s">
        <v>2119</v>
      </c>
      <c r="AJ1537" s="1">
        <v>169.0</v>
      </c>
      <c r="AK1537" s="1">
        <v>76.0</v>
      </c>
      <c r="AL1537" s="1" t="s">
        <v>23497</v>
      </c>
      <c r="AM1537" s="1" t="s">
        <v>23498</v>
      </c>
      <c r="AN1537" s="7" t="s">
        <v>23499</v>
      </c>
      <c r="AO1537" s="8" t="str">
        <f>HYPERLINK("https://docs.google.com/document/d/170tR1EvcmixiKJTeR80IQOA7XHsJHe68XtCrReUBWSs/edit?usp=drivesdk","Al-Wildan 8 Parung_Heizlan Muhammad, S.Pd., M.Si._Matematika")</f>
        <v>Al-Wildan 8 Parung_Heizlan Muhammad, S.Pd., M.Si._Matematika</v>
      </c>
      <c r="AP1537" s="1" t="s">
        <v>23500</v>
      </c>
    </row>
    <row r="1538">
      <c r="A1538" s="6">
        <v>46209.56558530092</v>
      </c>
      <c r="B1538" s="7" t="s">
        <v>23501</v>
      </c>
      <c r="C1538" s="8" t="s">
        <v>23502</v>
      </c>
      <c r="D1538" s="1" t="s">
        <v>23503</v>
      </c>
      <c r="E1538" s="9" t="s">
        <v>23504</v>
      </c>
      <c r="F1538" s="1" t="s">
        <v>23505</v>
      </c>
      <c r="G1538" s="1" t="s">
        <v>16477</v>
      </c>
      <c r="H1538" s="1" t="s">
        <v>1411</v>
      </c>
      <c r="I1538" s="9" t="s">
        <v>23506</v>
      </c>
      <c r="J1538" s="1" t="s">
        <v>7941</v>
      </c>
      <c r="K1538" s="1" t="s">
        <v>151</v>
      </c>
      <c r="L1538" s="1" t="s">
        <v>103</v>
      </c>
      <c r="M1538" s="1" t="s">
        <v>104</v>
      </c>
      <c r="N1538" s="1" t="s">
        <v>23507</v>
      </c>
      <c r="O1538" s="1" t="s">
        <v>9794</v>
      </c>
      <c r="P1538" s="1" t="s">
        <v>11168</v>
      </c>
      <c r="Q1538" s="1" t="s">
        <v>23508</v>
      </c>
      <c r="R1538" s="1" t="s">
        <v>1623</v>
      </c>
      <c r="S1538" s="1" t="s">
        <v>8452</v>
      </c>
      <c r="Z1538" s="1" t="s">
        <v>23509</v>
      </c>
      <c r="AA1538" s="10">
        <v>4800000.0</v>
      </c>
      <c r="AB1538" s="1" t="s">
        <v>23510</v>
      </c>
      <c r="AC1538" s="10">
        <v>4800000.0</v>
      </c>
      <c r="AD1538" s="1" t="s">
        <v>23511</v>
      </c>
      <c r="AE1538" s="10">
        <v>4800000.0</v>
      </c>
      <c r="AF1538" s="10">
        <v>5600000.0</v>
      </c>
      <c r="AG1538" s="1">
        <v>7.144822034E9</v>
      </c>
      <c r="AJ1538" s="1">
        <v>178.0</v>
      </c>
      <c r="AK1538" s="1">
        <v>76.0</v>
      </c>
      <c r="AL1538" s="1" t="s">
        <v>23512</v>
      </c>
      <c r="AM1538" s="1" t="s">
        <v>23513</v>
      </c>
      <c r="AN1538" s="7" t="s">
        <v>23514</v>
      </c>
      <c r="AO1538" s="8" t="str">
        <f>HYPERLINK("https://docs.google.com/document/d/1BlAv0rUJWCzBjx9HwWOZ9FSefds3lYBWQafVSHTkO1o/edit?usp=drivesdk","Al-Wildan 8 Parung_Surur Mubarak, S.Pd._Guru Tahfidz ")</f>
        <v>Al-Wildan 8 Parung_Surur Mubarak, S.Pd._Guru Tahfidz </v>
      </c>
      <c r="AP1538" s="1" t="s">
        <v>23515</v>
      </c>
    </row>
    <row r="1539">
      <c r="A1539" s="6">
        <v>46209.68369907407</v>
      </c>
      <c r="B1539" s="7" t="s">
        <v>23516</v>
      </c>
      <c r="C1539" s="8" t="s">
        <v>23517</v>
      </c>
      <c r="D1539" s="1" t="s">
        <v>23518</v>
      </c>
      <c r="E1539" s="9" t="s">
        <v>23519</v>
      </c>
      <c r="F1539" s="1" t="s">
        <v>23520</v>
      </c>
      <c r="G1539" s="1" t="s">
        <v>23521</v>
      </c>
      <c r="H1539" s="1" t="s">
        <v>2523</v>
      </c>
      <c r="I1539" s="9" t="s">
        <v>23522</v>
      </c>
      <c r="J1539" s="1" t="s">
        <v>13729</v>
      </c>
      <c r="K1539" s="1" t="s">
        <v>102</v>
      </c>
      <c r="L1539" s="1" t="s">
        <v>103</v>
      </c>
      <c r="M1539" s="1" t="s">
        <v>104</v>
      </c>
      <c r="N1539" s="1" t="s">
        <v>126</v>
      </c>
      <c r="O1539" s="1" t="s">
        <v>9794</v>
      </c>
      <c r="P1539" s="1" t="s">
        <v>6091</v>
      </c>
      <c r="Q1539" s="1" t="s">
        <v>275</v>
      </c>
      <c r="R1539" s="1" t="s">
        <v>23523</v>
      </c>
      <c r="S1539" s="1" t="s">
        <v>9749</v>
      </c>
      <c r="Z1539" s="1" t="s">
        <v>23524</v>
      </c>
      <c r="AA1539" s="10">
        <v>7271897.0</v>
      </c>
      <c r="AF1539" s="10">
        <v>9000000.0</v>
      </c>
      <c r="AH1539" s="1">
        <v>1.570006986849E12</v>
      </c>
      <c r="AI1539" s="1" t="s">
        <v>1493</v>
      </c>
      <c r="AJ1539" s="1">
        <v>165.0</v>
      </c>
      <c r="AK1539" s="1">
        <v>65.0</v>
      </c>
      <c r="AL1539" s="1" t="s">
        <v>23525</v>
      </c>
      <c r="AM1539" s="1" t="s">
        <v>23526</v>
      </c>
      <c r="AN1539" s="7" t="s">
        <v>23527</v>
      </c>
      <c r="AO1539" s="8" t="str">
        <f>HYPERLINK("https://docs.google.com/document/d/1BT5SKMuFZtAgHqjQA41QoXp69agG0ULlG9_SfeZ1n3U/edit?usp=drivesdk","Al-Wildan 10 Cipinang, Jakarta Timur_Maulana Haidar Ma'shuum, S.Si_Matematika")</f>
        <v>Al-Wildan 10 Cipinang, Jakarta Timur_Maulana Haidar Ma'shuum, S.Si_Matematika</v>
      </c>
      <c r="AP1539" s="1" t="s">
        <v>23528</v>
      </c>
    </row>
    <row r="1540">
      <c r="A1540" s="6">
        <v>46209.72931116898</v>
      </c>
      <c r="B1540" s="7" t="s">
        <v>23529</v>
      </c>
      <c r="C1540" s="8" t="s">
        <v>23530</v>
      </c>
      <c r="D1540" s="1" t="s">
        <v>23531</v>
      </c>
      <c r="E1540" s="9" t="s">
        <v>23532</v>
      </c>
      <c r="F1540" s="1" t="s">
        <v>23533</v>
      </c>
      <c r="G1540" s="1" t="s">
        <v>8561</v>
      </c>
      <c r="H1540" s="1" t="s">
        <v>7320</v>
      </c>
      <c r="I1540" s="9" t="s">
        <v>23534</v>
      </c>
      <c r="J1540" s="1" t="s">
        <v>13755</v>
      </c>
      <c r="K1540" s="1" t="s">
        <v>151</v>
      </c>
      <c r="L1540" s="1" t="s">
        <v>496</v>
      </c>
      <c r="M1540" s="1" t="s">
        <v>10541</v>
      </c>
      <c r="O1540" s="1" t="s">
        <v>312</v>
      </c>
      <c r="P1540" s="1" t="s">
        <v>21734</v>
      </c>
      <c r="AJ1540" s="1">
        <v>156.0</v>
      </c>
      <c r="AK1540" s="1">
        <v>41.0</v>
      </c>
      <c r="AL1540" s="1" t="s">
        <v>23535</v>
      </c>
      <c r="AM1540" s="1" t="s">
        <v>23536</v>
      </c>
      <c r="AN1540" s="7" t="s">
        <v>23537</v>
      </c>
      <c r="AO1540" s="8" t="str">
        <f>HYPERLINK("https://docs.google.com/document/d/15JgU7veBnlxQ2xlOkjITzIrDUr576MIUpQAhOQt2j4k/edit?usp=drivesdk","Al-Wildan 23 SEMARANG_Silmi Kaffah Askia Az Zahro _")</f>
        <v>Al-Wildan 23 SEMARANG_Silmi Kaffah Askia Az Zahro _</v>
      </c>
      <c r="AP1540" s="1" t="s">
        <v>23538</v>
      </c>
    </row>
    <row r="1541">
      <c r="A1541" s="6">
        <v>46209.73308284722</v>
      </c>
      <c r="B1541" s="7" t="s">
        <v>23539</v>
      </c>
      <c r="C1541" s="8" t="s">
        <v>23540</v>
      </c>
      <c r="D1541" s="1" t="s">
        <v>23531</v>
      </c>
      <c r="E1541" s="9" t="s">
        <v>23532</v>
      </c>
      <c r="F1541" s="1" t="s">
        <v>23533</v>
      </c>
      <c r="G1541" s="1" t="s">
        <v>768</v>
      </c>
      <c r="H1541" s="1" t="s">
        <v>7320</v>
      </c>
      <c r="I1541" s="9" t="s">
        <v>23534</v>
      </c>
      <c r="J1541" s="1" t="s">
        <v>8497</v>
      </c>
      <c r="K1541" s="1" t="s">
        <v>151</v>
      </c>
      <c r="L1541" s="1" t="s">
        <v>496</v>
      </c>
      <c r="M1541" s="1" t="s">
        <v>10541</v>
      </c>
      <c r="O1541" s="1" t="s">
        <v>312</v>
      </c>
      <c r="P1541" s="1" t="s">
        <v>21734</v>
      </c>
      <c r="Z1541" s="1" t="s">
        <v>23541</v>
      </c>
      <c r="AA1541" s="10">
        <v>1000000.0</v>
      </c>
      <c r="AG1541" s="1">
        <v>7.276029139E9</v>
      </c>
      <c r="AJ1541" s="1">
        <v>156.0</v>
      </c>
      <c r="AK1541" s="1">
        <v>41.0</v>
      </c>
      <c r="AL1541" s="1" t="s">
        <v>23535</v>
      </c>
      <c r="AM1541" s="1" t="s">
        <v>23542</v>
      </c>
      <c r="AN1541" s="7" t="s">
        <v>23543</v>
      </c>
      <c r="AO1541" s="8" t="str">
        <f>HYPERLINK("https://docs.google.com/document/d/1aZezG-ykGOTnzP6_wtK3Zu8ArIXNMp5W4c32YA4yY3o/edit?usp=drivesdk","Al-Wildan 23 SEMARANG_Silmi Kaffah Askia Az Zahro _")</f>
        <v>Al-Wildan 23 SEMARANG_Silmi Kaffah Askia Az Zahro _</v>
      </c>
      <c r="AP1541" s="1" t="s">
        <v>23544</v>
      </c>
    </row>
    <row r="1542">
      <c r="A1542" s="6">
        <v>46210.3756375</v>
      </c>
      <c r="B1542" s="7" t="s">
        <v>23545</v>
      </c>
      <c r="C1542" s="8" t="s">
        <v>23546</v>
      </c>
      <c r="D1542" s="1" t="s">
        <v>23547</v>
      </c>
      <c r="E1542" s="9" t="s">
        <v>23548</v>
      </c>
      <c r="F1542" s="1" t="s">
        <v>23549</v>
      </c>
      <c r="G1542" s="1" t="s">
        <v>23550</v>
      </c>
      <c r="H1542" s="1" t="s">
        <v>169</v>
      </c>
      <c r="I1542" s="9" t="s">
        <v>23551</v>
      </c>
      <c r="J1542" s="1" t="s">
        <v>7941</v>
      </c>
      <c r="K1542" s="1" t="s">
        <v>151</v>
      </c>
      <c r="L1542" s="1" t="s">
        <v>103</v>
      </c>
      <c r="M1542" s="1" t="s">
        <v>104</v>
      </c>
      <c r="N1542" s="1" t="s">
        <v>1634</v>
      </c>
      <c r="O1542" s="1" t="s">
        <v>9794</v>
      </c>
      <c r="P1542" s="1" t="s">
        <v>5213</v>
      </c>
      <c r="Q1542" s="1" t="s">
        <v>5126</v>
      </c>
      <c r="R1542" s="1" t="s">
        <v>12915</v>
      </c>
      <c r="S1542" s="1" t="s">
        <v>277</v>
      </c>
      <c r="T1542" s="1" t="s">
        <v>217</v>
      </c>
      <c r="U1542" s="1" t="s">
        <v>217</v>
      </c>
      <c r="V1542" s="1" t="s">
        <v>217</v>
      </c>
      <c r="W1542" s="1" t="s">
        <v>217</v>
      </c>
      <c r="X1542" s="1" t="s">
        <v>217</v>
      </c>
      <c r="Y1542" s="1">
        <v>0.0</v>
      </c>
      <c r="Z1542" s="1" t="s">
        <v>2326</v>
      </c>
      <c r="AA1542" s="10">
        <v>4500000.0</v>
      </c>
      <c r="AB1542" s="1" t="s">
        <v>23552</v>
      </c>
      <c r="AC1542" s="10">
        <v>6000000.0</v>
      </c>
      <c r="AF1542" s="10">
        <v>4500000.0</v>
      </c>
      <c r="AH1542" s="1">
        <v>7.082647301E11</v>
      </c>
      <c r="AI1542" s="1" t="s">
        <v>4739</v>
      </c>
      <c r="AJ1542" s="1">
        <v>169.0</v>
      </c>
      <c r="AK1542" s="1">
        <v>85.0</v>
      </c>
      <c r="AL1542" s="1" t="s">
        <v>23553</v>
      </c>
      <c r="AM1542" s="1" t="s">
        <v>23554</v>
      </c>
      <c r="AN1542" s="7" t="s">
        <v>23555</v>
      </c>
      <c r="AO1542" s="8" t="str">
        <f>HYPERLINK("https://docs.google.com/document/d/1QEdfkTkUw8GGwTAfjV7IutLiKW5t1CG0uvujHp_ZnhM/edit?usp=drivesdk","Al-Wildan 2 Bekasi_Ahmad Fauzi_Diniyah")</f>
        <v>Al-Wildan 2 Bekasi_Ahmad Fauzi_Diniyah</v>
      </c>
      <c r="AP1542" s="1" t="s">
        <v>23556</v>
      </c>
    </row>
    <row r="1543">
      <c r="A1543" s="6">
        <v>46210.39003476852</v>
      </c>
      <c r="B1543" s="7" t="s">
        <v>23557</v>
      </c>
      <c r="C1543" s="8" t="s">
        <v>23558</v>
      </c>
      <c r="D1543" s="1" t="s">
        <v>23559</v>
      </c>
      <c r="E1543" s="9" t="s">
        <v>23560</v>
      </c>
      <c r="F1543" s="1" t="s">
        <v>217</v>
      </c>
      <c r="G1543" s="1" t="s">
        <v>23561</v>
      </c>
      <c r="H1543" s="1" t="s">
        <v>4139</v>
      </c>
      <c r="I1543" s="9" t="s">
        <v>23562</v>
      </c>
      <c r="J1543" s="1" t="s">
        <v>3959</v>
      </c>
      <c r="K1543" s="1" t="s">
        <v>151</v>
      </c>
      <c r="L1543" s="1" t="s">
        <v>256</v>
      </c>
      <c r="M1543" s="1" t="s">
        <v>104</v>
      </c>
      <c r="N1543" s="1" t="s">
        <v>152</v>
      </c>
      <c r="O1543" s="1" t="s">
        <v>236</v>
      </c>
      <c r="P1543" s="1" t="s">
        <v>22002</v>
      </c>
      <c r="Q1543" s="1" t="s">
        <v>6467</v>
      </c>
      <c r="R1543" s="1" t="s">
        <v>172</v>
      </c>
      <c r="S1543" s="1">
        <v>3.77</v>
      </c>
      <c r="T1543" s="1" t="s">
        <v>10945</v>
      </c>
      <c r="U1543" s="1" t="s">
        <v>23563</v>
      </c>
      <c r="V1543" s="1">
        <v>3.88</v>
      </c>
      <c r="Z1543" s="1" t="s">
        <v>23564</v>
      </c>
      <c r="AA1543" s="10">
        <v>4500000.0</v>
      </c>
      <c r="AB1543" s="1" t="s">
        <v>23565</v>
      </c>
      <c r="AC1543" s="10">
        <v>3000000.0</v>
      </c>
      <c r="AF1543" s="10">
        <v>7500000.0</v>
      </c>
      <c r="AH1543" s="9" t="s">
        <v>23566</v>
      </c>
      <c r="AI1543" s="1" t="s">
        <v>23567</v>
      </c>
      <c r="AJ1543" s="1">
        <v>165.0</v>
      </c>
      <c r="AK1543" s="1">
        <v>59.0</v>
      </c>
      <c r="AL1543" s="1" t="s">
        <v>23568</v>
      </c>
      <c r="AM1543" s="1" t="s">
        <v>23569</v>
      </c>
      <c r="AN1543" s="7" t="s">
        <v>23570</v>
      </c>
      <c r="AO1543" s="8" t="str">
        <f>HYPERLINK("https://docs.google.com/document/d/1caH6m5Qx9XBtTlxBN4cUqbNBJeXvFocRflk-zNWi3uA/edit?usp=drivesdk","Al-Wildan 24 Yogyakarta_Nurul Khairumi, S.Pd., M.A._Bahasa Inggris")</f>
        <v>Al-Wildan 24 Yogyakarta_Nurul Khairumi, S.Pd., M.A._Bahasa Inggris</v>
      </c>
      <c r="AP1543" s="1" t="s">
        <v>23571</v>
      </c>
    </row>
    <row r="1544">
      <c r="A1544" s="6">
        <v>46210.40075</v>
      </c>
      <c r="B1544" s="7" t="s">
        <v>23572</v>
      </c>
      <c r="C1544" s="8" t="s">
        <v>23573</v>
      </c>
      <c r="D1544" s="1" t="s">
        <v>23574</v>
      </c>
      <c r="E1544" s="9" t="s">
        <v>23575</v>
      </c>
      <c r="F1544" s="1" t="s">
        <v>5140</v>
      </c>
      <c r="G1544" s="1" t="s">
        <v>23576</v>
      </c>
      <c r="H1544" s="1" t="s">
        <v>23577</v>
      </c>
      <c r="I1544" s="9" t="s">
        <v>5143</v>
      </c>
      <c r="J1544" s="1">
        <v>33.0</v>
      </c>
      <c r="K1544" s="1" t="s">
        <v>102</v>
      </c>
      <c r="L1544" s="1" t="s">
        <v>329</v>
      </c>
      <c r="M1544" s="1" t="s">
        <v>104</v>
      </c>
      <c r="N1544" s="1" t="s">
        <v>1133</v>
      </c>
      <c r="O1544" s="1" t="s">
        <v>1202</v>
      </c>
      <c r="P1544" s="1" t="s">
        <v>107</v>
      </c>
      <c r="Q1544" s="1" t="s">
        <v>23578</v>
      </c>
      <c r="R1544" s="1" t="s">
        <v>1539</v>
      </c>
      <c r="S1544" s="1" t="s">
        <v>1522</v>
      </c>
      <c r="T1544" s="1" t="s">
        <v>23579</v>
      </c>
      <c r="U1544" s="1" t="s">
        <v>1539</v>
      </c>
      <c r="V1544" s="1" t="s">
        <v>1084</v>
      </c>
      <c r="Z1544" s="1" t="s">
        <v>23580</v>
      </c>
      <c r="AF1544" s="1">
        <v>5000000.0</v>
      </c>
      <c r="AH1544" s="1">
        <v>8.015409122E9</v>
      </c>
      <c r="AI1544" s="1" t="s">
        <v>23581</v>
      </c>
      <c r="AJ1544" s="1">
        <v>160.0</v>
      </c>
      <c r="AK1544" s="1">
        <v>60.0</v>
      </c>
      <c r="AL1544" s="1" t="s">
        <v>5149</v>
      </c>
      <c r="AM1544" s="1" t="s">
        <v>23582</v>
      </c>
      <c r="AN1544" s="7" t="s">
        <v>23583</v>
      </c>
      <c r="AO1544" s="8" t="str">
        <f>HYPERLINK("https://docs.google.com/document/d/1-cPjfa-uA3WuHVUqKITqvNJ_iFFVo7KFcA4MiSJlnLE/edit?usp=drivesdk","Al-Wildan 1 Gading Serpong_NUHIDAYAH M.PD_ENGLISH")</f>
        <v>Al-Wildan 1 Gading Serpong_NUHIDAYAH M.PD_ENGLISH</v>
      </c>
      <c r="AP1544" s="1" t="s">
        <v>23584</v>
      </c>
    </row>
    <row r="1545">
      <c r="A1545" s="6">
        <v>46210.401559074075</v>
      </c>
      <c r="B1545" s="7" t="s">
        <v>23585</v>
      </c>
      <c r="C1545" s="8" t="s">
        <v>23586</v>
      </c>
      <c r="D1545" s="1" t="s">
        <v>23587</v>
      </c>
      <c r="E1545" s="9" t="s">
        <v>23588</v>
      </c>
      <c r="F1545" s="1" t="s">
        <v>23589</v>
      </c>
      <c r="G1545" s="1" t="s">
        <v>23590</v>
      </c>
      <c r="H1545" s="1" t="s">
        <v>10576</v>
      </c>
      <c r="I1545" s="9" t="s">
        <v>23591</v>
      </c>
      <c r="J1545" s="1" t="s">
        <v>1020</v>
      </c>
      <c r="K1545" s="1" t="s">
        <v>151</v>
      </c>
      <c r="L1545" s="1" t="s">
        <v>496</v>
      </c>
      <c r="M1545" s="1" t="s">
        <v>5671</v>
      </c>
      <c r="O1545" s="1" t="s">
        <v>127</v>
      </c>
      <c r="P1545" s="1" t="s">
        <v>17019</v>
      </c>
      <c r="Q1545" s="1" t="s">
        <v>14049</v>
      </c>
      <c r="R1545" s="1" t="s">
        <v>2355</v>
      </c>
      <c r="S1545" s="1" t="s">
        <v>363</v>
      </c>
      <c r="Z1545" s="1" t="s">
        <v>23592</v>
      </c>
      <c r="AA1545" s="10">
        <v>3700000.0</v>
      </c>
      <c r="AF1545" s="10">
        <v>4000000.0</v>
      </c>
      <c r="AG1545" s="1">
        <v>7.203214159E9</v>
      </c>
      <c r="AI1545" s="1" t="s">
        <v>5113</v>
      </c>
      <c r="AJ1545" s="1">
        <v>169.0</v>
      </c>
      <c r="AK1545" s="1">
        <v>63.0</v>
      </c>
      <c r="AL1545" s="1" t="s">
        <v>23593</v>
      </c>
      <c r="AM1545" s="1" t="s">
        <v>23594</v>
      </c>
      <c r="AN1545" s="7" t="s">
        <v>23595</v>
      </c>
      <c r="AO1545" s="8" t="str">
        <f>HYPERLINK("https://docs.google.com/document/d/1hOC_FJlBsAdMPZn_2d7L7KejCCaJurKDy2XWJWZ6tUM/edit?usp=drivesdk","Al-Wildan 20 Mataram_Mujahid Abqori, S.Pd_")</f>
        <v>Al-Wildan 20 Mataram_Mujahid Abqori, S.Pd_</v>
      </c>
      <c r="AP1545" s="1" t="s">
        <v>23596</v>
      </c>
    </row>
    <row r="1546">
      <c r="A1546" s="6">
        <v>46210.465148194446</v>
      </c>
      <c r="B1546" s="7" t="s">
        <v>23597</v>
      </c>
      <c r="C1546" s="8" t="s">
        <v>23598</v>
      </c>
      <c r="D1546" s="1" t="s">
        <v>23599</v>
      </c>
      <c r="E1546" s="9" t="s">
        <v>23600</v>
      </c>
      <c r="F1546" s="1" t="s">
        <v>23601</v>
      </c>
      <c r="G1546" s="1" t="s">
        <v>23602</v>
      </c>
      <c r="H1546" s="1" t="s">
        <v>6779</v>
      </c>
      <c r="I1546" s="9" t="s">
        <v>23603</v>
      </c>
      <c r="J1546" s="1" t="s">
        <v>23604</v>
      </c>
      <c r="K1546" s="1" t="s">
        <v>151</v>
      </c>
      <c r="L1546" s="1" t="s">
        <v>329</v>
      </c>
      <c r="M1546" s="1" t="s">
        <v>104</v>
      </c>
      <c r="N1546" s="1" t="s">
        <v>23605</v>
      </c>
      <c r="O1546" s="1" t="s">
        <v>312</v>
      </c>
      <c r="P1546" s="1" t="s">
        <v>6091</v>
      </c>
      <c r="Q1546" s="1" t="s">
        <v>23606</v>
      </c>
      <c r="R1546" s="1" t="s">
        <v>1057</v>
      </c>
      <c r="S1546" s="1" t="s">
        <v>8998</v>
      </c>
      <c r="T1546" s="1" t="s">
        <v>1450</v>
      </c>
      <c r="U1546" s="1" t="s">
        <v>217</v>
      </c>
      <c r="V1546" s="1" t="s">
        <v>217</v>
      </c>
      <c r="W1546" s="1" t="s">
        <v>217</v>
      </c>
      <c r="X1546" s="1" t="s">
        <v>217</v>
      </c>
      <c r="Z1546" s="1" t="s">
        <v>23607</v>
      </c>
      <c r="AA1546" s="10">
        <v>1000000.0</v>
      </c>
      <c r="AB1546" s="1" t="s">
        <v>217</v>
      </c>
      <c r="AC1546" s="1" t="s">
        <v>217</v>
      </c>
      <c r="AD1546" s="1" t="s">
        <v>217</v>
      </c>
      <c r="AE1546" s="1" t="s">
        <v>217</v>
      </c>
      <c r="AF1546" s="10">
        <v>5000000.0</v>
      </c>
      <c r="AG1546" s="1">
        <v>7.254315472E9</v>
      </c>
      <c r="AI1546" s="1" t="s">
        <v>217</v>
      </c>
      <c r="AJ1546" s="1">
        <v>150.0</v>
      </c>
      <c r="AK1546" s="1">
        <v>50.0</v>
      </c>
      <c r="AL1546" s="1" t="s">
        <v>23608</v>
      </c>
      <c r="AM1546" s="1" t="s">
        <v>23609</v>
      </c>
      <c r="AN1546" s="7" t="s">
        <v>23610</v>
      </c>
      <c r="AO1546" s="8" t="str">
        <f>HYPERLINK("https://docs.google.com/document/d/1cgOYPfMDhQQ44Jwxm9LcllKErg0q4w8wYPtCbQfXMkI/edit?usp=drivesdk","Al-Wildan 10 Cipinang, Jakarta Timur_Shifa Nabila Rahma, S.Psi_B. Indonesia / Tematik")</f>
        <v>Al-Wildan 10 Cipinang, Jakarta Timur_Shifa Nabila Rahma, S.Psi_B. Indonesia / Tematik</v>
      </c>
      <c r="AP1546" s="1" t="s">
        <v>23611</v>
      </c>
    </row>
    <row r="1547">
      <c r="A1547" s="6">
        <v>46210.586367870375</v>
      </c>
      <c r="B1547" s="7" t="s">
        <v>23612</v>
      </c>
      <c r="C1547" s="8" t="s">
        <v>23613</v>
      </c>
      <c r="D1547" s="1" t="s">
        <v>23614</v>
      </c>
      <c r="E1547" s="1">
        <v>6.2816997828E10</v>
      </c>
      <c r="F1547" s="1" t="s">
        <v>23615</v>
      </c>
      <c r="G1547" s="1" t="s">
        <v>148</v>
      </c>
      <c r="H1547" s="1" t="s">
        <v>169</v>
      </c>
      <c r="I1547" s="9" t="s">
        <v>23616</v>
      </c>
      <c r="J1547" s="1" t="s">
        <v>23617</v>
      </c>
      <c r="K1547" s="1" t="s">
        <v>151</v>
      </c>
      <c r="L1547" s="1" t="s">
        <v>103</v>
      </c>
      <c r="M1547" s="1" t="s">
        <v>104</v>
      </c>
      <c r="N1547" s="1" t="s">
        <v>23618</v>
      </c>
      <c r="O1547" s="1" t="s">
        <v>9794</v>
      </c>
      <c r="P1547" s="1" t="s">
        <v>6659</v>
      </c>
      <c r="Q1547" s="1" t="s">
        <v>192</v>
      </c>
      <c r="R1547" s="1" t="s">
        <v>238</v>
      </c>
      <c r="S1547" s="1">
        <v>417.0</v>
      </c>
      <c r="Z1547" s="1" t="s">
        <v>23619</v>
      </c>
      <c r="AB1547" s="1" t="s">
        <v>23620</v>
      </c>
      <c r="AD1547" s="1" t="s">
        <v>23621</v>
      </c>
      <c r="AF1547" s="10">
        <v>4000000.0</v>
      </c>
      <c r="AG1547" s="1">
        <v>4.89286298E9</v>
      </c>
      <c r="AJ1547" s="1">
        <v>177.0</v>
      </c>
      <c r="AK1547" s="1">
        <v>82.0</v>
      </c>
      <c r="AL1547" s="1" t="s">
        <v>23622</v>
      </c>
      <c r="AM1547" s="1" t="s">
        <v>23623</v>
      </c>
      <c r="AN1547" s="7" t="s">
        <v>23624</v>
      </c>
      <c r="AO1547" s="8" t="str">
        <f>HYPERLINK("https://docs.google.com/document/d/1o_U0YLSsf3cGIqfhX-NWPqfZgG6VgVnOIx5UjX8tcFs/edit?usp=drivesdk","Al-Wildan 15 Kompas Indah, Tambun Bekasi._Muhammad Abdul Majid Aziz B.Sh_Arabic Diniyyah Adab")</f>
        <v>Al-Wildan 15 Kompas Indah, Tambun Bekasi._Muhammad Abdul Majid Aziz B.Sh_Arabic Diniyyah Adab</v>
      </c>
      <c r="AP1547" s="1" t="s">
        <v>23625</v>
      </c>
    </row>
    <row r="1548">
      <c r="A1548" s="6">
        <v>46210.591876192135</v>
      </c>
      <c r="B1548" s="7" t="s">
        <v>23626</v>
      </c>
      <c r="C1548" s="8" t="s">
        <v>23627</v>
      </c>
      <c r="D1548" s="1" t="s">
        <v>23628</v>
      </c>
      <c r="E1548" s="9" t="s">
        <v>23548</v>
      </c>
      <c r="F1548" s="1" t="s">
        <v>23549</v>
      </c>
      <c r="G1548" s="1" t="s">
        <v>23629</v>
      </c>
      <c r="H1548" s="1" t="s">
        <v>169</v>
      </c>
      <c r="I1548" s="9" t="s">
        <v>23551</v>
      </c>
      <c r="J1548" s="1" t="s">
        <v>7941</v>
      </c>
      <c r="K1548" s="1" t="s">
        <v>151</v>
      </c>
      <c r="L1548" s="1" t="s">
        <v>103</v>
      </c>
      <c r="M1548" s="1" t="s">
        <v>104</v>
      </c>
      <c r="N1548" s="1" t="s">
        <v>23630</v>
      </c>
      <c r="O1548" s="1" t="s">
        <v>9794</v>
      </c>
      <c r="P1548" s="1" t="s">
        <v>7991</v>
      </c>
      <c r="Q1548" s="1" t="s">
        <v>5126</v>
      </c>
      <c r="R1548" s="1" t="s">
        <v>12915</v>
      </c>
      <c r="S1548" s="1" t="s">
        <v>277</v>
      </c>
      <c r="Z1548" s="1" t="s">
        <v>1998</v>
      </c>
      <c r="AA1548" s="10">
        <v>4500000.0</v>
      </c>
      <c r="AB1548" s="1" t="s">
        <v>9900</v>
      </c>
      <c r="AC1548" s="10">
        <v>6000000.0</v>
      </c>
      <c r="AF1548" s="10">
        <v>4500000.0</v>
      </c>
      <c r="AH1548" s="1">
        <v>7.082647301E11</v>
      </c>
      <c r="AI1548" s="1" t="s">
        <v>4739</v>
      </c>
      <c r="AJ1548" s="1">
        <v>169.0</v>
      </c>
      <c r="AK1548" s="1">
        <v>85.0</v>
      </c>
      <c r="AL1548" s="1" t="s">
        <v>23553</v>
      </c>
      <c r="AM1548" s="1" t="s">
        <v>23631</v>
      </c>
      <c r="AN1548" s="7" t="s">
        <v>23632</v>
      </c>
      <c r="AO1548" s="8" t="str">
        <f>HYPERLINK("https://docs.google.com/document/d/1bBaZRNI5InWn2Ju8wymAqfoivZ5ir55zZau6r5jTj3A/edit?usp=drivesdk","Al-Wildan 12 Bulak Kapal, Bekasi_Ahmad Fauzi, S.H_Diniyah, Bahasa Arab, Al- Quran")</f>
        <v>Al-Wildan 12 Bulak Kapal, Bekasi_Ahmad Fauzi, S.H_Diniyah, Bahasa Arab, Al- Quran</v>
      </c>
      <c r="AP1548" s="1" t="s">
        <v>23633</v>
      </c>
    </row>
    <row r="1549">
      <c r="A1549" s="6">
        <v>46210.732970868055</v>
      </c>
      <c r="B1549" s="7" t="s">
        <v>23634</v>
      </c>
      <c r="C1549" s="8" t="s">
        <v>23635</v>
      </c>
      <c r="D1549" s="1" t="s">
        <v>23636</v>
      </c>
      <c r="E1549" s="9" t="s">
        <v>23637</v>
      </c>
      <c r="F1549" s="1" t="s">
        <v>23638</v>
      </c>
      <c r="G1549" s="1" t="s">
        <v>23639</v>
      </c>
      <c r="H1549" s="1" t="s">
        <v>23640</v>
      </c>
      <c r="I1549" s="9" t="s">
        <v>23641</v>
      </c>
      <c r="J1549" s="1" t="s">
        <v>11768</v>
      </c>
      <c r="K1549" s="1" t="s">
        <v>151</v>
      </c>
      <c r="L1549" s="1" t="s">
        <v>329</v>
      </c>
      <c r="M1549" s="1" t="s">
        <v>8769</v>
      </c>
      <c r="N1549" s="1" t="s">
        <v>13238</v>
      </c>
      <c r="O1549" s="1" t="s">
        <v>127</v>
      </c>
      <c r="P1549" s="1" t="s">
        <v>17019</v>
      </c>
      <c r="Q1549" s="1" t="s">
        <v>7667</v>
      </c>
      <c r="R1549" s="1" t="s">
        <v>23642</v>
      </c>
      <c r="S1549" s="1" t="s">
        <v>131</v>
      </c>
      <c r="Z1549" s="1" t="s">
        <v>23643</v>
      </c>
      <c r="AF1549" s="10">
        <v>5000000.0</v>
      </c>
      <c r="AH1549" s="1">
        <v>4.76401026023535E14</v>
      </c>
      <c r="AI1549" s="1" t="s">
        <v>5015</v>
      </c>
      <c r="AJ1549" s="1">
        <v>158.0</v>
      </c>
      <c r="AK1549" s="1">
        <v>55.0</v>
      </c>
      <c r="AL1549" s="1" t="s">
        <v>23644</v>
      </c>
      <c r="AM1549" s="1" t="s">
        <v>23645</v>
      </c>
      <c r="AN1549" s="7" t="s">
        <v>23646</v>
      </c>
      <c r="AO1549" s="8" t="str">
        <f>HYPERLINK("https://docs.google.com/document/d/1PILENpfD4Ofa1pPfRbCgciATQHwydLBc6k2qkUoqpCA/edit?usp=drivesdk","Al-Wildan 20 Mataram_Aisyah Az Sajidah, S.H._Guru Al Qur'an ")</f>
        <v>Al-Wildan 20 Mataram_Aisyah Az Sajidah, S.H._Guru Al Qur'an </v>
      </c>
      <c r="AP1549" s="1" t="s">
        <v>23647</v>
      </c>
    </row>
    <row r="1550">
      <c r="A1550" s="6">
        <v>46210.80666173611</v>
      </c>
      <c r="B1550" s="7" t="s">
        <v>23648</v>
      </c>
      <c r="C1550" s="8" t="s">
        <v>23649</v>
      </c>
      <c r="D1550" s="1" t="s">
        <v>23650</v>
      </c>
      <c r="E1550" s="9" t="s">
        <v>23651</v>
      </c>
      <c r="F1550" s="1" t="s">
        <v>23652</v>
      </c>
      <c r="G1550" s="1" t="s">
        <v>23653</v>
      </c>
      <c r="H1550" s="1" t="s">
        <v>23654</v>
      </c>
      <c r="I1550" s="9" t="s">
        <v>23655</v>
      </c>
      <c r="J1550" s="1" t="s">
        <v>8138</v>
      </c>
      <c r="K1550" s="1" t="s">
        <v>151</v>
      </c>
      <c r="L1550" s="1" t="s">
        <v>103</v>
      </c>
      <c r="M1550" s="1" t="s">
        <v>104</v>
      </c>
      <c r="N1550" s="1" t="s">
        <v>23656</v>
      </c>
      <c r="O1550" s="1" t="s">
        <v>127</v>
      </c>
      <c r="P1550" s="1" t="s">
        <v>5712</v>
      </c>
      <c r="Q1550" s="1" t="s">
        <v>23657</v>
      </c>
      <c r="R1550" s="1" t="s">
        <v>23658</v>
      </c>
      <c r="S1550" s="1" t="s">
        <v>23659</v>
      </c>
      <c r="Z1550" s="1" t="s">
        <v>23660</v>
      </c>
      <c r="AA1550" s="1" t="s">
        <v>23661</v>
      </c>
      <c r="AB1550" s="1" t="s">
        <v>23662</v>
      </c>
      <c r="AC1550" s="10">
        <v>800000.0</v>
      </c>
      <c r="AD1550" s="1" t="s">
        <v>23663</v>
      </c>
      <c r="AE1550" s="10">
        <v>600000.0</v>
      </c>
      <c r="AF1550" s="10">
        <v>7800000.0</v>
      </c>
      <c r="AG1550" s="1">
        <v>7.165823863E9</v>
      </c>
      <c r="AJ1550" s="1">
        <v>170.0</v>
      </c>
      <c r="AK1550" s="1">
        <v>53.0</v>
      </c>
      <c r="AL1550" s="1" t="s">
        <v>23664</v>
      </c>
      <c r="AM1550" s="1" t="s">
        <v>23665</v>
      </c>
      <c r="AN1550" s="7" t="s">
        <v>23666</v>
      </c>
      <c r="AO1550" s="8" t="str">
        <f>HYPERLINK("https://docs.google.com/document/d/1uuQN42-jOEOeN14_h9mq5feqIEp_D0NOcbC-rfCXd3g/edit?usp=drivesdk","Al-Wildan 3 BSD City_fikri amiq setiawan, B.A_arabic ")</f>
        <v>Al-Wildan 3 BSD City_fikri amiq setiawan, B.A_arabic </v>
      </c>
      <c r="AP1550" s="1" t="s">
        <v>23667</v>
      </c>
    </row>
    <row r="1551">
      <c r="A1551" s="6">
        <v>46211.82031846065</v>
      </c>
      <c r="B1551" s="7" t="s">
        <v>23668</v>
      </c>
      <c r="C1551" s="8" t="s">
        <v>23669</v>
      </c>
      <c r="D1551" s="1" t="s">
        <v>23670</v>
      </c>
      <c r="E1551" s="9" t="s">
        <v>23671</v>
      </c>
      <c r="F1551" s="1" t="s">
        <v>23672</v>
      </c>
      <c r="G1551" s="1" t="s">
        <v>23673</v>
      </c>
      <c r="H1551" s="1" t="s">
        <v>7046</v>
      </c>
      <c r="I1551" s="9" t="s">
        <v>1869</v>
      </c>
      <c r="J1551" s="1" t="s">
        <v>2352</v>
      </c>
      <c r="K1551" s="1" t="s">
        <v>151</v>
      </c>
      <c r="L1551" s="1" t="s">
        <v>103</v>
      </c>
      <c r="M1551" s="1" t="s">
        <v>6060</v>
      </c>
      <c r="N1551" s="1" t="s">
        <v>17540</v>
      </c>
      <c r="O1551" s="1" t="s">
        <v>9794</v>
      </c>
      <c r="P1551" s="1" t="s">
        <v>21734</v>
      </c>
      <c r="Q1551" s="1" t="s">
        <v>347</v>
      </c>
      <c r="R1551" s="1" t="s">
        <v>3835</v>
      </c>
      <c r="S1551" s="1" t="s">
        <v>2181</v>
      </c>
      <c r="Z1551" s="1" t="s">
        <v>23674</v>
      </c>
      <c r="AA1551" s="10">
        <v>1800000.0</v>
      </c>
      <c r="AB1551" s="1" t="s">
        <v>23675</v>
      </c>
      <c r="AC1551" s="10">
        <v>1800000.0</v>
      </c>
      <c r="AD1551" s="1" t="s">
        <v>23676</v>
      </c>
      <c r="AE1551" s="1" t="s">
        <v>23677</v>
      </c>
      <c r="AF1551" s="1" t="s">
        <v>21328</v>
      </c>
      <c r="AH1551" s="1">
        <v>1.340018102334E12</v>
      </c>
      <c r="AI1551" s="1" t="s">
        <v>2119</v>
      </c>
      <c r="AJ1551" s="1">
        <v>172.0</v>
      </c>
      <c r="AK1551" s="1">
        <v>70.0</v>
      </c>
      <c r="AL1551" s="1" t="s">
        <v>23678</v>
      </c>
      <c r="AM1551" s="1" t="s">
        <v>23679</v>
      </c>
      <c r="AN1551" s="7" t="s">
        <v>23680</v>
      </c>
      <c r="AO1551" s="8" t="str">
        <f>HYPERLINK("https://docs.google.com/document/d/1ZHpccY_h1RlJU9DG3PEG3DM3mFiqBPRPs6GVM1REl5g/edit?usp=drivesdk","Al-Wildan 23 SEMARANG_Albert Rizqullah Palasara Suherman_Physical Education")</f>
        <v>Al-Wildan 23 SEMARANG_Albert Rizqullah Palasara Suherman_Physical Education</v>
      </c>
      <c r="AP1551" s="1" t="s">
        <v>23681</v>
      </c>
    </row>
    <row r="1552">
      <c r="A1552" s="6">
        <v>46212.538521608796</v>
      </c>
      <c r="B1552" s="7" t="s">
        <v>23682</v>
      </c>
      <c r="C1552" s="8" t="s">
        <v>23683</v>
      </c>
      <c r="D1552" s="1" t="s">
        <v>23684</v>
      </c>
      <c r="E1552" s="9" t="s">
        <v>23685</v>
      </c>
      <c r="F1552" s="1" t="s">
        <v>23686</v>
      </c>
      <c r="G1552" s="1" t="s">
        <v>23687</v>
      </c>
      <c r="H1552" s="1" t="s">
        <v>7750</v>
      </c>
      <c r="I1552" s="9" t="s">
        <v>23688</v>
      </c>
      <c r="J1552" s="1" t="s">
        <v>23689</v>
      </c>
      <c r="K1552" s="1" t="s">
        <v>102</v>
      </c>
      <c r="L1552" s="1" t="s">
        <v>256</v>
      </c>
      <c r="M1552" s="1" t="s">
        <v>104</v>
      </c>
      <c r="N1552" s="1" t="s">
        <v>152</v>
      </c>
      <c r="O1552" s="1" t="s">
        <v>236</v>
      </c>
      <c r="P1552" s="1" t="s">
        <v>5712</v>
      </c>
      <c r="Q1552" s="1" t="s">
        <v>23690</v>
      </c>
      <c r="R1552" s="1" t="s">
        <v>23691</v>
      </c>
      <c r="S1552" s="1" t="s">
        <v>19734</v>
      </c>
      <c r="T1552" s="1" t="s">
        <v>6011</v>
      </c>
      <c r="U1552" s="1" t="s">
        <v>23692</v>
      </c>
      <c r="V1552" s="1" t="s">
        <v>5399</v>
      </c>
      <c r="W1552" s="1" t="s">
        <v>6011</v>
      </c>
      <c r="X1552" s="1" t="s">
        <v>23693</v>
      </c>
      <c r="Y1552" s="1" t="s">
        <v>5399</v>
      </c>
      <c r="Z1552" s="1" t="s">
        <v>23694</v>
      </c>
      <c r="AA1552" s="10">
        <v>1.2E7</v>
      </c>
      <c r="AF1552" s="10">
        <v>1.2E7</v>
      </c>
      <c r="AG1552" s="1">
        <v>4.88100827E9</v>
      </c>
      <c r="AI1552" s="1" t="s">
        <v>4856</v>
      </c>
      <c r="AJ1552" s="1">
        <v>173.0</v>
      </c>
      <c r="AK1552" s="1">
        <v>74.0</v>
      </c>
      <c r="AL1552" s="1" t="s">
        <v>23695</v>
      </c>
      <c r="AM1552" s="1" t="s">
        <v>23696</v>
      </c>
      <c r="AN1552" s="7" t="s">
        <v>23697</v>
      </c>
      <c r="AO1552" s="8" t="str">
        <f>HYPERLINK("https://docs.google.com/document/d/1udkqbHI1hTYk7F-HuHjseoPMXYrnksp0Ik-d64YcAWw/edit?usp=drivesdk","Al-Wildan 3 BSD City_Dr. Zefki Okta Feri, S.Pd.I., M.Pd._Bahasa Inggris")</f>
        <v>Al-Wildan 3 BSD City_Dr. Zefki Okta Feri, S.Pd.I., M.Pd._Bahasa Inggris</v>
      </c>
      <c r="AP1552" s="1" t="s">
        <v>23698</v>
      </c>
    </row>
    <row r="1553">
      <c r="A1553" s="6">
        <v>46213.606210451384</v>
      </c>
      <c r="B1553" s="7" t="s">
        <v>23699</v>
      </c>
      <c r="C1553" s="8" t="s">
        <v>23700</v>
      </c>
      <c r="D1553" s="1" t="s">
        <v>23701</v>
      </c>
      <c r="E1553" s="9" t="s">
        <v>23702</v>
      </c>
      <c r="F1553" s="1">
        <v>3.27507210396001E15</v>
      </c>
      <c r="G1553" s="1" t="s">
        <v>23703</v>
      </c>
      <c r="H1553" s="1" t="s">
        <v>148</v>
      </c>
      <c r="I1553" s="9" t="s">
        <v>23704</v>
      </c>
      <c r="J1553" s="1" t="s">
        <v>23705</v>
      </c>
      <c r="K1553" s="1" t="s">
        <v>151</v>
      </c>
      <c r="L1553" s="1" t="s">
        <v>103</v>
      </c>
      <c r="M1553" s="1" t="s">
        <v>104</v>
      </c>
      <c r="N1553" s="1" t="s">
        <v>23706</v>
      </c>
      <c r="O1553" s="1" t="s">
        <v>312</v>
      </c>
      <c r="P1553" s="1" t="s">
        <v>7991</v>
      </c>
      <c r="Q1553" s="1" t="s">
        <v>23707</v>
      </c>
      <c r="R1553" s="1" t="s">
        <v>23708</v>
      </c>
      <c r="S1553" s="1" t="s">
        <v>23709</v>
      </c>
      <c r="Z1553" s="1" t="s">
        <v>23710</v>
      </c>
      <c r="AA1553" s="10">
        <v>3800000.0</v>
      </c>
      <c r="AB1553" s="1" t="s">
        <v>23711</v>
      </c>
      <c r="AC1553" s="10">
        <v>4500000.0</v>
      </c>
      <c r="AF1553" s="1" t="s">
        <v>6769</v>
      </c>
      <c r="AH1553" s="1">
        <v>2.035846482E9</v>
      </c>
      <c r="AI1553" s="1" t="s">
        <v>159</v>
      </c>
      <c r="AJ1553" s="1">
        <v>168.0</v>
      </c>
      <c r="AK1553" s="1">
        <v>98.0</v>
      </c>
      <c r="AL1553" s="1" t="s">
        <v>23712</v>
      </c>
      <c r="AM1553" s="1" t="s">
        <v>23713</v>
      </c>
      <c r="AN1553" s="7" t="s">
        <v>23714</v>
      </c>
      <c r="AO1553" s="8" t="str">
        <f>HYPERLINK("https://docs.google.com/document/d/1UR8qG1TyHQrJlKYlx96jdP3iLwhJjJEFJr3ByHang8o/edit?usp=drivesdk","Al-Wildan 12 Bulak Kapal, Bekasi_Ikbal Mirandani, S.Hum., S.Pd., Gr_English, Mathematics, Science")</f>
        <v>Al-Wildan 12 Bulak Kapal, Bekasi_Ikbal Mirandani, S.Hum., S.Pd., Gr_English, Mathematics, Science</v>
      </c>
      <c r="AP1553" s="1" t="s">
        <v>23715</v>
      </c>
    </row>
    <row r="1554">
      <c r="A1554" s="6">
        <v>46214.598443634255</v>
      </c>
      <c r="B1554" s="7" t="s">
        <v>23716</v>
      </c>
      <c r="C1554" s="8" t="s">
        <v>23717</v>
      </c>
      <c r="D1554" s="1" t="s">
        <v>23718</v>
      </c>
      <c r="E1554" s="9" t="s">
        <v>23719</v>
      </c>
      <c r="F1554" s="1" t="s">
        <v>23720</v>
      </c>
      <c r="G1554" s="1" t="s">
        <v>23721</v>
      </c>
      <c r="H1554" s="1" t="s">
        <v>10576</v>
      </c>
      <c r="I1554" s="9" t="s">
        <v>23722</v>
      </c>
      <c r="J1554" s="1" t="s">
        <v>23723</v>
      </c>
      <c r="K1554" s="1" t="s">
        <v>102</v>
      </c>
      <c r="L1554" s="1" t="s">
        <v>103</v>
      </c>
      <c r="M1554" s="1" t="s">
        <v>104</v>
      </c>
      <c r="N1554" s="1" t="s">
        <v>11834</v>
      </c>
      <c r="O1554" s="1" t="s">
        <v>9794</v>
      </c>
      <c r="P1554" s="1" t="s">
        <v>17019</v>
      </c>
      <c r="Q1554" s="1" t="s">
        <v>23724</v>
      </c>
      <c r="R1554" s="1" t="s">
        <v>989</v>
      </c>
      <c r="S1554" s="1" t="s">
        <v>2387</v>
      </c>
      <c r="T1554" s="1" t="s">
        <v>23725</v>
      </c>
      <c r="U1554" s="1" t="s">
        <v>11944</v>
      </c>
      <c r="V1554" s="1" t="s">
        <v>1680</v>
      </c>
      <c r="W1554" s="1" t="s">
        <v>217</v>
      </c>
      <c r="X1554" s="1" t="s">
        <v>217</v>
      </c>
      <c r="Z1554" s="1" t="s">
        <v>23726</v>
      </c>
      <c r="AA1554" s="10">
        <v>2500000.0</v>
      </c>
      <c r="AB1554" s="1" t="s">
        <v>16419</v>
      </c>
      <c r="AC1554" s="10">
        <v>1500000.0</v>
      </c>
      <c r="AF1554" s="10">
        <v>5000000.0</v>
      </c>
      <c r="AH1554" s="1">
        <v>1.610009882122E12</v>
      </c>
      <c r="AI1554" s="1" t="s">
        <v>14426</v>
      </c>
      <c r="AJ1554" s="1">
        <v>172.0</v>
      </c>
      <c r="AK1554" s="1">
        <v>72.0</v>
      </c>
      <c r="AL1554" s="1" t="s">
        <v>23727</v>
      </c>
      <c r="AM1554" s="1" t="s">
        <v>23728</v>
      </c>
      <c r="AN1554" s="7" t="s">
        <v>23729</v>
      </c>
      <c r="AO1554" s="8" t="str">
        <f>HYPERLINK("https://docs.google.com/document/d/1YiyPvt1lgS66rkhYNXH4QYAj95OlYHvunz6dAdqMvcI/edit?usp=drivesdk","Al-Wildan 20 Mataram_Januari Rizka Aditya R., S. Pd., M. Sc. _Biologi/IPA")</f>
        <v>Al-Wildan 20 Mataram_Januari Rizka Aditya R., S. Pd., M. Sc. _Biologi/IPA</v>
      </c>
      <c r="AP1554" s="1" t="s">
        <v>23730</v>
      </c>
    </row>
    <row r="1555">
      <c r="A1555" s="6">
        <v>46215.78977815973</v>
      </c>
      <c r="B1555" s="7" t="s">
        <v>23731</v>
      </c>
      <c r="C1555" s="8" t="s">
        <v>23732</v>
      </c>
      <c r="D1555" s="1" t="s">
        <v>23733</v>
      </c>
      <c r="E1555" s="9" t="s">
        <v>23734</v>
      </c>
      <c r="F1555" s="1" t="s">
        <v>23735</v>
      </c>
      <c r="G1555" s="1" t="s">
        <v>23736</v>
      </c>
      <c r="H1555" s="1" t="s">
        <v>23737</v>
      </c>
      <c r="I1555" s="9" t="s">
        <v>23738</v>
      </c>
      <c r="J1555" s="1" t="s">
        <v>23739</v>
      </c>
      <c r="K1555" s="1" t="s">
        <v>151</v>
      </c>
      <c r="L1555" s="1" t="s">
        <v>827</v>
      </c>
      <c r="M1555" s="1" t="s">
        <v>104</v>
      </c>
      <c r="N1555" s="1" t="s">
        <v>23740</v>
      </c>
      <c r="O1555" s="1" t="s">
        <v>9794</v>
      </c>
      <c r="P1555" s="1" t="s">
        <v>21734</v>
      </c>
      <c r="Q1555" s="1" t="s">
        <v>23741</v>
      </c>
      <c r="R1555" s="1" t="s">
        <v>238</v>
      </c>
      <c r="S1555" s="1" t="s">
        <v>23742</v>
      </c>
      <c r="T1555" s="1" t="s">
        <v>217</v>
      </c>
      <c r="U1555" s="1" t="s">
        <v>217</v>
      </c>
      <c r="V1555" s="1" t="s">
        <v>217</v>
      </c>
      <c r="W1555" s="1" t="s">
        <v>217</v>
      </c>
      <c r="X1555" s="1" t="s">
        <v>217</v>
      </c>
      <c r="Y1555" s="1">
        <v>0.0</v>
      </c>
      <c r="Z1555" s="1" t="s">
        <v>23743</v>
      </c>
      <c r="AA1555" s="10">
        <v>1750000.0</v>
      </c>
      <c r="AB1555" s="1" t="s">
        <v>217</v>
      </c>
      <c r="AC1555" s="1" t="s">
        <v>217</v>
      </c>
      <c r="AD1555" s="1" t="s">
        <v>217</v>
      </c>
      <c r="AE1555" s="1" t="s">
        <v>217</v>
      </c>
      <c r="AF1555" s="1" t="s">
        <v>217</v>
      </c>
      <c r="AG1555" s="1">
        <v>7.348755239E9</v>
      </c>
      <c r="AH1555" s="1">
        <v>0.0</v>
      </c>
      <c r="AI1555" s="1" t="s">
        <v>5113</v>
      </c>
      <c r="AJ1555" s="1">
        <v>155.0</v>
      </c>
      <c r="AK1555" s="1">
        <v>48.0</v>
      </c>
      <c r="AL1555" s="1" t="s">
        <v>23744</v>
      </c>
      <c r="AM1555" s="1" t="s">
        <v>23745</v>
      </c>
      <c r="AN1555" s="7" t="s">
        <v>23746</v>
      </c>
      <c r="AO1555" s="8" t="str">
        <f>HYPERLINK("https://docs.google.com/document/d/1vDX-mWcoWanRkzXsCOdw57YfJaY9kGt-KFzxiLt-D3E/edit?usp=drivesdk","Al-Wildan 23 SEMARANG_ZULFA ALIYA _Hadist, Qur'an ")</f>
        <v>Al-Wildan 23 SEMARANG_ZULFA ALIYA _Hadist, Qur'an </v>
      </c>
      <c r="AP1555" s="1" t="s">
        <v>23747</v>
      </c>
    </row>
    <row r="1556">
      <c r="A1556" s="6">
        <v>46215.797243043984</v>
      </c>
      <c r="B1556" s="7" t="s">
        <v>23748</v>
      </c>
      <c r="C1556" s="8" t="s">
        <v>23749</v>
      </c>
      <c r="D1556" s="1" t="s">
        <v>23750</v>
      </c>
      <c r="E1556" s="9" t="s">
        <v>23751</v>
      </c>
      <c r="F1556" s="1" t="s">
        <v>23752</v>
      </c>
      <c r="G1556" s="1" t="s">
        <v>23753</v>
      </c>
      <c r="H1556" s="1" t="s">
        <v>23754</v>
      </c>
      <c r="I1556" s="9" t="s">
        <v>23755</v>
      </c>
      <c r="J1556" s="1" t="s">
        <v>23756</v>
      </c>
      <c r="K1556" s="1" t="s">
        <v>151</v>
      </c>
      <c r="L1556" s="1" t="s">
        <v>103</v>
      </c>
      <c r="M1556" s="1" t="s">
        <v>104</v>
      </c>
      <c r="N1556" s="1" t="s">
        <v>23757</v>
      </c>
      <c r="O1556" s="1" t="s">
        <v>127</v>
      </c>
      <c r="P1556" s="1" t="s">
        <v>21734</v>
      </c>
      <c r="Q1556" s="1" t="s">
        <v>23758</v>
      </c>
      <c r="R1556" s="1" t="s">
        <v>23759</v>
      </c>
      <c r="S1556" s="1" t="s">
        <v>6418</v>
      </c>
      <c r="Z1556" s="1" t="s">
        <v>23760</v>
      </c>
      <c r="AA1556" s="10">
        <v>3500000.0</v>
      </c>
      <c r="AB1556" s="1" t="s">
        <v>23761</v>
      </c>
      <c r="AC1556" s="10">
        <v>700000.0</v>
      </c>
      <c r="AF1556" s="10">
        <v>3800000.0</v>
      </c>
      <c r="AH1556" s="1">
        <v>1.846983285E9</v>
      </c>
      <c r="AI1556" s="1" t="s">
        <v>445</v>
      </c>
      <c r="AJ1556" s="1">
        <v>150.0</v>
      </c>
      <c r="AK1556" s="1">
        <v>49.0</v>
      </c>
      <c r="AL1556" s="1" t="s">
        <v>23762</v>
      </c>
      <c r="AM1556" s="1" t="s">
        <v>23763</v>
      </c>
      <c r="AN1556" s="7" t="s">
        <v>23764</v>
      </c>
      <c r="AO1556" s="8" t="str">
        <f>HYPERLINK("https://docs.google.com/document/d/1lOgLD7kUXglMUlqorCbaO5kIUVV8usvDeOPfJrNPY-s/edit?usp=drivesdk","Al-Wildan 23 SEMARANG_Nala Izzul Muna, S.Pd. _Chemistry ")</f>
        <v>Al-Wildan 23 SEMARANG_Nala Izzul Muna, S.Pd. _Chemistry </v>
      </c>
      <c r="AP1556" s="1" t="s">
        <v>23765</v>
      </c>
    </row>
    <row r="1557">
      <c r="A1557" s="6">
        <v>46215.809196076385</v>
      </c>
      <c r="B1557" s="7" t="s">
        <v>23766</v>
      </c>
      <c r="C1557" s="8" t="s">
        <v>23767</v>
      </c>
      <c r="D1557" s="1" t="s">
        <v>23768</v>
      </c>
      <c r="E1557" s="9" t="s">
        <v>23769</v>
      </c>
      <c r="F1557" s="1" t="s">
        <v>23770</v>
      </c>
      <c r="G1557" s="1" t="s">
        <v>23771</v>
      </c>
      <c r="H1557" s="1" t="s">
        <v>23772</v>
      </c>
      <c r="I1557" s="9" t="s">
        <v>23773</v>
      </c>
      <c r="J1557" s="1" t="s">
        <v>4311</v>
      </c>
      <c r="K1557" s="1" t="s">
        <v>102</v>
      </c>
      <c r="L1557" s="1" t="s">
        <v>329</v>
      </c>
      <c r="M1557" s="1" t="s">
        <v>104</v>
      </c>
      <c r="N1557" s="1" t="s">
        <v>23774</v>
      </c>
      <c r="O1557" s="1" t="s">
        <v>127</v>
      </c>
      <c r="P1557" s="1" t="s">
        <v>5712</v>
      </c>
      <c r="Q1557" s="1" t="s">
        <v>10945</v>
      </c>
      <c r="R1557" s="1" t="s">
        <v>23775</v>
      </c>
      <c r="S1557" s="1" t="s">
        <v>363</v>
      </c>
      <c r="T1557" s="1" t="s">
        <v>23776</v>
      </c>
      <c r="U1557" s="1" t="s">
        <v>23777</v>
      </c>
      <c r="V1557" s="1" t="s">
        <v>363</v>
      </c>
      <c r="Z1557" s="1" t="s">
        <v>23778</v>
      </c>
      <c r="AA1557" s="1" t="s">
        <v>23779</v>
      </c>
      <c r="AB1557" s="1" t="s">
        <v>23780</v>
      </c>
      <c r="AC1557" s="1" t="s">
        <v>23781</v>
      </c>
      <c r="AF1557" s="1" t="s">
        <v>23782</v>
      </c>
      <c r="AG1557" s="1">
        <v>8.66950821E9</v>
      </c>
      <c r="AJ1557" s="1">
        <v>172.0</v>
      </c>
      <c r="AK1557" s="1">
        <v>78.0</v>
      </c>
      <c r="AL1557" s="1" t="s">
        <v>23783</v>
      </c>
      <c r="AM1557" s="1" t="s">
        <v>23784</v>
      </c>
      <c r="AN1557" s="7" t="s">
        <v>23785</v>
      </c>
      <c r="AO1557" s="8" t="str">
        <f>HYPERLINK("https://docs.google.com/document/d/1FWKzZ4mogIy3QR-_avCpTmCHSeoxBu0NZGjHWzC-sAU/edit?usp=drivesdk","Al-Wildan 3 BSD City_Muhammad Siswantoro, S.Si., M.Sc._Biologi, Kimia, Fisika, English")</f>
        <v>Al-Wildan 3 BSD City_Muhammad Siswantoro, S.Si., M.Sc._Biologi, Kimia, Fisika, English</v>
      </c>
      <c r="AP1557" s="1" t="s">
        <v>23786</v>
      </c>
    </row>
    <row r="1558">
      <c r="A1558" s="6">
        <v>46216.48505059028</v>
      </c>
      <c r="B1558" s="7" t="s">
        <v>23787</v>
      </c>
      <c r="C1558" s="8" t="s">
        <v>23788</v>
      </c>
      <c r="D1558" s="1" t="s">
        <v>23789</v>
      </c>
      <c r="E1558" s="9" t="s">
        <v>23790</v>
      </c>
      <c r="F1558" s="1" t="s">
        <v>23791</v>
      </c>
      <c r="G1558" s="1" t="s">
        <v>23792</v>
      </c>
      <c r="H1558" s="1" t="s">
        <v>23793</v>
      </c>
      <c r="I1558" s="9" t="s">
        <v>20855</v>
      </c>
      <c r="J1558" s="1">
        <v>27.0</v>
      </c>
      <c r="K1558" s="1" t="s">
        <v>102</v>
      </c>
      <c r="L1558" s="1" t="s">
        <v>103</v>
      </c>
      <c r="M1558" s="1" t="s">
        <v>104</v>
      </c>
      <c r="N1558" s="1" t="s">
        <v>23794</v>
      </c>
      <c r="O1558" s="1" t="s">
        <v>9794</v>
      </c>
      <c r="P1558" s="1" t="s">
        <v>5712</v>
      </c>
      <c r="Q1558" s="1" t="s">
        <v>23795</v>
      </c>
      <c r="R1558" s="1" t="s">
        <v>12617</v>
      </c>
      <c r="S1558" s="9" t="s">
        <v>23796</v>
      </c>
      <c r="Z1558" s="1" t="s">
        <v>23797</v>
      </c>
      <c r="AA1558" s="10">
        <v>400000.0</v>
      </c>
      <c r="AB1558" s="1" t="s">
        <v>2231</v>
      </c>
      <c r="AC1558" s="1" t="s">
        <v>23798</v>
      </c>
      <c r="AD1558" s="1" t="s">
        <v>23799</v>
      </c>
      <c r="AE1558" s="10">
        <v>2000000.0</v>
      </c>
      <c r="AF1558" s="10">
        <v>5300000.0</v>
      </c>
      <c r="AG1558" s="1">
        <v>7.62929795E9</v>
      </c>
      <c r="AI1558" s="1" t="s">
        <v>23800</v>
      </c>
      <c r="AJ1558" s="1">
        <v>175.0</v>
      </c>
      <c r="AK1558" s="1">
        <v>53.0</v>
      </c>
      <c r="AL1558" s="1" t="s">
        <v>23801</v>
      </c>
      <c r="AM1558" s="1" t="s">
        <v>23802</v>
      </c>
      <c r="AN1558" s="7" t="s">
        <v>23803</v>
      </c>
      <c r="AO1558" s="8" t="str">
        <f>HYPERLINK("https://docs.google.com/document/d/1A_PfVtOcYtcV-10n10BYvQerWnrMv5fd5MugnEQZR2k/edit?usp=drivesdk","Al-Wildan 3 BSD City_Moh. Nasrulloh, B.A_ADA (AL-QUR'AN, DINIYAH, ARABIC)")</f>
        <v>Al-Wildan 3 BSD City_Moh. Nasrulloh, B.A_ADA (AL-QUR'AN, DINIYAH, ARABIC)</v>
      </c>
      <c r="AP1558" s="1" t="s">
        <v>23804</v>
      </c>
    </row>
    <row r="1559">
      <c r="A1559" s="6">
        <v>46216.77363946759</v>
      </c>
      <c r="B1559" s="7" t="s">
        <v>23805</v>
      </c>
      <c r="C1559" s="8" t="s">
        <v>23806</v>
      </c>
      <c r="D1559" s="1" t="s">
        <v>23807</v>
      </c>
      <c r="E1559" s="9" t="s">
        <v>23808</v>
      </c>
      <c r="F1559" s="1" t="s">
        <v>23809</v>
      </c>
      <c r="G1559" s="1" t="s">
        <v>23810</v>
      </c>
      <c r="H1559" s="1" t="s">
        <v>169</v>
      </c>
      <c r="I1559" s="9" t="s">
        <v>23811</v>
      </c>
      <c r="J1559" s="1" t="s">
        <v>6658</v>
      </c>
      <c r="K1559" s="1" t="s">
        <v>102</v>
      </c>
      <c r="L1559" s="1" t="s">
        <v>103</v>
      </c>
      <c r="M1559" s="1" t="s">
        <v>424</v>
      </c>
      <c r="O1559" s="1" t="s">
        <v>236</v>
      </c>
      <c r="P1559" s="1" t="s">
        <v>5712</v>
      </c>
      <c r="Q1559" s="1" t="s">
        <v>2583</v>
      </c>
      <c r="R1559" s="1" t="s">
        <v>425</v>
      </c>
      <c r="S1559" s="1" t="s">
        <v>3719</v>
      </c>
      <c r="Z1559" s="1" t="s">
        <v>23812</v>
      </c>
      <c r="AA1559" s="10">
        <v>4550000.0</v>
      </c>
      <c r="AF1559" s="1" t="s">
        <v>23813</v>
      </c>
      <c r="AH1559" s="1">
        <v>6.640339304E9</v>
      </c>
      <c r="AI1559" s="1" t="s">
        <v>14192</v>
      </c>
      <c r="AJ1559" s="1">
        <v>170.0</v>
      </c>
      <c r="AK1559" s="1">
        <v>53.0</v>
      </c>
      <c r="AL1559" s="1" t="s">
        <v>23814</v>
      </c>
      <c r="AM1559" s="1" t="s">
        <v>23815</v>
      </c>
      <c r="AN1559" s="7" t="s">
        <v>23816</v>
      </c>
      <c r="AO1559" s="8" t="str">
        <f>HYPERLINK("https://docs.google.com/document/d/1vhllfw-_Rpp_umo4ak16lGWTH31lH41qr10n7oQ7iWU/edit?usp=drivesdk","Al-Wildan 3 BSD City_Farhan Setiawan, S.Pd._")</f>
        <v>Al-Wildan 3 BSD City_Farhan Setiawan, S.Pd._</v>
      </c>
      <c r="AP1559" s="1" t="s">
        <v>23817</v>
      </c>
    </row>
    <row r="1560">
      <c r="A1560" s="6">
        <v>46218.72115677083</v>
      </c>
      <c r="B1560" s="7" t="s">
        <v>23818</v>
      </c>
      <c r="C1560" s="8" t="s">
        <v>23819</v>
      </c>
      <c r="D1560" s="1" t="s">
        <v>23820</v>
      </c>
      <c r="E1560" s="9" t="s">
        <v>23821</v>
      </c>
      <c r="F1560" s="1" t="s">
        <v>23822</v>
      </c>
      <c r="G1560" s="1" t="s">
        <v>23823</v>
      </c>
      <c r="H1560" s="1" t="s">
        <v>23824</v>
      </c>
      <c r="I1560" s="9" t="s">
        <v>23825</v>
      </c>
      <c r="J1560" s="1">
        <v>29.9</v>
      </c>
      <c r="K1560" s="1" t="s">
        <v>151</v>
      </c>
      <c r="L1560" s="1" t="s">
        <v>103</v>
      </c>
      <c r="M1560" s="1" t="s">
        <v>104</v>
      </c>
      <c r="N1560" s="1" t="s">
        <v>9137</v>
      </c>
      <c r="O1560" s="1" t="s">
        <v>236</v>
      </c>
      <c r="P1560" s="1" t="s">
        <v>7162</v>
      </c>
      <c r="Q1560" s="1" t="s">
        <v>23826</v>
      </c>
      <c r="R1560" s="1" t="s">
        <v>8733</v>
      </c>
      <c r="S1560" s="1" t="s">
        <v>2465</v>
      </c>
      <c r="Z1560" s="1" t="s">
        <v>9137</v>
      </c>
      <c r="AA1560" s="1" t="s">
        <v>3759</v>
      </c>
      <c r="AF1560" s="1" t="s">
        <v>3759</v>
      </c>
      <c r="AH1560" s="1">
        <v>4.731806068E9</v>
      </c>
      <c r="AI1560" s="1" t="s">
        <v>23827</v>
      </c>
      <c r="AJ1560" s="1">
        <v>182.0</v>
      </c>
      <c r="AK1560" s="1">
        <v>77.0</v>
      </c>
      <c r="AL1560" s="1" t="s">
        <v>23828</v>
      </c>
      <c r="AM1560" s="1" t="s">
        <v>23829</v>
      </c>
      <c r="AN1560" s="7" t="s">
        <v>23830</v>
      </c>
      <c r="AO1560" s="8" t="str">
        <f>HYPERLINK("https://docs.google.com/document/d/1Eu-pRg36StJX7c9T0or2xojf07X83u6YrvdaOh2SV28/edit?usp=drivesdk","Al-Wildan 7 Serang_Mutassim Abdullah Mohamed Adam_English Teacher")</f>
        <v>Al-Wildan 7 Serang_Mutassim Abdullah Mohamed Adam_English Teacher</v>
      </c>
      <c r="AP1560" s="1" t="s">
        <v>23831</v>
      </c>
    </row>
    <row r="1561">
      <c r="A1561" s="6">
        <v>46219.384510625</v>
      </c>
      <c r="B1561" s="7" t="s">
        <v>23832</v>
      </c>
      <c r="C1561" s="8" t="s">
        <v>23833</v>
      </c>
      <c r="D1561" s="1" t="s">
        <v>23834</v>
      </c>
      <c r="E1561" s="9" t="s">
        <v>23835</v>
      </c>
      <c r="F1561" s="1" t="s">
        <v>23836</v>
      </c>
      <c r="G1561" s="1" t="s">
        <v>23837</v>
      </c>
      <c r="H1561" s="1" t="s">
        <v>11881</v>
      </c>
      <c r="I1561" s="9" t="s">
        <v>23838</v>
      </c>
      <c r="J1561" s="1" t="s">
        <v>23839</v>
      </c>
      <c r="K1561" s="1" t="s">
        <v>102</v>
      </c>
      <c r="L1561" s="1" t="s">
        <v>310</v>
      </c>
      <c r="M1561" s="1" t="s">
        <v>104</v>
      </c>
      <c r="N1561" s="1" t="s">
        <v>9388</v>
      </c>
      <c r="O1561" s="1" t="s">
        <v>312</v>
      </c>
      <c r="P1561" s="1" t="s">
        <v>237</v>
      </c>
      <c r="Q1561" s="1" t="s">
        <v>9389</v>
      </c>
      <c r="R1561" s="1" t="s">
        <v>9390</v>
      </c>
      <c r="S1561" s="1">
        <v>3.3</v>
      </c>
      <c r="Z1561" s="1" t="s">
        <v>23840</v>
      </c>
      <c r="AA1561" s="10">
        <v>8000000.0</v>
      </c>
      <c r="AB1561" s="1" t="s">
        <v>23841</v>
      </c>
      <c r="AC1561" s="10">
        <v>1.0E7</v>
      </c>
      <c r="AF1561" s="10">
        <v>1.45E7</v>
      </c>
      <c r="AH1561" s="1">
        <v>7.621309667E11</v>
      </c>
      <c r="AI1561" s="1" t="s">
        <v>23842</v>
      </c>
      <c r="AJ1561" s="1">
        <v>165.0</v>
      </c>
      <c r="AK1561" s="1">
        <v>56.0</v>
      </c>
      <c r="AL1561" s="1" t="s">
        <v>23843</v>
      </c>
      <c r="AM1561" s="1" t="s">
        <v>23844</v>
      </c>
      <c r="AN1561" s="7" t="s">
        <v>23845</v>
      </c>
      <c r="AO1561" s="8" t="str">
        <f>HYPERLINK("https://docs.google.com/document/d/1LoKN4ZXakvca8eophl_7MHvUb8ildT5yJsi_X0iMWTU/edit?usp=drivesdk","Al-Wildan 4 Lebak Bulus_Fahrurozi _English ")</f>
        <v>Al-Wildan 4 Lebak Bulus_Fahrurozi _English </v>
      </c>
      <c r="AP1561" s="1" t="s">
        <v>23846</v>
      </c>
    </row>
    <row r="1562">
      <c r="A1562" s="6">
        <v>46221.37151960648</v>
      </c>
      <c r="B1562" s="7" t="s">
        <v>23847</v>
      </c>
      <c r="C1562" s="8" t="s">
        <v>23848</v>
      </c>
      <c r="D1562" s="1" t="s">
        <v>23849</v>
      </c>
      <c r="E1562" s="9" t="s">
        <v>23850</v>
      </c>
      <c r="F1562" s="1" t="s">
        <v>23851</v>
      </c>
      <c r="G1562" s="1" t="s">
        <v>23852</v>
      </c>
      <c r="H1562" s="1" t="s">
        <v>169</v>
      </c>
      <c r="I1562" s="9" t="s">
        <v>23853</v>
      </c>
      <c r="J1562" s="1" t="s">
        <v>724</v>
      </c>
      <c r="K1562" s="1" t="s">
        <v>102</v>
      </c>
      <c r="L1562" s="1" t="s">
        <v>103</v>
      </c>
      <c r="M1562" s="1" t="s">
        <v>104</v>
      </c>
      <c r="N1562" s="1" t="s">
        <v>23854</v>
      </c>
      <c r="O1562" s="1" t="s">
        <v>312</v>
      </c>
      <c r="P1562" s="1" t="s">
        <v>6533</v>
      </c>
      <c r="Q1562" s="1" t="s">
        <v>15088</v>
      </c>
      <c r="R1562" s="1" t="s">
        <v>2355</v>
      </c>
      <c r="S1562" s="9" t="s">
        <v>16743</v>
      </c>
      <c r="Z1562" s="1" t="s">
        <v>23855</v>
      </c>
      <c r="AA1562" s="10">
        <v>1500000.0</v>
      </c>
      <c r="AB1562" s="1" t="s">
        <v>23856</v>
      </c>
      <c r="AC1562" s="10">
        <v>700000.0</v>
      </c>
      <c r="AD1562" s="1" t="s">
        <v>23857</v>
      </c>
      <c r="AE1562" s="10">
        <v>3000000.0</v>
      </c>
      <c r="AF1562" s="10">
        <v>3000000.0</v>
      </c>
      <c r="AG1562" s="1">
        <v>7.202740337E9</v>
      </c>
      <c r="AJ1562" s="1">
        <v>165.0</v>
      </c>
      <c r="AK1562" s="1">
        <v>52.0</v>
      </c>
      <c r="AL1562" s="1" t="s">
        <v>23858</v>
      </c>
      <c r="AM1562" s="1" t="s">
        <v>23859</v>
      </c>
      <c r="AN1562" s="7" t="s">
        <v>23860</v>
      </c>
      <c r="AO1562" s="8" t="str">
        <f>HYPERLINK("https://docs.google.com/document/d/1HauTcb5HtSA53CQVTJ8qlasVvp7ICLMf4jHlEmmh1IY/edit?usp=drivesdk","Al-Wildan 5 Benhil_Rifki Nurfaizi, S.Pd._Arabic Diniyah Al Quran")</f>
        <v>Al-Wildan 5 Benhil_Rifki Nurfaizi, S.Pd._Arabic Diniyah Al Quran</v>
      </c>
      <c r="AP1562" s="1" t="s">
        <v>23861</v>
      </c>
    </row>
    <row r="1563">
      <c r="A1563" s="6">
        <v>46221.562373125</v>
      </c>
      <c r="B1563" s="7" t="s">
        <v>23862</v>
      </c>
      <c r="C1563" s="8" t="s">
        <v>23863</v>
      </c>
      <c r="D1563" s="1" t="s">
        <v>23864</v>
      </c>
      <c r="E1563" s="9" t="s">
        <v>23865</v>
      </c>
      <c r="F1563" s="1" t="s">
        <v>23866</v>
      </c>
      <c r="G1563" s="1" t="s">
        <v>23867</v>
      </c>
      <c r="H1563" s="1" t="s">
        <v>169</v>
      </c>
      <c r="I1563" s="9" t="s">
        <v>23868</v>
      </c>
      <c r="J1563" s="1" t="s">
        <v>6398</v>
      </c>
      <c r="K1563" s="1" t="s">
        <v>151</v>
      </c>
      <c r="L1563" s="1" t="s">
        <v>103</v>
      </c>
      <c r="M1563" s="1" t="s">
        <v>104</v>
      </c>
      <c r="N1563" s="1" t="s">
        <v>152</v>
      </c>
      <c r="O1563" s="1" t="s">
        <v>312</v>
      </c>
      <c r="P1563" s="1" t="s">
        <v>237</v>
      </c>
      <c r="Q1563" s="1" t="s">
        <v>649</v>
      </c>
      <c r="R1563" s="1" t="s">
        <v>172</v>
      </c>
      <c r="S1563" s="1" t="s">
        <v>1524</v>
      </c>
      <c r="Z1563" s="1" t="s">
        <v>23869</v>
      </c>
      <c r="AA1563" s="10">
        <v>4000000.0</v>
      </c>
      <c r="AB1563" s="1" t="s">
        <v>23870</v>
      </c>
      <c r="AC1563" s="10">
        <v>4000000.0</v>
      </c>
      <c r="AF1563" s="10">
        <v>4000000.0</v>
      </c>
      <c r="AG1563" s="1">
        <v>7.330829936E9</v>
      </c>
      <c r="AJ1563" s="1">
        <v>178.0</v>
      </c>
      <c r="AK1563" s="1">
        <v>48.0</v>
      </c>
      <c r="AL1563" s="1" t="s">
        <v>23871</v>
      </c>
      <c r="AM1563" s="1" t="s">
        <v>23872</v>
      </c>
      <c r="AN1563" s="7" t="s">
        <v>23873</v>
      </c>
      <c r="AO1563" s="8" t="str">
        <f>HYPERLINK("https://docs.google.com/document/d/1liU8gv7AQG7FaJYoZ940GENvZ5v6eVq-XEXNwxNfaoM/edit?usp=drivesdk","Al-Wildan 4 Lebak Bulus_Rifqi Nur Hadi, S.Pd_Bahasa Inggris")</f>
        <v>Al-Wildan 4 Lebak Bulus_Rifqi Nur Hadi, S.Pd_Bahasa Inggris</v>
      </c>
      <c r="AP1563" s="1" t="s">
        <v>23874</v>
      </c>
    </row>
    <row r="1564">
      <c r="A1564" s="6">
        <v>46222.6312334838</v>
      </c>
      <c r="B1564" s="7" t="s">
        <v>23875</v>
      </c>
      <c r="C1564" s="8" t="s">
        <v>23876</v>
      </c>
      <c r="D1564" s="1" t="s">
        <v>23877</v>
      </c>
      <c r="E1564" s="9" t="s">
        <v>23878</v>
      </c>
      <c r="F1564" s="1" t="s">
        <v>23879</v>
      </c>
      <c r="G1564" s="1" t="s">
        <v>23880</v>
      </c>
      <c r="H1564" s="1" t="s">
        <v>14608</v>
      </c>
      <c r="I1564" s="9" t="s">
        <v>23881</v>
      </c>
      <c r="J1564" s="1" t="s">
        <v>2754</v>
      </c>
      <c r="K1564" s="1" t="s">
        <v>151</v>
      </c>
      <c r="L1564" s="1" t="s">
        <v>256</v>
      </c>
      <c r="M1564" s="1" t="s">
        <v>104</v>
      </c>
      <c r="N1564" s="1" t="s">
        <v>152</v>
      </c>
      <c r="O1564" s="1" t="s">
        <v>9794</v>
      </c>
      <c r="P1564" s="1" t="s">
        <v>6091</v>
      </c>
      <c r="Q1564" s="1" t="s">
        <v>23882</v>
      </c>
      <c r="R1564" s="1" t="s">
        <v>5612</v>
      </c>
      <c r="S1564" s="1" t="s">
        <v>6303</v>
      </c>
      <c r="Z1564" s="1" t="s">
        <v>23883</v>
      </c>
      <c r="AA1564" s="10">
        <v>4000000.0</v>
      </c>
      <c r="AB1564" s="1" t="s">
        <v>23884</v>
      </c>
      <c r="AF1564" s="1" t="s">
        <v>23885</v>
      </c>
      <c r="AG1564" s="1">
        <v>7.202939451E9</v>
      </c>
      <c r="AJ1564" s="1">
        <v>140.0</v>
      </c>
      <c r="AK1564" s="1">
        <v>50.0</v>
      </c>
      <c r="AL1564" s="1" t="s">
        <v>23886</v>
      </c>
      <c r="AM1564" s="1" t="s">
        <v>23887</v>
      </c>
      <c r="AN1564" s="7" t="s">
        <v>23888</v>
      </c>
      <c r="AO1564" s="8" t="str">
        <f>HYPERLINK("https://docs.google.com/document/d/1SGuy3Jfpghe79pJaS-0Eu6f_MG41nChlGfEpSE30FDs/edit?usp=drivesdk","Al-Wildan 10 Cipinang, Jakarta Timur_Ane Anggraeni, S.S., Gr._Bahasa Inggris")</f>
        <v>Al-Wildan 10 Cipinang, Jakarta Timur_Ane Anggraeni, S.S., Gr._Bahasa Inggris</v>
      </c>
      <c r="AP1564" s="1" t="s">
        <v>23889</v>
      </c>
    </row>
    <row r="1565">
      <c r="A1565" s="6">
        <v>46222.72431721065</v>
      </c>
      <c r="B1565" s="7" t="s">
        <v>23890</v>
      </c>
      <c r="C1565" s="8" t="s">
        <v>23891</v>
      </c>
      <c r="D1565" s="1" t="s">
        <v>23892</v>
      </c>
      <c r="E1565" s="9" t="s">
        <v>23893</v>
      </c>
      <c r="F1565" s="1" t="s">
        <v>23894</v>
      </c>
      <c r="G1565" s="1" t="s">
        <v>23895</v>
      </c>
      <c r="H1565" s="1" t="s">
        <v>2350</v>
      </c>
      <c r="I1565" s="9" t="s">
        <v>21356</v>
      </c>
      <c r="J1565" s="1" t="s">
        <v>290</v>
      </c>
      <c r="K1565" s="1" t="s">
        <v>151</v>
      </c>
      <c r="L1565" s="1" t="s">
        <v>256</v>
      </c>
      <c r="M1565" s="1" t="s">
        <v>104</v>
      </c>
      <c r="N1565" s="1" t="s">
        <v>126</v>
      </c>
      <c r="O1565" s="1" t="s">
        <v>106</v>
      </c>
      <c r="P1565" s="1" t="s">
        <v>6091</v>
      </c>
      <c r="Q1565" s="1" t="s">
        <v>23896</v>
      </c>
      <c r="R1565" s="1" t="s">
        <v>126</v>
      </c>
      <c r="S1565" s="1" t="s">
        <v>753</v>
      </c>
      <c r="Z1565" s="1" t="s">
        <v>23897</v>
      </c>
      <c r="AA1565" s="10">
        <v>2800000.0</v>
      </c>
      <c r="AB1565" s="1" t="s">
        <v>23898</v>
      </c>
      <c r="AC1565" s="10">
        <v>500000.0</v>
      </c>
      <c r="AD1565" s="1" t="s">
        <v>23899</v>
      </c>
      <c r="AE1565" s="10">
        <v>2000000.0</v>
      </c>
      <c r="AF1565" s="10">
        <v>7000000.0</v>
      </c>
      <c r="AH1565" s="1">
        <v>1.140016233432E12</v>
      </c>
      <c r="AI1565" s="1" t="s">
        <v>4483</v>
      </c>
      <c r="AJ1565" s="1">
        <v>159.0</v>
      </c>
      <c r="AK1565" s="1">
        <v>65.0</v>
      </c>
      <c r="AL1565" s="1" t="s">
        <v>23900</v>
      </c>
      <c r="AM1565" s="1" t="s">
        <v>23901</v>
      </c>
      <c r="AN1565" s="7" t="s">
        <v>23902</v>
      </c>
      <c r="AO1565" s="8" t="str">
        <f>HYPERLINK("https://docs.google.com/document/d/1V4PyIVWkWy5vVzvpmPvK9N8_vy0pXCwfECVqXfa3IDM/edit?usp=drivesdk","Al-Wildan 10 Cipinang, Jakarta Timur_Sekar Anisa Sely, S.Mat., Gr._Matematika")</f>
        <v>Al-Wildan 10 Cipinang, Jakarta Timur_Sekar Anisa Sely, S.Mat., Gr._Matematika</v>
      </c>
      <c r="AP1565" s="1" t="s">
        <v>23903</v>
      </c>
    </row>
    <row r="1566">
      <c r="A1566" s="6">
        <v>46222.89431524306</v>
      </c>
      <c r="B1566" s="7" t="s">
        <v>23904</v>
      </c>
      <c r="C1566" s="8" t="s">
        <v>23905</v>
      </c>
      <c r="D1566" s="1" t="s">
        <v>23906</v>
      </c>
      <c r="E1566" s="9" t="s">
        <v>23907</v>
      </c>
      <c r="F1566" s="1" t="s">
        <v>23908</v>
      </c>
      <c r="G1566" s="1" t="s">
        <v>23909</v>
      </c>
      <c r="H1566" s="1" t="s">
        <v>10387</v>
      </c>
      <c r="I1566" s="9" t="s">
        <v>23910</v>
      </c>
      <c r="J1566" s="1" t="s">
        <v>23911</v>
      </c>
      <c r="K1566" s="1" t="s">
        <v>102</v>
      </c>
      <c r="L1566" s="1" t="s">
        <v>103</v>
      </c>
      <c r="M1566" s="1" t="s">
        <v>104</v>
      </c>
      <c r="N1566" s="1" t="s">
        <v>23912</v>
      </c>
      <c r="O1566" s="1" t="s">
        <v>127</v>
      </c>
      <c r="P1566" s="1" t="s">
        <v>11168</v>
      </c>
      <c r="Q1566" s="1" t="s">
        <v>23913</v>
      </c>
      <c r="R1566" s="1" t="s">
        <v>9636</v>
      </c>
      <c r="S1566" s="1" t="s">
        <v>1366</v>
      </c>
      <c r="Z1566" s="1" t="s">
        <v>23914</v>
      </c>
      <c r="AA1566" s="10">
        <v>3750000.0</v>
      </c>
      <c r="AB1566" s="1" t="s">
        <v>23915</v>
      </c>
      <c r="AG1566" s="1">
        <v>7.174742051E9</v>
      </c>
      <c r="AI1566" s="1" t="s">
        <v>23916</v>
      </c>
      <c r="AJ1566" s="1">
        <v>150.0</v>
      </c>
      <c r="AK1566" s="1" t="s">
        <v>23917</v>
      </c>
      <c r="AL1566" s="1" t="s">
        <v>23918</v>
      </c>
      <c r="AM1566" s="1" t="s">
        <v>23919</v>
      </c>
      <c r="AN1566" s="7" t="s">
        <v>23920</v>
      </c>
      <c r="AO1566" s="8" t="str">
        <f>HYPERLINK("https://docs.google.com/document/d/1eSMZJ5okt_n3hZKqCzshm6Ptt_oBDe_go20jBaiG1Zw/edit?usp=drivesdk","Al-Wildan 8 Parung_Riya Abriani. C.QSA_Qur'an (Akhwat)")</f>
        <v>Al-Wildan 8 Parung_Riya Abriani. C.QSA_Qur'an (Akhwat)</v>
      </c>
      <c r="AP1566" s="1" t="s">
        <v>23921</v>
      </c>
    </row>
    <row r="1567">
      <c r="A1567" s="6">
        <v>46224.44094591435</v>
      </c>
      <c r="B1567" s="7" t="s">
        <v>23922</v>
      </c>
      <c r="C1567" s="8" t="s">
        <v>23923</v>
      </c>
      <c r="D1567" s="1" t="s">
        <v>23924</v>
      </c>
      <c r="E1567" s="9" t="s">
        <v>23925</v>
      </c>
      <c r="F1567" s="1" t="s">
        <v>23926</v>
      </c>
      <c r="G1567" s="1" t="s">
        <v>23927</v>
      </c>
      <c r="H1567" s="1" t="s">
        <v>23928</v>
      </c>
      <c r="I1567" s="9" t="s">
        <v>23929</v>
      </c>
      <c r="J1567" s="1" t="s">
        <v>423</v>
      </c>
      <c r="K1567" s="1" t="s">
        <v>151</v>
      </c>
      <c r="L1567" s="1" t="s">
        <v>256</v>
      </c>
      <c r="M1567" s="1" t="s">
        <v>104</v>
      </c>
      <c r="N1567" s="1" t="s">
        <v>126</v>
      </c>
      <c r="O1567" s="1" t="s">
        <v>312</v>
      </c>
      <c r="P1567" s="1" t="s">
        <v>6091</v>
      </c>
      <c r="Q1567" s="1" t="s">
        <v>11607</v>
      </c>
      <c r="R1567" s="1" t="s">
        <v>130</v>
      </c>
      <c r="S1567" s="1" t="s">
        <v>7975</v>
      </c>
      <c r="T1567" s="1" t="s">
        <v>23930</v>
      </c>
      <c r="U1567" s="1" t="s">
        <v>130</v>
      </c>
      <c r="V1567" s="1" t="s">
        <v>12268</v>
      </c>
      <c r="W1567" s="1" t="s">
        <v>217</v>
      </c>
      <c r="X1567" s="1" t="s">
        <v>217</v>
      </c>
      <c r="Y1567" s="1">
        <v>0.0</v>
      </c>
      <c r="Z1567" s="1" t="s">
        <v>23931</v>
      </c>
      <c r="AA1567" s="10">
        <v>1000000.0</v>
      </c>
      <c r="AB1567" s="1" t="s">
        <v>23932</v>
      </c>
      <c r="AC1567" s="10">
        <v>1200000.0</v>
      </c>
      <c r="AD1567" s="1" t="s">
        <v>217</v>
      </c>
      <c r="AE1567" s="1">
        <v>0.0</v>
      </c>
      <c r="AF1567" s="10">
        <v>5000000.0</v>
      </c>
      <c r="AG1567" s="1">
        <v>0.0</v>
      </c>
      <c r="AH1567" s="1">
        <v>1.790004061276E12</v>
      </c>
      <c r="AI1567" s="1" t="s">
        <v>4483</v>
      </c>
      <c r="AJ1567" s="1">
        <v>155.0</v>
      </c>
      <c r="AK1567" s="1">
        <v>54.0</v>
      </c>
      <c r="AL1567" s="1" t="s">
        <v>23933</v>
      </c>
      <c r="AM1567" s="1" t="s">
        <v>23934</v>
      </c>
      <c r="AN1567" s="7" t="s">
        <v>23935</v>
      </c>
      <c r="AO1567" s="8" t="str">
        <f>HYPERLINK("https://docs.google.com/document/d/1fOTFHsjLfFietfrXFpkSB0ErflH6nwuG2KvVYYfbgXo/edit?usp=drivesdk","Al-Wildan 10 Cipinang, Jakarta Timur_Rizki Septiani Wulandari, S.Pd_Matematika")</f>
        <v>Al-Wildan 10 Cipinang, Jakarta Timur_Rizki Septiani Wulandari, S.Pd_Matematika</v>
      </c>
      <c r="AP1567" s="1" t="s">
        <v>23936</v>
      </c>
    </row>
    <row r="1568">
      <c r="A1568" s="6">
        <v>46224.56082782407</v>
      </c>
      <c r="B1568" s="7" t="s">
        <v>23937</v>
      </c>
      <c r="C1568" s="8" t="s">
        <v>23938</v>
      </c>
      <c r="D1568" s="1" t="s">
        <v>23939</v>
      </c>
      <c r="E1568" s="9" t="s">
        <v>23940</v>
      </c>
      <c r="F1568" s="1" t="s">
        <v>23941</v>
      </c>
      <c r="G1568" s="1" t="s">
        <v>23942</v>
      </c>
      <c r="H1568" s="1" t="s">
        <v>169</v>
      </c>
      <c r="I1568" s="9" t="s">
        <v>23943</v>
      </c>
      <c r="J1568" s="1" t="s">
        <v>6813</v>
      </c>
      <c r="K1568" s="1" t="s">
        <v>151</v>
      </c>
      <c r="L1568" s="1" t="s">
        <v>103</v>
      </c>
      <c r="M1568" s="1" t="s">
        <v>104</v>
      </c>
      <c r="N1568" s="1" t="s">
        <v>23944</v>
      </c>
      <c r="O1568" s="1" t="s">
        <v>9794</v>
      </c>
      <c r="P1568" s="1" t="s">
        <v>6659</v>
      </c>
      <c r="Q1568" s="1" t="s">
        <v>23945</v>
      </c>
      <c r="R1568" s="1" t="s">
        <v>7309</v>
      </c>
      <c r="S1568" s="1">
        <v>3.82</v>
      </c>
      <c r="Z1568" s="1" t="s">
        <v>2917</v>
      </c>
      <c r="AA1568" s="10">
        <v>1250000.0</v>
      </c>
      <c r="AF1568" s="10">
        <v>4500000.0</v>
      </c>
      <c r="AG1568" s="1">
        <v>7.341943153E9</v>
      </c>
      <c r="AJ1568" s="1">
        <v>162.0</v>
      </c>
      <c r="AK1568" s="1">
        <v>73.0</v>
      </c>
      <c r="AL1568" s="1" t="s">
        <v>23946</v>
      </c>
      <c r="AM1568" s="1" t="s">
        <v>23947</v>
      </c>
      <c r="AN1568" s="7" t="s">
        <v>23948</v>
      </c>
      <c r="AO1568" s="8" t="str">
        <f>HYPERLINK("https://docs.google.com/document/d/14Rx0IAIjyN-zW9G8ozgr4x-kp-y0XK-SHOLPSTVZ5cI/edit?usp=drivesdk","Al-Wildan 15 Kompas Indah, Tambun Bekasi._Mohamad Fakhrusy Syakirin, S.Ag._Al-Quran Diniyyah Arabic")</f>
        <v>Al-Wildan 15 Kompas Indah, Tambun Bekasi._Mohamad Fakhrusy Syakirin, S.Ag._Al-Quran Diniyyah Arabic</v>
      </c>
      <c r="AP1568" s="1" t="s">
        <v>23949</v>
      </c>
    </row>
    <row r="1569">
      <c r="A1569" s="6">
        <v>46224.81393225695</v>
      </c>
      <c r="B1569" s="7" t="s">
        <v>23950</v>
      </c>
      <c r="C1569" s="8" t="s">
        <v>23951</v>
      </c>
      <c r="D1569" s="1" t="s">
        <v>23952</v>
      </c>
      <c r="E1569" s="9" t="s">
        <v>23953</v>
      </c>
      <c r="F1569" s="1" t="s">
        <v>23954</v>
      </c>
      <c r="G1569" s="1" t="s">
        <v>23955</v>
      </c>
      <c r="H1569" s="1" t="s">
        <v>23956</v>
      </c>
      <c r="I1569" s="9" t="s">
        <v>23957</v>
      </c>
      <c r="J1569" s="1" t="s">
        <v>23958</v>
      </c>
      <c r="K1569" s="1" t="s">
        <v>151</v>
      </c>
      <c r="L1569" s="1" t="s">
        <v>103</v>
      </c>
      <c r="M1569" s="1" t="s">
        <v>18796</v>
      </c>
      <c r="O1569" s="1" t="s">
        <v>127</v>
      </c>
      <c r="P1569" s="1" t="s">
        <v>107</v>
      </c>
      <c r="AF1569" s="10">
        <v>5000000.0</v>
      </c>
      <c r="AJ1569" s="1">
        <v>160.0</v>
      </c>
      <c r="AK1569" s="1">
        <v>50.0</v>
      </c>
      <c r="AL1569" s="1" t="s">
        <v>23959</v>
      </c>
      <c r="AM1569" s="1" t="s">
        <v>23960</v>
      </c>
      <c r="AN1569" s="7" t="s">
        <v>23961</v>
      </c>
      <c r="AO1569" s="8" t="str">
        <f>HYPERLINK("https://docs.google.com/document/d/14B4OqNkEmFVG3QTti6P-UKf7Dm0_kIvZ3HVVSI7z6HU/edit?usp=drivesdk","Al-Wildan 1 Gading Serpong_ADAM WIJAYA _")</f>
        <v>Al-Wildan 1 Gading Serpong_ADAM WIJAYA _</v>
      </c>
      <c r="AP1569" s="1" t="s">
        <v>23962</v>
      </c>
    </row>
    <row r="1570">
      <c r="A1570" s="6">
        <v>46226.50974811343</v>
      </c>
      <c r="B1570" s="7" t="s">
        <v>23963</v>
      </c>
      <c r="C1570" s="8" t="s">
        <v>23964</v>
      </c>
      <c r="D1570" s="1" t="s">
        <v>23965</v>
      </c>
      <c r="E1570" s="9" t="s">
        <v>23966</v>
      </c>
      <c r="F1570" s="1" t="s">
        <v>23967</v>
      </c>
      <c r="G1570" s="1" t="s">
        <v>23968</v>
      </c>
      <c r="H1570" s="1" t="s">
        <v>18625</v>
      </c>
      <c r="I1570" s="9" t="s">
        <v>23969</v>
      </c>
      <c r="J1570" s="1" t="s">
        <v>2496</v>
      </c>
      <c r="K1570" s="1" t="s">
        <v>151</v>
      </c>
      <c r="L1570" s="1" t="s">
        <v>496</v>
      </c>
      <c r="M1570" s="1" t="s">
        <v>7580</v>
      </c>
      <c r="N1570" s="1" t="s">
        <v>23970</v>
      </c>
      <c r="O1570" s="1" t="s">
        <v>106</v>
      </c>
      <c r="P1570" s="1" t="s">
        <v>17019</v>
      </c>
      <c r="Q1570" s="1" t="s">
        <v>5126</v>
      </c>
      <c r="R1570" s="1" t="s">
        <v>18669</v>
      </c>
      <c r="S1570" s="1" t="s">
        <v>7252</v>
      </c>
      <c r="T1570" s="1" t="s">
        <v>217</v>
      </c>
      <c r="U1570" s="1" t="s">
        <v>217</v>
      </c>
      <c r="V1570" s="1" t="s">
        <v>217</v>
      </c>
      <c r="W1570" s="1" t="s">
        <v>217</v>
      </c>
      <c r="X1570" s="1" t="s">
        <v>217</v>
      </c>
      <c r="Z1570" s="1" t="s">
        <v>23971</v>
      </c>
      <c r="AA1570" s="10">
        <v>700000.0</v>
      </c>
      <c r="AB1570" s="1" t="s">
        <v>217</v>
      </c>
      <c r="AC1570" s="1" t="s">
        <v>217</v>
      </c>
      <c r="AD1570" s="1" t="s">
        <v>217</v>
      </c>
      <c r="AE1570" s="1" t="s">
        <v>217</v>
      </c>
      <c r="AF1570" s="10">
        <v>4000000.0</v>
      </c>
      <c r="AG1570" s="1">
        <v>7.233770517E9</v>
      </c>
      <c r="AJ1570" s="1">
        <v>153.0</v>
      </c>
      <c r="AK1570" s="1">
        <v>39.0</v>
      </c>
      <c r="AL1570" s="1" t="s">
        <v>23972</v>
      </c>
      <c r="AM1570" s="1" t="s">
        <v>23973</v>
      </c>
      <c r="AN1570" s="7" t="s">
        <v>23974</v>
      </c>
      <c r="AO1570" s="8" t="str">
        <f>HYPERLINK("https://docs.google.com/document/d/1q7d-BZpp5Q0a6bRpSHvlaSeFp_9aD3juYq8wRhv0vi4/edit?usp=drivesdk","Al-Wildan 20 Mataram_Wahidah Fatimah Azzahra, S.Ag._Akidah, Fikih, Al-Qur'an, Akhlak")</f>
        <v>Al-Wildan 20 Mataram_Wahidah Fatimah Azzahra, S.Ag._Akidah, Fikih, Al-Qur'an, Akhlak</v>
      </c>
      <c r="AP1570" s="1" t="s">
        <v>23975</v>
      </c>
    </row>
    <row r="1571">
      <c r="A1571" s="6">
        <v>46226.65711778935</v>
      </c>
      <c r="B1571" s="7" t="s">
        <v>23976</v>
      </c>
      <c r="C1571" s="8" t="s">
        <v>23977</v>
      </c>
      <c r="D1571" s="1" t="s">
        <v>23978</v>
      </c>
      <c r="E1571" s="9" t="s">
        <v>23979</v>
      </c>
      <c r="F1571" s="1" t="s">
        <v>23980</v>
      </c>
      <c r="G1571" s="1" t="s">
        <v>23981</v>
      </c>
      <c r="H1571" s="1" t="s">
        <v>2076</v>
      </c>
      <c r="I1571" s="9" t="s">
        <v>23982</v>
      </c>
      <c r="J1571" s="1" t="s">
        <v>1648</v>
      </c>
      <c r="K1571" s="1" t="s">
        <v>151</v>
      </c>
      <c r="L1571" s="1" t="s">
        <v>103</v>
      </c>
      <c r="M1571" s="1" t="s">
        <v>5671</v>
      </c>
      <c r="O1571" s="1" t="s">
        <v>127</v>
      </c>
      <c r="P1571" s="1" t="s">
        <v>17019</v>
      </c>
      <c r="Q1571" s="1" t="s">
        <v>23983</v>
      </c>
      <c r="R1571" s="1" t="s">
        <v>23984</v>
      </c>
      <c r="S1571" s="1" t="s">
        <v>15490</v>
      </c>
      <c r="AF1571" s="10">
        <v>4000000.0</v>
      </c>
      <c r="AG1571" s="1">
        <v>7.209288855E9</v>
      </c>
      <c r="AJ1571" s="1">
        <v>171.0</v>
      </c>
      <c r="AK1571" s="1">
        <v>60.0</v>
      </c>
      <c r="AL1571" s="1" t="s">
        <v>23985</v>
      </c>
      <c r="AM1571" s="1" t="s">
        <v>23986</v>
      </c>
      <c r="AN1571" s="7" t="s">
        <v>23987</v>
      </c>
      <c r="AO1571" s="8" t="str">
        <f>HYPERLINK("https://docs.google.com/document/d/1P-oXtumbMOXztYXA5uZtzyecP9fC8JCJh_m8WGsouj8/edit?usp=drivesdk","Al-Wildan 20 Mataram_Abdullah Usman Sewet, B.econ_")</f>
        <v>Al-Wildan 20 Mataram_Abdullah Usman Sewet, B.econ_</v>
      </c>
      <c r="AP1571" s="1" t="s">
        <v>23988</v>
      </c>
    </row>
    <row r="1572">
      <c r="A1572" s="6">
        <v>46226.85351108796</v>
      </c>
      <c r="B1572" s="7" t="s">
        <v>23989</v>
      </c>
      <c r="C1572" s="8" t="s">
        <v>23990</v>
      </c>
      <c r="D1572" s="1" t="s">
        <v>23991</v>
      </c>
      <c r="E1572" s="1">
        <v>8.7865885441E10</v>
      </c>
      <c r="F1572" s="1" t="s">
        <v>23992</v>
      </c>
      <c r="G1572" s="1" t="s">
        <v>23993</v>
      </c>
      <c r="H1572" s="1" t="s">
        <v>23994</v>
      </c>
      <c r="I1572" s="9" t="s">
        <v>23995</v>
      </c>
      <c r="J1572" s="1" t="s">
        <v>8213</v>
      </c>
      <c r="K1572" s="1" t="s">
        <v>102</v>
      </c>
      <c r="L1572" s="1" t="s">
        <v>103</v>
      </c>
      <c r="M1572" s="1" t="s">
        <v>6043</v>
      </c>
      <c r="N1572" s="1" t="s">
        <v>217</v>
      </c>
      <c r="O1572" s="1" t="s">
        <v>14262</v>
      </c>
      <c r="P1572" s="1" t="s">
        <v>237</v>
      </c>
      <c r="Q1572" s="1" t="s">
        <v>590</v>
      </c>
      <c r="R1572" s="1" t="s">
        <v>23996</v>
      </c>
      <c r="S1572" s="1" t="s">
        <v>931</v>
      </c>
      <c r="T1572" s="1" t="s">
        <v>217</v>
      </c>
      <c r="U1572" s="1" t="s">
        <v>217</v>
      </c>
      <c r="V1572" s="1" t="s">
        <v>217</v>
      </c>
      <c r="W1572" s="1" t="s">
        <v>217</v>
      </c>
      <c r="X1572" s="1" t="s">
        <v>217</v>
      </c>
      <c r="Y1572" s="1">
        <v>0.0</v>
      </c>
      <c r="Z1572" s="1" t="s">
        <v>23997</v>
      </c>
      <c r="AA1572" s="1" t="s">
        <v>8616</v>
      </c>
      <c r="AB1572" s="1" t="s">
        <v>23998</v>
      </c>
      <c r="AC1572" s="1" t="s">
        <v>23999</v>
      </c>
      <c r="AD1572" s="1" t="s">
        <v>24000</v>
      </c>
      <c r="AE1572" s="10">
        <v>4000000.0</v>
      </c>
      <c r="AF1572" s="10">
        <v>6000000.0</v>
      </c>
      <c r="AG1572" s="1">
        <v>8.15801109E9</v>
      </c>
      <c r="AH1572" s="1">
        <v>0.0</v>
      </c>
      <c r="AI1572" s="1" t="s">
        <v>217</v>
      </c>
      <c r="AJ1572" s="1">
        <v>160.0</v>
      </c>
      <c r="AK1572" s="1">
        <v>70.0</v>
      </c>
      <c r="AL1572" s="1" t="s">
        <v>24001</v>
      </c>
      <c r="AM1572" s="1" t="s">
        <v>24002</v>
      </c>
      <c r="AN1572" s="7" t="s">
        <v>24003</v>
      </c>
      <c r="AO1572" s="8" t="str">
        <f>HYPERLINK("https://docs.google.com/document/d/1RbagQfMbXNjT7-ByCHUuNWrQ3RkbmzDVC9WYhoj2Pjc/edit?usp=drivesdk","Al-Wildan 4 Lebak Bulus_Rosmalita Arini, S.T._-")</f>
        <v>Al-Wildan 4 Lebak Bulus_Rosmalita Arini, S.T._-</v>
      </c>
      <c r="AP1572" s="1" t="s">
        <v>24004</v>
      </c>
    </row>
    <row r="1573">
      <c r="A1573" s="6">
        <v>46226.891629351856</v>
      </c>
      <c r="B1573" s="7" t="s">
        <v>24005</v>
      </c>
      <c r="C1573" s="8" t="s">
        <v>24006</v>
      </c>
      <c r="D1573" s="1" t="s">
        <v>24007</v>
      </c>
      <c r="E1573" s="9" t="s">
        <v>24008</v>
      </c>
      <c r="F1573" s="1" t="s">
        <v>24009</v>
      </c>
      <c r="G1573" s="1" t="s">
        <v>24010</v>
      </c>
      <c r="H1573" s="1" t="s">
        <v>99</v>
      </c>
      <c r="I1573" s="9" t="s">
        <v>24011</v>
      </c>
      <c r="J1573" s="1" t="s">
        <v>24012</v>
      </c>
      <c r="K1573" s="1" t="s">
        <v>151</v>
      </c>
      <c r="L1573" s="1" t="s">
        <v>256</v>
      </c>
      <c r="M1573" s="1" t="s">
        <v>104</v>
      </c>
      <c r="N1573" s="1" t="s">
        <v>152</v>
      </c>
      <c r="O1573" s="1" t="s">
        <v>127</v>
      </c>
      <c r="P1573" s="1" t="s">
        <v>107</v>
      </c>
      <c r="Q1573" s="1" t="s">
        <v>2678</v>
      </c>
      <c r="R1573" s="1" t="s">
        <v>6781</v>
      </c>
      <c r="S1573" s="1" t="s">
        <v>6418</v>
      </c>
      <c r="Z1573" s="1" t="s">
        <v>24013</v>
      </c>
      <c r="AA1573" s="10">
        <v>5000000.0</v>
      </c>
      <c r="AB1573" s="1" t="s">
        <v>24014</v>
      </c>
      <c r="AC1573" s="10">
        <v>1000000.0</v>
      </c>
      <c r="AD1573" s="1" t="s">
        <v>24015</v>
      </c>
      <c r="AE1573" s="10">
        <v>1.1E7</v>
      </c>
      <c r="AF1573" s="10">
        <v>1.0E7</v>
      </c>
      <c r="AH1573" s="1">
        <v>1.550016377866E12</v>
      </c>
      <c r="AI1573" s="1" t="s">
        <v>2119</v>
      </c>
      <c r="AJ1573" s="1">
        <v>150.0</v>
      </c>
      <c r="AK1573" s="1">
        <v>50.0</v>
      </c>
      <c r="AL1573" s="1" t="s">
        <v>24016</v>
      </c>
      <c r="AM1573" s="1" t="s">
        <v>24017</v>
      </c>
      <c r="AN1573" s="7" t="s">
        <v>24018</v>
      </c>
      <c r="AO1573" s="8" t="str">
        <f>HYPERLINK("https://docs.google.com/document/d/1ee9disHViaxZFNbyNs7oT70t9XAEph7uUXua59iNT6Q/edit?usp=drivesdk","Al-Wildan 1 Gading Serpong_Ikhda Rahmatina, S.Hum_Bahasa Inggris")</f>
        <v>Al-Wildan 1 Gading Serpong_Ikhda Rahmatina, S.Hum_Bahasa Inggris</v>
      </c>
      <c r="AP1573" s="1" t="s">
        <v>24019</v>
      </c>
    </row>
    <row r="1574">
      <c r="A1574" s="6">
        <v>46227.57325035879</v>
      </c>
      <c r="B1574" s="7" t="s">
        <v>24020</v>
      </c>
      <c r="C1574" s="8" t="s">
        <v>24021</v>
      </c>
      <c r="D1574" s="1" t="s">
        <v>24022</v>
      </c>
      <c r="E1574" s="9" t="s">
        <v>24023</v>
      </c>
      <c r="F1574" s="1" t="s">
        <v>24024</v>
      </c>
      <c r="G1574" s="1" t="s">
        <v>24025</v>
      </c>
      <c r="H1574" s="1" t="s">
        <v>24026</v>
      </c>
      <c r="I1574" s="9" t="s">
        <v>24027</v>
      </c>
      <c r="J1574" s="1">
        <v>24.0</v>
      </c>
      <c r="K1574" s="1" t="s">
        <v>151</v>
      </c>
      <c r="L1574" s="1" t="s">
        <v>256</v>
      </c>
      <c r="M1574" s="1" t="s">
        <v>104</v>
      </c>
      <c r="N1574" s="1" t="s">
        <v>24028</v>
      </c>
      <c r="O1574" s="1" t="s">
        <v>312</v>
      </c>
      <c r="P1574" s="1" t="s">
        <v>6091</v>
      </c>
      <c r="Q1574" s="1" t="s">
        <v>24029</v>
      </c>
      <c r="R1574" s="1" t="s">
        <v>24030</v>
      </c>
      <c r="S1574" s="1">
        <v>3.83</v>
      </c>
      <c r="Z1574" s="1" t="s">
        <v>24031</v>
      </c>
      <c r="AF1574" s="10">
        <v>3000000.0</v>
      </c>
      <c r="AG1574" s="1">
        <v>7.168035769E9</v>
      </c>
      <c r="AI1574" s="1" t="s">
        <v>8790</v>
      </c>
      <c r="AJ1574" s="1">
        <v>155.0</v>
      </c>
      <c r="AK1574" s="1">
        <v>145.0</v>
      </c>
      <c r="AL1574" s="1" t="s">
        <v>24032</v>
      </c>
      <c r="AM1574" s="1" t="s">
        <v>24033</v>
      </c>
      <c r="AN1574" s="7" t="s">
        <v>24034</v>
      </c>
      <c r="AO1574" s="8" t="str">
        <f>HYPERLINK("https://docs.google.com/document/d/1EEpQFann8SuvpcyseWD4gWtTAQw7QGlxJGVGp9Fjeiw/edit?usp=drivesdk","Al-Wildan 10 Cipinang, Jakarta Timur_Khorihah _Guru bahasa inggris ")</f>
        <v>Al-Wildan 10 Cipinang, Jakarta Timur_Khorihah _Guru bahasa inggris </v>
      </c>
      <c r="AP1574" s="1" t="s">
        <v>24035</v>
      </c>
    </row>
    <row r="1575">
      <c r="A1575" s="6">
        <v>46227.96451414352</v>
      </c>
      <c r="B1575" s="7" t="s">
        <v>24036</v>
      </c>
      <c r="C1575" s="8" t="s">
        <v>24037</v>
      </c>
      <c r="D1575" s="1" t="s">
        <v>24038</v>
      </c>
      <c r="E1575" s="9" t="s">
        <v>24039</v>
      </c>
      <c r="F1575" s="1">
        <v>3.20430071201385E14</v>
      </c>
      <c r="G1575" s="1" t="s">
        <v>24040</v>
      </c>
      <c r="H1575" s="1" t="s">
        <v>722</v>
      </c>
      <c r="I1575" s="9" t="s">
        <v>24041</v>
      </c>
      <c r="J1575" s="1" t="s">
        <v>6917</v>
      </c>
      <c r="K1575" s="1" t="s">
        <v>102</v>
      </c>
      <c r="L1575" s="1" t="s">
        <v>103</v>
      </c>
      <c r="M1575" s="1" t="s">
        <v>104</v>
      </c>
      <c r="N1575" s="1" t="s">
        <v>2883</v>
      </c>
      <c r="O1575" s="1" t="s">
        <v>127</v>
      </c>
      <c r="P1575" s="1" t="s">
        <v>11168</v>
      </c>
      <c r="Q1575" s="1" t="s">
        <v>7637</v>
      </c>
      <c r="R1575" s="1" t="s">
        <v>552</v>
      </c>
      <c r="S1575" s="1" t="s">
        <v>4513</v>
      </c>
      <c r="Z1575" s="1" t="s">
        <v>24042</v>
      </c>
      <c r="AA1575" s="10">
        <v>5000000.0</v>
      </c>
      <c r="AB1575" s="1" t="s">
        <v>24043</v>
      </c>
      <c r="AC1575" s="10">
        <v>1500000.0</v>
      </c>
      <c r="AD1575" s="1" t="s">
        <v>24044</v>
      </c>
      <c r="AE1575" s="10">
        <v>440000.0</v>
      </c>
      <c r="AF1575" s="10">
        <v>8000000.0</v>
      </c>
      <c r="AG1575" s="1">
        <v>1.047136225E9</v>
      </c>
      <c r="AJ1575" s="1">
        <v>167.0</v>
      </c>
      <c r="AK1575" s="1">
        <v>65.0</v>
      </c>
      <c r="AL1575" s="1" t="s">
        <v>24045</v>
      </c>
      <c r="AM1575" s="1" t="s">
        <v>24046</v>
      </c>
      <c r="AN1575" s="7" t="s">
        <v>24047</v>
      </c>
      <c r="AO1575" s="8" t="str">
        <f>HYPERLINK("https://docs.google.com/document/d/1q-CTzD-YPgQSkqYMKWSGDEemRykK76Hj0li4P9n1CzA/edit?usp=drivesdk","Al-Wildan 8 Parung_Imam Taufik Hidayat, S.Si._Math")</f>
        <v>Al-Wildan 8 Parung_Imam Taufik Hidayat, S.Si._Math</v>
      </c>
      <c r="AP1575" s="1" t="s">
        <v>24048</v>
      </c>
    </row>
    <row r="1576">
      <c r="A1576" s="6">
        <v>46230.39911748843</v>
      </c>
      <c r="B1576" s="7" t="s">
        <v>24049</v>
      </c>
      <c r="C1576" s="8" t="s">
        <v>24050</v>
      </c>
      <c r="D1576" s="1" t="s">
        <v>24051</v>
      </c>
      <c r="E1576" s="9" t="s">
        <v>24052</v>
      </c>
      <c r="F1576" s="1" t="s">
        <v>24053</v>
      </c>
      <c r="G1576" s="1" t="s">
        <v>24054</v>
      </c>
      <c r="H1576" s="1" t="s">
        <v>24055</v>
      </c>
      <c r="I1576" s="1" t="s">
        <v>24056</v>
      </c>
      <c r="J1576" s="1" t="s">
        <v>20294</v>
      </c>
      <c r="K1576" s="1" t="s">
        <v>850</v>
      </c>
      <c r="L1576" s="1" t="s">
        <v>256</v>
      </c>
      <c r="M1576" s="1" t="s">
        <v>104</v>
      </c>
      <c r="N1576" s="1" t="s">
        <v>1135</v>
      </c>
      <c r="O1576" s="1" t="s">
        <v>312</v>
      </c>
      <c r="P1576" s="1" t="s">
        <v>237</v>
      </c>
      <c r="Q1576" s="1" t="s">
        <v>24057</v>
      </c>
      <c r="R1576" s="1" t="s">
        <v>24058</v>
      </c>
      <c r="S1576" s="1">
        <v>3.79</v>
      </c>
      <c r="T1576" s="1" t="s">
        <v>24059</v>
      </c>
      <c r="U1576" s="1" t="s">
        <v>24060</v>
      </c>
      <c r="V1576" s="1">
        <v>3.85</v>
      </c>
      <c r="W1576" s="1" t="s">
        <v>217</v>
      </c>
      <c r="X1576" s="1" t="s">
        <v>217</v>
      </c>
      <c r="Z1576" s="1" t="s">
        <v>24061</v>
      </c>
      <c r="AA1576" s="10">
        <v>6400000.0</v>
      </c>
      <c r="AB1576" s="1" t="s">
        <v>24062</v>
      </c>
      <c r="AC1576" s="10">
        <v>5500000.0</v>
      </c>
      <c r="AD1576" s="1" t="s">
        <v>217</v>
      </c>
      <c r="AE1576" s="1" t="s">
        <v>217</v>
      </c>
      <c r="AF1576" s="1" t="s">
        <v>17766</v>
      </c>
      <c r="AG1576" s="1">
        <v>0.0</v>
      </c>
      <c r="AH1576" s="1">
        <v>1.0300124608E12</v>
      </c>
      <c r="AI1576" s="1" t="s">
        <v>1493</v>
      </c>
      <c r="AJ1576" s="1">
        <v>172.0</v>
      </c>
      <c r="AK1576" s="1">
        <v>85.0</v>
      </c>
      <c r="AL1576" s="1" t="s">
        <v>24063</v>
      </c>
      <c r="AM1576" s="1" t="s">
        <v>24064</v>
      </c>
      <c r="AN1576" s="7" t="s">
        <v>24065</v>
      </c>
      <c r="AO1576" s="8" t="str">
        <f>HYPERLINK("https://docs.google.com/document/d/1GXUeYwAoQjDWOLhHmZ9XNkYnLgdymL8VrCGoRVt1-xM/edit?usp=drivesdk","Al-Wildan 4 Lebak Bulus_RAMLI,S.PD.,M.PD_BAHASA INGGRIS")</f>
        <v>Al-Wildan 4 Lebak Bulus_RAMLI,S.PD.,M.PD_BAHASA INGGRIS</v>
      </c>
      <c r="AP1576" s="1" t="s">
        <v>24066</v>
      </c>
    </row>
    <row r="1577">
      <c r="A1577" s="6">
        <v>46231.611559212964</v>
      </c>
      <c r="B1577" s="7" t="s">
        <v>24067</v>
      </c>
      <c r="C1577" s="8" t="s">
        <v>24068</v>
      </c>
      <c r="D1577" s="1" t="s">
        <v>24069</v>
      </c>
      <c r="E1577" s="9" t="s">
        <v>24070</v>
      </c>
      <c r="F1577" s="1" t="s">
        <v>24071</v>
      </c>
      <c r="G1577" s="1" t="s">
        <v>24072</v>
      </c>
      <c r="H1577" s="1" t="s">
        <v>21022</v>
      </c>
      <c r="I1577" s="9" t="s">
        <v>24073</v>
      </c>
      <c r="J1577" s="1" t="s">
        <v>5554</v>
      </c>
      <c r="K1577" s="1" t="s">
        <v>102</v>
      </c>
      <c r="L1577" s="1" t="s">
        <v>827</v>
      </c>
      <c r="M1577" s="1" t="s">
        <v>8033</v>
      </c>
      <c r="O1577" s="1" t="s">
        <v>14262</v>
      </c>
      <c r="P1577" s="1" t="s">
        <v>22002</v>
      </c>
      <c r="Q1577" s="1" t="s">
        <v>347</v>
      </c>
      <c r="R1577" s="1" t="s">
        <v>6153</v>
      </c>
      <c r="S1577" s="1" t="s">
        <v>1023</v>
      </c>
      <c r="Z1577" s="1" t="s">
        <v>24074</v>
      </c>
      <c r="AA1577" s="10">
        <v>4900000.0</v>
      </c>
      <c r="AB1577" s="1" t="s">
        <v>24075</v>
      </c>
      <c r="AC1577" s="1" t="s">
        <v>24076</v>
      </c>
      <c r="AF1577" s="1" t="s">
        <v>24077</v>
      </c>
      <c r="AG1577" s="1">
        <v>7.282593248E9</v>
      </c>
      <c r="AJ1577" s="1">
        <v>150.0</v>
      </c>
      <c r="AK1577" s="1">
        <v>48.0</v>
      </c>
      <c r="AL1577" s="1" t="s">
        <v>24078</v>
      </c>
      <c r="AM1577" s="1" t="s">
        <v>24079</v>
      </c>
      <c r="AN1577" s="7" t="s">
        <v>24080</v>
      </c>
      <c r="AO1577" s="8" t="str">
        <f>HYPERLINK("https://docs.google.com/document/d/1s0Ip22XPwYvK1cngV8as0pkv3u2b86RdOFPkCrENed0/edit?usp=drivesdk","Al-Wildan 24 Yogyakarta_Era Mahardhika, S.E._")</f>
        <v>Al-Wildan 24 Yogyakarta_Era Mahardhika, S.E._</v>
      </c>
      <c r="AP1577" s="1" t="s">
        <v>24081</v>
      </c>
    </row>
    <row r="1578">
      <c r="A1578" s="6">
        <v>46233.809735358795</v>
      </c>
      <c r="B1578" s="7" t="s">
        <v>24082</v>
      </c>
      <c r="C1578" s="8" t="s">
        <v>24083</v>
      </c>
      <c r="D1578" s="1" t="s">
        <v>24084</v>
      </c>
      <c r="E1578" s="9" t="s">
        <v>24085</v>
      </c>
      <c r="F1578" s="1" t="s">
        <v>24086</v>
      </c>
      <c r="G1578" s="1" t="s">
        <v>24087</v>
      </c>
      <c r="H1578" s="1" t="s">
        <v>8561</v>
      </c>
      <c r="I1578" s="9" t="s">
        <v>24088</v>
      </c>
      <c r="J1578" s="1" t="s">
        <v>5447</v>
      </c>
      <c r="K1578" s="1" t="s">
        <v>151</v>
      </c>
      <c r="L1578" s="1" t="s">
        <v>827</v>
      </c>
      <c r="M1578" s="1" t="s">
        <v>104</v>
      </c>
      <c r="N1578" s="1" t="s">
        <v>3171</v>
      </c>
      <c r="O1578" s="1" t="s">
        <v>9794</v>
      </c>
      <c r="P1578" s="1" t="s">
        <v>21734</v>
      </c>
      <c r="Q1578" s="1" t="s">
        <v>24089</v>
      </c>
      <c r="R1578" s="1" t="s">
        <v>3583</v>
      </c>
      <c r="S1578" s="1" t="s">
        <v>24090</v>
      </c>
      <c r="Z1578" s="1" t="s">
        <v>24091</v>
      </c>
      <c r="AB1578" s="1" t="s">
        <v>24092</v>
      </c>
      <c r="AD1578" s="1" t="s">
        <v>24093</v>
      </c>
      <c r="AF1578" s="1" t="s">
        <v>24094</v>
      </c>
      <c r="AG1578" s="1">
        <v>7.203065854E9</v>
      </c>
      <c r="AJ1578" s="1">
        <v>144.0</v>
      </c>
      <c r="AK1578" s="1">
        <v>46.0</v>
      </c>
      <c r="AL1578" s="1" t="s">
        <v>24095</v>
      </c>
      <c r="AM1578" s="1" t="s">
        <v>24096</v>
      </c>
      <c r="AN1578" s="7" t="s">
        <v>24097</v>
      </c>
      <c r="AO1578" s="8" t="str">
        <f>HYPERLINK("https://docs.google.com/document/d/1XulUstQRuLCik3KH5D2hoTxm0omDcn3me1js41kqv8A/edit?usp=drivesdk","Al-Wildan 23 SEMARANG_Fadhilah Qurrota A'yun, B.A._Al Qur'an ")</f>
        <v>Al-Wildan 23 SEMARANG_Fadhilah Qurrota A'yun, B.A._Al Qur'an </v>
      </c>
      <c r="AP1578" s="1" t="s">
        <v>24098</v>
      </c>
    </row>
    <row r="1579">
      <c r="A1579" s="6">
        <v>46237.80623497685</v>
      </c>
      <c r="B1579" s="7" t="s">
        <v>24099</v>
      </c>
      <c r="C1579" s="8" t="s">
        <v>24100</v>
      </c>
      <c r="D1579" s="1" t="s">
        <v>24101</v>
      </c>
      <c r="E1579" s="9" t="s">
        <v>24102</v>
      </c>
      <c r="F1579" s="1" t="s">
        <v>24103</v>
      </c>
      <c r="G1579" s="1" t="s">
        <v>24104</v>
      </c>
      <c r="H1579" s="1" t="s">
        <v>2026</v>
      </c>
      <c r="I1579" s="9" t="s">
        <v>24105</v>
      </c>
      <c r="J1579" s="1" t="s">
        <v>10172</v>
      </c>
      <c r="K1579" s="1" t="s">
        <v>151</v>
      </c>
      <c r="L1579" s="1" t="s">
        <v>103</v>
      </c>
      <c r="M1579" s="1" t="s">
        <v>104</v>
      </c>
      <c r="N1579" s="1" t="s">
        <v>2883</v>
      </c>
      <c r="O1579" s="1" t="s">
        <v>312</v>
      </c>
      <c r="P1579" s="1" t="s">
        <v>17019</v>
      </c>
      <c r="Q1579" s="1" t="s">
        <v>590</v>
      </c>
      <c r="R1579" s="1" t="s">
        <v>14661</v>
      </c>
      <c r="S1579" s="1">
        <v>3.82</v>
      </c>
      <c r="Z1579" s="1" t="s">
        <v>24106</v>
      </c>
      <c r="AA1579" s="1" t="s">
        <v>3203</v>
      </c>
      <c r="AF1579" s="10">
        <v>3000000.0</v>
      </c>
      <c r="AH1579" s="1">
        <v>2.101610131865E12</v>
      </c>
      <c r="AI1579" s="1" t="s">
        <v>5452</v>
      </c>
      <c r="AJ1579" s="1">
        <v>147.0</v>
      </c>
      <c r="AK1579" s="1">
        <v>40.0</v>
      </c>
      <c r="AL1579" s="1" t="s">
        <v>24107</v>
      </c>
      <c r="AM1579" s="1" t="s">
        <v>24108</v>
      </c>
      <c r="AN1579" s="7" t="s">
        <v>24109</v>
      </c>
      <c r="AO1579" s="8" t="str">
        <f>HYPERLINK("https://docs.google.com/document/d/1jqY2aw99qZfEyEJXFpHqKUqnjGvrN-Y_HtA5FE7xrz8/edit?usp=drivesdk","Al-Wildan 20 Mataram_Ernawati, S.Pd_Math")</f>
        <v>Al-Wildan 20 Mataram_Ernawati, S.Pd_Math</v>
      </c>
      <c r="AP1579" s="1" t="s">
        <v>24110</v>
      </c>
    </row>
    <row r="1580">
      <c r="A1580" s="6">
        <v>46238.617338958335</v>
      </c>
      <c r="B1580" s="7" t="s">
        <v>24111</v>
      </c>
      <c r="C1580" s="8" t="s">
        <v>24112</v>
      </c>
      <c r="D1580" s="1" t="s">
        <v>24113</v>
      </c>
      <c r="E1580" s="1">
        <v>8.95418621313E11</v>
      </c>
      <c r="F1580" s="1" t="s">
        <v>24114</v>
      </c>
      <c r="G1580" s="1" t="s">
        <v>24115</v>
      </c>
      <c r="H1580" s="1" t="s">
        <v>2076</v>
      </c>
      <c r="I1580" s="9" t="s">
        <v>24116</v>
      </c>
      <c r="J1580" s="1" t="s">
        <v>234</v>
      </c>
      <c r="K1580" s="1" t="s">
        <v>151</v>
      </c>
      <c r="L1580" s="1" t="s">
        <v>827</v>
      </c>
      <c r="M1580" s="1" t="s">
        <v>104</v>
      </c>
      <c r="N1580" s="1" t="s">
        <v>24117</v>
      </c>
      <c r="O1580" s="1" t="s">
        <v>312</v>
      </c>
      <c r="P1580" s="1" t="s">
        <v>17019</v>
      </c>
      <c r="Q1580" s="1" t="s">
        <v>24118</v>
      </c>
      <c r="R1580" s="1" t="s">
        <v>1623</v>
      </c>
      <c r="S1580" s="1" t="s">
        <v>1366</v>
      </c>
      <c r="Z1580" s="1" t="s">
        <v>24119</v>
      </c>
      <c r="AA1580" s="10">
        <v>1000000.0</v>
      </c>
      <c r="AB1580" s="1" t="s">
        <v>24120</v>
      </c>
      <c r="AC1580" s="10">
        <v>1500000.0</v>
      </c>
      <c r="AF1580" s="1" t="s">
        <v>24121</v>
      </c>
      <c r="AG1580" s="1">
        <v>7.143329695E9</v>
      </c>
      <c r="AI1580" s="1" t="s">
        <v>5113</v>
      </c>
      <c r="AJ1580" s="1">
        <v>151.0</v>
      </c>
      <c r="AK1580" s="1">
        <v>50.0</v>
      </c>
      <c r="AL1580" s="1" t="s">
        <v>24122</v>
      </c>
      <c r="AM1580" s="1" t="s">
        <v>24123</v>
      </c>
      <c r="AN1580" s="7" t="s">
        <v>24124</v>
      </c>
      <c r="AO1580" s="8" t="str">
        <f>HYPERLINK("https://docs.google.com/document/d/114p-lPQ0dG03gUh8TWHuPzZwyZhwGiH-vJ_kD3xANWs/edit?usp=drivesdk","Al-Wildan 20 Mataram_Alfi Aulia Yasmin, S. Pd_Guru diniyyah")</f>
        <v>Al-Wildan 20 Mataram_Alfi Aulia Yasmin, S. Pd_Guru diniyyah</v>
      </c>
      <c r="AP1580" s="1" t="s">
        <v>24125</v>
      </c>
    </row>
    <row r="1581">
      <c r="A1581" s="6">
        <v>46244.50466707176</v>
      </c>
      <c r="B1581" s="7" t="s">
        <v>24126</v>
      </c>
      <c r="C1581" s="8" t="s">
        <v>24127</v>
      </c>
      <c r="D1581" s="1" t="s">
        <v>24128</v>
      </c>
      <c r="E1581" s="9" t="s">
        <v>24129</v>
      </c>
      <c r="F1581" s="1" t="s">
        <v>24130</v>
      </c>
      <c r="G1581" s="1" t="s">
        <v>24131</v>
      </c>
      <c r="H1581" s="1" t="s">
        <v>6621</v>
      </c>
      <c r="I1581" s="9" t="s">
        <v>24132</v>
      </c>
      <c r="J1581" s="1" t="s">
        <v>24133</v>
      </c>
      <c r="K1581" s="1" t="s">
        <v>151</v>
      </c>
      <c r="L1581" s="1" t="s">
        <v>256</v>
      </c>
      <c r="M1581" s="1" t="s">
        <v>424</v>
      </c>
      <c r="O1581" s="1" t="s">
        <v>127</v>
      </c>
      <c r="P1581" s="1" t="s">
        <v>107</v>
      </c>
      <c r="Q1581" s="1" t="s">
        <v>1694</v>
      </c>
      <c r="R1581" s="1" t="s">
        <v>1057</v>
      </c>
      <c r="S1581" s="1" t="s">
        <v>6418</v>
      </c>
      <c r="Z1581" s="1" t="s">
        <v>24134</v>
      </c>
      <c r="AA1581" s="10">
        <v>5800000.0</v>
      </c>
      <c r="AF1581" s="1" t="s">
        <v>24135</v>
      </c>
      <c r="AH1581" s="1">
        <v>1.320025305146E12</v>
      </c>
      <c r="AI1581" s="1" t="s">
        <v>15815</v>
      </c>
      <c r="AJ1581" s="1">
        <v>160.0</v>
      </c>
      <c r="AK1581" s="1">
        <v>51.0</v>
      </c>
      <c r="AL1581" s="1" t="s">
        <v>24136</v>
      </c>
      <c r="AM1581" s="1" t="s">
        <v>24137</v>
      </c>
      <c r="AN1581" s="7" t="s">
        <v>24138</v>
      </c>
      <c r="AO1581" s="8" t="str">
        <f>HYPERLINK("https://docs.google.com/document/d/1N0gL_S03yFp4S5-T86prgCzgeMka8PIOKJzRZszY8L8/edit?usp=drivesdk","Al-Wildan 1 Gading Serpong_Nuha Mufidah, S.Psi_")</f>
        <v>Al-Wildan 1 Gading Serpong_Nuha Mufidah, S.Psi_</v>
      </c>
      <c r="AP1581" s="1" t="s">
        <v>24139</v>
      </c>
    </row>
    <row r="1582">
      <c r="A1582" s="6">
        <v>46245.38783972222</v>
      </c>
      <c r="B1582" s="7" t="s">
        <v>24140</v>
      </c>
      <c r="C1582" s="8" t="s">
        <v>24141</v>
      </c>
      <c r="D1582" s="1" t="s">
        <v>24142</v>
      </c>
      <c r="E1582" s="9" t="s">
        <v>24143</v>
      </c>
      <c r="F1582" s="1" t="s">
        <v>24144</v>
      </c>
      <c r="G1582" s="1" t="s">
        <v>24145</v>
      </c>
      <c r="H1582" s="1" t="s">
        <v>6415</v>
      </c>
      <c r="I1582" s="9" t="s">
        <v>24146</v>
      </c>
      <c r="J1582" s="1" t="s">
        <v>6606</v>
      </c>
      <c r="K1582" s="1" t="s">
        <v>151</v>
      </c>
      <c r="L1582" s="1" t="s">
        <v>256</v>
      </c>
      <c r="M1582" s="1" t="s">
        <v>104</v>
      </c>
      <c r="N1582" s="1" t="s">
        <v>152</v>
      </c>
      <c r="O1582" s="1" t="s">
        <v>9794</v>
      </c>
      <c r="P1582" s="1" t="s">
        <v>107</v>
      </c>
      <c r="Q1582" s="1" t="s">
        <v>24147</v>
      </c>
      <c r="R1582" s="1" t="s">
        <v>5612</v>
      </c>
      <c r="S1582" s="1" t="s">
        <v>277</v>
      </c>
      <c r="Z1582" s="1" t="s">
        <v>24148</v>
      </c>
      <c r="AA1582" s="10">
        <v>6400000.0</v>
      </c>
      <c r="AB1582" s="1" t="s">
        <v>24149</v>
      </c>
      <c r="AC1582" s="10">
        <v>5000000.0</v>
      </c>
      <c r="AF1582" s="10">
        <v>1.0E7</v>
      </c>
      <c r="AH1582" s="1">
        <v>5.271765577E9</v>
      </c>
      <c r="AI1582" s="1" t="s">
        <v>222</v>
      </c>
      <c r="AJ1582" s="1">
        <v>163.0</v>
      </c>
      <c r="AK1582" s="1">
        <v>55.0</v>
      </c>
      <c r="AL1582" s="1" t="s">
        <v>24150</v>
      </c>
      <c r="AM1582" s="1" t="s">
        <v>24151</v>
      </c>
      <c r="AN1582" s="7" t="s">
        <v>24152</v>
      </c>
      <c r="AO1582" s="8" t="str">
        <f>HYPERLINK("https://docs.google.com/document/d/1XBuq3ZrQXxK3a9NgWpLNMH6EjAtXlmPE_IRCS1rY9Vo/edit?usp=drivesdk","Al-Wildan 1 Gading Serpong_Anggita Khansa Paramitha S.S._Bahasa Inggris")</f>
        <v>Al-Wildan 1 Gading Serpong_Anggita Khansa Paramitha S.S._Bahasa Inggris</v>
      </c>
      <c r="AP1582" s="1" t="s">
        <v>24153</v>
      </c>
    </row>
    <row r="1583">
      <c r="A1583" s="6">
        <v>46246.4368875463</v>
      </c>
      <c r="B1583" s="7" t="s">
        <v>24154</v>
      </c>
      <c r="C1583" s="8" t="s">
        <v>24155</v>
      </c>
      <c r="D1583" s="1" t="s">
        <v>24156</v>
      </c>
      <c r="E1583" s="9" t="s">
        <v>24157</v>
      </c>
      <c r="F1583" s="1" t="s">
        <v>24158</v>
      </c>
      <c r="G1583" s="1" t="s">
        <v>24159</v>
      </c>
      <c r="H1583" s="1" t="s">
        <v>24160</v>
      </c>
      <c r="I1583" s="9" t="s">
        <v>17653</v>
      </c>
      <c r="J1583" s="1" t="s">
        <v>1020</v>
      </c>
      <c r="K1583" s="1" t="s">
        <v>151</v>
      </c>
      <c r="L1583" s="1" t="s">
        <v>103</v>
      </c>
      <c r="M1583" s="1" t="s">
        <v>104</v>
      </c>
      <c r="N1583" s="1" t="s">
        <v>1523</v>
      </c>
      <c r="O1583" s="1" t="s">
        <v>236</v>
      </c>
      <c r="P1583" s="1" t="s">
        <v>17019</v>
      </c>
      <c r="Q1583" s="1" t="s">
        <v>590</v>
      </c>
      <c r="R1583" s="1" t="s">
        <v>1523</v>
      </c>
      <c r="S1583" s="1" t="s">
        <v>931</v>
      </c>
      <c r="T1583" s="1" t="s">
        <v>6011</v>
      </c>
      <c r="U1583" s="1" t="s">
        <v>1521</v>
      </c>
      <c r="V1583" s="1" t="s">
        <v>7147</v>
      </c>
      <c r="Z1583" s="1" t="s">
        <v>24161</v>
      </c>
      <c r="AA1583" s="1" t="s">
        <v>24162</v>
      </c>
      <c r="AF1583" s="1" t="s">
        <v>24163</v>
      </c>
      <c r="AG1583" s="1">
        <v>7.215223797E9</v>
      </c>
      <c r="AJ1583" s="1">
        <v>157.0</v>
      </c>
      <c r="AK1583" s="1">
        <v>51.0</v>
      </c>
      <c r="AL1583" s="1" t="s">
        <v>24164</v>
      </c>
      <c r="AM1583" s="1" t="s">
        <v>24165</v>
      </c>
      <c r="AN1583" s="7" t="s">
        <v>24166</v>
      </c>
      <c r="AO1583" s="8" t="str">
        <f>HYPERLINK("https://docs.google.com/document/d/1opYuhnTL41Zx93nj-Zk_RYOI9uKj7FNVATKujPcMFGY/edit?usp=drivesdk","Al-Wildan 20 Mataram_Baiq Miftah Azumi, S.Si., M.Pd_Kimia")</f>
        <v>Al-Wildan 20 Mataram_Baiq Miftah Azumi, S.Si., M.Pd_Kimia</v>
      </c>
      <c r="AP1583" s="1" t="s">
        <v>24167</v>
      </c>
    </row>
    <row r="1584">
      <c r="A1584" s="6">
        <v>46247.578097060185</v>
      </c>
      <c r="B1584" s="7" t="s">
        <v>24168</v>
      </c>
      <c r="C1584" s="8" t="s">
        <v>24169</v>
      </c>
      <c r="D1584" s="1" t="s">
        <v>24170</v>
      </c>
      <c r="E1584" s="9" t="s">
        <v>6730</v>
      </c>
      <c r="F1584" s="1" t="s">
        <v>6731</v>
      </c>
      <c r="G1584" s="1" t="s">
        <v>24171</v>
      </c>
      <c r="H1584" s="1" t="s">
        <v>1255</v>
      </c>
      <c r="I1584" s="9" t="s">
        <v>6733</v>
      </c>
      <c r="J1584" s="1">
        <v>33.0</v>
      </c>
      <c r="K1584" s="1" t="s">
        <v>102</v>
      </c>
      <c r="L1584" s="1" t="s">
        <v>103</v>
      </c>
      <c r="M1584" s="1" t="s">
        <v>3200</v>
      </c>
      <c r="N1584" s="1" t="s">
        <v>2197</v>
      </c>
      <c r="O1584" s="1" t="s">
        <v>236</v>
      </c>
      <c r="P1584" s="1" t="s">
        <v>5712</v>
      </c>
      <c r="R1584" s="1" t="s">
        <v>24172</v>
      </c>
      <c r="S1584" s="1" t="s">
        <v>7252</v>
      </c>
      <c r="T1584" s="1" t="s">
        <v>24173</v>
      </c>
      <c r="U1584" s="1" t="s">
        <v>2966</v>
      </c>
      <c r="V1584" s="1" t="s">
        <v>3093</v>
      </c>
      <c r="W1584" s="1" t="s">
        <v>24174</v>
      </c>
      <c r="Z1584" s="1" t="s">
        <v>24175</v>
      </c>
      <c r="AA1584" s="10">
        <v>6000000.0</v>
      </c>
      <c r="AF1584" s="10">
        <v>8000000.0</v>
      </c>
      <c r="AG1584" s="1">
        <v>7.182913817E9</v>
      </c>
      <c r="AJ1584" s="1">
        <v>165.0</v>
      </c>
      <c r="AK1584" s="1">
        <v>48.0</v>
      </c>
      <c r="AL1584" s="1" t="s">
        <v>6739</v>
      </c>
      <c r="AM1584" s="1" t="s">
        <v>24176</v>
      </c>
      <c r="AN1584" s="7" t="s">
        <v>24177</v>
      </c>
      <c r="AO1584" s="8" t="str">
        <f>HYPERLINK("https://docs.google.com/document/d/1AHelAiImBEwcOwfHbAYi-0F109hhnj7Yn9xtXFOxjas/edit?usp=drivesdk","Al-Wildan 3 BSD City_Teguh Agus Wahyuda,S.Pd.,C.Ht._Al-Qur'an")</f>
        <v>Al-Wildan 3 BSD City_Teguh Agus Wahyuda,S.Pd.,C.Ht._Al-Qur'an</v>
      </c>
      <c r="AP1584" s="1" t="s">
        <v>24178</v>
      </c>
    </row>
    <row r="1585">
      <c r="A1585" s="6">
        <v>46247.95947607639</v>
      </c>
      <c r="B1585" s="7" t="s">
        <v>24179</v>
      </c>
      <c r="C1585" s="8" t="s">
        <v>24180</v>
      </c>
      <c r="D1585" s="1" t="s">
        <v>24181</v>
      </c>
      <c r="E1585" s="1" t="s">
        <v>24182</v>
      </c>
      <c r="F1585" s="1" t="s">
        <v>24183</v>
      </c>
      <c r="G1585" s="1" t="s">
        <v>24184</v>
      </c>
      <c r="H1585" s="1" t="s">
        <v>4139</v>
      </c>
      <c r="I1585" s="9" t="s">
        <v>24185</v>
      </c>
      <c r="J1585" s="1" t="s">
        <v>7823</v>
      </c>
      <c r="K1585" s="1" t="s">
        <v>151</v>
      </c>
      <c r="L1585" s="1" t="s">
        <v>256</v>
      </c>
      <c r="M1585" s="1" t="s">
        <v>104</v>
      </c>
      <c r="N1585" s="1" t="s">
        <v>2769</v>
      </c>
      <c r="O1585" s="1" t="s">
        <v>127</v>
      </c>
      <c r="P1585" s="1" t="s">
        <v>5712</v>
      </c>
      <c r="Q1585" s="1" t="s">
        <v>24186</v>
      </c>
      <c r="R1585" s="1" t="s">
        <v>1083</v>
      </c>
      <c r="Z1585" s="1" t="s">
        <v>24187</v>
      </c>
      <c r="AA1585" s="10">
        <v>2000000.0</v>
      </c>
      <c r="AF1585" s="10">
        <v>6000000.0</v>
      </c>
      <c r="AH1585" s="1">
        <v>1.080021729521E12</v>
      </c>
      <c r="AI1585" s="1" t="s">
        <v>2119</v>
      </c>
      <c r="AJ1585" s="1">
        <v>168.0</v>
      </c>
      <c r="AK1585" s="1">
        <v>78.0</v>
      </c>
      <c r="AL1585" s="1" t="s">
        <v>24188</v>
      </c>
      <c r="AM1585" s="1" t="s">
        <v>24189</v>
      </c>
      <c r="AN1585" s="7" t="s">
        <v>24190</v>
      </c>
      <c r="AO1585" s="8" t="str">
        <f>HYPERLINK("https://docs.google.com/document/d/1zsS7nfe_fZehuy47NGh0YyqTSqjimZKiiTJ2crh3tWI/edit?usp=drivesdk","Al-Wildan 3 BSD City_Muhammad Fachreza_Arabic")</f>
        <v>Al-Wildan 3 BSD City_Muhammad Fachreza_Arabic</v>
      </c>
      <c r="AP1585" s="1" t="s">
        <v>24191</v>
      </c>
    </row>
    <row r="1586">
      <c r="A1586" s="6">
        <v>46255.78751171296</v>
      </c>
      <c r="B1586" s="7" t="s">
        <v>24192</v>
      </c>
      <c r="C1586" s="8" t="s">
        <v>24193</v>
      </c>
      <c r="D1586" s="1" t="s">
        <v>24194</v>
      </c>
      <c r="E1586" s="9" t="s">
        <v>24195</v>
      </c>
      <c r="F1586" s="1" t="s">
        <v>24196</v>
      </c>
      <c r="G1586" s="1" t="s">
        <v>24197</v>
      </c>
      <c r="H1586" s="1" t="s">
        <v>685</v>
      </c>
      <c r="I1586" s="9" t="s">
        <v>22790</v>
      </c>
      <c r="J1586" s="1" t="s">
        <v>2496</v>
      </c>
      <c r="K1586" s="1" t="s">
        <v>151</v>
      </c>
      <c r="L1586" s="1" t="s">
        <v>103</v>
      </c>
      <c r="M1586" s="1" t="s">
        <v>104</v>
      </c>
      <c r="N1586" s="1" t="s">
        <v>126</v>
      </c>
      <c r="O1586" s="1" t="s">
        <v>106</v>
      </c>
      <c r="P1586" s="1" t="s">
        <v>11168</v>
      </c>
      <c r="Q1586" s="1" t="s">
        <v>7564</v>
      </c>
      <c r="R1586" s="1" t="s">
        <v>130</v>
      </c>
      <c r="S1586" s="1" t="s">
        <v>1730</v>
      </c>
      <c r="Z1586" s="1" t="s">
        <v>24198</v>
      </c>
      <c r="AA1586" s="1" t="s">
        <v>24199</v>
      </c>
      <c r="AF1586" s="10">
        <v>8000000.0</v>
      </c>
      <c r="AH1586" s="1">
        <v>9.01154123621E11</v>
      </c>
      <c r="AI1586" s="1" t="s">
        <v>24200</v>
      </c>
      <c r="AJ1586" s="1">
        <v>165.0</v>
      </c>
      <c r="AK1586" s="1">
        <v>58.0</v>
      </c>
      <c r="AL1586" s="1" t="s">
        <v>24201</v>
      </c>
      <c r="AM1586" s="1" t="s">
        <v>24202</v>
      </c>
      <c r="AN1586" s="7" t="s">
        <v>24203</v>
      </c>
      <c r="AO1586" s="8" t="str">
        <f>HYPERLINK("https://docs.google.com/document/d/1RYotSfAEKP8me3gGL-pX4BijzNPeDpkQnbgzbZ_R1sI/edit?usp=drivesdk","Al-Wildan 8 Parung_Ghina Qoyyidatus Sakinah, S.Pd._Matematika")</f>
        <v>Al-Wildan 8 Parung_Ghina Qoyyidatus Sakinah, S.Pd._Matematika</v>
      </c>
      <c r="AP1586" s="1" t="s">
        <v>24204</v>
      </c>
    </row>
    <row r="1587">
      <c r="A1587" s="6">
        <v>46256.44992342593</v>
      </c>
      <c r="B1587" s="7" t="s">
        <v>24205</v>
      </c>
      <c r="C1587" s="8" t="s">
        <v>24206</v>
      </c>
      <c r="D1587" s="1" t="s">
        <v>24207</v>
      </c>
      <c r="E1587" s="9" t="s">
        <v>24208</v>
      </c>
      <c r="F1587" s="1" t="s">
        <v>24209</v>
      </c>
      <c r="G1587" s="1" t="s">
        <v>24210</v>
      </c>
      <c r="H1587" s="1" t="s">
        <v>24211</v>
      </c>
      <c r="I1587" s="9" t="s">
        <v>24212</v>
      </c>
      <c r="J1587" s="1" t="s">
        <v>24213</v>
      </c>
      <c r="K1587" s="1" t="s">
        <v>151</v>
      </c>
      <c r="L1587" s="1" t="s">
        <v>103</v>
      </c>
      <c r="M1587" s="1" t="s">
        <v>8033</v>
      </c>
      <c r="O1587" s="1" t="s">
        <v>14262</v>
      </c>
      <c r="P1587" s="1" t="s">
        <v>17019</v>
      </c>
      <c r="Q1587" s="1" t="s">
        <v>24214</v>
      </c>
      <c r="R1587" s="1" t="s">
        <v>6153</v>
      </c>
      <c r="S1587" s="1" t="s">
        <v>4513</v>
      </c>
      <c r="Z1587" s="1" t="s">
        <v>24215</v>
      </c>
      <c r="AA1587" s="10">
        <v>3500000.0</v>
      </c>
      <c r="AF1587" s="10">
        <v>3800000.0</v>
      </c>
      <c r="AJ1587" s="1">
        <v>155.0</v>
      </c>
      <c r="AK1587" s="1">
        <v>47.0</v>
      </c>
      <c r="AL1587" s="1" t="s">
        <v>24216</v>
      </c>
      <c r="AM1587" s="1" t="s">
        <v>24217</v>
      </c>
      <c r="AN1587" s="7" t="s">
        <v>24218</v>
      </c>
      <c r="AO1587" s="8" t="str">
        <f>HYPERLINK("https://docs.google.com/document/d/1SKuGwXusTnR9AkG3XG58TJ2tCprqfXUSUhOl-Ka7FFA/edit?usp=drivesdk","Al-Wildan 20 Mataram_Yulia Prihatiningrum_")</f>
        <v>Al-Wildan 20 Mataram_Yulia Prihatiningrum_</v>
      </c>
      <c r="AP1587" s="1" t="s">
        <v>24219</v>
      </c>
    </row>
    <row r="1588">
      <c r="A1588" s="6">
        <v>46260.41212494213</v>
      </c>
      <c r="B1588" s="7" t="s">
        <v>24220</v>
      </c>
      <c r="C1588" s="8" t="s">
        <v>24221</v>
      </c>
      <c r="D1588" s="1" t="s">
        <v>24222</v>
      </c>
      <c r="E1588" s="9" t="s">
        <v>24223</v>
      </c>
      <c r="F1588" s="1" t="s">
        <v>24224</v>
      </c>
      <c r="G1588" s="1" t="s">
        <v>24225</v>
      </c>
      <c r="H1588" s="1" t="s">
        <v>169</v>
      </c>
      <c r="I1588" s="9" t="s">
        <v>17595</v>
      </c>
      <c r="J1588" s="1" t="s">
        <v>8032</v>
      </c>
      <c r="K1588" s="1" t="s">
        <v>151</v>
      </c>
      <c r="L1588" s="1" t="s">
        <v>103</v>
      </c>
      <c r="M1588" s="1" t="s">
        <v>5671</v>
      </c>
      <c r="O1588" s="1" t="s">
        <v>127</v>
      </c>
      <c r="P1588" s="1" t="s">
        <v>5712</v>
      </c>
      <c r="Q1588" s="1" t="s">
        <v>24226</v>
      </c>
      <c r="R1588" s="1" t="s">
        <v>2355</v>
      </c>
      <c r="S1588" s="1" t="s">
        <v>6661</v>
      </c>
      <c r="Z1588" s="1" t="s">
        <v>24227</v>
      </c>
      <c r="AA1588" s="10">
        <v>4550000.0</v>
      </c>
      <c r="AF1588" s="10">
        <v>5000000.0</v>
      </c>
      <c r="AG1588" s="1">
        <v>9.54193473E9</v>
      </c>
      <c r="AJ1588" s="1">
        <v>163.0</v>
      </c>
      <c r="AK1588" s="1">
        <v>72.0</v>
      </c>
      <c r="AL1588" s="1" t="s">
        <v>24228</v>
      </c>
      <c r="AM1588" s="1" t="s">
        <v>24229</v>
      </c>
      <c r="AN1588" s="7" t="s">
        <v>24230</v>
      </c>
      <c r="AO1588" s="8" t="str">
        <f>HYPERLINK("https://docs.google.com/document/d/1_xmUQEHM9N6MybRzaCV2rG21cOr8PKT6ZxNXsjOkK2I/edit?usp=drivesdk","Al-Wildan 3 BSD City_Muhammad Muthy Abdullah_")</f>
        <v>Al-Wildan 3 BSD City_Muhammad Muthy Abdullah_</v>
      </c>
      <c r="AP1588" s="1" t="s">
        <v>24231</v>
      </c>
    </row>
    <row r="1589">
      <c r="A1589" s="6">
        <v>46260.42281451389</v>
      </c>
      <c r="B1589" s="7" t="s">
        <v>24232</v>
      </c>
      <c r="C1589" s="8" t="s">
        <v>24233</v>
      </c>
      <c r="D1589" s="1" t="s">
        <v>24234</v>
      </c>
      <c r="E1589" s="9" t="s">
        <v>24223</v>
      </c>
      <c r="F1589" s="1" t="s">
        <v>24224</v>
      </c>
      <c r="G1589" s="1" t="s">
        <v>24235</v>
      </c>
      <c r="H1589" s="1" t="s">
        <v>169</v>
      </c>
      <c r="I1589" s="9" t="s">
        <v>17595</v>
      </c>
      <c r="J1589" s="1" t="s">
        <v>8032</v>
      </c>
      <c r="K1589" s="1" t="s">
        <v>151</v>
      </c>
      <c r="L1589" s="1" t="s">
        <v>103</v>
      </c>
      <c r="M1589" s="1" t="s">
        <v>5671</v>
      </c>
      <c r="O1589" s="1" t="s">
        <v>127</v>
      </c>
      <c r="P1589" s="1" t="s">
        <v>5712</v>
      </c>
      <c r="Q1589" s="1" t="s">
        <v>24226</v>
      </c>
      <c r="R1589" s="1" t="s">
        <v>2355</v>
      </c>
      <c r="S1589" s="1" t="s">
        <v>6661</v>
      </c>
      <c r="Z1589" s="1" t="s">
        <v>24227</v>
      </c>
      <c r="AA1589" s="10">
        <v>4550000.0</v>
      </c>
      <c r="AF1589" s="10">
        <v>5000000.0</v>
      </c>
      <c r="AG1589" s="1">
        <v>9.54193473E9</v>
      </c>
      <c r="AJ1589" s="1">
        <v>163.0</v>
      </c>
      <c r="AK1589" s="1">
        <v>72.0</v>
      </c>
      <c r="AL1589" s="1" t="s">
        <v>24228</v>
      </c>
      <c r="AM1589" s="1" t="s">
        <v>24236</v>
      </c>
      <c r="AN1589" s="7" t="s">
        <v>24237</v>
      </c>
      <c r="AO1589" s="8" t="str">
        <f>HYPERLINK("https://docs.google.com/document/d/1fdcJGzYmypl9sH_POIE79GmiJTWrwCO-e2yhLzcVQok/edit?usp=drivesdk","Al-Wildan 3 BSD City_Muhammad Muthy Abdullah, S.Pd._")</f>
        <v>Al-Wildan 3 BSD City_Muhammad Muthy Abdullah, S.Pd._</v>
      </c>
      <c r="AP1589" s="1" t="s">
        <v>24238</v>
      </c>
    </row>
    <row r="1590">
      <c r="A1590" s="6">
        <v>46260.61549997685</v>
      </c>
      <c r="B1590" s="7" t="s">
        <v>24239</v>
      </c>
      <c r="C1590" s="8" t="s">
        <v>24240</v>
      </c>
      <c r="D1590" s="1" t="s">
        <v>24241</v>
      </c>
      <c r="E1590" s="9" t="s">
        <v>24242</v>
      </c>
      <c r="F1590" s="1" t="s">
        <v>24243</v>
      </c>
      <c r="G1590" s="1" t="s">
        <v>24244</v>
      </c>
      <c r="H1590" s="1" t="s">
        <v>24245</v>
      </c>
      <c r="I1590" s="9" t="s">
        <v>24246</v>
      </c>
      <c r="J1590" s="1" t="s">
        <v>12931</v>
      </c>
      <c r="K1590" s="1" t="s">
        <v>151</v>
      </c>
      <c r="L1590" s="1" t="s">
        <v>103</v>
      </c>
      <c r="M1590" s="1" t="s">
        <v>104</v>
      </c>
      <c r="N1590" s="1" t="s">
        <v>15176</v>
      </c>
      <c r="O1590" s="1" t="s">
        <v>312</v>
      </c>
      <c r="P1590" s="1" t="s">
        <v>17019</v>
      </c>
      <c r="Q1590" s="1" t="s">
        <v>24247</v>
      </c>
      <c r="R1590" s="1" t="s">
        <v>8140</v>
      </c>
      <c r="S1590" s="1" t="s">
        <v>1364</v>
      </c>
      <c r="Z1590" s="1" t="s">
        <v>24248</v>
      </c>
      <c r="AA1590" s="10">
        <v>1800000.0</v>
      </c>
      <c r="AB1590" s="1" t="s">
        <v>24249</v>
      </c>
      <c r="AC1590" s="10">
        <v>1800000.0</v>
      </c>
      <c r="AF1590" s="1" t="s">
        <v>8105</v>
      </c>
      <c r="AH1590" s="1">
        <v>1.332553508E9</v>
      </c>
      <c r="AI1590" s="1" t="s">
        <v>159</v>
      </c>
      <c r="AJ1590" s="1">
        <v>178.0</v>
      </c>
      <c r="AK1590" s="1">
        <v>118.0</v>
      </c>
      <c r="AL1590" s="1" t="s">
        <v>24250</v>
      </c>
      <c r="AM1590" s="1" t="s">
        <v>24251</v>
      </c>
      <c r="AN1590" s="7" t="s">
        <v>24252</v>
      </c>
      <c r="AO1590" s="8" t="str">
        <f>HYPERLINK("https://docs.google.com/document/d/1N7ycZvgtha9EyM_M3E9WBj6uxbRYKJcjCd-RD58FRMw/edit?usp=drivesdk","Al-Wildan 20 Mataram_Mu'thi Ali S.Pd._ADA")</f>
        <v>Al-Wildan 20 Mataram_Mu'thi Ali S.Pd._ADA</v>
      </c>
      <c r="AP1590" s="1" t="s">
        <v>24253</v>
      </c>
    </row>
    <row r="1591">
      <c r="A1591" s="6">
        <v>46260.955412905096</v>
      </c>
      <c r="B1591" s="7" t="s">
        <v>24254</v>
      </c>
      <c r="C1591" s="8" t="s">
        <v>24255</v>
      </c>
      <c r="D1591" s="1" t="s">
        <v>24256</v>
      </c>
      <c r="E1591" s="9" t="s">
        <v>24257</v>
      </c>
      <c r="F1591" s="1" t="s">
        <v>24258</v>
      </c>
      <c r="G1591" s="1" t="s">
        <v>24259</v>
      </c>
      <c r="H1591" s="1" t="s">
        <v>99</v>
      </c>
      <c r="I1591" s="9" t="s">
        <v>2915</v>
      </c>
      <c r="J1591" s="1" t="s">
        <v>1994</v>
      </c>
      <c r="K1591" s="1" t="s">
        <v>151</v>
      </c>
      <c r="L1591" s="1" t="s">
        <v>103</v>
      </c>
      <c r="M1591" s="1" t="s">
        <v>2677</v>
      </c>
      <c r="O1591" s="1" t="s">
        <v>14262</v>
      </c>
      <c r="P1591" s="1" t="s">
        <v>237</v>
      </c>
      <c r="Q1591" s="1" t="s">
        <v>24260</v>
      </c>
      <c r="R1591" s="1" t="s">
        <v>3005</v>
      </c>
      <c r="S1591" s="1" t="s">
        <v>2180</v>
      </c>
      <c r="Z1591" s="1" t="s">
        <v>24261</v>
      </c>
      <c r="AA1591" s="10">
        <v>4800000.0</v>
      </c>
      <c r="AB1591" s="1" t="s">
        <v>24262</v>
      </c>
      <c r="AC1591" s="10">
        <v>7200000.0</v>
      </c>
      <c r="AF1591" s="10">
        <v>6500000.0</v>
      </c>
      <c r="AH1591" s="1">
        <v>1.726724331E9</v>
      </c>
      <c r="AI1591" s="1" t="s">
        <v>9002</v>
      </c>
      <c r="AJ1591" s="1">
        <v>173.0</v>
      </c>
      <c r="AK1591" s="1">
        <v>80.0</v>
      </c>
      <c r="AL1591" s="1" t="s">
        <v>24263</v>
      </c>
      <c r="AM1591" s="1" t="s">
        <v>24264</v>
      </c>
      <c r="AN1591" s="7" t="s">
        <v>24265</v>
      </c>
      <c r="AO1591" s="8" t="str">
        <f>HYPERLINK("https://docs.google.com/document/d/1MsO9mWscFTaZAvriybEUt0trAH2YZvSEPiJ7yEquDNA/edit?usp=drivesdk","Al-Wildan 4 Lebak Bulus_Achmad Aldyansyah, S.Kom_")</f>
        <v>Al-Wildan 4 Lebak Bulus_Achmad Aldyansyah, S.Kom_</v>
      </c>
      <c r="AP1591" s="1" t="s">
        <v>24266</v>
      </c>
    </row>
    <row r="1592">
      <c r="A1592" s="6">
        <v>46265.596361828706</v>
      </c>
      <c r="B1592" s="7" t="s">
        <v>24267</v>
      </c>
      <c r="C1592" s="8" t="s">
        <v>24268</v>
      </c>
      <c r="D1592" s="1" t="s">
        <v>24269</v>
      </c>
      <c r="E1592" s="9" t="s">
        <v>24270</v>
      </c>
      <c r="F1592" s="1" t="s">
        <v>24271</v>
      </c>
      <c r="G1592" s="1" t="s">
        <v>722</v>
      </c>
      <c r="H1592" s="1" t="s">
        <v>4733</v>
      </c>
      <c r="I1592" s="9" t="s">
        <v>24272</v>
      </c>
      <c r="J1592" s="1" t="s">
        <v>6089</v>
      </c>
      <c r="K1592" s="1" t="s">
        <v>102</v>
      </c>
      <c r="L1592" s="1" t="s">
        <v>103</v>
      </c>
      <c r="M1592" s="1" t="s">
        <v>104</v>
      </c>
      <c r="N1592" s="1" t="s">
        <v>1523</v>
      </c>
      <c r="O1592" s="1" t="s">
        <v>236</v>
      </c>
      <c r="P1592" s="1" t="s">
        <v>5712</v>
      </c>
      <c r="Q1592" s="1" t="s">
        <v>15826</v>
      </c>
      <c r="R1592" s="1" t="s">
        <v>1523</v>
      </c>
      <c r="S1592" s="1" t="s">
        <v>426</v>
      </c>
      <c r="T1592" s="1" t="s">
        <v>14927</v>
      </c>
      <c r="U1592" s="1" t="s">
        <v>1523</v>
      </c>
      <c r="V1592" s="1" t="s">
        <v>740</v>
      </c>
      <c r="Z1592" s="1" t="s">
        <v>24273</v>
      </c>
      <c r="AA1592" s="10">
        <v>6995863.0</v>
      </c>
      <c r="AF1592" s="10">
        <v>6995863.0</v>
      </c>
      <c r="AG1592" s="1">
        <v>6.13869758E9</v>
      </c>
      <c r="AJ1592" s="1">
        <v>185.0</v>
      </c>
      <c r="AK1592" s="1">
        <v>75.0</v>
      </c>
      <c r="AL1592" s="1" t="s">
        <v>24274</v>
      </c>
      <c r="AM1592" s="1" t="s">
        <v>24275</v>
      </c>
      <c r="AN1592" s="7" t="s">
        <v>24276</v>
      </c>
      <c r="AO1592" s="8" t="str">
        <f>HYPERLINK("https://docs.google.com/document/d/18Qd_2FGszbjEkGUmf1U6zFN5_aw11lXe7bFaZU4bedE/edit?usp=drivesdk","Al-Wildan 3 BSD City_Yogi Yopa Kristia, M.Si., Gr._Kimia")</f>
        <v>Al-Wildan 3 BSD City_Yogi Yopa Kristia, M.Si., Gr._Kimia</v>
      </c>
      <c r="AP1592" s="1" t="s">
        <v>24277</v>
      </c>
    </row>
    <row r="1593">
      <c r="A1593" s="6">
        <v>46267.37103520833</v>
      </c>
      <c r="B1593" s="7" t="s">
        <v>24278</v>
      </c>
      <c r="C1593" s="8" t="s">
        <v>24279</v>
      </c>
      <c r="D1593" s="1" t="s">
        <v>24280</v>
      </c>
      <c r="E1593" s="9" t="s">
        <v>24281</v>
      </c>
      <c r="F1593" s="1" t="s">
        <v>24282</v>
      </c>
      <c r="G1593" s="1" t="s">
        <v>24283</v>
      </c>
      <c r="H1593" s="1" t="s">
        <v>148</v>
      </c>
      <c r="I1593" s="9" t="s">
        <v>24284</v>
      </c>
      <c r="J1593" s="1" t="s">
        <v>13868</v>
      </c>
      <c r="K1593" s="1" t="s">
        <v>151</v>
      </c>
      <c r="L1593" s="1" t="s">
        <v>103</v>
      </c>
      <c r="M1593" s="1" t="s">
        <v>104</v>
      </c>
      <c r="N1593" s="1" t="s">
        <v>24285</v>
      </c>
      <c r="O1593" s="1" t="s">
        <v>9794</v>
      </c>
      <c r="P1593" s="1" t="s">
        <v>6091</v>
      </c>
      <c r="Q1593" s="1" t="s">
        <v>10642</v>
      </c>
      <c r="R1593" s="1" t="s">
        <v>24286</v>
      </c>
      <c r="S1593" s="1" t="s">
        <v>22165</v>
      </c>
      <c r="Z1593" s="1" t="s">
        <v>24287</v>
      </c>
      <c r="AA1593" s="10">
        <v>6.0E7</v>
      </c>
      <c r="AB1593" s="1" t="s">
        <v>24288</v>
      </c>
      <c r="AC1593" s="10">
        <v>4000000.0</v>
      </c>
      <c r="AD1593" s="1" t="s">
        <v>24289</v>
      </c>
      <c r="AE1593" s="10">
        <v>5500000.0</v>
      </c>
      <c r="AF1593" s="10">
        <v>8000000.0</v>
      </c>
      <c r="AG1593" s="1">
        <v>7.209352022E9</v>
      </c>
      <c r="AJ1593" s="1">
        <v>179.0</v>
      </c>
      <c r="AK1593" s="1">
        <v>72.0</v>
      </c>
      <c r="AL1593" s="1" t="s">
        <v>24290</v>
      </c>
      <c r="AM1593" s="1" t="s">
        <v>24291</v>
      </c>
      <c r="AN1593" s="7" t="s">
        <v>24292</v>
      </c>
      <c r="AO1593" s="8" t="str">
        <f>HYPERLINK("https://docs.google.com/document/d/1aw38N26gL5C5SRSfjsOvoE72XRSmBkO0eSFSsXac66M/edit?usp=drivesdk","Al-Wildan 10 Cipinang, Jakarta Timur_MOCHAMMED ALIEFZ EL ABRAR, B.B.A_ADA(Al-Qur’an - Diniyah - Arabic)")</f>
        <v>Al-Wildan 10 Cipinang, Jakarta Timur_MOCHAMMED ALIEFZ EL ABRAR, B.B.A_ADA(Al-Qur’an - Diniyah - Arabic)</v>
      </c>
      <c r="AP1593" s="1" t="s">
        <v>24293</v>
      </c>
    </row>
    <row r="1594">
      <c r="A1594" s="6">
        <v>46268.692012534724</v>
      </c>
      <c r="B1594" s="7" t="s">
        <v>24294</v>
      </c>
      <c r="C1594" s="8" t="s">
        <v>24295</v>
      </c>
      <c r="D1594" s="1" t="s">
        <v>24296</v>
      </c>
      <c r="E1594" s="9" t="s">
        <v>24297</v>
      </c>
      <c r="F1594" s="1" t="s">
        <v>24298</v>
      </c>
      <c r="G1594" s="1" t="s">
        <v>24299</v>
      </c>
      <c r="H1594" s="1" t="s">
        <v>24300</v>
      </c>
      <c r="I1594" s="9" t="s">
        <v>24301</v>
      </c>
      <c r="J1594" s="1" t="s">
        <v>5447</v>
      </c>
      <c r="K1594" s="1" t="s">
        <v>151</v>
      </c>
      <c r="L1594" s="1" t="s">
        <v>103</v>
      </c>
      <c r="M1594" s="1" t="s">
        <v>104</v>
      </c>
      <c r="N1594" s="1" t="s">
        <v>1523</v>
      </c>
      <c r="O1594" s="1" t="s">
        <v>9794</v>
      </c>
      <c r="P1594" s="1" t="s">
        <v>17019</v>
      </c>
      <c r="Q1594" s="1" t="s">
        <v>590</v>
      </c>
      <c r="R1594" s="1" t="s">
        <v>1523</v>
      </c>
      <c r="S1594" s="1" t="s">
        <v>1087</v>
      </c>
      <c r="AF1594" s="1" t="s">
        <v>5254</v>
      </c>
      <c r="AH1594" s="1">
        <v>7.9444821E8</v>
      </c>
      <c r="AI1594" s="1" t="s">
        <v>24302</v>
      </c>
      <c r="AJ1594" s="1">
        <v>150.0</v>
      </c>
      <c r="AK1594" s="1">
        <v>60.0</v>
      </c>
      <c r="AL1594" s="1" t="s">
        <v>24303</v>
      </c>
      <c r="AM1594" s="1" t="s">
        <v>24304</v>
      </c>
      <c r="AN1594" s="7" t="s">
        <v>24305</v>
      </c>
      <c r="AO1594" s="8" t="str">
        <f>HYPERLINK("https://docs.google.com/document/d/145_g0ptrQHYsz_iFYVTBGk2hTR1qdFUXpSLzbu4G-t0/edit?usp=drivesdk","Al-Wildan 20 Mataram_Nabila Pandora Landriani, S.Si._Kimia")</f>
        <v>Al-Wildan 20 Mataram_Nabila Pandora Landriani, S.Si._Kimia</v>
      </c>
      <c r="AP1594" s="1" t="s">
        <v>24306</v>
      </c>
    </row>
    <row r="1595">
      <c r="A1595" s="6">
        <v>46274.46635456018</v>
      </c>
      <c r="B1595" s="7" t="s">
        <v>24307</v>
      </c>
      <c r="C1595" s="8" t="s">
        <v>24308</v>
      </c>
      <c r="D1595" s="1" t="s">
        <v>24309</v>
      </c>
      <c r="E1595" s="9" t="s">
        <v>24310</v>
      </c>
      <c r="F1595" s="1" t="s">
        <v>24311</v>
      </c>
      <c r="G1595" s="1" t="s">
        <v>24312</v>
      </c>
      <c r="H1595" s="1" t="s">
        <v>327</v>
      </c>
      <c r="I1595" s="9" t="s">
        <v>24313</v>
      </c>
      <c r="J1595" s="1" t="s">
        <v>24314</v>
      </c>
      <c r="K1595" s="1" t="s">
        <v>151</v>
      </c>
      <c r="L1595" s="1" t="s">
        <v>496</v>
      </c>
      <c r="M1595" s="1" t="s">
        <v>424</v>
      </c>
      <c r="O1595" s="1" t="s">
        <v>236</v>
      </c>
      <c r="P1595" s="1" t="s">
        <v>107</v>
      </c>
      <c r="Q1595" s="1" t="s">
        <v>24315</v>
      </c>
      <c r="R1595" s="1" t="s">
        <v>11224</v>
      </c>
      <c r="S1595" s="1" t="s">
        <v>9479</v>
      </c>
      <c r="Z1595" s="1" t="s">
        <v>24316</v>
      </c>
      <c r="AA1595" s="10">
        <v>1400000.0</v>
      </c>
      <c r="AB1595" s="1" t="s">
        <v>24317</v>
      </c>
      <c r="AC1595" s="10">
        <v>3500000.0</v>
      </c>
      <c r="AF1595" s="10">
        <v>5000000.0</v>
      </c>
      <c r="AH1595" s="1">
        <v>3.00201027668533E14</v>
      </c>
      <c r="AI1595" s="1" t="s">
        <v>24318</v>
      </c>
      <c r="AJ1595" s="1">
        <v>150.0</v>
      </c>
      <c r="AK1595" s="1">
        <v>50.0</v>
      </c>
      <c r="AL1595" s="1" t="s">
        <v>24319</v>
      </c>
      <c r="AM1595" s="1" t="s">
        <v>24320</v>
      </c>
      <c r="AN1595" s="7" t="s">
        <v>24321</v>
      </c>
      <c r="AO1595" s="8" t="str">
        <f>HYPERLINK("https://docs.google.com/document/d/1RPdtYPPgejNEevztjjOZoF9nWch76kX5RYaRRU8KLcA/edit?usp=drivesdk","Al-Wildan 1 Gading Serpong_Sri Hardining, S.Psi_")</f>
        <v>Al-Wildan 1 Gading Serpong_Sri Hardining, S.Psi_</v>
      </c>
      <c r="AP1595" s="1" t="s">
        <v>24322</v>
      </c>
    </row>
    <row r="1596">
      <c r="A1596" s="6">
        <v>46275.52463479167</v>
      </c>
      <c r="B1596" s="7" t="s">
        <v>24323</v>
      </c>
      <c r="C1596" s="8" t="s">
        <v>24324</v>
      </c>
      <c r="D1596" s="1" t="s">
        <v>24325</v>
      </c>
      <c r="E1596" s="9" t="s">
        <v>24326</v>
      </c>
      <c r="F1596" s="1" t="s">
        <v>24327</v>
      </c>
      <c r="G1596" s="1" t="s">
        <v>24328</v>
      </c>
      <c r="H1596" s="1" t="s">
        <v>13458</v>
      </c>
      <c r="I1596" s="9" t="s">
        <v>24329</v>
      </c>
      <c r="J1596" s="1" t="s">
        <v>6606</v>
      </c>
      <c r="K1596" s="1" t="s">
        <v>151</v>
      </c>
      <c r="L1596" s="1" t="s">
        <v>256</v>
      </c>
      <c r="M1596" s="1" t="s">
        <v>104</v>
      </c>
      <c r="N1596" s="1" t="s">
        <v>6090</v>
      </c>
      <c r="O1596" s="1" t="s">
        <v>312</v>
      </c>
      <c r="P1596" s="1" t="s">
        <v>7991</v>
      </c>
      <c r="Q1596" s="1" t="s">
        <v>24330</v>
      </c>
      <c r="R1596" s="1" t="s">
        <v>24331</v>
      </c>
      <c r="S1596" s="1">
        <v>3.6</v>
      </c>
      <c r="Z1596" s="1" t="s">
        <v>16004</v>
      </c>
      <c r="AA1596" s="10">
        <v>6500000.0</v>
      </c>
      <c r="AB1596" s="1" t="s">
        <v>2917</v>
      </c>
      <c r="AC1596" s="10">
        <v>3500000.0</v>
      </c>
      <c r="AD1596" s="1" t="s">
        <v>19147</v>
      </c>
      <c r="AE1596" s="10">
        <v>4500000.0</v>
      </c>
      <c r="AF1596" s="1" t="s">
        <v>24332</v>
      </c>
      <c r="AG1596" s="1">
        <v>7.150577262E9</v>
      </c>
      <c r="AJ1596" s="1">
        <v>173.0</v>
      </c>
      <c r="AK1596" s="1">
        <v>95.0</v>
      </c>
      <c r="AL1596" s="1" t="s">
        <v>24333</v>
      </c>
      <c r="AM1596" s="1" t="s">
        <v>24334</v>
      </c>
      <c r="AN1596" s="7" t="s">
        <v>24335</v>
      </c>
      <c r="AO1596" s="8" t="str">
        <f>HYPERLINK("https://docs.google.com/document/d/1KDE95FQxz_ZC1gywGbEB_eL93pt4U0ueJyg8x7qGXA4/edit?usp=drivesdk","Al-Wildan 12 Bulak Kapal, Bekasi_Bilal Wafi BA._Agama")</f>
        <v>Al-Wildan 12 Bulak Kapal, Bekasi_Bilal Wafi BA._Agama</v>
      </c>
      <c r="AP1596" s="1" t="s">
        <v>24336</v>
      </c>
    </row>
    <row r="1597">
      <c r="A1597" s="6">
        <v>46277.36790469907</v>
      </c>
      <c r="B1597" s="7" t="s">
        <v>24337</v>
      </c>
      <c r="C1597" s="8" t="s">
        <v>24338</v>
      </c>
      <c r="D1597" s="1" t="s">
        <v>24339</v>
      </c>
      <c r="E1597" s="9" t="s">
        <v>24340</v>
      </c>
      <c r="F1597" s="1" t="s">
        <v>24341</v>
      </c>
      <c r="G1597" s="1" t="s">
        <v>24342</v>
      </c>
      <c r="H1597" s="1" t="s">
        <v>1555</v>
      </c>
      <c r="I1597" s="9" t="s">
        <v>24343</v>
      </c>
      <c r="J1597" s="1">
        <v>48.0</v>
      </c>
      <c r="K1597" s="1" t="s">
        <v>850</v>
      </c>
      <c r="L1597" s="1" t="s">
        <v>103</v>
      </c>
      <c r="M1597" s="1" t="s">
        <v>104</v>
      </c>
      <c r="N1597" s="1" t="s">
        <v>771</v>
      </c>
      <c r="O1597" s="1" t="s">
        <v>127</v>
      </c>
      <c r="P1597" s="1" t="s">
        <v>5712</v>
      </c>
      <c r="Q1597" s="1" t="s">
        <v>24344</v>
      </c>
      <c r="R1597" s="1" t="s">
        <v>5731</v>
      </c>
      <c r="S1597" s="9" t="s">
        <v>6782</v>
      </c>
      <c r="T1597" s="1" t="s">
        <v>2583</v>
      </c>
      <c r="U1597" s="1" t="s">
        <v>172</v>
      </c>
      <c r="V1597" s="1" t="s">
        <v>6437</v>
      </c>
      <c r="Z1597" s="1" t="s">
        <v>24345</v>
      </c>
      <c r="AA1597" s="10">
        <v>7500000.0</v>
      </c>
      <c r="AB1597" s="1" t="s">
        <v>24346</v>
      </c>
      <c r="AC1597" s="10">
        <v>1.0E7</v>
      </c>
      <c r="AE1597" s="10">
        <v>1.0E7</v>
      </c>
      <c r="AF1597" s="10">
        <v>9500000.0</v>
      </c>
      <c r="AG1597" s="1">
        <v>4.32657691E9</v>
      </c>
      <c r="AH1597" s="1">
        <v>1.138921961E9</v>
      </c>
      <c r="AI1597" s="1" t="s">
        <v>159</v>
      </c>
      <c r="AJ1597" s="1">
        <v>168.0</v>
      </c>
      <c r="AK1597" s="1">
        <v>78.0</v>
      </c>
      <c r="AL1597" s="1" t="s">
        <v>24347</v>
      </c>
      <c r="AM1597" s="1" t="s">
        <v>24348</v>
      </c>
      <c r="AN1597" s="7" t="s">
        <v>24349</v>
      </c>
      <c r="AO1597" s="8" t="str">
        <f>HYPERLINK("https://docs.google.com/document/d/1WqGzoLs3SYg0DSMsU-rRJXL1ZVxFEmG1pWIs74sUw2o/edit?usp=drivesdk","Al-Wildan 3 BSD City_Egi Komara Yudha, S.Kp, MM, M.Pd._English")</f>
        <v>Al-Wildan 3 BSD City_Egi Komara Yudha, S.Kp, MM, M.Pd._English</v>
      </c>
      <c r="AP1597" s="1" t="s">
        <v>24350</v>
      </c>
    </row>
    <row r="1598">
      <c r="A1598" s="6">
        <v>46279.923030879625</v>
      </c>
      <c r="B1598" s="7" t="s">
        <v>24351</v>
      </c>
      <c r="C1598" s="8" t="s">
        <v>24352</v>
      </c>
      <c r="D1598" s="1" t="s">
        <v>24353</v>
      </c>
      <c r="E1598" s="9" t="s">
        <v>24354</v>
      </c>
      <c r="F1598" s="1" t="s">
        <v>24355</v>
      </c>
      <c r="G1598" s="1" t="s">
        <v>24356</v>
      </c>
      <c r="H1598" s="1" t="s">
        <v>169</v>
      </c>
      <c r="I1598" s="9" t="s">
        <v>24357</v>
      </c>
      <c r="J1598" s="1" t="s">
        <v>24358</v>
      </c>
      <c r="K1598" s="1" t="s">
        <v>102</v>
      </c>
      <c r="L1598" s="1" t="s">
        <v>103</v>
      </c>
      <c r="M1598" s="1" t="s">
        <v>18796</v>
      </c>
      <c r="O1598" s="1" t="s">
        <v>13406</v>
      </c>
      <c r="P1598" s="1" t="s">
        <v>21626</v>
      </c>
      <c r="Q1598" s="1" t="s">
        <v>1562</v>
      </c>
      <c r="R1598" s="1" t="s">
        <v>1562</v>
      </c>
      <c r="S1598" s="1" t="s">
        <v>1562</v>
      </c>
      <c r="T1598" s="1" t="s">
        <v>1562</v>
      </c>
      <c r="U1598" s="1" t="s">
        <v>1562</v>
      </c>
      <c r="V1598" s="1" t="s">
        <v>1562</v>
      </c>
      <c r="W1598" s="1" t="s">
        <v>1562</v>
      </c>
      <c r="X1598" s="1" t="s">
        <v>1562</v>
      </c>
      <c r="Y1598" s="1" t="s">
        <v>2510</v>
      </c>
      <c r="Z1598" s="1" t="s">
        <v>24359</v>
      </c>
      <c r="AA1598" s="10">
        <v>3000000.0</v>
      </c>
      <c r="AB1598" s="1" t="s">
        <v>18796</v>
      </c>
      <c r="AC1598" s="10">
        <v>3000000.0</v>
      </c>
      <c r="AD1598" s="1" t="s">
        <v>18796</v>
      </c>
      <c r="AE1598" s="10">
        <v>3000000.0</v>
      </c>
      <c r="AF1598" s="10">
        <v>3000000.0</v>
      </c>
      <c r="AG1598" s="1">
        <v>0.0</v>
      </c>
      <c r="AH1598" s="1">
        <v>0.0</v>
      </c>
      <c r="AI1598" s="1" t="s">
        <v>3885</v>
      </c>
      <c r="AJ1598" s="1">
        <v>167.0</v>
      </c>
      <c r="AK1598" s="1">
        <v>55.0</v>
      </c>
      <c r="AL1598" s="1" t="s">
        <v>24360</v>
      </c>
      <c r="AM1598" s="1" t="s">
        <v>24361</v>
      </c>
      <c r="AN1598" s="7" t="s">
        <v>24362</v>
      </c>
      <c r="AO1598" s="8" t="str">
        <f>HYPERLINK("https://docs.google.com/document/d/1laGt0LbeZ13j0Bh0_3JrT3shtTob2PC3uwEebrQz034/edit?usp=drivesdk","Al-Wildan 29 DEPOK_Mulyadi_")</f>
        <v>Al-Wildan 29 DEPOK_Mulyadi_</v>
      </c>
      <c r="AP1598" s="1" t="s">
        <v>24363</v>
      </c>
    </row>
    <row r="1599">
      <c r="A1599" s="6">
        <v>46286.70203028935</v>
      </c>
      <c r="B1599" s="7" t="s">
        <v>24364</v>
      </c>
      <c r="C1599" s="8" t="s">
        <v>24365</v>
      </c>
      <c r="D1599" s="1" t="s">
        <v>24366</v>
      </c>
      <c r="E1599" s="9" t="s">
        <v>24367</v>
      </c>
      <c r="F1599" s="1" t="s">
        <v>24368</v>
      </c>
      <c r="G1599" s="1" t="s">
        <v>24369</v>
      </c>
      <c r="H1599" s="1" t="s">
        <v>169</v>
      </c>
      <c r="I1599" s="1">
        <v>1.3051997E7</v>
      </c>
      <c r="J1599" s="1" t="s">
        <v>5874</v>
      </c>
      <c r="K1599" s="1" t="s">
        <v>102</v>
      </c>
      <c r="L1599" s="1" t="s">
        <v>256</v>
      </c>
      <c r="M1599" s="1" t="s">
        <v>104</v>
      </c>
      <c r="N1599" s="1" t="s">
        <v>1523</v>
      </c>
      <c r="O1599" s="1" t="s">
        <v>127</v>
      </c>
      <c r="P1599" s="1" t="s">
        <v>5712</v>
      </c>
      <c r="Q1599" s="1" t="s">
        <v>14927</v>
      </c>
      <c r="R1599" s="1" t="s">
        <v>2885</v>
      </c>
      <c r="S1599" s="1" t="s">
        <v>2032</v>
      </c>
      <c r="Z1599" s="1" t="s">
        <v>24370</v>
      </c>
      <c r="AA1599" s="10">
        <v>9600000.0</v>
      </c>
      <c r="AB1599" s="1" t="s">
        <v>24371</v>
      </c>
      <c r="AC1599" s="1" t="s">
        <v>24372</v>
      </c>
      <c r="AF1599" s="1" t="s">
        <v>24373</v>
      </c>
      <c r="AH1599" s="1">
        <v>8.881921731E9</v>
      </c>
      <c r="AI1599" s="1" t="s">
        <v>17495</v>
      </c>
      <c r="AJ1599" s="1">
        <v>163.0</v>
      </c>
      <c r="AK1599" s="1">
        <v>73.0</v>
      </c>
      <c r="AL1599" s="1" t="s">
        <v>24374</v>
      </c>
      <c r="AM1599" s="1" t="s">
        <v>24375</v>
      </c>
      <c r="AN1599" s="7" t="s">
        <v>24376</v>
      </c>
      <c r="AO1599" s="8" t="str">
        <f>HYPERLINK("https://docs.google.com/document/d/1QZij4C5Vib2d_2le-xsRdhWqNdfSJqmkL8R6_-1zcwo/edit?usp=drivesdk","Al-Wildan 3 BSD City_Husni Radiyan, S.T., QWP, RIFA_Kimia")</f>
        <v>Al-Wildan 3 BSD City_Husni Radiyan, S.T., QWP, RIFA_Kimia</v>
      </c>
      <c r="AP1599" s="1" t="s">
        <v>24377</v>
      </c>
    </row>
    <row r="1600">
      <c r="A1600" s="6">
        <v>46287.52722070602</v>
      </c>
      <c r="B1600" s="7" t="s">
        <v>24378</v>
      </c>
      <c r="C1600" s="8" t="s">
        <v>24379</v>
      </c>
      <c r="D1600" s="1" t="s">
        <v>24380</v>
      </c>
      <c r="E1600" s="9" t="s">
        <v>24381</v>
      </c>
      <c r="F1600" s="1" t="s">
        <v>24382</v>
      </c>
      <c r="G1600" s="1" t="s">
        <v>24383</v>
      </c>
      <c r="H1600" s="1" t="s">
        <v>148</v>
      </c>
      <c r="I1600" s="9" t="s">
        <v>24384</v>
      </c>
      <c r="J1600" s="1" t="s">
        <v>2385</v>
      </c>
      <c r="K1600" s="1" t="s">
        <v>151</v>
      </c>
      <c r="L1600" s="1" t="s">
        <v>496</v>
      </c>
      <c r="M1600" s="1" t="s">
        <v>8769</v>
      </c>
      <c r="N1600" s="1" t="s">
        <v>217</v>
      </c>
      <c r="O1600" s="1" t="s">
        <v>127</v>
      </c>
      <c r="P1600" s="1" t="s">
        <v>14335</v>
      </c>
      <c r="Q1600" s="1" t="s">
        <v>217</v>
      </c>
      <c r="R1600" s="1" t="s">
        <v>217</v>
      </c>
      <c r="S1600" s="1" t="s">
        <v>217</v>
      </c>
      <c r="Z1600" s="1" t="s">
        <v>24385</v>
      </c>
      <c r="AA1600" s="10">
        <v>1700000.0</v>
      </c>
      <c r="AB1600" s="1" t="s">
        <v>24386</v>
      </c>
      <c r="AC1600" s="10">
        <v>2900000.0</v>
      </c>
      <c r="AF1600" s="10">
        <v>2000000.0</v>
      </c>
      <c r="AG1600" s="1">
        <v>7.187617922E9</v>
      </c>
      <c r="AJ1600" s="1">
        <v>130.0</v>
      </c>
      <c r="AK1600" s="1">
        <v>40.0</v>
      </c>
      <c r="AL1600" s="1" t="s">
        <v>24387</v>
      </c>
      <c r="AM1600" s="1" t="s">
        <v>24388</v>
      </c>
      <c r="AN1600" s="7" t="s">
        <v>24389</v>
      </c>
      <c r="AO1600" s="8" t="str">
        <f>HYPERLINK("https://docs.google.com/document/d/1x-sqxenIhv76FzaeatBfKnfaE2_br5ULtAZ7sBf_wLw/edit?usp=drivesdk","Al-Wildan 13 Tembalang, Bekasi_Putri Salsa Nabila_-")</f>
        <v>Al-Wildan 13 Tembalang, Bekasi_Putri Salsa Nabila_-</v>
      </c>
      <c r="AP1600" s="1" t="s">
        <v>24390</v>
      </c>
    </row>
    <row r="1601">
      <c r="C1601" s="2" t="s">
        <v>5691</v>
      </c>
    </row>
    <row r="1602">
      <c r="C1602" s="2" t="s">
        <v>5691</v>
      </c>
    </row>
    <row r="1603">
      <c r="C1603" s="2" t="s">
        <v>5691</v>
      </c>
    </row>
    <row r="1604">
      <c r="C1604" s="2" t="s">
        <v>5691</v>
      </c>
    </row>
    <row r="1605">
      <c r="C1605" s="2" t="s">
        <v>5691</v>
      </c>
    </row>
    <row r="1606">
      <c r="C1606" s="2" t="s">
        <v>5691</v>
      </c>
    </row>
    <row r="1607">
      <c r="C1607" s="2" t="s">
        <v>5691</v>
      </c>
    </row>
    <row r="1608">
      <c r="C1608" s="2" t="s">
        <v>5691</v>
      </c>
    </row>
    <row r="1609">
      <c r="C1609" s="2" t="s">
        <v>5691</v>
      </c>
    </row>
    <row r="1610">
      <c r="C1610" s="2" t="s">
        <v>5691</v>
      </c>
    </row>
    <row r="1611">
      <c r="C1611" s="2" t="s">
        <v>5691</v>
      </c>
    </row>
    <row r="1612">
      <c r="C1612" s="2" t="s">
        <v>5691</v>
      </c>
    </row>
    <row r="1613">
      <c r="C1613" s="2" t="s">
        <v>5691</v>
      </c>
    </row>
    <row r="1614">
      <c r="C1614" s="2" t="s">
        <v>5691</v>
      </c>
    </row>
    <row r="1615">
      <c r="C1615" s="2" t="s">
        <v>5691</v>
      </c>
    </row>
    <row r="1616">
      <c r="C1616" s="2" t="s">
        <v>5691</v>
      </c>
    </row>
    <row r="1617">
      <c r="C1617" s="2" t="s">
        <v>5691</v>
      </c>
    </row>
    <row r="1618">
      <c r="C1618" s="2" t="s">
        <v>5691</v>
      </c>
    </row>
    <row r="1619">
      <c r="C1619" s="2" t="s">
        <v>5691</v>
      </c>
    </row>
    <row r="1620">
      <c r="C1620" s="2" t="s">
        <v>5691</v>
      </c>
    </row>
    <row r="1621">
      <c r="C1621" s="2" t="s">
        <v>5691</v>
      </c>
    </row>
    <row r="1622">
      <c r="C1622" s="2" t="s">
        <v>5691</v>
      </c>
    </row>
    <row r="1623">
      <c r="C1623" s="2" t="s">
        <v>5691</v>
      </c>
    </row>
    <row r="1624">
      <c r="C1624" s="2" t="s">
        <v>5691</v>
      </c>
    </row>
    <row r="1625">
      <c r="C1625" s="2" t="s">
        <v>5691</v>
      </c>
    </row>
    <row r="1626">
      <c r="C1626" s="2" t="s">
        <v>5691</v>
      </c>
    </row>
    <row r="1627">
      <c r="C1627" s="2" t="s">
        <v>5691</v>
      </c>
    </row>
    <row r="1628">
      <c r="C1628" s="2" t="s">
        <v>5691</v>
      </c>
    </row>
    <row r="1629">
      <c r="C1629" s="2" t="s">
        <v>5691</v>
      </c>
    </row>
    <row r="1630">
      <c r="C1630" s="2" t="s">
        <v>5691</v>
      </c>
    </row>
    <row r="1631">
      <c r="C1631" s="2" t="s">
        <v>5691</v>
      </c>
    </row>
    <row r="1632">
      <c r="C1632" s="2" t="s">
        <v>5691</v>
      </c>
    </row>
    <row r="1633">
      <c r="C1633" s="2" t="s">
        <v>5691</v>
      </c>
    </row>
    <row r="1634">
      <c r="C1634" s="2" t="s">
        <v>5691</v>
      </c>
    </row>
    <row r="1635">
      <c r="C1635" s="2" t="s">
        <v>5691</v>
      </c>
    </row>
    <row r="1636">
      <c r="C1636" s="2" t="s">
        <v>5691</v>
      </c>
    </row>
    <row r="1637">
      <c r="C1637" s="2" t="s">
        <v>5691</v>
      </c>
    </row>
    <row r="1638">
      <c r="C1638" s="2" t="s">
        <v>5691</v>
      </c>
    </row>
    <row r="1639">
      <c r="C1639" s="2" t="s">
        <v>5691</v>
      </c>
    </row>
    <row r="1640">
      <c r="C1640" s="2" t="s">
        <v>5691</v>
      </c>
    </row>
    <row r="1641">
      <c r="C1641" s="2" t="s">
        <v>5691</v>
      </c>
    </row>
    <row r="1642">
      <c r="C1642" s="2" t="s">
        <v>5691</v>
      </c>
    </row>
    <row r="1643">
      <c r="C1643" s="2" t="s">
        <v>5691</v>
      </c>
    </row>
    <row r="1644">
      <c r="C1644" s="2" t="s">
        <v>5691</v>
      </c>
    </row>
    <row r="1645">
      <c r="C1645" s="2" t="s">
        <v>5691</v>
      </c>
    </row>
    <row r="1646">
      <c r="C1646" s="2" t="s">
        <v>5691</v>
      </c>
    </row>
    <row r="1647">
      <c r="C1647" s="2" t="s">
        <v>5691</v>
      </c>
    </row>
    <row r="1648">
      <c r="C1648" s="2" t="s">
        <v>5691</v>
      </c>
    </row>
    <row r="1649">
      <c r="C1649" s="2" t="s">
        <v>5691</v>
      </c>
    </row>
    <row r="1650">
      <c r="C1650" s="2" t="s">
        <v>5691</v>
      </c>
    </row>
    <row r="1651">
      <c r="C1651" s="2" t="s">
        <v>5691</v>
      </c>
    </row>
    <row r="1652">
      <c r="C1652" s="2" t="s">
        <v>5691</v>
      </c>
    </row>
    <row r="1653">
      <c r="C1653" s="2" t="s">
        <v>5691</v>
      </c>
    </row>
    <row r="1654">
      <c r="C1654" s="2" t="s">
        <v>5691</v>
      </c>
    </row>
    <row r="1655">
      <c r="C1655" s="2" t="s">
        <v>5691</v>
      </c>
    </row>
    <row r="1656">
      <c r="C1656" s="2" t="s">
        <v>5691</v>
      </c>
    </row>
    <row r="1657">
      <c r="C1657" s="2" t="s">
        <v>5691</v>
      </c>
    </row>
    <row r="1658">
      <c r="C1658" s="2" t="s">
        <v>5691</v>
      </c>
    </row>
    <row r="1659">
      <c r="C1659" s="2" t="s">
        <v>5691</v>
      </c>
    </row>
    <row r="1660">
      <c r="C1660" s="2" t="s">
        <v>5691</v>
      </c>
    </row>
    <row r="1661">
      <c r="C1661" s="2" t="s">
        <v>5691</v>
      </c>
    </row>
    <row r="1662">
      <c r="C1662" s="2" t="s">
        <v>5691</v>
      </c>
    </row>
    <row r="1663">
      <c r="C1663" s="2" t="s">
        <v>5691</v>
      </c>
    </row>
    <row r="1664">
      <c r="C1664" s="2" t="s">
        <v>5691</v>
      </c>
    </row>
    <row r="1665">
      <c r="C1665" s="2" t="s">
        <v>5691</v>
      </c>
    </row>
    <row r="1666">
      <c r="C1666" s="2" t="s">
        <v>5691</v>
      </c>
    </row>
    <row r="1667">
      <c r="C1667" s="2" t="s">
        <v>5691</v>
      </c>
    </row>
    <row r="1668">
      <c r="C1668" s="2" t="s">
        <v>5691</v>
      </c>
    </row>
    <row r="1669">
      <c r="C1669" s="2" t="s">
        <v>5691</v>
      </c>
    </row>
    <row r="1670">
      <c r="C1670" s="2" t="s">
        <v>5691</v>
      </c>
    </row>
    <row r="1671">
      <c r="C1671" s="2" t="s">
        <v>5691</v>
      </c>
    </row>
    <row r="1672">
      <c r="C1672" s="2" t="s">
        <v>5691</v>
      </c>
    </row>
    <row r="1673">
      <c r="C1673" s="2" t="s">
        <v>5691</v>
      </c>
    </row>
    <row r="1674">
      <c r="C1674" s="2" t="s">
        <v>5691</v>
      </c>
    </row>
    <row r="1675">
      <c r="C1675" s="2" t="s">
        <v>5691</v>
      </c>
    </row>
    <row r="1676">
      <c r="C1676" s="2" t="s">
        <v>5691</v>
      </c>
    </row>
    <row r="1677">
      <c r="C1677" s="2" t="s">
        <v>5691</v>
      </c>
    </row>
    <row r="1678">
      <c r="C1678" s="2" t="s">
        <v>5691</v>
      </c>
    </row>
    <row r="1679">
      <c r="C1679" s="2" t="s">
        <v>5691</v>
      </c>
    </row>
    <row r="1680">
      <c r="C1680" s="2" t="s">
        <v>5691</v>
      </c>
    </row>
    <row r="1681">
      <c r="C1681" s="2" t="s">
        <v>5691</v>
      </c>
    </row>
    <row r="1682">
      <c r="C1682" s="2" t="s">
        <v>5691</v>
      </c>
    </row>
    <row r="1683">
      <c r="C1683" s="2" t="s">
        <v>5691</v>
      </c>
    </row>
    <row r="1684">
      <c r="C1684" s="2" t="s">
        <v>5691</v>
      </c>
    </row>
    <row r="1685">
      <c r="C1685" s="2" t="s">
        <v>5691</v>
      </c>
    </row>
    <row r="1686">
      <c r="C1686" s="2" t="s">
        <v>5691</v>
      </c>
    </row>
    <row r="1687">
      <c r="C1687" s="2" t="s">
        <v>5691</v>
      </c>
    </row>
    <row r="1688">
      <c r="C1688" s="2" t="s">
        <v>5691</v>
      </c>
    </row>
    <row r="1689">
      <c r="C1689" s="2" t="s">
        <v>5691</v>
      </c>
    </row>
    <row r="1690">
      <c r="C1690" s="2" t="s">
        <v>5691</v>
      </c>
    </row>
    <row r="1691">
      <c r="C1691" s="2" t="s">
        <v>5691</v>
      </c>
    </row>
    <row r="1692">
      <c r="C1692" s="2" t="s">
        <v>5691</v>
      </c>
    </row>
    <row r="1693">
      <c r="C1693" s="2" t="s">
        <v>5691</v>
      </c>
    </row>
    <row r="1694">
      <c r="C1694" s="2" t="s">
        <v>5691</v>
      </c>
    </row>
    <row r="1695">
      <c r="C1695" s="2" t="s">
        <v>5691</v>
      </c>
    </row>
    <row r="1696">
      <c r="C1696" s="2" t="s">
        <v>5691</v>
      </c>
    </row>
    <row r="1697">
      <c r="C1697" s="2" t="s">
        <v>5691</v>
      </c>
    </row>
    <row r="1698">
      <c r="C1698" s="2" t="s">
        <v>5691</v>
      </c>
    </row>
  </sheetData>
  <hyperlinks>
    <hyperlink r:id="rId1" ref="B2"/>
    <hyperlink r:id="rId2" ref="C2"/>
    <hyperlink r:id="rId3" ref="AN2"/>
    <hyperlink r:id="rId4" ref="B3"/>
    <hyperlink r:id="rId5" ref="C3"/>
    <hyperlink r:id="rId6" ref="AN3"/>
    <hyperlink r:id="rId7" ref="B4"/>
    <hyperlink r:id="rId8" ref="C4"/>
    <hyperlink r:id="rId9" ref="AN4"/>
    <hyperlink r:id="rId10" ref="B5"/>
    <hyperlink r:id="rId11" ref="C5"/>
    <hyperlink r:id="rId12" ref="AN5"/>
    <hyperlink r:id="rId13" ref="B6"/>
    <hyperlink r:id="rId14" ref="C6"/>
    <hyperlink r:id="rId15" ref="AN6"/>
    <hyperlink r:id="rId16" ref="B7"/>
    <hyperlink r:id="rId17" ref="C7"/>
    <hyperlink r:id="rId18" ref="AN7"/>
    <hyperlink r:id="rId19" ref="B8"/>
    <hyperlink r:id="rId20" ref="C8"/>
    <hyperlink r:id="rId21" ref="AN8"/>
    <hyperlink r:id="rId22" ref="B9"/>
    <hyperlink r:id="rId23" ref="C9"/>
    <hyperlink r:id="rId24" ref="AN9"/>
    <hyperlink r:id="rId25" ref="B10"/>
    <hyperlink r:id="rId26" ref="C10"/>
    <hyperlink r:id="rId27" ref="AN10"/>
    <hyperlink r:id="rId28" ref="B11"/>
    <hyperlink r:id="rId29" ref="C11"/>
    <hyperlink r:id="rId30" ref="AN11"/>
    <hyperlink r:id="rId31" ref="B12"/>
    <hyperlink r:id="rId32" ref="C12"/>
    <hyperlink r:id="rId33" ref="AN12"/>
    <hyperlink r:id="rId34" ref="B13"/>
    <hyperlink r:id="rId35" ref="C13"/>
    <hyperlink r:id="rId36" ref="AN13"/>
    <hyperlink r:id="rId37" ref="B14"/>
    <hyperlink r:id="rId38" ref="C14"/>
    <hyperlink r:id="rId39" ref="AN14"/>
    <hyperlink r:id="rId40" ref="B15"/>
    <hyperlink r:id="rId41" ref="C15"/>
    <hyperlink r:id="rId42" ref="AN15"/>
    <hyperlink r:id="rId43" ref="B16"/>
    <hyperlink r:id="rId44" ref="C16"/>
    <hyperlink r:id="rId45" ref="AN16"/>
    <hyperlink r:id="rId46" ref="B17"/>
    <hyperlink r:id="rId47" ref="C17"/>
    <hyperlink r:id="rId48" ref="AN17"/>
    <hyperlink r:id="rId49" ref="B18"/>
    <hyperlink r:id="rId50" ref="C18"/>
    <hyperlink r:id="rId51" ref="AN18"/>
    <hyperlink r:id="rId52" ref="B19"/>
    <hyperlink r:id="rId53" ref="C19"/>
    <hyperlink r:id="rId54" ref="AN19"/>
    <hyperlink r:id="rId55" ref="B20"/>
    <hyperlink r:id="rId56" ref="C20"/>
    <hyperlink r:id="rId57" ref="AN20"/>
    <hyperlink r:id="rId58" ref="B21"/>
    <hyperlink r:id="rId59" ref="C21"/>
    <hyperlink r:id="rId60" ref="AN21"/>
    <hyperlink r:id="rId61" ref="B22"/>
    <hyperlink r:id="rId62" ref="C22"/>
    <hyperlink r:id="rId63" ref="AN22"/>
    <hyperlink r:id="rId64" ref="B23"/>
    <hyperlink r:id="rId65" ref="C23"/>
    <hyperlink r:id="rId66" ref="AN23"/>
    <hyperlink r:id="rId67" ref="B24"/>
    <hyperlink r:id="rId68" ref="C24"/>
    <hyperlink r:id="rId69" ref="AN24"/>
    <hyperlink r:id="rId70" ref="B25"/>
    <hyperlink r:id="rId71" ref="C25"/>
    <hyperlink r:id="rId72" ref="AN25"/>
    <hyperlink r:id="rId73" ref="B26"/>
    <hyperlink r:id="rId74" ref="C26"/>
    <hyperlink r:id="rId75" ref="AN26"/>
    <hyperlink r:id="rId76" ref="B27"/>
    <hyperlink r:id="rId77" ref="C27"/>
    <hyperlink r:id="rId78" ref="AN27"/>
    <hyperlink r:id="rId79" ref="B28"/>
    <hyperlink r:id="rId80" ref="C28"/>
    <hyperlink r:id="rId81" ref="AN28"/>
    <hyperlink r:id="rId82" ref="B29"/>
    <hyperlink r:id="rId83" ref="C29"/>
    <hyperlink r:id="rId84" ref="AN29"/>
    <hyperlink r:id="rId85" ref="B30"/>
    <hyperlink r:id="rId86" ref="C30"/>
    <hyperlink r:id="rId87" ref="AN30"/>
    <hyperlink r:id="rId88" ref="B31"/>
    <hyperlink r:id="rId89" ref="C31"/>
    <hyperlink r:id="rId90" ref="AN31"/>
    <hyperlink r:id="rId91" ref="B32"/>
    <hyperlink r:id="rId92" ref="C32"/>
    <hyperlink r:id="rId93" ref="AN32"/>
    <hyperlink r:id="rId94" ref="B33"/>
    <hyperlink r:id="rId95" ref="C33"/>
    <hyperlink r:id="rId96" ref="AN33"/>
    <hyperlink r:id="rId97" ref="B34"/>
    <hyperlink r:id="rId98" ref="C34"/>
    <hyperlink r:id="rId99" ref="AN34"/>
    <hyperlink r:id="rId100" ref="B35"/>
    <hyperlink r:id="rId101" ref="C35"/>
    <hyperlink r:id="rId102" ref="AN35"/>
    <hyperlink r:id="rId103" ref="B36"/>
    <hyperlink r:id="rId104" ref="C36"/>
    <hyperlink r:id="rId105" ref="AN36"/>
    <hyperlink r:id="rId106" ref="B37"/>
    <hyperlink r:id="rId107" ref="C37"/>
    <hyperlink r:id="rId108" ref="AN37"/>
    <hyperlink r:id="rId109" ref="B38"/>
    <hyperlink r:id="rId110" ref="C38"/>
    <hyperlink r:id="rId111" ref="AN38"/>
    <hyperlink r:id="rId112" ref="B39"/>
    <hyperlink r:id="rId113" ref="C39"/>
    <hyperlink r:id="rId114" ref="AN39"/>
    <hyperlink r:id="rId115" ref="B40"/>
    <hyperlink r:id="rId116" ref="C40"/>
    <hyperlink r:id="rId117" ref="AN40"/>
    <hyperlink r:id="rId118" ref="B41"/>
    <hyperlink r:id="rId119" ref="C41"/>
    <hyperlink r:id="rId120" ref="AN41"/>
    <hyperlink r:id="rId121" ref="B42"/>
    <hyperlink r:id="rId122" ref="C42"/>
    <hyperlink r:id="rId123" ref="AN42"/>
    <hyperlink r:id="rId124" ref="B43"/>
    <hyperlink r:id="rId125" ref="C43"/>
    <hyperlink r:id="rId126" ref="AN43"/>
    <hyperlink r:id="rId127" ref="B44"/>
    <hyperlink r:id="rId128" ref="C44"/>
    <hyperlink r:id="rId129" ref="AN44"/>
    <hyperlink r:id="rId130" ref="B45"/>
    <hyperlink r:id="rId131" ref="C45"/>
    <hyperlink r:id="rId132" ref="AN45"/>
    <hyperlink r:id="rId133" ref="B46"/>
    <hyperlink r:id="rId134" ref="C46"/>
    <hyperlink r:id="rId135" ref="AN46"/>
    <hyperlink r:id="rId136" ref="B47"/>
    <hyperlink r:id="rId137" ref="C47"/>
    <hyperlink r:id="rId138" ref="AN47"/>
    <hyperlink r:id="rId139" ref="B48"/>
    <hyperlink r:id="rId140" ref="C48"/>
    <hyperlink r:id="rId141" ref="AN48"/>
    <hyperlink r:id="rId142" ref="B49"/>
    <hyperlink r:id="rId143" ref="C49"/>
    <hyperlink r:id="rId144" ref="AN49"/>
    <hyperlink r:id="rId145" ref="B50"/>
    <hyperlink r:id="rId146" ref="C50"/>
    <hyperlink r:id="rId147" ref="AN50"/>
    <hyperlink r:id="rId148" ref="B51"/>
    <hyperlink r:id="rId149" ref="C51"/>
    <hyperlink r:id="rId150" ref="AN51"/>
    <hyperlink r:id="rId151" ref="B52"/>
    <hyperlink r:id="rId152" ref="C52"/>
    <hyperlink r:id="rId153" ref="AN52"/>
    <hyperlink r:id="rId154" ref="B53"/>
    <hyperlink r:id="rId155" ref="C53"/>
    <hyperlink r:id="rId156" ref="AN53"/>
    <hyperlink r:id="rId157" ref="B54"/>
    <hyperlink r:id="rId158" ref="C54"/>
    <hyperlink r:id="rId159" ref="AN54"/>
    <hyperlink r:id="rId160" ref="B55"/>
    <hyperlink r:id="rId161" ref="C55"/>
    <hyperlink r:id="rId162" ref="AN55"/>
    <hyperlink r:id="rId163" ref="B56"/>
    <hyperlink r:id="rId164" ref="C56"/>
    <hyperlink r:id="rId165" ref="AN56"/>
    <hyperlink r:id="rId166" ref="B57"/>
    <hyperlink r:id="rId167" ref="C57"/>
    <hyperlink r:id="rId168" ref="AN57"/>
    <hyperlink r:id="rId169" ref="B58"/>
    <hyperlink r:id="rId170" ref="C58"/>
    <hyperlink r:id="rId171" ref="AN58"/>
    <hyperlink r:id="rId172" ref="B59"/>
    <hyperlink r:id="rId173" ref="C59"/>
    <hyperlink r:id="rId174" ref="AN59"/>
    <hyperlink r:id="rId175" ref="B60"/>
    <hyperlink r:id="rId176" ref="C60"/>
    <hyperlink r:id="rId177" ref="AN60"/>
    <hyperlink r:id="rId178" ref="B61"/>
    <hyperlink r:id="rId179" ref="C61"/>
    <hyperlink r:id="rId180" ref="AN61"/>
    <hyperlink r:id="rId181" ref="B62"/>
    <hyperlink r:id="rId182" ref="C62"/>
    <hyperlink r:id="rId183" ref="AN62"/>
    <hyperlink r:id="rId184" ref="B63"/>
    <hyperlink r:id="rId185" ref="C63"/>
    <hyperlink r:id="rId186" ref="AN63"/>
    <hyperlink r:id="rId187" ref="B64"/>
    <hyperlink r:id="rId188" ref="C64"/>
    <hyperlink r:id="rId189" ref="AN64"/>
    <hyperlink r:id="rId190" ref="B65"/>
    <hyperlink r:id="rId191" ref="C65"/>
    <hyperlink r:id="rId192" ref="AN65"/>
    <hyperlink r:id="rId193" ref="B66"/>
    <hyperlink r:id="rId194" ref="C66"/>
    <hyperlink r:id="rId195" ref="AN66"/>
    <hyperlink r:id="rId196" ref="B67"/>
    <hyperlink r:id="rId197" ref="C67"/>
    <hyperlink r:id="rId198" ref="AN67"/>
    <hyperlink r:id="rId199" ref="B68"/>
    <hyperlink r:id="rId200" ref="C68"/>
    <hyperlink r:id="rId201" ref="AN68"/>
    <hyperlink r:id="rId202" ref="B69"/>
    <hyperlink r:id="rId203" ref="C69"/>
    <hyperlink r:id="rId204" ref="AN69"/>
    <hyperlink r:id="rId205" ref="B70"/>
    <hyperlink r:id="rId206" ref="C70"/>
    <hyperlink r:id="rId207" ref="AN70"/>
    <hyperlink r:id="rId208" ref="B71"/>
    <hyperlink r:id="rId209" ref="C71"/>
    <hyperlink r:id="rId210" ref="AN71"/>
    <hyperlink r:id="rId211" ref="B72"/>
    <hyperlink r:id="rId212" ref="C72"/>
    <hyperlink r:id="rId213" ref="AN72"/>
    <hyperlink r:id="rId214" ref="B73"/>
    <hyperlink r:id="rId215" ref="C73"/>
    <hyperlink r:id="rId216" ref="AN73"/>
    <hyperlink r:id="rId217" ref="B74"/>
    <hyperlink r:id="rId218" ref="C74"/>
    <hyperlink r:id="rId219" ref="AN74"/>
    <hyperlink r:id="rId220" ref="B75"/>
    <hyperlink r:id="rId221" ref="C75"/>
    <hyperlink r:id="rId222" ref="AN75"/>
    <hyperlink r:id="rId223" ref="B76"/>
    <hyperlink r:id="rId224" ref="C76"/>
    <hyperlink r:id="rId225" ref="AN76"/>
    <hyperlink r:id="rId226" ref="B77"/>
    <hyperlink r:id="rId227" ref="C77"/>
    <hyperlink r:id="rId228" ref="AN77"/>
    <hyperlink r:id="rId229" ref="B78"/>
    <hyperlink r:id="rId230" ref="C78"/>
    <hyperlink r:id="rId231" ref="AN78"/>
    <hyperlink r:id="rId232" ref="B79"/>
    <hyperlink r:id="rId233" ref="C79"/>
    <hyperlink r:id="rId234" ref="AN79"/>
    <hyperlink r:id="rId235" ref="B80"/>
    <hyperlink r:id="rId236" ref="C80"/>
    <hyperlink r:id="rId237" ref="AN80"/>
    <hyperlink r:id="rId238" ref="B81"/>
    <hyperlink r:id="rId239" ref="C81"/>
    <hyperlink r:id="rId240" ref="AN81"/>
    <hyperlink r:id="rId241" ref="B82"/>
    <hyperlink r:id="rId242" ref="C82"/>
    <hyperlink r:id="rId243" ref="AN82"/>
    <hyperlink r:id="rId244" ref="B83"/>
    <hyperlink r:id="rId245" ref="C83"/>
    <hyperlink r:id="rId246" ref="AN83"/>
    <hyperlink r:id="rId247" ref="B84"/>
    <hyperlink r:id="rId248" ref="C84"/>
    <hyperlink r:id="rId249" ref="AN84"/>
    <hyperlink r:id="rId250" ref="B85"/>
    <hyperlink r:id="rId251" ref="C85"/>
    <hyperlink r:id="rId252" ref="AN85"/>
    <hyperlink r:id="rId253" ref="B86"/>
    <hyperlink r:id="rId254" ref="C86"/>
    <hyperlink r:id="rId255" ref="AN86"/>
    <hyperlink r:id="rId256" ref="B87"/>
    <hyperlink r:id="rId257" ref="C87"/>
    <hyperlink r:id="rId258" ref="AN87"/>
    <hyperlink r:id="rId259" ref="B88"/>
    <hyperlink r:id="rId260" ref="C88"/>
    <hyperlink r:id="rId261" ref="AN88"/>
    <hyperlink r:id="rId262" ref="B89"/>
    <hyperlink r:id="rId263" ref="C89"/>
    <hyperlink r:id="rId264" ref="AN89"/>
    <hyperlink r:id="rId265" ref="B90"/>
    <hyperlink r:id="rId266" ref="C90"/>
    <hyperlink r:id="rId267" ref="AN90"/>
    <hyperlink r:id="rId268" ref="B91"/>
    <hyperlink r:id="rId269" ref="C91"/>
    <hyperlink r:id="rId270" ref="AN91"/>
    <hyperlink r:id="rId271" ref="B92"/>
    <hyperlink r:id="rId272" ref="C92"/>
    <hyperlink r:id="rId273" ref="AN92"/>
    <hyperlink r:id="rId274" ref="B93"/>
    <hyperlink r:id="rId275" ref="C93"/>
    <hyperlink r:id="rId276" ref="AN93"/>
    <hyperlink r:id="rId277" ref="B94"/>
    <hyperlink r:id="rId278" ref="C94"/>
    <hyperlink r:id="rId279" ref="AN94"/>
    <hyperlink r:id="rId280" ref="B95"/>
    <hyperlink r:id="rId281" ref="C95"/>
    <hyperlink r:id="rId282" ref="AN95"/>
    <hyperlink r:id="rId283" ref="B96"/>
    <hyperlink r:id="rId284" ref="C96"/>
    <hyperlink r:id="rId285" ref="AN96"/>
    <hyperlink r:id="rId286" ref="B97"/>
    <hyperlink r:id="rId287" ref="C97"/>
    <hyperlink r:id="rId288" ref="AN97"/>
    <hyperlink r:id="rId289" ref="B98"/>
    <hyperlink r:id="rId290" ref="C98"/>
    <hyperlink r:id="rId291" ref="AN98"/>
    <hyperlink r:id="rId292" ref="B99"/>
    <hyperlink r:id="rId293" ref="C99"/>
    <hyperlink r:id="rId294" ref="AN99"/>
    <hyperlink r:id="rId295" ref="B100"/>
    <hyperlink r:id="rId296" ref="C100"/>
    <hyperlink r:id="rId297" ref="AN100"/>
    <hyperlink r:id="rId298" ref="B101"/>
    <hyperlink r:id="rId299" ref="C101"/>
    <hyperlink r:id="rId300" ref="AN101"/>
    <hyperlink r:id="rId301" ref="B102"/>
    <hyperlink r:id="rId302" ref="C102"/>
    <hyperlink r:id="rId303" ref="AN102"/>
    <hyperlink r:id="rId304" ref="B103"/>
    <hyperlink r:id="rId305" ref="C103"/>
    <hyperlink r:id="rId306" ref="AN103"/>
    <hyperlink r:id="rId307" ref="B104"/>
    <hyperlink r:id="rId308" ref="C104"/>
    <hyperlink r:id="rId309" ref="AN104"/>
    <hyperlink r:id="rId310" ref="B105"/>
    <hyperlink r:id="rId311" ref="C105"/>
    <hyperlink r:id="rId312" ref="AN105"/>
    <hyperlink r:id="rId313" ref="B106"/>
    <hyperlink r:id="rId314" ref="C106"/>
    <hyperlink r:id="rId315" ref="AN106"/>
    <hyperlink r:id="rId316" ref="B107"/>
    <hyperlink r:id="rId317" ref="C107"/>
    <hyperlink r:id="rId318" ref="AN107"/>
    <hyperlink r:id="rId319" ref="B108"/>
    <hyperlink r:id="rId320" ref="C108"/>
    <hyperlink r:id="rId321" ref="AN108"/>
    <hyperlink r:id="rId322" ref="B109"/>
    <hyperlink r:id="rId323" ref="C109"/>
    <hyperlink r:id="rId324" ref="AN109"/>
    <hyperlink r:id="rId325" ref="B110"/>
    <hyperlink r:id="rId326" ref="C110"/>
    <hyperlink r:id="rId327" ref="AN110"/>
    <hyperlink r:id="rId328" ref="B111"/>
    <hyperlink r:id="rId329" ref="C111"/>
    <hyperlink r:id="rId330" ref="AN111"/>
    <hyperlink r:id="rId331" ref="B112"/>
    <hyperlink r:id="rId332" ref="C112"/>
    <hyperlink r:id="rId333" ref="AN112"/>
    <hyperlink r:id="rId334" ref="B113"/>
    <hyperlink r:id="rId335" ref="C113"/>
    <hyperlink r:id="rId336" ref="AN113"/>
    <hyperlink r:id="rId337" ref="B114"/>
    <hyperlink r:id="rId338" ref="C114"/>
    <hyperlink r:id="rId339" ref="AN114"/>
    <hyperlink r:id="rId340" ref="B115"/>
    <hyperlink r:id="rId341" ref="C115"/>
    <hyperlink r:id="rId342" ref="AN115"/>
    <hyperlink r:id="rId343" ref="B116"/>
    <hyperlink r:id="rId344" ref="C116"/>
    <hyperlink r:id="rId345" ref="AN116"/>
    <hyperlink r:id="rId346" ref="B117"/>
    <hyperlink r:id="rId347" ref="C117"/>
    <hyperlink r:id="rId348" ref="AN117"/>
    <hyperlink r:id="rId349" ref="B118"/>
    <hyperlink r:id="rId350" ref="C118"/>
    <hyperlink r:id="rId351" ref="AN118"/>
    <hyperlink r:id="rId352" ref="B119"/>
    <hyperlink r:id="rId353" ref="C119"/>
    <hyperlink r:id="rId354" ref="AN119"/>
    <hyperlink r:id="rId355" ref="B120"/>
    <hyperlink r:id="rId356" ref="C120"/>
    <hyperlink r:id="rId357" ref="AN120"/>
    <hyperlink r:id="rId358" ref="B121"/>
    <hyperlink r:id="rId359" ref="C121"/>
    <hyperlink r:id="rId360" ref="AN121"/>
    <hyperlink r:id="rId361" ref="B122"/>
    <hyperlink r:id="rId362" ref="C122"/>
    <hyperlink r:id="rId363" ref="AN122"/>
    <hyperlink r:id="rId364" ref="B123"/>
    <hyperlink r:id="rId365" ref="C123"/>
    <hyperlink r:id="rId366" ref="AN123"/>
    <hyperlink r:id="rId367" ref="B124"/>
    <hyperlink r:id="rId368" ref="C124"/>
    <hyperlink r:id="rId369" ref="AN124"/>
    <hyperlink r:id="rId370" ref="B125"/>
    <hyperlink r:id="rId371" ref="C125"/>
    <hyperlink r:id="rId372" ref="AN125"/>
    <hyperlink r:id="rId373" ref="B126"/>
    <hyperlink r:id="rId374" ref="C126"/>
    <hyperlink r:id="rId375" ref="AN126"/>
    <hyperlink r:id="rId376" ref="B127"/>
    <hyperlink r:id="rId377" ref="C127"/>
    <hyperlink r:id="rId378" ref="AN127"/>
    <hyperlink r:id="rId379" ref="B128"/>
    <hyperlink r:id="rId380" ref="C128"/>
    <hyperlink r:id="rId381" ref="AN128"/>
    <hyperlink r:id="rId382" ref="B129"/>
    <hyperlink r:id="rId383" ref="C129"/>
    <hyperlink r:id="rId384" ref="AN129"/>
    <hyperlink r:id="rId385" ref="B130"/>
    <hyperlink r:id="rId386" ref="C130"/>
    <hyperlink r:id="rId387" ref="AN130"/>
    <hyperlink r:id="rId388" ref="B131"/>
    <hyperlink r:id="rId389" ref="C131"/>
    <hyperlink r:id="rId390" ref="AN131"/>
    <hyperlink r:id="rId391" ref="B132"/>
    <hyperlink r:id="rId392" ref="C132"/>
    <hyperlink r:id="rId393" ref="AN132"/>
    <hyperlink r:id="rId394" ref="B133"/>
    <hyperlink r:id="rId395" ref="C133"/>
    <hyperlink r:id="rId396" ref="AN133"/>
    <hyperlink r:id="rId397" ref="B134"/>
    <hyperlink r:id="rId398" ref="C134"/>
    <hyperlink r:id="rId399" ref="AN134"/>
    <hyperlink r:id="rId400" ref="B135"/>
    <hyperlink r:id="rId401" ref="C135"/>
    <hyperlink r:id="rId402" ref="AN135"/>
    <hyperlink r:id="rId403" ref="B136"/>
    <hyperlink r:id="rId404" ref="C136"/>
    <hyperlink r:id="rId405" ref="AN136"/>
    <hyperlink r:id="rId406" ref="B137"/>
    <hyperlink r:id="rId407" ref="C137"/>
    <hyperlink r:id="rId408" ref="AN137"/>
    <hyperlink r:id="rId409" ref="B138"/>
    <hyperlink r:id="rId410" ref="C138"/>
    <hyperlink r:id="rId411" ref="AN138"/>
    <hyperlink r:id="rId412" ref="B139"/>
    <hyperlink r:id="rId413" ref="C139"/>
    <hyperlink r:id="rId414" ref="AN139"/>
    <hyperlink r:id="rId415" ref="B140"/>
    <hyperlink r:id="rId416" ref="C140"/>
    <hyperlink r:id="rId417" ref="AN140"/>
    <hyperlink r:id="rId418" ref="B141"/>
    <hyperlink r:id="rId419" ref="C141"/>
    <hyperlink r:id="rId420" ref="AN141"/>
    <hyperlink r:id="rId421" ref="B142"/>
    <hyperlink r:id="rId422" ref="C142"/>
    <hyperlink r:id="rId423" ref="AN142"/>
    <hyperlink r:id="rId424" ref="B143"/>
    <hyperlink r:id="rId425" ref="C143"/>
    <hyperlink r:id="rId426" ref="AN143"/>
    <hyperlink r:id="rId427" ref="B144"/>
    <hyperlink r:id="rId428" ref="C144"/>
    <hyperlink r:id="rId429" ref="AN144"/>
    <hyperlink r:id="rId430" ref="B145"/>
    <hyperlink r:id="rId431" ref="C145"/>
    <hyperlink r:id="rId432" ref="AN145"/>
    <hyperlink r:id="rId433" ref="B146"/>
    <hyperlink r:id="rId434" ref="C146"/>
    <hyperlink r:id="rId435" ref="AN146"/>
    <hyperlink r:id="rId436" ref="B147"/>
    <hyperlink r:id="rId437" ref="C147"/>
    <hyperlink r:id="rId438" ref="AN147"/>
    <hyperlink r:id="rId439" ref="B148"/>
    <hyperlink r:id="rId440" ref="C148"/>
    <hyperlink r:id="rId441" ref="AN148"/>
    <hyperlink r:id="rId442" ref="B149"/>
    <hyperlink r:id="rId443" ref="C149"/>
    <hyperlink r:id="rId444" ref="AN149"/>
    <hyperlink r:id="rId445" ref="B150"/>
    <hyperlink r:id="rId446" ref="C150"/>
    <hyperlink r:id="rId447" ref="AN150"/>
    <hyperlink r:id="rId448" ref="B151"/>
    <hyperlink r:id="rId449" ref="C151"/>
    <hyperlink r:id="rId450" ref="AN151"/>
    <hyperlink r:id="rId451" ref="B152"/>
    <hyperlink r:id="rId452" ref="C152"/>
    <hyperlink r:id="rId453" ref="AN152"/>
    <hyperlink r:id="rId454" ref="B153"/>
    <hyperlink r:id="rId455" ref="C153"/>
    <hyperlink r:id="rId456" ref="AN153"/>
    <hyperlink r:id="rId457" ref="B154"/>
    <hyperlink r:id="rId458" ref="C154"/>
    <hyperlink r:id="rId459" ref="AN154"/>
    <hyperlink r:id="rId460" ref="B155"/>
    <hyperlink r:id="rId461" ref="C155"/>
    <hyperlink r:id="rId462" ref="AN155"/>
    <hyperlink r:id="rId463" ref="B156"/>
    <hyperlink r:id="rId464" ref="C156"/>
    <hyperlink r:id="rId465" ref="AN156"/>
    <hyperlink r:id="rId466" ref="B157"/>
    <hyperlink r:id="rId467" ref="C157"/>
    <hyperlink r:id="rId468" ref="AN157"/>
    <hyperlink r:id="rId469" ref="B158"/>
    <hyperlink r:id="rId470" ref="C158"/>
    <hyperlink r:id="rId471" ref="AN158"/>
    <hyperlink r:id="rId472" ref="B159"/>
    <hyperlink r:id="rId473" ref="C159"/>
    <hyperlink r:id="rId474" ref="AN159"/>
    <hyperlink r:id="rId475" ref="B160"/>
    <hyperlink r:id="rId476" ref="C160"/>
    <hyperlink r:id="rId477" ref="AN160"/>
    <hyperlink r:id="rId478" ref="B161"/>
    <hyperlink r:id="rId479" ref="C161"/>
    <hyperlink r:id="rId480" ref="AN161"/>
    <hyperlink r:id="rId481" ref="B162"/>
    <hyperlink r:id="rId482" ref="C162"/>
    <hyperlink r:id="rId483" ref="AN162"/>
    <hyperlink r:id="rId484" ref="B163"/>
    <hyperlink r:id="rId485" ref="C163"/>
    <hyperlink r:id="rId486" ref="AN163"/>
    <hyperlink r:id="rId487" ref="B164"/>
    <hyperlink r:id="rId488" ref="C164"/>
    <hyperlink r:id="rId489" ref="AN164"/>
    <hyperlink r:id="rId490" ref="B165"/>
    <hyperlink r:id="rId491" ref="C165"/>
    <hyperlink r:id="rId492" ref="AN165"/>
    <hyperlink r:id="rId493" ref="B166"/>
    <hyperlink r:id="rId494" ref="C166"/>
    <hyperlink r:id="rId495" ref="AN166"/>
    <hyperlink r:id="rId496" ref="B167"/>
    <hyperlink r:id="rId497" ref="C167"/>
    <hyperlink r:id="rId498" ref="AN167"/>
    <hyperlink r:id="rId499" ref="B168"/>
    <hyperlink r:id="rId500" ref="C168"/>
    <hyperlink r:id="rId501" ref="AN168"/>
    <hyperlink r:id="rId502" ref="B169"/>
    <hyperlink r:id="rId503" ref="C169"/>
    <hyperlink r:id="rId504" ref="AN169"/>
    <hyperlink r:id="rId505" ref="B170"/>
    <hyperlink r:id="rId506" ref="C170"/>
    <hyperlink r:id="rId507" ref="AN170"/>
    <hyperlink r:id="rId508" ref="B171"/>
    <hyperlink r:id="rId509" ref="C171"/>
    <hyperlink r:id="rId510" ref="AN171"/>
    <hyperlink r:id="rId511" ref="B172"/>
    <hyperlink r:id="rId512" ref="C172"/>
    <hyperlink r:id="rId513" ref="AN172"/>
    <hyperlink r:id="rId514" ref="B173"/>
    <hyperlink r:id="rId515" ref="C173"/>
    <hyperlink r:id="rId516" ref="AN173"/>
    <hyperlink r:id="rId517" ref="B174"/>
    <hyperlink r:id="rId518" ref="C174"/>
    <hyperlink r:id="rId519" ref="AN174"/>
    <hyperlink r:id="rId520" ref="B175"/>
    <hyperlink r:id="rId521" ref="C175"/>
    <hyperlink r:id="rId522" ref="AN175"/>
    <hyperlink r:id="rId523" ref="B176"/>
    <hyperlink r:id="rId524" ref="C176"/>
    <hyperlink r:id="rId525" ref="AN176"/>
    <hyperlink r:id="rId526" ref="B177"/>
    <hyperlink r:id="rId527" ref="C177"/>
    <hyperlink r:id="rId528" ref="AN177"/>
    <hyperlink r:id="rId529" ref="B178"/>
    <hyperlink r:id="rId530" ref="C178"/>
    <hyperlink r:id="rId531" ref="AN178"/>
    <hyperlink r:id="rId532" ref="B179"/>
    <hyperlink r:id="rId533" ref="C179"/>
    <hyperlink r:id="rId534" ref="AN179"/>
    <hyperlink r:id="rId535" ref="B180"/>
    <hyperlink r:id="rId536" ref="C180"/>
    <hyperlink r:id="rId537" ref="AN180"/>
    <hyperlink r:id="rId538" ref="B181"/>
    <hyperlink r:id="rId539" ref="C181"/>
    <hyperlink r:id="rId540" ref="AN181"/>
    <hyperlink r:id="rId541" ref="B182"/>
    <hyperlink r:id="rId542" ref="C182"/>
    <hyperlink r:id="rId543" ref="AN182"/>
    <hyperlink r:id="rId544" ref="B183"/>
    <hyperlink r:id="rId545" ref="C183"/>
    <hyperlink r:id="rId546" ref="AN183"/>
    <hyperlink r:id="rId547" ref="B184"/>
    <hyperlink r:id="rId548" ref="C184"/>
    <hyperlink r:id="rId549" ref="AN184"/>
    <hyperlink r:id="rId550" ref="B185"/>
    <hyperlink r:id="rId551" ref="C185"/>
    <hyperlink r:id="rId552" ref="AN185"/>
    <hyperlink r:id="rId553" ref="B186"/>
    <hyperlink r:id="rId554" ref="C186"/>
    <hyperlink r:id="rId555" ref="AN186"/>
    <hyperlink r:id="rId556" ref="B187"/>
    <hyperlink r:id="rId557" ref="C187"/>
    <hyperlink r:id="rId558" ref="AN187"/>
    <hyperlink r:id="rId559" ref="B188"/>
    <hyperlink r:id="rId560" ref="C188"/>
    <hyperlink r:id="rId561" ref="AN188"/>
    <hyperlink r:id="rId562" ref="B189"/>
    <hyperlink r:id="rId563" ref="C189"/>
    <hyperlink r:id="rId564" ref="AN189"/>
    <hyperlink r:id="rId565" ref="B190"/>
    <hyperlink r:id="rId566" ref="C190"/>
    <hyperlink r:id="rId567" ref="AN190"/>
    <hyperlink r:id="rId568" ref="B191"/>
    <hyperlink r:id="rId569" ref="C191"/>
    <hyperlink r:id="rId570" ref="AN191"/>
    <hyperlink r:id="rId571" ref="B192"/>
    <hyperlink r:id="rId572" ref="C192"/>
    <hyperlink r:id="rId573" ref="AN192"/>
    <hyperlink r:id="rId574" ref="B193"/>
    <hyperlink r:id="rId575" ref="C193"/>
    <hyperlink r:id="rId576" ref="AN193"/>
    <hyperlink r:id="rId577" ref="B194"/>
    <hyperlink r:id="rId578" ref="C194"/>
    <hyperlink r:id="rId579" ref="AN194"/>
    <hyperlink r:id="rId580" ref="B195"/>
    <hyperlink r:id="rId581" ref="C195"/>
    <hyperlink r:id="rId582" ref="AN195"/>
    <hyperlink r:id="rId583" ref="B196"/>
    <hyperlink r:id="rId584" ref="C196"/>
    <hyperlink r:id="rId585" ref="AN196"/>
    <hyperlink r:id="rId586" ref="B197"/>
    <hyperlink r:id="rId587" ref="C197"/>
    <hyperlink r:id="rId588" ref="AN197"/>
    <hyperlink r:id="rId589" ref="B198"/>
    <hyperlink r:id="rId590" ref="C198"/>
    <hyperlink r:id="rId591" ref="AN198"/>
    <hyperlink r:id="rId592" ref="B199"/>
    <hyperlink r:id="rId593" ref="C199"/>
    <hyperlink r:id="rId594" ref="AN199"/>
    <hyperlink r:id="rId595" ref="B200"/>
    <hyperlink r:id="rId596" ref="C200"/>
    <hyperlink r:id="rId597" ref="AN200"/>
    <hyperlink r:id="rId598" ref="B201"/>
    <hyperlink r:id="rId599" ref="C201"/>
    <hyperlink r:id="rId600" ref="AN201"/>
    <hyperlink r:id="rId601" ref="B202"/>
    <hyperlink r:id="rId602" ref="C202"/>
    <hyperlink r:id="rId603" ref="AN202"/>
    <hyperlink r:id="rId604" ref="B203"/>
    <hyperlink r:id="rId605" ref="C203"/>
    <hyperlink r:id="rId606" ref="AN203"/>
    <hyperlink r:id="rId607" ref="B204"/>
    <hyperlink r:id="rId608" ref="C204"/>
    <hyperlink r:id="rId609" ref="AN204"/>
    <hyperlink r:id="rId610" ref="B205"/>
    <hyperlink r:id="rId611" ref="C205"/>
    <hyperlink r:id="rId612" ref="AN205"/>
    <hyperlink r:id="rId613" ref="B206"/>
    <hyperlink r:id="rId614" ref="C206"/>
    <hyperlink r:id="rId615" ref="AN206"/>
    <hyperlink r:id="rId616" ref="B207"/>
    <hyperlink r:id="rId617" ref="C207"/>
    <hyperlink r:id="rId618" ref="AN207"/>
    <hyperlink r:id="rId619" ref="B208"/>
    <hyperlink r:id="rId620" ref="C208"/>
    <hyperlink r:id="rId621" ref="AN208"/>
    <hyperlink r:id="rId622" ref="B209"/>
    <hyperlink r:id="rId623" ref="C209"/>
    <hyperlink r:id="rId624" ref="AN209"/>
    <hyperlink r:id="rId625" ref="B210"/>
    <hyperlink r:id="rId626" ref="C210"/>
    <hyperlink r:id="rId627" ref="AN210"/>
    <hyperlink r:id="rId628" ref="B211"/>
    <hyperlink r:id="rId629" ref="C211"/>
    <hyperlink r:id="rId630" ref="AN211"/>
    <hyperlink r:id="rId631" ref="B212"/>
    <hyperlink r:id="rId632" ref="C212"/>
    <hyperlink r:id="rId633" ref="AN212"/>
    <hyperlink r:id="rId634" ref="B213"/>
    <hyperlink r:id="rId635" ref="C213"/>
    <hyperlink r:id="rId636" ref="AN213"/>
    <hyperlink r:id="rId637" ref="B214"/>
    <hyperlink r:id="rId638" ref="C214"/>
    <hyperlink r:id="rId639" ref="AN214"/>
    <hyperlink r:id="rId640" ref="B215"/>
    <hyperlink r:id="rId641" ref="C215"/>
    <hyperlink r:id="rId642" ref="AN215"/>
    <hyperlink r:id="rId643" ref="B216"/>
    <hyperlink r:id="rId644" ref="C216"/>
    <hyperlink r:id="rId645" ref="AN216"/>
    <hyperlink r:id="rId646" ref="B217"/>
    <hyperlink r:id="rId647" ref="C217"/>
    <hyperlink r:id="rId648" ref="AN217"/>
    <hyperlink r:id="rId649" ref="B218"/>
    <hyperlink r:id="rId650" ref="C218"/>
    <hyperlink r:id="rId651" ref="AN218"/>
    <hyperlink r:id="rId652" ref="B219"/>
    <hyperlink r:id="rId653" ref="C219"/>
    <hyperlink r:id="rId654" ref="AN219"/>
    <hyperlink r:id="rId655" ref="B220"/>
    <hyperlink r:id="rId656" ref="C220"/>
    <hyperlink r:id="rId657" ref="AN220"/>
    <hyperlink r:id="rId658" ref="B221"/>
    <hyperlink r:id="rId659" ref="C221"/>
    <hyperlink r:id="rId660" ref="AN221"/>
    <hyperlink r:id="rId661" ref="B222"/>
    <hyperlink r:id="rId662" ref="C222"/>
    <hyperlink r:id="rId663" ref="AN222"/>
    <hyperlink r:id="rId664" ref="B223"/>
    <hyperlink r:id="rId665" ref="C223"/>
    <hyperlink r:id="rId666" ref="AN223"/>
    <hyperlink r:id="rId667" ref="B224"/>
    <hyperlink r:id="rId668" ref="C224"/>
    <hyperlink r:id="rId669" ref="AN224"/>
    <hyperlink r:id="rId670" ref="B225"/>
    <hyperlink r:id="rId671" ref="C225"/>
    <hyperlink r:id="rId672" ref="AN225"/>
    <hyperlink r:id="rId673" ref="B226"/>
    <hyperlink r:id="rId674" ref="C226"/>
    <hyperlink r:id="rId675" ref="AN226"/>
    <hyperlink r:id="rId676" ref="B227"/>
    <hyperlink r:id="rId677" ref="C227"/>
    <hyperlink r:id="rId678" ref="AN227"/>
    <hyperlink r:id="rId679" ref="B228"/>
    <hyperlink r:id="rId680" ref="C228"/>
    <hyperlink r:id="rId681" ref="AN228"/>
    <hyperlink r:id="rId682" ref="B229"/>
    <hyperlink r:id="rId683" ref="C229"/>
    <hyperlink r:id="rId684" ref="AN229"/>
    <hyperlink r:id="rId685" ref="B230"/>
    <hyperlink r:id="rId686" ref="C230"/>
    <hyperlink r:id="rId687" ref="AN230"/>
    <hyperlink r:id="rId688" ref="B231"/>
    <hyperlink r:id="rId689" ref="C231"/>
    <hyperlink r:id="rId690" ref="AN231"/>
    <hyperlink r:id="rId691" ref="B232"/>
    <hyperlink r:id="rId692" ref="C232"/>
    <hyperlink r:id="rId693" ref="AN232"/>
    <hyperlink r:id="rId694" ref="B233"/>
    <hyperlink r:id="rId695" ref="C233"/>
    <hyperlink r:id="rId696" ref="AN233"/>
    <hyperlink r:id="rId697" ref="B234"/>
    <hyperlink r:id="rId698" ref="C234"/>
    <hyperlink r:id="rId699" ref="AN234"/>
    <hyperlink r:id="rId700" ref="B235"/>
    <hyperlink r:id="rId701" ref="C235"/>
    <hyperlink r:id="rId702" ref="AN235"/>
    <hyperlink r:id="rId703" ref="B236"/>
    <hyperlink r:id="rId704" ref="C236"/>
    <hyperlink r:id="rId705" ref="AN236"/>
    <hyperlink r:id="rId706" ref="B237"/>
    <hyperlink r:id="rId707" ref="C237"/>
    <hyperlink r:id="rId708" ref="AN237"/>
    <hyperlink r:id="rId709" ref="B238"/>
    <hyperlink r:id="rId710" ref="C238"/>
    <hyperlink r:id="rId711" ref="AN238"/>
    <hyperlink r:id="rId712" ref="B239"/>
    <hyperlink r:id="rId713" ref="C239"/>
    <hyperlink r:id="rId714" ref="AN239"/>
    <hyperlink r:id="rId715" ref="B240"/>
    <hyperlink r:id="rId716" ref="C240"/>
    <hyperlink r:id="rId717" ref="AN240"/>
    <hyperlink r:id="rId718" ref="B241"/>
    <hyperlink r:id="rId719" ref="C241"/>
    <hyperlink r:id="rId720" ref="AN241"/>
    <hyperlink r:id="rId721" ref="B242"/>
    <hyperlink r:id="rId722" ref="C242"/>
    <hyperlink r:id="rId723" ref="AN242"/>
    <hyperlink r:id="rId724" ref="B243"/>
    <hyperlink r:id="rId725" ref="C243"/>
    <hyperlink r:id="rId726" ref="AN243"/>
    <hyperlink r:id="rId727" ref="B244"/>
    <hyperlink r:id="rId728" ref="C244"/>
    <hyperlink r:id="rId729" ref="AN244"/>
    <hyperlink r:id="rId730" ref="B245"/>
    <hyperlink r:id="rId731" ref="C245"/>
    <hyperlink r:id="rId732" ref="AN245"/>
    <hyperlink r:id="rId733" ref="B246"/>
    <hyperlink r:id="rId734" ref="C246"/>
    <hyperlink r:id="rId735" ref="AN246"/>
    <hyperlink r:id="rId736" ref="B247"/>
    <hyperlink r:id="rId737" ref="C247"/>
    <hyperlink r:id="rId738" ref="AN247"/>
    <hyperlink r:id="rId739" ref="B248"/>
    <hyperlink r:id="rId740" ref="C248"/>
    <hyperlink r:id="rId741" ref="AN248"/>
    <hyperlink r:id="rId742" ref="B249"/>
    <hyperlink r:id="rId743" ref="C249"/>
    <hyperlink r:id="rId744" ref="AN249"/>
    <hyperlink r:id="rId745" ref="B250"/>
    <hyperlink r:id="rId746" ref="C250"/>
    <hyperlink r:id="rId747" ref="AN250"/>
    <hyperlink r:id="rId748" ref="B251"/>
    <hyperlink r:id="rId749" ref="C251"/>
    <hyperlink r:id="rId750" ref="AN251"/>
    <hyperlink r:id="rId751" ref="B252"/>
    <hyperlink r:id="rId752" ref="C252"/>
    <hyperlink r:id="rId753" ref="AN252"/>
    <hyperlink r:id="rId754" ref="B253"/>
    <hyperlink r:id="rId755" ref="C253"/>
    <hyperlink r:id="rId756" ref="AN253"/>
    <hyperlink r:id="rId757" ref="B254"/>
    <hyperlink r:id="rId758" ref="C254"/>
    <hyperlink r:id="rId759" ref="AN254"/>
    <hyperlink r:id="rId760" ref="B255"/>
    <hyperlink r:id="rId761" ref="C255"/>
    <hyperlink r:id="rId762" ref="AN255"/>
    <hyperlink r:id="rId763" ref="B256"/>
    <hyperlink r:id="rId764" ref="C256"/>
    <hyperlink r:id="rId765" ref="AN256"/>
    <hyperlink r:id="rId766" ref="B257"/>
    <hyperlink r:id="rId767" ref="C257"/>
    <hyperlink r:id="rId768" ref="AN257"/>
    <hyperlink r:id="rId769" ref="B258"/>
    <hyperlink r:id="rId770" ref="C258"/>
    <hyperlink r:id="rId771" ref="AN258"/>
    <hyperlink r:id="rId772" ref="B259"/>
    <hyperlink r:id="rId773" ref="C259"/>
    <hyperlink r:id="rId774" ref="AN259"/>
    <hyperlink r:id="rId775" ref="B260"/>
    <hyperlink r:id="rId776" ref="C260"/>
    <hyperlink r:id="rId777" ref="AN260"/>
    <hyperlink r:id="rId778" ref="B261"/>
    <hyperlink r:id="rId779" ref="C261"/>
    <hyperlink r:id="rId780" ref="AN261"/>
    <hyperlink r:id="rId781" ref="B262"/>
    <hyperlink r:id="rId782" ref="C262"/>
    <hyperlink r:id="rId783" ref="AN262"/>
    <hyperlink r:id="rId784" ref="B263"/>
    <hyperlink r:id="rId785" ref="C263"/>
    <hyperlink r:id="rId786" ref="AN263"/>
    <hyperlink r:id="rId787" ref="B264"/>
    <hyperlink r:id="rId788" ref="C264"/>
    <hyperlink r:id="rId789" ref="AN264"/>
    <hyperlink r:id="rId790" ref="B265"/>
    <hyperlink r:id="rId791" ref="C265"/>
    <hyperlink r:id="rId792" ref="AN265"/>
    <hyperlink r:id="rId793" ref="B266"/>
    <hyperlink r:id="rId794" ref="C266"/>
    <hyperlink r:id="rId795" ref="AN266"/>
    <hyperlink r:id="rId796" ref="B267"/>
    <hyperlink r:id="rId797" ref="C267"/>
    <hyperlink r:id="rId798" ref="AN267"/>
    <hyperlink r:id="rId799" ref="B268"/>
    <hyperlink r:id="rId800" ref="C268"/>
    <hyperlink r:id="rId801" ref="AN268"/>
    <hyperlink r:id="rId802" ref="B269"/>
    <hyperlink r:id="rId803" ref="C269"/>
    <hyperlink r:id="rId804" ref="AN269"/>
    <hyperlink r:id="rId805" ref="B270"/>
    <hyperlink r:id="rId806" ref="C270"/>
    <hyperlink r:id="rId807" ref="AN270"/>
    <hyperlink r:id="rId808" ref="B271"/>
    <hyperlink r:id="rId809" ref="C271"/>
    <hyperlink r:id="rId810" ref="AN271"/>
    <hyperlink r:id="rId811" ref="B272"/>
    <hyperlink r:id="rId812" ref="C272"/>
    <hyperlink r:id="rId813" ref="AN272"/>
    <hyperlink r:id="rId814" ref="B273"/>
    <hyperlink r:id="rId815" ref="C273"/>
    <hyperlink r:id="rId816" ref="AN273"/>
    <hyperlink r:id="rId817" ref="B274"/>
    <hyperlink r:id="rId818" ref="C274"/>
    <hyperlink r:id="rId819" ref="AN274"/>
    <hyperlink r:id="rId820" ref="B275"/>
    <hyperlink r:id="rId821" ref="C275"/>
    <hyperlink r:id="rId822" ref="AN275"/>
    <hyperlink r:id="rId823" ref="B276"/>
    <hyperlink r:id="rId824" ref="C276"/>
    <hyperlink r:id="rId825" ref="AN276"/>
    <hyperlink r:id="rId826" ref="B277"/>
    <hyperlink r:id="rId827" ref="C277"/>
    <hyperlink r:id="rId828" ref="AN277"/>
    <hyperlink r:id="rId829" ref="B278"/>
    <hyperlink r:id="rId830" ref="C278"/>
    <hyperlink r:id="rId831" ref="AN278"/>
    <hyperlink r:id="rId832" ref="B279"/>
    <hyperlink r:id="rId833" ref="C279"/>
    <hyperlink r:id="rId834" ref="AN279"/>
    <hyperlink r:id="rId835" ref="B280"/>
    <hyperlink r:id="rId836" ref="C280"/>
    <hyperlink r:id="rId837" ref="AN280"/>
    <hyperlink r:id="rId838" ref="B281"/>
    <hyperlink r:id="rId839" ref="C281"/>
    <hyperlink r:id="rId840" ref="AN281"/>
    <hyperlink r:id="rId841" ref="B282"/>
    <hyperlink r:id="rId842" ref="C282"/>
    <hyperlink r:id="rId843" ref="AN282"/>
    <hyperlink r:id="rId844" ref="B283"/>
    <hyperlink r:id="rId845" ref="C283"/>
    <hyperlink r:id="rId846" ref="AN283"/>
    <hyperlink r:id="rId847" ref="B284"/>
    <hyperlink r:id="rId848" ref="C284"/>
    <hyperlink r:id="rId849" ref="AN284"/>
    <hyperlink r:id="rId850" ref="B285"/>
    <hyperlink r:id="rId851" ref="C285"/>
    <hyperlink r:id="rId852" ref="D285"/>
    <hyperlink r:id="rId853" ref="AN285"/>
    <hyperlink r:id="rId854" ref="B286"/>
    <hyperlink r:id="rId855" ref="C286"/>
    <hyperlink r:id="rId856" ref="AN286"/>
    <hyperlink r:id="rId857" ref="B287"/>
    <hyperlink r:id="rId858" ref="C287"/>
    <hyperlink r:id="rId859" ref="AN287"/>
    <hyperlink r:id="rId860" ref="B288"/>
    <hyperlink r:id="rId861" ref="C288"/>
    <hyperlink r:id="rId862" ref="AN288"/>
    <hyperlink r:id="rId863" ref="B289"/>
    <hyperlink r:id="rId864" ref="C289"/>
    <hyperlink r:id="rId865" ref="AN289"/>
    <hyperlink r:id="rId866" ref="B290"/>
    <hyperlink r:id="rId867" ref="C290"/>
    <hyperlink r:id="rId868" ref="AN290"/>
    <hyperlink r:id="rId869" ref="B291"/>
    <hyperlink r:id="rId870" ref="C291"/>
    <hyperlink r:id="rId871" ref="AN291"/>
    <hyperlink r:id="rId872" ref="B292"/>
    <hyperlink r:id="rId873" ref="C292"/>
    <hyperlink r:id="rId874" ref="AN292"/>
    <hyperlink r:id="rId875" ref="B293"/>
    <hyperlink r:id="rId876" ref="C293"/>
    <hyperlink r:id="rId877" ref="AN293"/>
    <hyperlink r:id="rId878" ref="B294"/>
    <hyperlink r:id="rId879" ref="C294"/>
    <hyperlink r:id="rId880" ref="AN294"/>
    <hyperlink r:id="rId881" ref="B295"/>
    <hyperlink r:id="rId882" ref="C295"/>
    <hyperlink r:id="rId883" ref="AN295"/>
    <hyperlink r:id="rId884" ref="B296"/>
    <hyperlink r:id="rId885" ref="C296"/>
    <hyperlink r:id="rId886" ref="AN296"/>
    <hyperlink r:id="rId887" ref="B297"/>
    <hyperlink r:id="rId888" ref="C297"/>
    <hyperlink r:id="rId889" ref="AN297"/>
    <hyperlink r:id="rId890" ref="B298"/>
    <hyperlink r:id="rId891" ref="C298"/>
    <hyperlink r:id="rId892" ref="AN298"/>
    <hyperlink r:id="rId893" ref="B299"/>
    <hyperlink r:id="rId894" ref="C299"/>
    <hyperlink r:id="rId895" ref="AN299"/>
    <hyperlink r:id="rId896" ref="B300"/>
    <hyperlink r:id="rId897" ref="C300"/>
    <hyperlink r:id="rId898" ref="AN300"/>
    <hyperlink r:id="rId899" ref="B301"/>
    <hyperlink r:id="rId900" ref="C301"/>
    <hyperlink r:id="rId901" ref="AN301"/>
    <hyperlink r:id="rId902" ref="B302"/>
    <hyperlink r:id="rId903" ref="C302"/>
    <hyperlink r:id="rId904" ref="AN302"/>
    <hyperlink r:id="rId905" ref="B303"/>
    <hyperlink r:id="rId906" ref="C303"/>
    <hyperlink r:id="rId907" ref="AN303"/>
    <hyperlink r:id="rId908" ref="B304"/>
    <hyperlink r:id="rId909" ref="C304"/>
    <hyperlink r:id="rId910" ref="AN304"/>
    <hyperlink r:id="rId911" ref="B305"/>
    <hyperlink r:id="rId912" ref="C305"/>
    <hyperlink r:id="rId913" ref="AN305"/>
    <hyperlink r:id="rId914" ref="B306"/>
    <hyperlink r:id="rId915" ref="C306"/>
    <hyperlink r:id="rId916" ref="AN306"/>
    <hyperlink r:id="rId917" ref="B307"/>
    <hyperlink r:id="rId918" ref="C307"/>
    <hyperlink r:id="rId919" ref="AN307"/>
    <hyperlink r:id="rId920" ref="B308"/>
    <hyperlink r:id="rId921" ref="C308"/>
    <hyperlink r:id="rId922" ref="AN308"/>
    <hyperlink r:id="rId923" ref="B309"/>
    <hyperlink r:id="rId924" ref="C309"/>
    <hyperlink r:id="rId925" ref="AN309"/>
    <hyperlink r:id="rId926" ref="B310"/>
    <hyperlink r:id="rId927" ref="C310"/>
    <hyperlink r:id="rId928" ref="AN310"/>
    <hyperlink r:id="rId929" ref="B311"/>
    <hyperlink r:id="rId930" ref="C311"/>
    <hyperlink r:id="rId931" ref="AN311"/>
    <hyperlink r:id="rId932" ref="B312"/>
    <hyperlink r:id="rId933" ref="C312"/>
    <hyperlink r:id="rId934" ref="AN312"/>
    <hyperlink r:id="rId935" ref="B313"/>
    <hyperlink r:id="rId936" ref="C313"/>
    <hyperlink r:id="rId937" ref="AN313"/>
    <hyperlink r:id="rId938" ref="B314"/>
    <hyperlink r:id="rId939" ref="C314"/>
    <hyperlink r:id="rId940" ref="AN314"/>
    <hyperlink r:id="rId941" ref="B315"/>
    <hyperlink r:id="rId942" ref="C315"/>
    <hyperlink r:id="rId943" ref="AN315"/>
    <hyperlink r:id="rId944" ref="B316"/>
    <hyperlink r:id="rId945" ref="C316"/>
    <hyperlink r:id="rId946" ref="AN316"/>
    <hyperlink r:id="rId947" ref="B317"/>
    <hyperlink r:id="rId948" ref="C317"/>
    <hyperlink r:id="rId949" ref="AN317"/>
    <hyperlink r:id="rId950" ref="B318"/>
    <hyperlink r:id="rId951" ref="C318"/>
    <hyperlink r:id="rId952" ref="AN318"/>
    <hyperlink r:id="rId953" ref="B319"/>
    <hyperlink r:id="rId954" ref="C319"/>
    <hyperlink r:id="rId955" ref="AN319"/>
    <hyperlink r:id="rId956" ref="B320"/>
    <hyperlink r:id="rId957" ref="C320"/>
    <hyperlink r:id="rId958" ref="AN320"/>
    <hyperlink r:id="rId959" ref="B321"/>
    <hyperlink r:id="rId960" ref="C321"/>
    <hyperlink r:id="rId961" ref="AN321"/>
    <hyperlink r:id="rId962" ref="B322"/>
    <hyperlink r:id="rId963" ref="C322"/>
    <hyperlink r:id="rId964" ref="AN322"/>
    <hyperlink r:id="rId965" ref="B323"/>
    <hyperlink r:id="rId966" ref="C323"/>
    <hyperlink r:id="rId967" ref="AN323"/>
    <hyperlink r:id="rId968" ref="B324"/>
    <hyperlink r:id="rId969" ref="C324"/>
    <hyperlink r:id="rId970" ref="AN324"/>
    <hyperlink r:id="rId971" ref="B325"/>
    <hyperlink r:id="rId972" ref="C325"/>
    <hyperlink r:id="rId973" ref="AN325"/>
    <hyperlink r:id="rId974" ref="B326"/>
    <hyperlink r:id="rId975" ref="C326"/>
    <hyperlink r:id="rId976" ref="AN326"/>
    <hyperlink r:id="rId977" ref="B327"/>
    <hyperlink r:id="rId978" ref="C327"/>
    <hyperlink r:id="rId979" ref="AN327"/>
    <hyperlink r:id="rId980" ref="B328"/>
    <hyperlink r:id="rId981" ref="C328"/>
    <hyperlink r:id="rId982" ref="AN328"/>
    <hyperlink r:id="rId983" ref="B329"/>
    <hyperlink r:id="rId984" ref="C329"/>
    <hyperlink r:id="rId985" ref="AN329"/>
    <hyperlink r:id="rId986" ref="B330"/>
    <hyperlink r:id="rId987" ref="C330"/>
    <hyperlink r:id="rId988" ref="AN330"/>
    <hyperlink r:id="rId989" ref="B331"/>
    <hyperlink r:id="rId990" ref="C331"/>
    <hyperlink r:id="rId991" ref="AN331"/>
    <hyperlink r:id="rId992" ref="B332"/>
    <hyperlink r:id="rId993" ref="C332"/>
    <hyperlink r:id="rId994" ref="AN332"/>
    <hyperlink r:id="rId995" ref="B333"/>
    <hyperlink r:id="rId996" ref="C333"/>
    <hyperlink r:id="rId997" ref="AN333"/>
    <hyperlink r:id="rId998" ref="B334"/>
    <hyperlink r:id="rId999" ref="C334"/>
    <hyperlink r:id="rId1000" ref="AN334"/>
    <hyperlink r:id="rId1001" ref="B335"/>
    <hyperlink r:id="rId1002" ref="C335"/>
    <hyperlink r:id="rId1003" ref="AN335"/>
    <hyperlink r:id="rId1004" ref="B336"/>
    <hyperlink r:id="rId1005" ref="C336"/>
    <hyperlink r:id="rId1006" ref="AN336"/>
    <hyperlink r:id="rId1007" ref="B337"/>
    <hyperlink r:id="rId1008" ref="C337"/>
    <hyperlink r:id="rId1009" ref="AN337"/>
    <hyperlink r:id="rId1010" ref="B338"/>
    <hyperlink r:id="rId1011" ref="C338"/>
    <hyperlink r:id="rId1012" ref="AN338"/>
    <hyperlink r:id="rId1013" ref="B339"/>
    <hyperlink r:id="rId1014" ref="C339"/>
    <hyperlink r:id="rId1015" ref="AN339"/>
    <hyperlink r:id="rId1016" ref="B340"/>
    <hyperlink r:id="rId1017" ref="C340"/>
    <hyperlink r:id="rId1018" ref="AN340"/>
    <hyperlink r:id="rId1019" ref="B341"/>
    <hyperlink r:id="rId1020" ref="C341"/>
    <hyperlink r:id="rId1021" ref="AN341"/>
    <hyperlink r:id="rId1022" ref="B342"/>
    <hyperlink r:id="rId1023" ref="C342"/>
    <hyperlink r:id="rId1024" ref="AN342"/>
    <hyperlink r:id="rId1025" ref="B343"/>
    <hyperlink r:id="rId1026" ref="C343"/>
    <hyperlink r:id="rId1027" ref="AN343"/>
    <hyperlink r:id="rId1028" ref="B344"/>
    <hyperlink r:id="rId1029" ref="C344"/>
    <hyperlink r:id="rId1030" ref="AN344"/>
    <hyperlink r:id="rId1031" ref="B345"/>
    <hyperlink r:id="rId1032" ref="C345"/>
    <hyperlink r:id="rId1033" ref="AN345"/>
    <hyperlink r:id="rId1034" ref="B346"/>
    <hyperlink r:id="rId1035" ref="C346"/>
    <hyperlink r:id="rId1036" ref="AN346"/>
    <hyperlink r:id="rId1037" ref="B347"/>
    <hyperlink r:id="rId1038" ref="C347"/>
    <hyperlink r:id="rId1039" ref="AN347"/>
    <hyperlink r:id="rId1040" ref="AN348"/>
    <hyperlink r:id="rId1041" ref="B349"/>
    <hyperlink r:id="rId1042" ref="C349"/>
    <hyperlink r:id="rId1043" ref="AN349"/>
    <hyperlink r:id="rId1044" ref="B350"/>
    <hyperlink r:id="rId1045" ref="C350"/>
    <hyperlink r:id="rId1046" ref="AN350"/>
    <hyperlink r:id="rId1047" ref="B351"/>
    <hyperlink r:id="rId1048" ref="C351"/>
    <hyperlink r:id="rId1049" ref="AN351"/>
    <hyperlink r:id="rId1050" ref="B352"/>
    <hyperlink r:id="rId1051" ref="C352"/>
    <hyperlink r:id="rId1052" ref="AN352"/>
    <hyperlink r:id="rId1053" ref="B353"/>
    <hyperlink r:id="rId1054" ref="C353"/>
    <hyperlink r:id="rId1055" ref="AN353"/>
    <hyperlink r:id="rId1056" ref="B354"/>
    <hyperlink r:id="rId1057" ref="C354"/>
    <hyperlink r:id="rId1058" ref="AN354"/>
    <hyperlink r:id="rId1059" ref="B355"/>
    <hyperlink r:id="rId1060" ref="C355"/>
    <hyperlink r:id="rId1061" ref="AN355"/>
    <hyperlink r:id="rId1062" ref="B356"/>
    <hyperlink r:id="rId1063" ref="C356"/>
    <hyperlink r:id="rId1064" ref="AN356"/>
    <hyperlink r:id="rId1065" ref="B357"/>
    <hyperlink r:id="rId1066" ref="C357"/>
    <hyperlink r:id="rId1067" ref="AN357"/>
    <hyperlink r:id="rId1068" ref="B358"/>
    <hyperlink r:id="rId1069" ref="C358"/>
    <hyperlink r:id="rId1070" ref="AN358"/>
    <hyperlink r:id="rId1071" ref="B359"/>
    <hyperlink r:id="rId1072" ref="C359"/>
    <hyperlink r:id="rId1073" ref="AN359"/>
    <hyperlink r:id="rId1074" ref="B360"/>
    <hyperlink r:id="rId1075" ref="C360"/>
    <hyperlink r:id="rId1076" ref="AN360"/>
    <hyperlink r:id="rId1077" ref="B361"/>
    <hyperlink r:id="rId1078" ref="C361"/>
    <hyperlink r:id="rId1079" ref="AN361"/>
    <hyperlink r:id="rId1080" ref="B362"/>
    <hyperlink r:id="rId1081" ref="C362"/>
    <hyperlink r:id="rId1082" ref="AN362"/>
    <hyperlink r:id="rId1083" ref="B363"/>
    <hyperlink r:id="rId1084" ref="C363"/>
    <hyperlink r:id="rId1085" ref="AN363"/>
    <hyperlink r:id="rId1086" ref="B364"/>
    <hyperlink r:id="rId1087" ref="C364"/>
    <hyperlink r:id="rId1088" ref="AN364"/>
    <hyperlink r:id="rId1089" ref="B365"/>
    <hyperlink r:id="rId1090" ref="C365"/>
    <hyperlink r:id="rId1091" ref="AN365"/>
    <hyperlink r:id="rId1092" ref="B366"/>
    <hyperlink r:id="rId1093" ref="C366"/>
    <hyperlink r:id="rId1094" ref="AN366"/>
    <hyperlink r:id="rId1095" ref="B367"/>
    <hyperlink r:id="rId1096" ref="C367"/>
    <hyperlink r:id="rId1097" ref="AN367"/>
    <hyperlink r:id="rId1098" ref="B368"/>
    <hyperlink r:id="rId1099" ref="C368"/>
    <hyperlink r:id="rId1100" ref="AN368"/>
    <hyperlink r:id="rId1101" ref="B369"/>
    <hyperlink r:id="rId1102" ref="C369"/>
    <hyperlink r:id="rId1103" ref="AN369"/>
    <hyperlink r:id="rId1104" ref="B370"/>
    <hyperlink r:id="rId1105" ref="C370"/>
    <hyperlink r:id="rId1106" ref="AN370"/>
    <hyperlink r:id="rId1107" ref="B371"/>
    <hyperlink r:id="rId1108" ref="C371"/>
    <hyperlink r:id="rId1109" ref="AN371"/>
    <hyperlink r:id="rId1110" ref="B372"/>
    <hyperlink r:id="rId1111" ref="C372"/>
    <hyperlink r:id="rId1112" ref="AN372"/>
    <hyperlink r:id="rId1113" ref="B373"/>
    <hyperlink r:id="rId1114" ref="C373"/>
    <hyperlink r:id="rId1115" ref="AN373"/>
    <hyperlink r:id="rId1116" ref="B374"/>
    <hyperlink r:id="rId1117" ref="C374"/>
    <hyperlink r:id="rId1118" ref="AN374"/>
    <hyperlink r:id="rId1119" ref="B375"/>
    <hyperlink r:id="rId1120" ref="C375"/>
    <hyperlink r:id="rId1121" ref="AN375"/>
    <hyperlink r:id="rId1122" ref="B376"/>
    <hyperlink r:id="rId1123" ref="C376"/>
    <hyperlink r:id="rId1124" ref="AN376"/>
    <hyperlink r:id="rId1125" ref="B377"/>
    <hyperlink r:id="rId1126" ref="C377"/>
    <hyperlink r:id="rId1127" ref="AN377"/>
    <hyperlink r:id="rId1128" ref="B378"/>
    <hyperlink r:id="rId1129" ref="C378"/>
    <hyperlink r:id="rId1130" ref="AN378"/>
    <hyperlink r:id="rId1131" ref="B379"/>
    <hyperlink r:id="rId1132" ref="C379"/>
    <hyperlink r:id="rId1133" ref="AN379"/>
    <hyperlink r:id="rId1134" ref="B380"/>
    <hyperlink r:id="rId1135" ref="C380"/>
    <hyperlink r:id="rId1136" ref="AN380"/>
    <hyperlink r:id="rId1137" ref="B381"/>
    <hyperlink r:id="rId1138" ref="C381"/>
    <hyperlink r:id="rId1139" ref="AN381"/>
    <hyperlink r:id="rId1140" ref="B382"/>
    <hyperlink r:id="rId1141" ref="C382"/>
    <hyperlink r:id="rId1142" ref="AN382"/>
    <hyperlink r:id="rId1143" ref="B383"/>
    <hyperlink r:id="rId1144" ref="C383"/>
    <hyperlink r:id="rId1145" ref="AN383"/>
    <hyperlink r:id="rId1146" ref="B384"/>
    <hyperlink r:id="rId1147" ref="C384"/>
    <hyperlink r:id="rId1148" ref="AN384"/>
    <hyperlink r:id="rId1149" ref="B385"/>
    <hyperlink r:id="rId1150" ref="C385"/>
    <hyperlink r:id="rId1151" ref="AN385"/>
    <hyperlink r:id="rId1152" ref="B386"/>
    <hyperlink r:id="rId1153" ref="C386"/>
    <hyperlink r:id="rId1154" ref="AN386"/>
    <hyperlink r:id="rId1155" ref="B387"/>
    <hyperlink r:id="rId1156" ref="C387"/>
    <hyperlink r:id="rId1157" ref="AN387"/>
    <hyperlink r:id="rId1158" ref="B388"/>
    <hyperlink r:id="rId1159" ref="C388"/>
    <hyperlink r:id="rId1160" ref="AN388"/>
    <hyperlink r:id="rId1161" ref="B389"/>
    <hyperlink r:id="rId1162" ref="C389"/>
    <hyperlink r:id="rId1163" ref="AN389"/>
    <hyperlink r:id="rId1164" ref="B390"/>
    <hyperlink r:id="rId1165" ref="C390"/>
    <hyperlink r:id="rId1166" ref="AN390"/>
    <hyperlink r:id="rId1167" ref="B391"/>
    <hyperlink r:id="rId1168" ref="C391"/>
    <hyperlink r:id="rId1169" ref="AN391"/>
    <hyperlink r:id="rId1170" ref="B392"/>
    <hyperlink r:id="rId1171" ref="C392"/>
    <hyperlink r:id="rId1172" ref="AN392"/>
    <hyperlink r:id="rId1173" ref="B393"/>
    <hyperlink r:id="rId1174" ref="C393"/>
    <hyperlink r:id="rId1175" ref="AN393"/>
    <hyperlink r:id="rId1176" ref="B394"/>
    <hyperlink r:id="rId1177" ref="C394"/>
    <hyperlink r:id="rId1178" ref="AN394"/>
    <hyperlink r:id="rId1179" ref="B395"/>
    <hyperlink r:id="rId1180" ref="C395"/>
    <hyperlink r:id="rId1181" ref="AN395"/>
    <hyperlink r:id="rId1182" ref="B396"/>
    <hyperlink r:id="rId1183" ref="C396"/>
    <hyperlink r:id="rId1184" ref="AN396"/>
    <hyperlink r:id="rId1185" ref="B397"/>
    <hyperlink r:id="rId1186" ref="C397"/>
    <hyperlink r:id="rId1187" ref="AN397"/>
    <hyperlink r:id="rId1188" ref="B398"/>
    <hyperlink r:id="rId1189" ref="C398"/>
    <hyperlink r:id="rId1190" ref="AN398"/>
    <hyperlink r:id="rId1191" ref="B399"/>
    <hyperlink r:id="rId1192" ref="C399"/>
    <hyperlink r:id="rId1193" ref="AN399"/>
    <hyperlink r:id="rId1194" ref="B400"/>
    <hyperlink r:id="rId1195" ref="C400"/>
    <hyperlink r:id="rId1196" ref="AN400"/>
    <hyperlink r:id="rId1197" ref="B401"/>
    <hyperlink r:id="rId1198" ref="C401"/>
    <hyperlink r:id="rId1199" ref="AN401"/>
    <hyperlink r:id="rId1200" ref="B402"/>
    <hyperlink r:id="rId1201" ref="C402"/>
    <hyperlink r:id="rId1202" ref="AN402"/>
    <hyperlink r:id="rId1203" ref="B403"/>
    <hyperlink r:id="rId1204" ref="C403"/>
    <hyperlink r:id="rId1205" ref="AN403"/>
    <hyperlink r:id="rId1206" ref="B404"/>
    <hyperlink r:id="rId1207" ref="C404"/>
    <hyperlink r:id="rId1208" ref="AN404"/>
    <hyperlink r:id="rId1209" ref="B405"/>
    <hyperlink r:id="rId1210" ref="C405"/>
    <hyperlink r:id="rId1211" ref="AN405"/>
    <hyperlink r:id="rId1212" ref="B406"/>
    <hyperlink r:id="rId1213" ref="C406"/>
    <hyperlink r:id="rId1214" ref="AN406"/>
    <hyperlink r:id="rId1215" ref="B407"/>
    <hyperlink r:id="rId1216" ref="C407"/>
    <hyperlink r:id="rId1217" ref="AN407"/>
    <hyperlink r:id="rId1218" ref="B408"/>
    <hyperlink r:id="rId1219" ref="C408"/>
    <hyperlink r:id="rId1220" ref="AN408"/>
    <hyperlink r:id="rId1221" ref="B409"/>
    <hyperlink r:id="rId1222" ref="C409"/>
    <hyperlink r:id="rId1223" ref="AN409"/>
    <hyperlink r:id="rId1224" ref="B410"/>
    <hyperlink r:id="rId1225" ref="C410"/>
    <hyperlink r:id="rId1226" ref="AN410"/>
    <hyperlink r:id="rId1227" ref="B411"/>
    <hyperlink r:id="rId1228" ref="C411"/>
    <hyperlink r:id="rId1229" ref="AN411"/>
    <hyperlink r:id="rId1230" ref="B412"/>
    <hyperlink r:id="rId1231" ref="C412"/>
    <hyperlink r:id="rId1232" ref="AN412"/>
    <hyperlink r:id="rId1233" ref="B413"/>
    <hyperlink r:id="rId1234" ref="C413"/>
    <hyperlink r:id="rId1235" ref="AN413"/>
    <hyperlink r:id="rId1236" ref="B414"/>
    <hyperlink r:id="rId1237" ref="C414"/>
    <hyperlink r:id="rId1238" ref="AN414"/>
    <hyperlink r:id="rId1239" ref="B415"/>
    <hyperlink r:id="rId1240" ref="C415"/>
    <hyperlink r:id="rId1241" ref="AN415"/>
    <hyperlink r:id="rId1242" ref="B416"/>
    <hyperlink r:id="rId1243" ref="C416"/>
    <hyperlink r:id="rId1244" ref="AN416"/>
    <hyperlink r:id="rId1245" ref="B417"/>
    <hyperlink r:id="rId1246" ref="C417"/>
    <hyperlink r:id="rId1247" ref="AN417"/>
    <hyperlink r:id="rId1248" ref="B418"/>
    <hyperlink r:id="rId1249" ref="C418"/>
    <hyperlink r:id="rId1250" ref="AN418"/>
    <hyperlink r:id="rId1251" ref="B419"/>
    <hyperlink r:id="rId1252" ref="C419"/>
    <hyperlink r:id="rId1253" ref="AN419"/>
    <hyperlink r:id="rId1254" ref="B420"/>
    <hyperlink r:id="rId1255" ref="C420"/>
    <hyperlink r:id="rId1256" ref="AN420"/>
    <hyperlink r:id="rId1257" ref="B421"/>
    <hyperlink r:id="rId1258" ref="C421"/>
    <hyperlink r:id="rId1259" ref="AN421"/>
    <hyperlink r:id="rId1260" ref="B422"/>
    <hyperlink r:id="rId1261" ref="C422"/>
    <hyperlink r:id="rId1262" ref="AN422"/>
    <hyperlink r:id="rId1263" ref="B423"/>
    <hyperlink r:id="rId1264" ref="C423"/>
    <hyperlink r:id="rId1265" ref="AN423"/>
    <hyperlink r:id="rId1266" ref="B424"/>
    <hyperlink r:id="rId1267" ref="C424"/>
    <hyperlink r:id="rId1268" ref="AN424"/>
    <hyperlink r:id="rId1269" ref="B425"/>
    <hyperlink r:id="rId1270" ref="C425"/>
    <hyperlink r:id="rId1271" ref="AN425"/>
    <hyperlink r:id="rId1272" ref="B426"/>
    <hyperlink r:id="rId1273" ref="C426"/>
    <hyperlink r:id="rId1274" ref="AN426"/>
    <hyperlink r:id="rId1275" ref="B427"/>
    <hyperlink r:id="rId1276" ref="C427"/>
    <hyperlink r:id="rId1277" ref="AN427"/>
    <hyperlink r:id="rId1278" ref="B428"/>
    <hyperlink r:id="rId1279" ref="C428"/>
    <hyperlink r:id="rId1280" ref="AN428"/>
    <hyperlink r:id="rId1281" ref="B429"/>
    <hyperlink r:id="rId1282" ref="C429"/>
    <hyperlink r:id="rId1283" ref="AN429"/>
    <hyperlink r:id="rId1284" ref="B430"/>
    <hyperlink r:id="rId1285" ref="C430"/>
    <hyperlink r:id="rId1286" ref="AN430"/>
    <hyperlink r:id="rId1287" ref="B431"/>
    <hyperlink r:id="rId1288" ref="C431"/>
    <hyperlink r:id="rId1289" ref="AN431"/>
    <hyperlink r:id="rId1290" ref="B432"/>
    <hyperlink r:id="rId1291" ref="C432"/>
    <hyperlink r:id="rId1292" ref="AN432"/>
    <hyperlink r:id="rId1293" ref="B433"/>
    <hyperlink r:id="rId1294" ref="C433"/>
    <hyperlink r:id="rId1295" ref="AN433"/>
    <hyperlink r:id="rId1296" ref="B434"/>
    <hyperlink r:id="rId1297" ref="C434"/>
    <hyperlink r:id="rId1298" ref="AN434"/>
    <hyperlink r:id="rId1299" ref="B435"/>
    <hyperlink r:id="rId1300" ref="C435"/>
    <hyperlink r:id="rId1301" ref="AN435"/>
    <hyperlink r:id="rId1302" ref="B436"/>
    <hyperlink r:id="rId1303" ref="C436"/>
    <hyperlink r:id="rId1304" ref="AN436"/>
    <hyperlink r:id="rId1305" ref="B437"/>
    <hyperlink r:id="rId1306" ref="C437"/>
    <hyperlink r:id="rId1307" ref="AN437"/>
    <hyperlink r:id="rId1308" ref="B438"/>
    <hyperlink r:id="rId1309" ref="C438"/>
    <hyperlink r:id="rId1310" ref="AN438"/>
    <hyperlink r:id="rId1311" ref="B439"/>
    <hyperlink r:id="rId1312" ref="C439"/>
    <hyperlink r:id="rId1313" ref="AN439"/>
    <hyperlink r:id="rId1314" ref="B440"/>
    <hyperlink r:id="rId1315" ref="C440"/>
    <hyperlink r:id="rId1316" ref="AN440"/>
    <hyperlink r:id="rId1317" ref="B441"/>
    <hyperlink r:id="rId1318" ref="C441"/>
    <hyperlink r:id="rId1319" ref="AN441"/>
    <hyperlink r:id="rId1320" ref="B442"/>
    <hyperlink r:id="rId1321" ref="C442"/>
    <hyperlink r:id="rId1322" ref="AN442"/>
    <hyperlink r:id="rId1323" ref="B443"/>
    <hyperlink r:id="rId1324" ref="C443"/>
    <hyperlink r:id="rId1325" ref="AN443"/>
    <hyperlink r:id="rId1326" ref="B444"/>
    <hyperlink r:id="rId1327" ref="C444"/>
    <hyperlink r:id="rId1328" ref="AN444"/>
    <hyperlink r:id="rId1329" ref="B445"/>
    <hyperlink r:id="rId1330" ref="C445"/>
    <hyperlink r:id="rId1331" ref="AN445"/>
    <hyperlink r:id="rId1332" ref="B446"/>
    <hyperlink r:id="rId1333" ref="C446"/>
    <hyperlink r:id="rId1334" ref="AN446"/>
    <hyperlink r:id="rId1335" ref="B447"/>
    <hyperlink r:id="rId1336" ref="C447"/>
    <hyperlink r:id="rId1337" ref="AN447"/>
    <hyperlink r:id="rId1338" ref="B448"/>
    <hyperlink r:id="rId1339" ref="C448"/>
    <hyperlink r:id="rId1340" ref="AN448"/>
    <hyperlink r:id="rId1341" ref="B449"/>
    <hyperlink r:id="rId1342" ref="C449"/>
    <hyperlink r:id="rId1343" ref="AN449"/>
    <hyperlink r:id="rId1344" ref="B450"/>
    <hyperlink r:id="rId1345" ref="C450"/>
    <hyperlink r:id="rId1346" ref="AN450"/>
    <hyperlink r:id="rId1347" ref="B451"/>
    <hyperlink r:id="rId1348" ref="C451"/>
    <hyperlink r:id="rId1349" ref="AN451"/>
    <hyperlink r:id="rId1350" ref="B452"/>
    <hyperlink r:id="rId1351" ref="C452"/>
    <hyperlink r:id="rId1352" ref="AN452"/>
    <hyperlink r:id="rId1353" ref="B453"/>
    <hyperlink r:id="rId1354" ref="C453"/>
    <hyperlink r:id="rId1355" ref="AN453"/>
    <hyperlink r:id="rId1356" ref="B454"/>
    <hyperlink r:id="rId1357" ref="C454"/>
    <hyperlink r:id="rId1358" ref="AN454"/>
    <hyperlink r:id="rId1359" ref="B455"/>
    <hyperlink r:id="rId1360" ref="C455"/>
    <hyperlink r:id="rId1361" ref="AN455"/>
    <hyperlink r:id="rId1362" ref="B456"/>
    <hyperlink r:id="rId1363" ref="C456"/>
    <hyperlink r:id="rId1364" ref="AN456"/>
    <hyperlink r:id="rId1365" ref="B457"/>
    <hyperlink r:id="rId1366" ref="C457"/>
    <hyperlink r:id="rId1367" ref="AN457"/>
    <hyperlink r:id="rId1368" ref="B458"/>
    <hyperlink r:id="rId1369" ref="C458"/>
    <hyperlink r:id="rId1370" ref="AN458"/>
    <hyperlink r:id="rId1371" ref="B459"/>
    <hyperlink r:id="rId1372" ref="C459"/>
    <hyperlink r:id="rId1373" ref="AN459"/>
    <hyperlink r:id="rId1374" ref="B460"/>
    <hyperlink r:id="rId1375" ref="C460"/>
    <hyperlink r:id="rId1376" ref="AN460"/>
    <hyperlink r:id="rId1377" ref="B461"/>
    <hyperlink r:id="rId1378" ref="C461"/>
    <hyperlink r:id="rId1379" ref="AN461"/>
    <hyperlink r:id="rId1380" ref="B462"/>
    <hyperlink r:id="rId1381" ref="C462"/>
    <hyperlink r:id="rId1382" ref="D462"/>
    <hyperlink r:id="rId1383" ref="AN462"/>
    <hyperlink r:id="rId1384" ref="B463"/>
    <hyperlink r:id="rId1385" ref="C463"/>
    <hyperlink r:id="rId1386" ref="AN463"/>
    <hyperlink r:id="rId1387" ref="B464"/>
    <hyperlink r:id="rId1388" ref="C464"/>
    <hyperlink r:id="rId1389" ref="AN464"/>
    <hyperlink r:id="rId1390" ref="B465"/>
    <hyperlink r:id="rId1391" ref="C465"/>
    <hyperlink r:id="rId1392" ref="AN465"/>
    <hyperlink r:id="rId1393" ref="B466"/>
    <hyperlink r:id="rId1394" ref="C466"/>
    <hyperlink r:id="rId1395" ref="AN466"/>
    <hyperlink r:id="rId1396" ref="B467"/>
    <hyperlink r:id="rId1397" ref="C467"/>
    <hyperlink r:id="rId1398" ref="AN467"/>
    <hyperlink r:id="rId1399" ref="B468"/>
    <hyperlink r:id="rId1400" ref="C468"/>
    <hyperlink r:id="rId1401" ref="AN468"/>
    <hyperlink r:id="rId1402" ref="B469"/>
    <hyperlink r:id="rId1403" ref="C469"/>
    <hyperlink r:id="rId1404" ref="AN469"/>
    <hyperlink r:id="rId1405" ref="B470"/>
    <hyperlink r:id="rId1406" ref="C470"/>
    <hyperlink r:id="rId1407" ref="AN470"/>
    <hyperlink r:id="rId1408" ref="B471"/>
    <hyperlink r:id="rId1409" ref="C471"/>
    <hyperlink r:id="rId1410" ref="AN471"/>
    <hyperlink r:id="rId1411" ref="B472"/>
    <hyperlink r:id="rId1412" ref="C472"/>
    <hyperlink r:id="rId1413" ref="AN472"/>
    <hyperlink r:id="rId1414" ref="B473"/>
    <hyperlink r:id="rId1415" ref="C473"/>
    <hyperlink r:id="rId1416" ref="AN473"/>
    <hyperlink r:id="rId1417" ref="B474"/>
    <hyperlink r:id="rId1418" ref="C474"/>
    <hyperlink r:id="rId1419" ref="AN474"/>
    <hyperlink r:id="rId1420" ref="B475"/>
    <hyperlink r:id="rId1421" ref="C475"/>
    <hyperlink r:id="rId1422" ref="AN475"/>
    <hyperlink r:id="rId1423" ref="B476"/>
    <hyperlink r:id="rId1424" ref="C476"/>
    <hyperlink r:id="rId1425" ref="AN476"/>
    <hyperlink r:id="rId1426" ref="B477"/>
    <hyperlink r:id="rId1427" ref="C477"/>
    <hyperlink r:id="rId1428" ref="AN477"/>
    <hyperlink r:id="rId1429" ref="B478"/>
    <hyperlink r:id="rId1430" ref="C478"/>
    <hyperlink r:id="rId1431" ref="AN478"/>
    <hyperlink r:id="rId1432" ref="B479"/>
    <hyperlink r:id="rId1433" ref="C479"/>
    <hyperlink r:id="rId1434" ref="AN479"/>
    <hyperlink r:id="rId1435" ref="B480"/>
    <hyperlink r:id="rId1436" ref="C480"/>
    <hyperlink r:id="rId1437" ref="AN480"/>
    <hyperlink r:id="rId1438" ref="B481"/>
    <hyperlink r:id="rId1439" ref="C481"/>
    <hyperlink r:id="rId1440" ref="AN481"/>
    <hyperlink r:id="rId1441" ref="B482"/>
    <hyperlink r:id="rId1442" ref="C482"/>
    <hyperlink r:id="rId1443" ref="AN482"/>
    <hyperlink r:id="rId1444" ref="B483"/>
    <hyperlink r:id="rId1445" ref="C483"/>
    <hyperlink r:id="rId1446" ref="AN483"/>
    <hyperlink r:id="rId1447" ref="B484"/>
    <hyperlink r:id="rId1448" ref="C484"/>
    <hyperlink r:id="rId1449" ref="AN484"/>
    <hyperlink r:id="rId1450" ref="B485"/>
    <hyperlink r:id="rId1451" ref="C485"/>
    <hyperlink r:id="rId1452" ref="AN485"/>
    <hyperlink r:id="rId1453" ref="B486"/>
    <hyperlink r:id="rId1454" ref="C486"/>
    <hyperlink r:id="rId1455" ref="AN486"/>
    <hyperlink r:id="rId1456" ref="B487"/>
    <hyperlink r:id="rId1457" ref="C487"/>
    <hyperlink r:id="rId1458" ref="AN487"/>
    <hyperlink r:id="rId1459" ref="B488"/>
    <hyperlink r:id="rId1460" ref="C488"/>
    <hyperlink r:id="rId1461" ref="AN488"/>
    <hyperlink r:id="rId1462" ref="B489"/>
    <hyperlink r:id="rId1463" ref="C489"/>
    <hyperlink r:id="rId1464" ref="AN489"/>
    <hyperlink r:id="rId1465" ref="B490"/>
    <hyperlink r:id="rId1466" ref="C490"/>
    <hyperlink r:id="rId1467" ref="AN490"/>
    <hyperlink r:id="rId1468" ref="B491"/>
    <hyperlink r:id="rId1469" ref="C491"/>
    <hyperlink r:id="rId1470" ref="AN491"/>
    <hyperlink r:id="rId1471" ref="B492"/>
    <hyperlink r:id="rId1472" ref="C492"/>
    <hyperlink r:id="rId1473" ref="AN492"/>
    <hyperlink r:id="rId1474" ref="B493"/>
    <hyperlink r:id="rId1475" ref="C493"/>
    <hyperlink r:id="rId1476" ref="AN493"/>
    <hyperlink r:id="rId1477" ref="B494"/>
    <hyperlink r:id="rId1478" ref="C494"/>
    <hyperlink r:id="rId1479" ref="AN494"/>
    <hyperlink r:id="rId1480" ref="B495"/>
    <hyperlink r:id="rId1481" ref="C495"/>
    <hyperlink r:id="rId1482" ref="AN495"/>
    <hyperlink r:id="rId1483" ref="B496"/>
    <hyperlink r:id="rId1484" ref="C496"/>
    <hyperlink r:id="rId1485" ref="AN496"/>
    <hyperlink r:id="rId1486" ref="B497"/>
    <hyperlink r:id="rId1487" ref="C497"/>
    <hyperlink r:id="rId1488" ref="AN497"/>
    <hyperlink r:id="rId1489" ref="B498"/>
    <hyperlink r:id="rId1490" ref="C498"/>
    <hyperlink r:id="rId1491" ref="AN498"/>
    <hyperlink r:id="rId1492" ref="B499"/>
    <hyperlink r:id="rId1493" ref="C499"/>
    <hyperlink r:id="rId1494" ref="AN499"/>
    <hyperlink r:id="rId1495" ref="B500"/>
    <hyperlink r:id="rId1496" ref="C500"/>
    <hyperlink r:id="rId1497" ref="AN500"/>
    <hyperlink r:id="rId1498" ref="B501"/>
    <hyperlink r:id="rId1499" ref="C501"/>
    <hyperlink r:id="rId1500" ref="AN501"/>
    <hyperlink r:id="rId1501" ref="B502"/>
    <hyperlink r:id="rId1502" ref="C502"/>
    <hyperlink r:id="rId1503" ref="AN502"/>
    <hyperlink r:id="rId1504" ref="B503"/>
    <hyperlink r:id="rId1505" ref="C503"/>
    <hyperlink r:id="rId1506" ref="AN503"/>
    <hyperlink r:id="rId1507" ref="B504"/>
    <hyperlink r:id="rId1508" ref="C504"/>
    <hyperlink r:id="rId1509" ref="AN504"/>
    <hyperlink r:id="rId1510" ref="B505"/>
    <hyperlink r:id="rId1511" ref="C505"/>
    <hyperlink r:id="rId1512" ref="AN505"/>
    <hyperlink r:id="rId1513" ref="B506"/>
    <hyperlink r:id="rId1514" ref="C506"/>
    <hyperlink r:id="rId1515" ref="AN506"/>
    <hyperlink r:id="rId1516" ref="B507"/>
    <hyperlink r:id="rId1517" ref="C507"/>
    <hyperlink r:id="rId1518" ref="AN507"/>
    <hyperlink r:id="rId1519" ref="B508"/>
    <hyperlink r:id="rId1520" ref="C508"/>
    <hyperlink r:id="rId1521" ref="AN508"/>
    <hyperlink r:id="rId1522" ref="B509"/>
    <hyperlink r:id="rId1523" ref="C509"/>
    <hyperlink r:id="rId1524" ref="AN509"/>
    <hyperlink r:id="rId1525" ref="B510"/>
    <hyperlink r:id="rId1526" ref="C510"/>
    <hyperlink r:id="rId1527" ref="AN510"/>
    <hyperlink r:id="rId1528" ref="B511"/>
    <hyperlink r:id="rId1529" ref="C511"/>
    <hyperlink r:id="rId1530" ref="AN511"/>
    <hyperlink r:id="rId1531" ref="B512"/>
    <hyperlink r:id="rId1532" ref="C512"/>
    <hyperlink r:id="rId1533" ref="AN512"/>
    <hyperlink r:id="rId1534" ref="B513"/>
    <hyperlink r:id="rId1535" ref="C513"/>
    <hyperlink r:id="rId1536" ref="AN513"/>
    <hyperlink r:id="rId1537" ref="B514"/>
    <hyperlink r:id="rId1538" ref="C514"/>
    <hyperlink r:id="rId1539" ref="AN514"/>
    <hyperlink r:id="rId1540" ref="B515"/>
    <hyperlink r:id="rId1541" ref="C515"/>
    <hyperlink r:id="rId1542" ref="AN515"/>
    <hyperlink r:id="rId1543" ref="B516"/>
    <hyperlink r:id="rId1544" ref="C516"/>
    <hyperlink r:id="rId1545" ref="AN516"/>
    <hyperlink r:id="rId1546" ref="B517"/>
    <hyperlink r:id="rId1547" ref="C517"/>
    <hyperlink r:id="rId1548" ref="AN517"/>
    <hyperlink r:id="rId1549" ref="B518"/>
    <hyperlink r:id="rId1550" ref="C518"/>
    <hyperlink r:id="rId1551" ref="AN518"/>
    <hyperlink r:id="rId1552" ref="B519"/>
    <hyperlink r:id="rId1553" ref="C519"/>
    <hyperlink r:id="rId1554" ref="AN519"/>
    <hyperlink r:id="rId1555" ref="B520"/>
    <hyperlink r:id="rId1556" ref="C520"/>
    <hyperlink r:id="rId1557" ref="AN520"/>
    <hyperlink r:id="rId1558" ref="B521"/>
    <hyperlink r:id="rId1559" ref="C521"/>
    <hyperlink r:id="rId1560" ref="AN521"/>
    <hyperlink r:id="rId1561" ref="B522"/>
    <hyperlink r:id="rId1562" ref="C522"/>
    <hyperlink r:id="rId1563" ref="AN522"/>
    <hyperlink r:id="rId1564" ref="B523"/>
    <hyperlink r:id="rId1565" ref="C523"/>
    <hyperlink r:id="rId1566" ref="AN523"/>
    <hyperlink r:id="rId1567" ref="B524"/>
    <hyperlink r:id="rId1568" ref="C524"/>
    <hyperlink r:id="rId1569" ref="AN524"/>
    <hyperlink r:id="rId1570" ref="B525"/>
    <hyperlink r:id="rId1571" ref="C525"/>
    <hyperlink r:id="rId1572" ref="AN525"/>
    <hyperlink r:id="rId1573" ref="B526"/>
    <hyperlink r:id="rId1574" ref="C526"/>
    <hyperlink r:id="rId1575" ref="AN526"/>
    <hyperlink r:id="rId1576" ref="B527"/>
    <hyperlink r:id="rId1577" ref="C527"/>
    <hyperlink r:id="rId1578" ref="AN527"/>
    <hyperlink r:id="rId1579" ref="B528"/>
    <hyperlink r:id="rId1580" ref="C528"/>
    <hyperlink r:id="rId1581" ref="AN528"/>
    <hyperlink r:id="rId1582" ref="B529"/>
    <hyperlink r:id="rId1583" ref="C529"/>
    <hyperlink r:id="rId1584" ref="AN529"/>
    <hyperlink r:id="rId1585" ref="B530"/>
    <hyperlink r:id="rId1586" ref="C530"/>
    <hyperlink r:id="rId1587" ref="AN530"/>
    <hyperlink r:id="rId1588" ref="B531"/>
    <hyperlink r:id="rId1589" ref="C531"/>
    <hyperlink r:id="rId1590" ref="AN531"/>
    <hyperlink r:id="rId1591" ref="B532"/>
    <hyperlink r:id="rId1592" ref="C532"/>
    <hyperlink r:id="rId1593" ref="AN532"/>
    <hyperlink r:id="rId1594" ref="B533"/>
    <hyperlink r:id="rId1595" ref="C533"/>
    <hyperlink r:id="rId1596" ref="AN533"/>
    <hyperlink r:id="rId1597" ref="B534"/>
    <hyperlink r:id="rId1598" ref="C534"/>
    <hyperlink r:id="rId1599" ref="AN534"/>
    <hyperlink r:id="rId1600" ref="B535"/>
    <hyperlink r:id="rId1601" ref="C535"/>
    <hyperlink r:id="rId1602" ref="AN535"/>
    <hyperlink r:id="rId1603" ref="B536"/>
    <hyperlink r:id="rId1604" ref="C536"/>
    <hyperlink r:id="rId1605" ref="Z536"/>
    <hyperlink r:id="rId1606" ref="AN536"/>
    <hyperlink r:id="rId1607" ref="B537"/>
    <hyperlink r:id="rId1608" ref="C537"/>
    <hyperlink r:id="rId1609" ref="AN537"/>
    <hyperlink r:id="rId1610" ref="B538"/>
    <hyperlink r:id="rId1611" ref="C538"/>
    <hyperlink r:id="rId1612" ref="AN538"/>
    <hyperlink r:id="rId1613" ref="B539"/>
    <hyperlink r:id="rId1614" ref="C539"/>
    <hyperlink r:id="rId1615" ref="AN539"/>
    <hyperlink r:id="rId1616" ref="B540"/>
    <hyperlink r:id="rId1617" ref="C540"/>
    <hyperlink r:id="rId1618" ref="AN540"/>
    <hyperlink r:id="rId1619" ref="B541"/>
    <hyperlink r:id="rId1620" ref="C541"/>
    <hyperlink r:id="rId1621" ref="AN541"/>
    <hyperlink r:id="rId1622" ref="B542"/>
    <hyperlink r:id="rId1623" ref="C542"/>
    <hyperlink r:id="rId1624" ref="AN542"/>
    <hyperlink r:id="rId1625" ref="B543"/>
    <hyperlink r:id="rId1626" ref="C543"/>
    <hyperlink r:id="rId1627" ref="AN543"/>
    <hyperlink r:id="rId1628" ref="B544"/>
    <hyperlink r:id="rId1629" ref="C544"/>
    <hyperlink r:id="rId1630" ref="AN544"/>
    <hyperlink r:id="rId1631" ref="B545"/>
    <hyperlink r:id="rId1632" ref="C545"/>
    <hyperlink r:id="rId1633" ref="AN545"/>
    <hyperlink r:id="rId1634" ref="B546"/>
    <hyperlink r:id="rId1635" ref="C546"/>
    <hyperlink r:id="rId1636" ref="AN546"/>
    <hyperlink r:id="rId1637" ref="B547"/>
    <hyperlink r:id="rId1638" ref="C547"/>
    <hyperlink r:id="rId1639" ref="AN547"/>
    <hyperlink r:id="rId1640" ref="B548"/>
    <hyperlink r:id="rId1641" ref="C548"/>
    <hyperlink r:id="rId1642" ref="AN548"/>
    <hyperlink r:id="rId1643" ref="B549"/>
    <hyperlink r:id="rId1644" ref="C549"/>
    <hyperlink r:id="rId1645" ref="AN549"/>
    <hyperlink r:id="rId1646" ref="B550"/>
    <hyperlink r:id="rId1647" ref="C550"/>
    <hyperlink r:id="rId1648" ref="AN550"/>
    <hyperlink r:id="rId1649" ref="B551"/>
    <hyperlink r:id="rId1650" ref="C551"/>
    <hyperlink r:id="rId1651" ref="AN551"/>
    <hyperlink r:id="rId1652" ref="B552"/>
    <hyperlink r:id="rId1653" ref="C552"/>
    <hyperlink r:id="rId1654" ref="AN552"/>
    <hyperlink r:id="rId1655" ref="B553"/>
    <hyperlink r:id="rId1656" ref="C553"/>
    <hyperlink r:id="rId1657" ref="AN553"/>
    <hyperlink r:id="rId1658" ref="B554"/>
    <hyperlink r:id="rId1659" ref="C554"/>
    <hyperlink r:id="rId1660" ref="AN554"/>
    <hyperlink r:id="rId1661" ref="B555"/>
    <hyperlink r:id="rId1662" ref="C555"/>
    <hyperlink r:id="rId1663" ref="AN555"/>
    <hyperlink r:id="rId1664" ref="B556"/>
    <hyperlink r:id="rId1665" ref="C556"/>
    <hyperlink r:id="rId1666" ref="AN556"/>
    <hyperlink r:id="rId1667" ref="B557"/>
    <hyperlink r:id="rId1668" ref="C557"/>
    <hyperlink r:id="rId1669" ref="AN557"/>
    <hyperlink r:id="rId1670" ref="B558"/>
    <hyperlink r:id="rId1671" ref="C558"/>
    <hyperlink r:id="rId1672" ref="AN558"/>
    <hyperlink r:id="rId1673" ref="B559"/>
    <hyperlink r:id="rId1674" ref="C559"/>
    <hyperlink r:id="rId1675" ref="AN559"/>
    <hyperlink r:id="rId1676" ref="B560"/>
    <hyperlink r:id="rId1677" ref="C560"/>
    <hyperlink r:id="rId1678" ref="AN560"/>
    <hyperlink r:id="rId1679" ref="B561"/>
    <hyperlink r:id="rId1680" ref="C561"/>
    <hyperlink r:id="rId1681" ref="AN561"/>
    <hyperlink r:id="rId1682" ref="B562"/>
    <hyperlink r:id="rId1683" ref="C562"/>
    <hyperlink r:id="rId1684" ref="AN562"/>
    <hyperlink r:id="rId1685" ref="B563"/>
    <hyperlink r:id="rId1686" ref="C563"/>
    <hyperlink r:id="rId1687" ref="AN563"/>
    <hyperlink r:id="rId1688" ref="B564"/>
    <hyperlink r:id="rId1689" ref="C564"/>
    <hyperlink r:id="rId1690" ref="AN564"/>
    <hyperlink r:id="rId1691" ref="B565"/>
    <hyperlink r:id="rId1692" ref="C565"/>
    <hyperlink r:id="rId1693" ref="AN565"/>
    <hyperlink r:id="rId1694" ref="B566"/>
    <hyperlink r:id="rId1695" ref="C566"/>
    <hyperlink r:id="rId1696" ref="AN566"/>
    <hyperlink r:id="rId1697" ref="B567"/>
    <hyperlink r:id="rId1698" ref="C567"/>
    <hyperlink r:id="rId1699" ref="AN567"/>
    <hyperlink r:id="rId1700" ref="B568"/>
    <hyperlink r:id="rId1701" ref="C568"/>
    <hyperlink r:id="rId1702" ref="AN568"/>
    <hyperlink r:id="rId1703" ref="B569"/>
    <hyperlink r:id="rId1704" ref="C569"/>
    <hyperlink r:id="rId1705" ref="AN569"/>
    <hyperlink r:id="rId1706" ref="B570"/>
    <hyperlink r:id="rId1707" ref="C570"/>
    <hyperlink r:id="rId1708" ref="AN570"/>
    <hyperlink r:id="rId1709" ref="B571"/>
    <hyperlink r:id="rId1710" ref="C571"/>
    <hyperlink r:id="rId1711" ref="AN571"/>
    <hyperlink r:id="rId1712" ref="B572"/>
    <hyperlink r:id="rId1713" ref="C572"/>
    <hyperlink r:id="rId1714" ref="AN572"/>
    <hyperlink r:id="rId1715" ref="B573"/>
    <hyperlink r:id="rId1716" ref="C573"/>
    <hyperlink r:id="rId1717" ref="AN573"/>
    <hyperlink r:id="rId1718" ref="B574"/>
    <hyperlink r:id="rId1719" ref="C574"/>
    <hyperlink r:id="rId1720" ref="AN574"/>
    <hyperlink r:id="rId1721" ref="B575"/>
    <hyperlink r:id="rId1722" ref="C575"/>
    <hyperlink r:id="rId1723" ref="AN575"/>
    <hyperlink r:id="rId1724" ref="B576"/>
    <hyperlink r:id="rId1725" ref="C576"/>
    <hyperlink r:id="rId1726" ref="AN576"/>
    <hyperlink r:id="rId1727" ref="B577"/>
    <hyperlink r:id="rId1728" ref="C577"/>
    <hyperlink r:id="rId1729" ref="AN577"/>
    <hyperlink r:id="rId1730" ref="B578"/>
    <hyperlink r:id="rId1731" ref="C578"/>
    <hyperlink r:id="rId1732" ref="AN578"/>
    <hyperlink r:id="rId1733" ref="B579"/>
    <hyperlink r:id="rId1734" ref="C579"/>
    <hyperlink r:id="rId1735" ref="AN579"/>
    <hyperlink r:id="rId1736" ref="B580"/>
    <hyperlink r:id="rId1737" ref="C580"/>
    <hyperlink r:id="rId1738" ref="AN580"/>
    <hyperlink r:id="rId1739" ref="B581"/>
    <hyperlink r:id="rId1740" ref="C581"/>
    <hyperlink r:id="rId1741" ref="AN581"/>
    <hyperlink r:id="rId1742" ref="B582"/>
    <hyperlink r:id="rId1743" ref="C582"/>
    <hyperlink r:id="rId1744" ref="AN582"/>
    <hyperlink r:id="rId1745" ref="B583"/>
    <hyperlink r:id="rId1746" ref="C583"/>
    <hyperlink r:id="rId1747" ref="AN583"/>
    <hyperlink r:id="rId1748" ref="B584"/>
    <hyperlink r:id="rId1749" ref="C584"/>
    <hyperlink r:id="rId1750" ref="AN584"/>
    <hyperlink r:id="rId1751" ref="B585"/>
    <hyperlink r:id="rId1752" ref="C585"/>
    <hyperlink r:id="rId1753" ref="AN585"/>
    <hyperlink r:id="rId1754" ref="B586"/>
    <hyperlink r:id="rId1755" ref="C586"/>
    <hyperlink r:id="rId1756" ref="AN586"/>
    <hyperlink r:id="rId1757" ref="B587"/>
    <hyperlink r:id="rId1758" ref="C587"/>
    <hyperlink r:id="rId1759" ref="AN587"/>
    <hyperlink r:id="rId1760" ref="B588"/>
    <hyperlink r:id="rId1761" ref="C588"/>
    <hyperlink r:id="rId1762" ref="AN588"/>
    <hyperlink r:id="rId1763" ref="B589"/>
    <hyperlink r:id="rId1764" ref="C589"/>
    <hyperlink r:id="rId1765" ref="AN589"/>
    <hyperlink r:id="rId1766" ref="B590"/>
    <hyperlink r:id="rId1767" ref="C590"/>
    <hyperlink r:id="rId1768" ref="AN590"/>
    <hyperlink r:id="rId1769" ref="B591"/>
    <hyperlink r:id="rId1770" ref="C591"/>
    <hyperlink r:id="rId1771" ref="AN591"/>
    <hyperlink r:id="rId1772" ref="B592"/>
    <hyperlink r:id="rId1773" ref="C592"/>
    <hyperlink r:id="rId1774" ref="AN592"/>
    <hyperlink r:id="rId1775" ref="B593"/>
    <hyperlink r:id="rId1776" ref="C593"/>
    <hyperlink r:id="rId1777" ref="AN593"/>
    <hyperlink r:id="rId1778" ref="B594"/>
    <hyperlink r:id="rId1779" ref="C594"/>
    <hyperlink r:id="rId1780" ref="AN594"/>
    <hyperlink r:id="rId1781" ref="B595"/>
    <hyperlink r:id="rId1782" ref="C595"/>
    <hyperlink r:id="rId1783" ref="AN595"/>
    <hyperlink r:id="rId1784" ref="B596"/>
    <hyperlink r:id="rId1785" ref="C596"/>
    <hyperlink r:id="rId1786" ref="AN596"/>
    <hyperlink r:id="rId1787" ref="B597"/>
    <hyperlink r:id="rId1788" ref="C597"/>
    <hyperlink r:id="rId1789" ref="AN597"/>
    <hyperlink r:id="rId1790" ref="B598"/>
    <hyperlink r:id="rId1791" ref="C598"/>
    <hyperlink r:id="rId1792" ref="AN598"/>
    <hyperlink r:id="rId1793" ref="B599"/>
    <hyperlink r:id="rId1794" ref="C599"/>
    <hyperlink r:id="rId1795" ref="AN599"/>
    <hyperlink r:id="rId1796" ref="B600"/>
    <hyperlink r:id="rId1797" ref="C600"/>
    <hyperlink r:id="rId1798" ref="AN600"/>
    <hyperlink r:id="rId1799" ref="B601"/>
    <hyperlink r:id="rId1800" ref="C601"/>
    <hyperlink r:id="rId1801" ref="AN601"/>
    <hyperlink r:id="rId1802" ref="B602"/>
    <hyperlink r:id="rId1803" ref="C602"/>
    <hyperlink r:id="rId1804" ref="AN602"/>
    <hyperlink r:id="rId1805" ref="B603"/>
    <hyperlink r:id="rId1806" ref="C603"/>
    <hyperlink r:id="rId1807" ref="AN603"/>
    <hyperlink r:id="rId1808" ref="B604"/>
    <hyperlink r:id="rId1809" ref="C604"/>
    <hyperlink r:id="rId1810" ref="AN604"/>
    <hyperlink r:id="rId1811" ref="B605"/>
    <hyperlink r:id="rId1812" ref="C605"/>
    <hyperlink r:id="rId1813" ref="AN605"/>
    <hyperlink r:id="rId1814" ref="B606"/>
    <hyperlink r:id="rId1815" ref="C606"/>
    <hyperlink r:id="rId1816" ref="AN606"/>
    <hyperlink r:id="rId1817" ref="B607"/>
    <hyperlink r:id="rId1818" ref="C607"/>
    <hyperlink r:id="rId1819" ref="AN607"/>
    <hyperlink r:id="rId1820" ref="B608"/>
    <hyperlink r:id="rId1821" ref="C608"/>
    <hyperlink r:id="rId1822" ref="AN608"/>
    <hyperlink r:id="rId1823" ref="B609"/>
    <hyperlink r:id="rId1824" ref="C609"/>
    <hyperlink r:id="rId1825" ref="AN609"/>
    <hyperlink r:id="rId1826" ref="B610"/>
    <hyperlink r:id="rId1827" ref="C610"/>
    <hyperlink r:id="rId1828" ref="AN610"/>
    <hyperlink r:id="rId1829" ref="B611"/>
    <hyperlink r:id="rId1830" ref="C611"/>
    <hyperlink r:id="rId1831" ref="AN611"/>
    <hyperlink r:id="rId1832" ref="B612"/>
    <hyperlink r:id="rId1833" ref="C612"/>
    <hyperlink r:id="rId1834" ref="AN612"/>
    <hyperlink r:id="rId1835" ref="B613"/>
    <hyperlink r:id="rId1836" ref="C613"/>
    <hyperlink r:id="rId1837" ref="AN613"/>
    <hyperlink r:id="rId1838" ref="B614"/>
    <hyperlink r:id="rId1839" ref="C614"/>
    <hyperlink r:id="rId1840" ref="AN614"/>
    <hyperlink r:id="rId1841" ref="B615"/>
    <hyperlink r:id="rId1842" ref="C615"/>
    <hyperlink r:id="rId1843" ref="AN615"/>
    <hyperlink r:id="rId1844" ref="B616"/>
    <hyperlink r:id="rId1845" ref="C616"/>
    <hyperlink r:id="rId1846" ref="AN616"/>
    <hyperlink r:id="rId1847" ref="B617"/>
    <hyperlink r:id="rId1848" ref="C617"/>
    <hyperlink r:id="rId1849" ref="AN617"/>
    <hyperlink r:id="rId1850" ref="B618"/>
    <hyperlink r:id="rId1851" ref="C618"/>
    <hyperlink r:id="rId1852" ref="AN618"/>
    <hyperlink r:id="rId1853" ref="B619"/>
    <hyperlink r:id="rId1854" ref="C619"/>
    <hyperlink r:id="rId1855" ref="AN619"/>
    <hyperlink r:id="rId1856" ref="B620"/>
    <hyperlink r:id="rId1857" ref="C620"/>
    <hyperlink r:id="rId1858" ref="AN620"/>
    <hyperlink r:id="rId1859" ref="B621"/>
    <hyperlink r:id="rId1860" ref="C621"/>
    <hyperlink r:id="rId1861" ref="AN621"/>
    <hyperlink r:id="rId1862" ref="B622"/>
    <hyperlink r:id="rId1863" ref="C622"/>
    <hyperlink r:id="rId1864" ref="AN622"/>
    <hyperlink r:id="rId1865" ref="B623"/>
    <hyperlink r:id="rId1866" ref="C623"/>
    <hyperlink r:id="rId1867" ref="AN623"/>
    <hyperlink r:id="rId1868" ref="B624"/>
    <hyperlink r:id="rId1869" ref="C624"/>
    <hyperlink r:id="rId1870" ref="AN624"/>
    <hyperlink r:id="rId1871" ref="B625"/>
    <hyperlink r:id="rId1872" ref="C625"/>
    <hyperlink r:id="rId1873" ref="AN625"/>
    <hyperlink r:id="rId1874" ref="B626"/>
    <hyperlink r:id="rId1875" ref="C626"/>
    <hyperlink r:id="rId1876" ref="AN626"/>
    <hyperlink r:id="rId1877" ref="B627"/>
    <hyperlink r:id="rId1878" ref="C627"/>
    <hyperlink r:id="rId1879" ref="AN627"/>
    <hyperlink r:id="rId1880" ref="B628"/>
    <hyperlink r:id="rId1881" ref="C628"/>
    <hyperlink r:id="rId1882" ref="AN628"/>
    <hyperlink r:id="rId1883" ref="B629"/>
    <hyperlink r:id="rId1884" ref="C629"/>
    <hyperlink r:id="rId1885" ref="AN629"/>
    <hyperlink r:id="rId1886" ref="B630"/>
    <hyperlink r:id="rId1887" ref="C630"/>
    <hyperlink r:id="rId1888" ref="AN630"/>
    <hyperlink r:id="rId1889" ref="B631"/>
    <hyperlink r:id="rId1890" ref="C631"/>
    <hyperlink r:id="rId1891" ref="AN631"/>
    <hyperlink r:id="rId1892" ref="B632"/>
    <hyperlink r:id="rId1893" ref="C632"/>
    <hyperlink r:id="rId1894" ref="AN632"/>
    <hyperlink r:id="rId1895" ref="B633"/>
    <hyperlink r:id="rId1896" ref="C633"/>
    <hyperlink r:id="rId1897" ref="AN633"/>
    <hyperlink r:id="rId1898" ref="B634"/>
    <hyperlink r:id="rId1899" ref="C634"/>
    <hyperlink r:id="rId1900" ref="AN634"/>
    <hyperlink r:id="rId1901" ref="B635"/>
    <hyperlink r:id="rId1902" ref="C635"/>
    <hyperlink r:id="rId1903" ref="AN635"/>
    <hyperlink r:id="rId1904" ref="B636"/>
    <hyperlink r:id="rId1905" ref="C636"/>
    <hyperlink r:id="rId1906" ref="AN636"/>
    <hyperlink r:id="rId1907" ref="B637"/>
    <hyperlink r:id="rId1908" ref="C637"/>
    <hyperlink r:id="rId1909" ref="AN637"/>
    <hyperlink r:id="rId1910" ref="B638"/>
    <hyperlink r:id="rId1911" ref="C638"/>
    <hyperlink r:id="rId1912" ref="AN638"/>
    <hyperlink r:id="rId1913" ref="B639"/>
    <hyperlink r:id="rId1914" ref="C639"/>
    <hyperlink r:id="rId1915" ref="AN639"/>
    <hyperlink r:id="rId1916" ref="B640"/>
    <hyperlink r:id="rId1917" ref="C640"/>
    <hyperlink r:id="rId1918" ref="AN640"/>
    <hyperlink r:id="rId1919" ref="B641"/>
    <hyperlink r:id="rId1920" ref="C641"/>
    <hyperlink r:id="rId1921" ref="AN641"/>
    <hyperlink r:id="rId1922" ref="B642"/>
    <hyperlink r:id="rId1923" ref="C642"/>
    <hyperlink r:id="rId1924" ref="AN642"/>
    <hyperlink r:id="rId1925" ref="B643"/>
    <hyperlink r:id="rId1926" ref="C643"/>
    <hyperlink r:id="rId1927" ref="AN643"/>
    <hyperlink r:id="rId1928" ref="B644"/>
    <hyperlink r:id="rId1929" ref="C644"/>
    <hyperlink r:id="rId1930" ref="AN644"/>
    <hyperlink r:id="rId1931" ref="B645"/>
    <hyperlink r:id="rId1932" ref="C645"/>
    <hyperlink r:id="rId1933" ref="AN645"/>
    <hyperlink r:id="rId1934" ref="B646"/>
    <hyperlink r:id="rId1935" ref="C646"/>
    <hyperlink r:id="rId1936" ref="AN646"/>
    <hyperlink r:id="rId1937" ref="B647"/>
    <hyperlink r:id="rId1938" ref="C647"/>
    <hyperlink r:id="rId1939" ref="AN647"/>
    <hyperlink r:id="rId1940" ref="B648"/>
    <hyperlink r:id="rId1941" ref="C648"/>
    <hyperlink r:id="rId1942" ref="AN648"/>
    <hyperlink r:id="rId1943" ref="B649"/>
    <hyperlink r:id="rId1944" ref="C649"/>
    <hyperlink r:id="rId1945" ref="AN649"/>
    <hyperlink r:id="rId1946" ref="B650"/>
    <hyperlink r:id="rId1947" ref="C650"/>
    <hyperlink r:id="rId1948" ref="AN650"/>
    <hyperlink r:id="rId1949" ref="B651"/>
    <hyperlink r:id="rId1950" ref="C651"/>
    <hyperlink r:id="rId1951" ref="AN651"/>
    <hyperlink r:id="rId1952" ref="B652"/>
    <hyperlink r:id="rId1953" ref="C652"/>
    <hyperlink r:id="rId1954" ref="AN652"/>
    <hyperlink r:id="rId1955" ref="B653"/>
    <hyperlink r:id="rId1956" ref="C653"/>
    <hyperlink r:id="rId1957" ref="AN653"/>
    <hyperlink r:id="rId1958" ref="B654"/>
    <hyperlink r:id="rId1959" ref="C654"/>
    <hyperlink r:id="rId1960" ref="AN654"/>
    <hyperlink r:id="rId1961" ref="B655"/>
    <hyperlink r:id="rId1962" ref="C655"/>
    <hyperlink r:id="rId1963" ref="AN655"/>
    <hyperlink r:id="rId1964" ref="B656"/>
    <hyperlink r:id="rId1965" ref="C656"/>
    <hyperlink r:id="rId1966" ref="AN656"/>
    <hyperlink r:id="rId1967" ref="B657"/>
    <hyperlink r:id="rId1968" ref="C657"/>
    <hyperlink r:id="rId1969" ref="AN657"/>
    <hyperlink r:id="rId1970" ref="B658"/>
    <hyperlink r:id="rId1971" ref="C658"/>
    <hyperlink r:id="rId1972" ref="AN658"/>
    <hyperlink r:id="rId1973" ref="B659"/>
    <hyperlink r:id="rId1974" ref="C659"/>
    <hyperlink r:id="rId1975" ref="AN659"/>
    <hyperlink r:id="rId1976" ref="B660"/>
    <hyperlink r:id="rId1977" ref="C660"/>
    <hyperlink r:id="rId1978" ref="AN660"/>
    <hyperlink r:id="rId1979" ref="B661"/>
    <hyperlink r:id="rId1980" ref="C661"/>
    <hyperlink r:id="rId1981" ref="AN661"/>
    <hyperlink r:id="rId1982" ref="B662"/>
    <hyperlink r:id="rId1983" ref="C662"/>
    <hyperlink r:id="rId1984" ref="AN662"/>
    <hyperlink r:id="rId1985" ref="B663"/>
    <hyperlink r:id="rId1986" ref="C663"/>
    <hyperlink r:id="rId1987" ref="AN663"/>
    <hyperlink r:id="rId1988" ref="B664"/>
    <hyperlink r:id="rId1989" ref="C664"/>
    <hyperlink r:id="rId1990" ref="AN664"/>
    <hyperlink r:id="rId1991" ref="B665"/>
    <hyperlink r:id="rId1992" ref="C665"/>
    <hyperlink r:id="rId1993" ref="AN665"/>
    <hyperlink r:id="rId1994" ref="B666"/>
    <hyperlink r:id="rId1995" ref="C666"/>
    <hyperlink r:id="rId1996" ref="AN666"/>
    <hyperlink r:id="rId1997" ref="B667"/>
    <hyperlink r:id="rId1998" ref="C667"/>
    <hyperlink r:id="rId1999" ref="AN667"/>
    <hyperlink r:id="rId2000" ref="B668"/>
    <hyperlink r:id="rId2001" ref="C668"/>
    <hyperlink r:id="rId2002" ref="AN668"/>
    <hyperlink r:id="rId2003" ref="B669"/>
    <hyperlink r:id="rId2004" ref="C669"/>
    <hyperlink r:id="rId2005" ref="AN669"/>
    <hyperlink r:id="rId2006" ref="B670"/>
    <hyperlink r:id="rId2007" ref="C670"/>
    <hyperlink r:id="rId2008" ref="AN670"/>
    <hyperlink r:id="rId2009" ref="B671"/>
    <hyperlink r:id="rId2010" ref="C671"/>
    <hyperlink r:id="rId2011" ref="AN671"/>
    <hyperlink r:id="rId2012" ref="B672"/>
    <hyperlink r:id="rId2013" ref="C672"/>
    <hyperlink r:id="rId2014" ref="AN672"/>
    <hyperlink r:id="rId2015" ref="B673"/>
    <hyperlink r:id="rId2016" ref="C673"/>
    <hyperlink r:id="rId2017" ref="AN673"/>
    <hyperlink r:id="rId2018" ref="B674"/>
    <hyperlink r:id="rId2019" ref="C674"/>
    <hyperlink r:id="rId2020" ref="AN674"/>
    <hyperlink r:id="rId2021" ref="B675"/>
    <hyperlink r:id="rId2022" ref="C675"/>
    <hyperlink r:id="rId2023" ref="AN675"/>
    <hyperlink r:id="rId2024" ref="B676"/>
    <hyperlink r:id="rId2025" ref="C676"/>
    <hyperlink r:id="rId2026" ref="AN676"/>
    <hyperlink r:id="rId2027" ref="B677"/>
    <hyperlink r:id="rId2028" ref="C677"/>
    <hyperlink r:id="rId2029" ref="AN677"/>
    <hyperlink r:id="rId2030" ref="B678"/>
    <hyperlink r:id="rId2031" ref="C678"/>
    <hyperlink r:id="rId2032" ref="AN678"/>
    <hyperlink r:id="rId2033" ref="B679"/>
    <hyperlink r:id="rId2034" ref="C679"/>
    <hyperlink r:id="rId2035" ref="AN679"/>
    <hyperlink r:id="rId2036" ref="B680"/>
    <hyperlink r:id="rId2037" ref="C680"/>
    <hyperlink r:id="rId2038" ref="AN680"/>
    <hyperlink r:id="rId2039" ref="B681"/>
    <hyperlink r:id="rId2040" ref="C681"/>
    <hyperlink r:id="rId2041" ref="AN681"/>
    <hyperlink r:id="rId2042" ref="B682"/>
    <hyperlink r:id="rId2043" ref="C682"/>
    <hyperlink r:id="rId2044" ref="AN682"/>
    <hyperlink r:id="rId2045" ref="B683"/>
    <hyperlink r:id="rId2046" ref="C683"/>
    <hyperlink r:id="rId2047" ref="AN683"/>
    <hyperlink r:id="rId2048" ref="B684"/>
    <hyperlink r:id="rId2049" ref="C684"/>
    <hyperlink r:id="rId2050" ref="AN684"/>
    <hyperlink r:id="rId2051" ref="B685"/>
    <hyperlink r:id="rId2052" ref="C685"/>
    <hyperlink r:id="rId2053" ref="AN685"/>
    <hyperlink r:id="rId2054" ref="B686"/>
    <hyperlink r:id="rId2055" ref="C686"/>
    <hyperlink r:id="rId2056" ref="AN686"/>
    <hyperlink r:id="rId2057" ref="B687"/>
    <hyperlink r:id="rId2058" ref="C687"/>
    <hyperlink r:id="rId2059" ref="AN687"/>
    <hyperlink r:id="rId2060" ref="B688"/>
    <hyperlink r:id="rId2061" ref="C688"/>
    <hyperlink r:id="rId2062" ref="AN688"/>
    <hyperlink r:id="rId2063" ref="B689"/>
    <hyperlink r:id="rId2064" ref="C689"/>
    <hyperlink r:id="rId2065" ref="AN689"/>
    <hyperlink r:id="rId2066" ref="B690"/>
    <hyperlink r:id="rId2067" ref="C690"/>
    <hyperlink r:id="rId2068" ref="AN690"/>
    <hyperlink r:id="rId2069" ref="B691"/>
    <hyperlink r:id="rId2070" ref="C691"/>
    <hyperlink r:id="rId2071" ref="AN691"/>
    <hyperlink r:id="rId2072" ref="B692"/>
    <hyperlink r:id="rId2073" ref="C692"/>
    <hyperlink r:id="rId2074" ref="AN692"/>
    <hyperlink r:id="rId2075" ref="B693"/>
    <hyperlink r:id="rId2076" ref="C693"/>
    <hyperlink r:id="rId2077" ref="AN693"/>
    <hyperlink r:id="rId2078" ref="B694"/>
    <hyperlink r:id="rId2079" ref="C694"/>
    <hyperlink r:id="rId2080" ref="AN694"/>
    <hyperlink r:id="rId2081" ref="B695"/>
    <hyperlink r:id="rId2082" ref="C695"/>
    <hyperlink r:id="rId2083" ref="AN695"/>
    <hyperlink r:id="rId2084" ref="B696"/>
    <hyperlink r:id="rId2085" ref="C696"/>
    <hyperlink r:id="rId2086" ref="AN696"/>
    <hyperlink r:id="rId2087" ref="B697"/>
    <hyperlink r:id="rId2088" ref="C697"/>
    <hyperlink r:id="rId2089" ref="AN697"/>
    <hyperlink r:id="rId2090" ref="B698"/>
    <hyperlink r:id="rId2091" ref="C698"/>
    <hyperlink r:id="rId2092" ref="AN698"/>
    <hyperlink r:id="rId2093" ref="B699"/>
    <hyperlink r:id="rId2094" ref="C699"/>
    <hyperlink r:id="rId2095" ref="AN699"/>
    <hyperlink r:id="rId2096" ref="B700"/>
    <hyperlink r:id="rId2097" ref="C700"/>
    <hyperlink r:id="rId2098" ref="AN700"/>
    <hyperlink r:id="rId2099" ref="B701"/>
    <hyperlink r:id="rId2100" ref="C701"/>
    <hyperlink r:id="rId2101" ref="AN701"/>
    <hyperlink r:id="rId2102" ref="B702"/>
    <hyperlink r:id="rId2103" ref="C702"/>
    <hyperlink r:id="rId2104" ref="AN702"/>
    <hyperlink r:id="rId2105" ref="B703"/>
    <hyperlink r:id="rId2106" ref="C703"/>
    <hyperlink r:id="rId2107" ref="AN703"/>
    <hyperlink r:id="rId2108" ref="B704"/>
    <hyperlink r:id="rId2109" ref="C704"/>
    <hyperlink r:id="rId2110" ref="AN704"/>
    <hyperlink r:id="rId2111" ref="B705"/>
    <hyperlink r:id="rId2112" ref="C705"/>
    <hyperlink r:id="rId2113" ref="AN705"/>
    <hyperlink r:id="rId2114" ref="B706"/>
    <hyperlink r:id="rId2115" ref="C706"/>
    <hyperlink r:id="rId2116" ref="AN706"/>
    <hyperlink r:id="rId2117" ref="B707"/>
    <hyperlink r:id="rId2118" ref="C707"/>
    <hyperlink r:id="rId2119" ref="AN707"/>
    <hyperlink r:id="rId2120" ref="B708"/>
    <hyperlink r:id="rId2121" ref="C708"/>
    <hyperlink r:id="rId2122" ref="AN708"/>
    <hyperlink r:id="rId2123" ref="B709"/>
    <hyperlink r:id="rId2124" ref="C709"/>
    <hyperlink r:id="rId2125" ref="AN709"/>
    <hyperlink r:id="rId2126" ref="B710"/>
    <hyperlink r:id="rId2127" ref="C710"/>
    <hyperlink r:id="rId2128" ref="AN710"/>
    <hyperlink r:id="rId2129" ref="B711"/>
    <hyperlink r:id="rId2130" ref="C711"/>
    <hyperlink r:id="rId2131" ref="AN711"/>
    <hyperlink r:id="rId2132" ref="B712"/>
    <hyperlink r:id="rId2133" ref="C712"/>
    <hyperlink r:id="rId2134" ref="AN712"/>
    <hyperlink r:id="rId2135" ref="B713"/>
    <hyperlink r:id="rId2136" ref="C713"/>
    <hyperlink r:id="rId2137" ref="AN713"/>
    <hyperlink r:id="rId2138" ref="B714"/>
    <hyperlink r:id="rId2139" ref="C714"/>
    <hyperlink r:id="rId2140" ref="AN714"/>
    <hyperlink r:id="rId2141" ref="B715"/>
    <hyperlink r:id="rId2142" ref="C715"/>
    <hyperlink r:id="rId2143" ref="AN715"/>
    <hyperlink r:id="rId2144" ref="B716"/>
    <hyperlink r:id="rId2145" ref="C716"/>
    <hyperlink r:id="rId2146" ref="AN716"/>
    <hyperlink r:id="rId2147" ref="B717"/>
    <hyperlink r:id="rId2148" ref="C717"/>
    <hyperlink r:id="rId2149" ref="AN717"/>
    <hyperlink r:id="rId2150" ref="B718"/>
    <hyperlink r:id="rId2151" ref="C718"/>
    <hyperlink r:id="rId2152" ref="AN718"/>
    <hyperlink r:id="rId2153" ref="B719"/>
    <hyperlink r:id="rId2154" ref="C719"/>
    <hyperlink r:id="rId2155" ref="AN719"/>
    <hyperlink r:id="rId2156" ref="B720"/>
    <hyperlink r:id="rId2157" ref="C720"/>
    <hyperlink r:id="rId2158" ref="AN720"/>
    <hyperlink r:id="rId2159" ref="B721"/>
    <hyperlink r:id="rId2160" ref="C721"/>
    <hyperlink r:id="rId2161" ref="AN721"/>
    <hyperlink r:id="rId2162" ref="B722"/>
    <hyperlink r:id="rId2163" ref="C722"/>
    <hyperlink r:id="rId2164" ref="AN722"/>
    <hyperlink r:id="rId2165" ref="B723"/>
    <hyperlink r:id="rId2166" ref="C723"/>
    <hyperlink r:id="rId2167" ref="AN723"/>
    <hyperlink r:id="rId2168" ref="B724"/>
    <hyperlink r:id="rId2169" ref="C724"/>
    <hyperlink r:id="rId2170" ref="AN724"/>
    <hyperlink r:id="rId2171" ref="B725"/>
    <hyperlink r:id="rId2172" ref="C725"/>
    <hyperlink r:id="rId2173" ref="AN725"/>
    <hyperlink r:id="rId2174" ref="B726"/>
    <hyperlink r:id="rId2175" ref="C726"/>
    <hyperlink r:id="rId2176" ref="AN726"/>
    <hyperlink r:id="rId2177" ref="B727"/>
    <hyperlink r:id="rId2178" ref="C727"/>
    <hyperlink r:id="rId2179" ref="AN727"/>
    <hyperlink r:id="rId2180" ref="B728"/>
    <hyperlink r:id="rId2181" ref="C728"/>
    <hyperlink r:id="rId2182" ref="AN728"/>
    <hyperlink r:id="rId2183" ref="B729"/>
    <hyperlink r:id="rId2184" ref="C729"/>
    <hyperlink r:id="rId2185" ref="AN729"/>
    <hyperlink r:id="rId2186" ref="B730"/>
    <hyperlink r:id="rId2187" ref="C730"/>
    <hyperlink r:id="rId2188" ref="AN730"/>
    <hyperlink r:id="rId2189" ref="B731"/>
    <hyperlink r:id="rId2190" ref="C731"/>
    <hyperlink r:id="rId2191" ref="AN731"/>
    <hyperlink r:id="rId2192" ref="B732"/>
    <hyperlink r:id="rId2193" ref="C732"/>
    <hyperlink r:id="rId2194" ref="AN732"/>
    <hyperlink r:id="rId2195" ref="B733"/>
    <hyperlink r:id="rId2196" ref="C733"/>
    <hyperlink r:id="rId2197" ref="AN733"/>
    <hyperlink r:id="rId2198" ref="B734"/>
    <hyperlink r:id="rId2199" ref="C734"/>
    <hyperlink r:id="rId2200" ref="AN734"/>
    <hyperlink r:id="rId2201" ref="B735"/>
    <hyperlink r:id="rId2202" ref="C735"/>
    <hyperlink r:id="rId2203" ref="AN735"/>
    <hyperlink r:id="rId2204" ref="B736"/>
    <hyperlink r:id="rId2205" ref="C736"/>
    <hyperlink r:id="rId2206" ref="AN736"/>
    <hyperlink r:id="rId2207" ref="B737"/>
    <hyperlink r:id="rId2208" ref="C737"/>
    <hyperlink r:id="rId2209" ref="AN737"/>
    <hyperlink r:id="rId2210" ref="B738"/>
    <hyperlink r:id="rId2211" ref="C738"/>
    <hyperlink r:id="rId2212" ref="AN738"/>
    <hyperlink r:id="rId2213" ref="B739"/>
    <hyperlink r:id="rId2214" ref="C739"/>
    <hyperlink r:id="rId2215" ref="AN739"/>
    <hyperlink r:id="rId2216" ref="B740"/>
    <hyperlink r:id="rId2217" ref="C740"/>
    <hyperlink r:id="rId2218" ref="AN740"/>
    <hyperlink r:id="rId2219" ref="B741"/>
    <hyperlink r:id="rId2220" ref="C741"/>
    <hyperlink r:id="rId2221" ref="AN741"/>
    <hyperlink r:id="rId2222" ref="B742"/>
    <hyperlink r:id="rId2223" ref="C742"/>
    <hyperlink r:id="rId2224" ref="AN742"/>
    <hyperlink r:id="rId2225" ref="B743"/>
    <hyperlink r:id="rId2226" ref="C743"/>
    <hyperlink r:id="rId2227" ref="AN743"/>
    <hyperlink r:id="rId2228" ref="B744"/>
    <hyperlink r:id="rId2229" ref="C744"/>
    <hyperlink r:id="rId2230" ref="AN744"/>
    <hyperlink r:id="rId2231" ref="B745"/>
    <hyperlink r:id="rId2232" ref="C745"/>
    <hyperlink r:id="rId2233" ref="AN745"/>
    <hyperlink r:id="rId2234" ref="B746"/>
    <hyperlink r:id="rId2235" ref="C746"/>
    <hyperlink r:id="rId2236" ref="AN746"/>
    <hyperlink r:id="rId2237" ref="B747"/>
    <hyperlink r:id="rId2238" ref="C747"/>
    <hyperlink r:id="rId2239" ref="AN747"/>
    <hyperlink r:id="rId2240" ref="B748"/>
    <hyperlink r:id="rId2241" ref="C748"/>
    <hyperlink r:id="rId2242" ref="AN748"/>
    <hyperlink r:id="rId2243" ref="B749"/>
    <hyperlink r:id="rId2244" ref="C749"/>
    <hyperlink r:id="rId2245" ref="AN749"/>
    <hyperlink r:id="rId2246" ref="B750"/>
    <hyperlink r:id="rId2247" ref="C750"/>
    <hyperlink r:id="rId2248" ref="AN750"/>
    <hyperlink r:id="rId2249" ref="B751"/>
    <hyperlink r:id="rId2250" ref="C751"/>
    <hyperlink r:id="rId2251" ref="AN751"/>
    <hyperlink r:id="rId2252" ref="B752"/>
    <hyperlink r:id="rId2253" ref="C752"/>
    <hyperlink r:id="rId2254" ref="AN752"/>
    <hyperlink r:id="rId2255" ref="B753"/>
    <hyperlink r:id="rId2256" ref="C753"/>
    <hyperlink r:id="rId2257" ref="AN753"/>
    <hyperlink r:id="rId2258" ref="B754"/>
    <hyperlink r:id="rId2259" ref="C754"/>
    <hyperlink r:id="rId2260" ref="AN754"/>
    <hyperlink r:id="rId2261" ref="B755"/>
    <hyperlink r:id="rId2262" ref="C755"/>
    <hyperlink r:id="rId2263" ref="AN755"/>
    <hyperlink r:id="rId2264" ref="B756"/>
    <hyperlink r:id="rId2265" ref="C756"/>
    <hyperlink r:id="rId2266" ref="AN756"/>
    <hyperlink r:id="rId2267" ref="B757"/>
    <hyperlink r:id="rId2268" ref="C757"/>
    <hyperlink r:id="rId2269" ref="AN757"/>
    <hyperlink r:id="rId2270" ref="B758"/>
    <hyperlink r:id="rId2271" ref="C758"/>
    <hyperlink r:id="rId2272" ref="AN758"/>
    <hyperlink r:id="rId2273" ref="B759"/>
    <hyperlink r:id="rId2274" ref="C759"/>
    <hyperlink r:id="rId2275" ref="AN759"/>
    <hyperlink r:id="rId2276" ref="B760"/>
    <hyperlink r:id="rId2277" ref="C760"/>
    <hyperlink r:id="rId2278" ref="AN760"/>
    <hyperlink r:id="rId2279" ref="B761"/>
    <hyperlink r:id="rId2280" ref="C761"/>
    <hyperlink r:id="rId2281" ref="AN761"/>
    <hyperlink r:id="rId2282" ref="B762"/>
    <hyperlink r:id="rId2283" ref="C762"/>
    <hyperlink r:id="rId2284" ref="AN762"/>
    <hyperlink r:id="rId2285" ref="B763"/>
    <hyperlink r:id="rId2286" ref="C763"/>
    <hyperlink r:id="rId2287" ref="AN763"/>
    <hyperlink r:id="rId2288" ref="B764"/>
    <hyperlink r:id="rId2289" ref="C764"/>
    <hyperlink r:id="rId2290" ref="AN764"/>
    <hyperlink r:id="rId2291" ref="B765"/>
    <hyperlink r:id="rId2292" ref="C765"/>
    <hyperlink r:id="rId2293" ref="AN765"/>
    <hyperlink r:id="rId2294" ref="B766"/>
    <hyperlink r:id="rId2295" ref="C766"/>
    <hyperlink r:id="rId2296" ref="AN766"/>
    <hyperlink r:id="rId2297" ref="B767"/>
    <hyperlink r:id="rId2298" ref="C767"/>
    <hyperlink r:id="rId2299" ref="AN767"/>
    <hyperlink r:id="rId2300" ref="B768"/>
    <hyperlink r:id="rId2301" ref="C768"/>
    <hyperlink r:id="rId2302" ref="AN768"/>
    <hyperlink r:id="rId2303" ref="B769"/>
    <hyperlink r:id="rId2304" ref="C769"/>
    <hyperlink r:id="rId2305" ref="AN769"/>
    <hyperlink r:id="rId2306" ref="B770"/>
    <hyperlink r:id="rId2307" ref="C770"/>
    <hyperlink r:id="rId2308" ref="AN770"/>
    <hyperlink r:id="rId2309" ref="B771"/>
    <hyperlink r:id="rId2310" ref="C771"/>
    <hyperlink r:id="rId2311" ref="AN771"/>
    <hyperlink r:id="rId2312" ref="B772"/>
    <hyperlink r:id="rId2313" ref="C772"/>
    <hyperlink r:id="rId2314" ref="AN772"/>
    <hyperlink r:id="rId2315" ref="B773"/>
    <hyperlink r:id="rId2316" ref="C773"/>
    <hyperlink r:id="rId2317" ref="AN773"/>
    <hyperlink r:id="rId2318" ref="B774"/>
    <hyperlink r:id="rId2319" ref="C774"/>
    <hyperlink r:id="rId2320" ref="AN774"/>
    <hyperlink r:id="rId2321" ref="B775"/>
    <hyperlink r:id="rId2322" ref="C775"/>
    <hyperlink r:id="rId2323" ref="AN775"/>
    <hyperlink r:id="rId2324" ref="B776"/>
    <hyperlink r:id="rId2325" ref="C776"/>
    <hyperlink r:id="rId2326" ref="AN776"/>
    <hyperlink r:id="rId2327" ref="B777"/>
    <hyperlink r:id="rId2328" ref="C777"/>
    <hyperlink r:id="rId2329" ref="AN777"/>
    <hyperlink r:id="rId2330" ref="B778"/>
    <hyperlink r:id="rId2331" ref="C778"/>
    <hyperlink r:id="rId2332" ref="AN778"/>
    <hyperlink r:id="rId2333" ref="B779"/>
    <hyperlink r:id="rId2334" ref="C779"/>
    <hyperlink r:id="rId2335" ref="AN779"/>
    <hyperlink r:id="rId2336" ref="B780"/>
    <hyperlink r:id="rId2337" ref="C780"/>
    <hyperlink r:id="rId2338" ref="AN780"/>
    <hyperlink r:id="rId2339" ref="B781"/>
    <hyperlink r:id="rId2340" ref="C781"/>
    <hyperlink r:id="rId2341" ref="AN781"/>
    <hyperlink r:id="rId2342" ref="B782"/>
    <hyperlink r:id="rId2343" ref="C782"/>
    <hyperlink r:id="rId2344" ref="AN782"/>
    <hyperlink r:id="rId2345" ref="B783"/>
    <hyperlink r:id="rId2346" ref="C783"/>
    <hyperlink r:id="rId2347" ref="AN783"/>
    <hyperlink r:id="rId2348" ref="B784"/>
    <hyperlink r:id="rId2349" ref="C784"/>
    <hyperlink r:id="rId2350" ref="AN784"/>
    <hyperlink r:id="rId2351" ref="B785"/>
    <hyperlink r:id="rId2352" ref="C785"/>
    <hyperlink r:id="rId2353" ref="AN785"/>
    <hyperlink r:id="rId2354" ref="B786"/>
    <hyperlink r:id="rId2355" ref="C786"/>
    <hyperlink r:id="rId2356" ref="AN786"/>
    <hyperlink r:id="rId2357" ref="B787"/>
    <hyperlink r:id="rId2358" ref="C787"/>
    <hyperlink r:id="rId2359" ref="AN787"/>
    <hyperlink r:id="rId2360" ref="B788"/>
    <hyperlink r:id="rId2361" ref="C788"/>
    <hyperlink r:id="rId2362" ref="AN788"/>
    <hyperlink r:id="rId2363" ref="B789"/>
    <hyperlink r:id="rId2364" ref="C789"/>
    <hyperlink r:id="rId2365" ref="AN789"/>
    <hyperlink r:id="rId2366" ref="B790"/>
    <hyperlink r:id="rId2367" ref="C790"/>
    <hyperlink r:id="rId2368" ref="AN790"/>
    <hyperlink r:id="rId2369" ref="B791"/>
    <hyperlink r:id="rId2370" ref="C791"/>
    <hyperlink r:id="rId2371" ref="AN791"/>
    <hyperlink r:id="rId2372" ref="B792"/>
    <hyperlink r:id="rId2373" ref="C792"/>
    <hyperlink r:id="rId2374" ref="AN792"/>
    <hyperlink r:id="rId2375" ref="B793"/>
    <hyperlink r:id="rId2376" ref="C793"/>
    <hyperlink r:id="rId2377" ref="AN793"/>
    <hyperlink r:id="rId2378" ref="B794"/>
    <hyperlink r:id="rId2379" ref="C794"/>
    <hyperlink r:id="rId2380" ref="AN794"/>
    <hyperlink r:id="rId2381" ref="B795"/>
    <hyperlink r:id="rId2382" ref="C795"/>
    <hyperlink r:id="rId2383" ref="AN795"/>
    <hyperlink r:id="rId2384" ref="B796"/>
    <hyperlink r:id="rId2385" ref="C796"/>
    <hyperlink r:id="rId2386" ref="AN796"/>
    <hyperlink r:id="rId2387" ref="B797"/>
    <hyperlink r:id="rId2388" ref="C797"/>
    <hyperlink r:id="rId2389" ref="AN797"/>
    <hyperlink r:id="rId2390" ref="B798"/>
    <hyperlink r:id="rId2391" ref="C798"/>
    <hyperlink r:id="rId2392" ref="AN798"/>
    <hyperlink r:id="rId2393" ref="B799"/>
    <hyperlink r:id="rId2394" ref="C799"/>
    <hyperlink r:id="rId2395" ref="AN799"/>
    <hyperlink r:id="rId2396" ref="B800"/>
    <hyperlink r:id="rId2397" ref="C800"/>
    <hyperlink r:id="rId2398" ref="AN800"/>
    <hyperlink r:id="rId2399" ref="B801"/>
    <hyperlink r:id="rId2400" ref="C801"/>
    <hyperlink r:id="rId2401" ref="AN801"/>
    <hyperlink r:id="rId2402" ref="B802"/>
    <hyperlink r:id="rId2403" ref="C802"/>
    <hyperlink r:id="rId2404" ref="AN802"/>
    <hyperlink r:id="rId2405" ref="B803"/>
    <hyperlink r:id="rId2406" ref="C803"/>
    <hyperlink r:id="rId2407" ref="AN803"/>
    <hyperlink r:id="rId2408" ref="B804"/>
    <hyperlink r:id="rId2409" ref="C804"/>
    <hyperlink r:id="rId2410" ref="AN804"/>
    <hyperlink r:id="rId2411" ref="B805"/>
    <hyperlink r:id="rId2412" ref="C805"/>
    <hyperlink r:id="rId2413" ref="AN805"/>
    <hyperlink r:id="rId2414" ref="B806"/>
    <hyperlink r:id="rId2415" ref="C806"/>
    <hyperlink r:id="rId2416" ref="AN806"/>
    <hyperlink r:id="rId2417" ref="B807"/>
    <hyperlink r:id="rId2418" ref="C807"/>
    <hyperlink r:id="rId2419" ref="AN807"/>
    <hyperlink r:id="rId2420" ref="B808"/>
    <hyperlink r:id="rId2421" ref="C808"/>
    <hyperlink r:id="rId2422" ref="AN808"/>
    <hyperlink r:id="rId2423" ref="B809"/>
    <hyperlink r:id="rId2424" ref="C809"/>
    <hyperlink r:id="rId2425" ref="AN809"/>
    <hyperlink r:id="rId2426" ref="B810"/>
    <hyperlink r:id="rId2427" ref="C810"/>
    <hyperlink r:id="rId2428" ref="AN810"/>
    <hyperlink r:id="rId2429" ref="B811"/>
    <hyperlink r:id="rId2430" ref="C811"/>
    <hyperlink r:id="rId2431" ref="AN811"/>
    <hyperlink r:id="rId2432" ref="B812"/>
    <hyperlink r:id="rId2433" ref="C812"/>
    <hyperlink r:id="rId2434" ref="AN812"/>
    <hyperlink r:id="rId2435" ref="B813"/>
    <hyperlink r:id="rId2436" ref="C813"/>
    <hyperlink r:id="rId2437" ref="AN813"/>
    <hyperlink r:id="rId2438" ref="B814"/>
    <hyperlink r:id="rId2439" ref="C814"/>
    <hyperlink r:id="rId2440" ref="AN814"/>
    <hyperlink r:id="rId2441" ref="B815"/>
    <hyperlink r:id="rId2442" ref="C815"/>
    <hyperlink r:id="rId2443" ref="AN815"/>
    <hyperlink r:id="rId2444" ref="B816"/>
    <hyperlink r:id="rId2445" ref="C816"/>
    <hyperlink r:id="rId2446" ref="AN816"/>
    <hyperlink r:id="rId2447" ref="B817"/>
    <hyperlink r:id="rId2448" ref="C817"/>
    <hyperlink r:id="rId2449" ref="AN817"/>
    <hyperlink r:id="rId2450" ref="B818"/>
    <hyperlink r:id="rId2451" ref="C818"/>
    <hyperlink r:id="rId2452" ref="AN818"/>
    <hyperlink r:id="rId2453" ref="B819"/>
    <hyperlink r:id="rId2454" ref="C819"/>
    <hyperlink r:id="rId2455" ref="AN819"/>
    <hyperlink r:id="rId2456" ref="B820"/>
    <hyperlink r:id="rId2457" ref="C820"/>
    <hyperlink r:id="rId2458" ref="AN820"/>
    <hyperlink r:id="rId2459" ref="B821"/>
    <hyperlink r:id="rId2460" ref="C821"/>
    <hyperlink r:id="rId2461" ref="AN821"/>
    <hyperlink r:id="rId2462" ref="B822"/>
    <hyperlink r:id="rId2463" ref="C822"/>
    <hyperlink r:id="rId2464" ref="AN822"/>
    <hyperlink r:id="rId2465" ref="B823"/>
    <hyperlink r:id="rId2466" ref="C823"/>
    <hyperlink r:id="rId2467" ref="AN823"/>
    <hyperlink r:id="rId2468" ref="B824"/>
    <hyperlink r:id="rId2469" ref="C824"/>
    <hyperlink r:id="rId2470" ref="AN824"/>
    <hyperlink r:id="rId2471" ref="B825"/>
    <hyperlink r:id="rId2472" ref="C825"/>
    <hyperlink r:id="rId2473" ref="AN825"/>
    <hyperlink r:id="rId2474" ref="B826"/>
    <hyperlink r:id="rId2475" ref="C826"/>
    <hyperlink r:id="rId2476" ref="AN826"/>
    <hyperlink r:id="rId2477" ref="B827"/>
    <hyperlink r:id="rId2478" ref="C827"/>
    <hyperlink r:id="rId2479" ref="AN827"/>
    <hyperlink r:id="rId2480" ref="B828"/>
    <hyperlink r:id="rId2481" ref="C828"/>
    <hyperlink r:id="rId2482" ref="AN828"/>
    <hyperlink r:id="rId2483" ref="B829"/>
    <hyperlink r:id="rId2484" ref="C829"/>
    <hyperlink r:id="rId2485" ref="AN829"/>
    <hyperlink r:id="rId2486" ref="B830"/>
    <hyperlink r:id="rId2487" ref="C830"/>
    <hyperlink r:id="rId2488" ref="AN830"/>
    <hyperlink r:id="rId2489" ref="B831"/>
    <hyperlink r:id="rId2490" ref="C831"/>
    <hyperlink r:id="rId2491" ref="AN831"/>
    <hyperlink r:id="rId2492" ref="B832"/>
    <hyperlink r:id="rId2493" ref="C832"/>
    <hyperlink r:id="rId2494" ref="AN832"/>
    <hyperlink r:id="rId2495" ref="B833"/>
    <hyperlink r:id="rId2496" ref="C833"/>
    <hyperlink r:id="rId2497" ref="AN833"/>
    <hyperlink r:id="rId2498" ref="B834"/>
    <hyperlink r:id="rId2499" ref="C834"/>
    <hyperlink r:id="rId2500" ref="AN834"/>
    <hyperlink r:id="rId2501" ref="B835"/>
    <hyperlink r:id="rId2502" ref="C835"/>
    <hyperlink r:id="rId2503" ref="AN835"/>
    <hyperlink r:id="rId2504" ref="B836"/>
    <hyperlink r:id="rId2505" ref="C836"/>
    <hyperlink r:id="rId2506" ref="AN836"/>
    <hyperlink r:id="rId2507" ref="B837"/>
    <hyperlink r:id="rId2508" ref="C837"/>
    <hyperlink r:id="rId2509" ref="AN837"/>
    <hyperlink r:id="rId2510" ref="B838"/>
    <hyperlink r:id="rId2511" ref="C838"/>
    <hyperlink r:id="rId2512" ref="AN838"/>
    <hyperlink r:id="rId2513" ref="B839"/>
    <hyperlink r:id="rId2514" ref="C839"/>
    <hyperlink r:id="rId2515" ref="AN839"/>
    <hyperlink r:id="rId2516" ref="B840"/>
    <hyperlink r:id="rId2517" ref="C840"/>
    <hyperlink r:id="rId2518" ref="AN840"/>
    <hyperlink r:id="rId2519" ref="B841"/>
    <hyperlink r:id="rId2520" ref="C841"/>
    <hyperlink r:id="rId2521" ref="AN841"/>
    <hyperlink r:id="rId2522" ref="B842"/>
    <hyperlink r:id="rId2523" ref="C842"/>
    <hyperlink r:id="rId2524" ref="AN842"/>
    <hyperlink r:id="rId2525" ref="B843"/>
    <hyperlink r:id="rId2526" ref="C843"/>
    <hyperlink r:id="rId2527" ref="AN843"/>
    <hyperlink r:id="rId2528" ref="B844"/>
    <hyperlink r:id="rId2529" ref="C844"/>
    <hyperlink r:id="rId2530" ref="AN844"/>
    <hyperlink r:id="rId2531" ref="B845"/>
    <hyperlink r:id="rId2532" ref="C845"/>
    <hyperlink r:id="rId2533" ref="AN845"/>
    <hyperlink r:id="rId2534" ref="B846"/>
    <hyperlink r:id="rId2535" ref="C846"/>
    <hyperlink r:id="rId2536" ref="AN846"/>
    <hyperlink r:id="rId2537" ref="B847"/>
    <hyperlink r:id="rId2538" ref="C847"/>
    <hyperlink r:id="rId2539" ref="AN847"/>
    <hyperlink r:id="rId2540" ref="B848"/>
    <hyperlink r:id="rId2541" ref="C848"/>
    <hyperlink r:id="rId2542" ref="AN848"/>
    <hyperlink r:id="rId2543" ref="B849"/>
    <hyperlink r:id="rId2544" ref="C849"/>
    <hyperlink r:id="rId2545" ref="AN849"/>
    <hyperlink r:id="rId2546" ref="B850"/>
    <hyperlink r:id="rId2547" ref="C850"/>
    <hyperlink r:id="rId2548" ref="AN850"/>
    <hyperlink r:id="rId2549" ref="B851"/>
    <hyperlink r:id="rId2550" ref="C851"/>
    <hyperlink r:id="rId2551" ref="AN851"/>
    <hyperlink r:id="rId2552" ref="B852"/>
    <hyperlink r:id="rId2553" ref="C852"/>
    <hyperlink r:id="rId2554" ref="AN852"/>
    <hyperlink r:id="rId2555" ref="B853"/>
    <hyperlink r:id="rId2556" ref="C853"/>
    <hyperlink r:id="rId2557" ref="AN853"/>
    <hyperlink r:id="rId2558" ref="B854"/>
    <hyperlink r:id="rId2559" ref="C854"/>
    <hyperlink r:id="rId2560" ref="AN854"/>
    <hyperlink r:id="rId2561" ref="B855"/>
    <hyperlink r:id="rId2562" ref="C855"/>
    <hyperlink r:id="rId2563" ref="AN855"/>
    <hyperlink r:id="rId2564" ref="B856"/>
    <hyperlink r:id="rId2565" ref="C856"/>
    <hyperlink r:id="rId2566" ref="AN856"/>
    <hyperlink r:id="rId2567" ref="B857"/>
    <hyperlink r:id="rId2568" ref="C857"/>
    <hyperlink r:id="rId2569" ref="AN857"/>
    <hyperlink r:id="rId2570" ref="B858"/>
    <hyperlink r:id="rId2571" ref="C858"/>
    <hyperlink r:id="rId2572" ref="AN858"/>
    <hyperlink r:id="rId2573" ref="B859"/>
    <hyperlink r:id="rId2574" ref="C859"/>
    <hyperlink r:id="rId2575" ref="AN859"/>
    <hyperlink r:id="rId2576" ref="B860"/>
    <hyperlink r:id="rId2577" ref="C860"/>
    <hyperlink r:id="rId2578" ref="AN860"/>
    <hyperlink r:id="rId2579" ref="B861"/>
    <hyperlink r:id="rId2580" ref="C861"/>
    <hyperlink r:id="rId2581" ref="AN861"/>
    <hyperlink r:id="rId2582" ref="B862"/>
    <hyperlink r:id="rId2583" ref="C862"/>
    <hyperlink r:id="rId2584" ref="AN862"/>
    <hyperlink r:id="rId2585" ref="B863"/>
    <hyperlink r:id="rId2586" ref="C863"/>
    <hyperlink r:id="rId2587" ref="AN863"/>
    <hyperlink r:id="rId2588" ref="B864"/>
    <hyperlink r:id="rId2589" ref="C864"/>
    <hyperlink r:id="rId2590" ref="AN864"/>
    <hyperlink r:id="rId2591" ref="B865"/>
    <hyperlink r:id="rId2592" ref="C865"/>
    <hyperlink r:id="rId2593" ref="AN865"/>
    <hyperlink r:id="rId2594" ref="B866"/>
    <hyperlink r:id="rId2595" ref="C866"/>
    <hyperlink r:id="rId2596" ref="AN866"/>
    <hyperlink r:id="rId2597" ref="B867"/>
    <hyperlink r:id="rId2598" ref="C867"/>
    <hyperlink r:id="rId2599" ref="AN867"/>
    <hyperlink r:id="rId2600" ref="B868"/>
    <hyperlink r:id="rId2601" ref="C868"/>
    <hyperlink r:id="rId2602" ref="AN868"/>
    <hyperlink r:id="rId2603" ref="B869"/>
    <hyperlink r:id="rId2604" ref="C869"/>
    <hyperlink r:id="rId2605" ref="AN869"/>
    <hyperlink r:id="rId2606" ref="B870"/>
    <hyperlink r:id="rId2607" ref="C870"/>
    <hyperlink r:id="rId2608" ref="AN870"/>
    <hyperlink r:id="rId2609" ref="B871"/>
    <hyperlink r:id="rId2610" ref="C871"/>
    <hyperlink r:id="rId2611" ref="AN871"/>
    <hyperlink r:id="rId2612" ref="B872"/>
    <hyperlink r:id="rId2613" ref="C872"/>
    <hyperlink r:id="rId2614" ref="AN872"/>
    <hyperlink r:id="rId2615" ref="B873"/>
    <hyperlink r:id="rId2616" ref="C873"/>
    <hyperlink r:id="rId2617" ref="AN873"/>
    <hyperlink r:id="rId2618" ref="B874"/>
    <hyperlink r:id="rId2619" ref="C874"/>
    <hyperlink r:id="rId2620" ref="AN874"/>
    <hyperlink r:id="rId2621" ref="B875"/>
    <hyperlink r:id="rId2622" ref="C875"/>
    <hyperlink r:id="rId2623" ref="AN875"/>
    <hyperlink r:id="rId2624" ref="B876"/>
    <hyperlink r:id="rId2625" ref="C876"/>
    <hyperlink r:id="rId2626" ref="AN876"/>
    <hyperlink r:id="rId2627" ref="B877"/>
    <hyperlink r:id="rId2628" ref="C877"/>
    <hyperlink r:id="rId2629" ref="AN877"/>
    <hyperlink r:id="rId2630" ref="B878"/>
    <hyperlink r:id="rId2631" ref="C878"/>
    <hyperlink r:id="rId2632" ref="AN878"/>
    <hyperlink r:id="rId2633" ref="B879"/>
    <hyperlink r:id="rId2634" ref="C879"/>
    <hyperlink r:id="rId2635" ref="AN879"/>
    <hyperlink r:id="rId2636" ref="B880"/>
    <hyperlink r:id="rId2637" ref="C880"/>
    <hyperlink r:id="rId2638" ref="AN880"/>
    <hyperlink r:id="rId2639" ref="B881"/>
    <hyperlink r:id="rId2640" ref="C881"/>
    <hyperlink r:id="rId2641" ref="AN881"/>
    <hyperlink r:id="rId2642" ref="B882"/>
    <hyperlink r:id="rId2643" ref="C882"/>
    <hyperlink r:id="rId2644" ref="AN882"/>
    <hyperlink r:id="rId2645" ref="B883"/>
    <hyperlink r:id="rId2646" ref="C883"/>
    <hyperlink r:id="rId2647" ref="AN883"/>
    <hyperlink r:id="rId2648" ref="B884"/>
    <hyperlink r:id="rId2649" ref="C884"/>
    <hyperlink r:id="rId2650" ref="AN884"/>
    <hyperlink r:id="rId2651" ref="B885"/>
    <hyperlink r:id="rId2652" ref="C885"/>
    <hyperlink r:id="rId2653" ref="AN885"/>
    <hyperlink r:id="rId2654" ref="B886"/>
    <hyperlink r:id="rId2655" ref="C886"/>
    <hyperlink r:id="rId2656" ref="AN886"/>
    <hyperlink r:id="rId2657" ref="B887"/>
    <hyperlink r:id="rId2658" ref="C887"/>
    <hyperlink r:id="rId2659" ref="AN887"/>
    <hyperlink r:id="rId2660" ref="B888"/>
    <hyperlink r:id="rId2661" ref="C888"/>
    <hyperlink r:id="rId2662" ref="AN888"/>
    <hyperlink r:id="rId2663" ref="B889"/>
    <hyperlink r:id="rId2664" ref="C889"/>
    <hyperlink r:id="rId2665" ref="AN889"/>
    <hyperlink r:id="rId2666" ref="B890"/>
    <hyperlink r:id="rId2667" ref="C890"/>
    <hyperlink r:id="rId2668" ref="AN890"/>
    <hyperlink r:id="rId2669" ref="B891"/>
    <hyperlink r:id="rId2670" ref="C891"/>
    <hyperlink r:id="rId2671" ref="AN891"/>
    <hyperlink r:id="rId2672" ref="B892"/>
    <hyperlink r:id="rId2673" ref="C892"/>
    <hyperlink r:id="rId2674" ref="AN892"/>
    <hyperlink r:id="rId2675" ref="B893"/>
    <hyperlink r:id="rId2676" ref="C893"/>
    <hyperlink r:id="rId2677" ref="AN893"/>
    <hyperlink r:id="rId2678" ref="B894"/>
    <hyperlink r:id="rId2679" ref="C894"/>
    <hyperlink r:id="rId2680" ref="AN894"/>
    <hyperlink r:id="rId2681" ref="B895"/>
    <hyperlink r:id="rId2682" ref="C895"/>
    <hyperlink r:id="rId2683" ref="AN895"/>
    <hyperlink r:id="rId2684" ref="B896"/>
    <hyperlink r:id="rId2685" ref="C896"/>
    <hyperlink r:id="rId2686" ref="AN896"/>
    <hyperlink r:id="rId2687" ref="B897"/>
    <hyperlink r:id="rId2688" ref="C897"/>
    <hyperlink r:id="rId2689" ref="AN897"/>
    <hyperlink r:id="rId2690" ref="B898"/>
    <hyperlink r:id="rId2691" ref="C898"/>
    <hyperlink r:id="rId2692" ref="AN898"/>
    <hyperlink r:id="rId2693" ref="B899"/>
    <hyperlink r:id="rId2694" ref="C899"/>
    <hyperlink r:id="rId2695" ref="AN899"/>
    <hyperlink r:id="rId2696" ref="B900"/>
    <hyperlink r:id="rId2697" ref="C900"/>
    <hyperlink r:id="rId2698" ref="AN900"/>
    <hyperlink r:id="rId2699" ref="B901"/>
    <hyperlink r:id="rId2700" ref="C901"/>
    <hyperlink r:id="rId2701" ref="AN901"/>
    <hyperlink r:id="rId2702" ref="B902"/>
    <hyperlink r:id="rId2703" ref="C902"/>
    <hyperlink r:id="rId2704" ref="AN902"/>
    <hyperlink r:id="rId2705" ref="B903"/>
    <hyperlink r:id="rId2706" ref="C903"/>
    <hyperlink r:id="rId2707" ref="AN903"/>
    <hyperlink r:id="rId2708" ref="B904"/>
    <hyperlink r:id="rId2709" ref="C904"/>
    <hyperlink r:id="rId2710" ref="AN904"/>
    <hyperlink r:id="rId2711" ref="B905"/>
    <hyperlink r:id="rId2712" ref="C905"/>
    <hyperlink r:id="rId2713" ref="AN905"/>
    <hyperlink r:id="rId2714" ref="B906"/>
    <hyperlink r:id="rId2715" ref="C906"/>
    <hyperlink r:id="rId2716" ref="AN906"/>
    <hyperlink r:id="rId2717" ref="B907"/>
    <hyperlink r:id="rId2718" ref="C907"/>
    <hyperlink r:id="rId2719" ref="AN907"/>
    <hyperlink r:id="rId2720" ref="B908"/>
    <hyperlink r:id="rId2721" ref="C908"/>
    <hyperlink r:id="rId2722" ref="AN908"/>
    <hyperlink r:id="rId2723" ref="B909"/>
    <hyperlink r:id="rId2724" ref="C909"/>
    <hyperlink r:id="rId2725" ref="AN909"/>
    <hyperlink r:id="rId2726" ref="B910"/>
    <hyperlink r:id="rId2727" ref="C910"/>
    <hyperlink r:id="rId2728" ref="AN910"/>
    <hyperlink r:id="rId2729" ref="B911"/>
    <hyperlink r:id="rId2730" ref="C911"/>
    <hyperlink r:id="rId2731" ref="AN911"/>
    <hyperlink r:id="rId2732" ref="B912"/>
    <hyperlink r:id="rId2733" ref="C912"/>
    <hyperlink r:id="rId2734" ref="AN912"/>
    <hyperlink r:id="rId2735" ref="B913"/>
    <hyperlink r:id="rId2736" ref="C913"/>
    <hyperlink r:id="rId2737" ref="AN913"/>
    <hyperlink r:id="rId2738" ref="B914"/>
    <hyperlink r:id="rId2739" ref="C914"/>
    <hyperlink r:id="rId2740" ref="AN914"/>
    <hyperlink r:id="rId2741" ref="B915"/>
    <hyperlink r:id="rId2742" ref="C915"/>
    <hyperlink r:id="rId2743" ref="AN915"/>
    <hyperlink r:id="rId2744" ref="B916"/>
    <hyperlink r:id="rId2745" ref="C916"/>
    <hyperlink r:id="rId2746" ref="AN916"/>
    <hyperlink r:id="rId2747" ref="B917"/>
    <hyperlink r:id="rId2748" ref="C917"/>
    <hyperlink r:id="rId2749" ref="AN917"/>
    <hyperlink r:id="rId2750" ref="B918"/>
    <hyperlink r:id="rId2751" ref="C918"/>
    <hyperlink r:id="rId2752" ref="AN918"/>
    <hyperlink r:id="rId2753" ref="B919"/>
    <hyperlink r:id="rId2754" ref="C919"/>
    <hyperlink r:id="rId2755" ref="AN919"/>
    <hyperlink r:id="rId2756" ref="B920"/>
    <hyperlink r:id="rId2757" ref="C920"/>
    <hyperlink r:id="rId2758" ref="AN920"/>
    <hyperlink r:id="rId2759" ref="B921"/>
    <hyperlink r:id="rId2760" ref="C921"/>
    <hyperlink r:id="rId2761" ref="AN921"/>
    <hyperlink r:id="rId2762" ref="B922"/>
    <hyperlink r:id="rId2763" ref="C922"/>
    <hyperlink r:id="rId2764" ref="AN922"/>
    <hyperlink r:id="rId2765" ref="B923"/>
    <hyperlink r:id="rId2766" ref="C923"/>
    <hyperlink r:id="rId2767" ref="AN923"/>
    <hyperlink r:id="rId2768" ref="B924"/>
    <hyperlink r:id="rId2769" ref="C924"/>
    <hyperlink r:id="rId2770" ref="AN924"/>
    <hyperlink r:id="rId2771" ref="B925"/>
    <hyperlink r:id="rId2772" ref="C925"/>
    <hyperlink r:id="rId2773" ref="AN925"/>
    <hyperlink r:id="rId2774" ref="B926"/>
    <hyperlink r:id="rId2775" ref="C926"/>
    <hyperlink r:id="rId2776" ref="AN926"/>
    <hyperlink r:id="rId2777" ref="B927"/>
    <hyperlink r:id="rId2778" ref="C927"/>
    <hyperlink r:id="rId2779" ref="AN927"/>
    <hyperlink r:id="rId2780" ref="B928"/>
    <hyperlink r:id="rId2781" ref="C928"/>
    <hyperlink r:id="rId2782" ref="AN928"/>
    <hyperlink r:id="rId2783" ref="B929"/>
    <hyperlink r:id="rId2784" ref="C929"/>
    <hyperlink r:id="rId2785" ref="AN929"/>
    <hyperlink r:id="rId2786" ref="B930"/>
    <hyperlink r:id="rId2787" ref="C930"/>
    <hyperlink r:id="rId2788" ref="AN930"/>
    <hyperlink r:id="rId2789" ref="B931"/>
    <hyperlink r:id="rId2790" ref="C931"/>
    <hyperlink r:id="rId2791" ref="AN931"/>
    <hyperlink r:id="rId2792" ref="B932"/>
    <hyperlink r:id="rId2793" ref="C932"/>
    <hyperlink r:id="rId2794" ref="AN932"/>
    <hyperlink r:id="rId2795" ref="B933"/>
    <hyperlink r:id="rId2796" ref="C933"/>
    <hyperlink r:id="rId2797" ref="AN933"/>
    <hyperlink r:id="rId2798" ref="B934"/>
    <hyperlink r:id="rId2799" ref="C934"/>
    <hyperlink r:id="rId2800" ref="AN934"/>
    <hyperlink r:id="rId2801" ref="B935"/>
    <hyperlink r:id="rId2802" ref="C935"/>
    <hyperlink r:id="rId2803" ref="AN935"/>
    <hyperlink r:id="rId2804" ref="B936"/>
    <hyperlink r:id="rId2805" ref="C936"/>
    <hyperlink r:id="rId2806" ref="AN936"/>
    <hyperlink r:id="rId2807" ref="B937"/>
    <hyperlink r:id="rId2808" ref="C937"/>
    <hyperlink r:id="rId2809" ref="AN937"/>
    <hyperlink r:id="rId2810" ref="B938"/>
    <hyperlink r:id="rId2811" ref="C938"/>
    <hyperlink r:id="rId2812" ref="AN938"/>
    <hyperlink r:id="rId2813" ref="B939"/>
    <hyperlink r:id="rId2814" ref="C939"/>
    <hyperlink r:id="rId2815" ref="AN939"/>
    <hyperlink r:id="rId2816" ref="B940"/>
    <hyperlink r:id="rId2817" ref="C940"/>
    <hyperlink r:id="rId2818" ref="AN940"/>
    <hyperlink r:id="rId2819" ref="B941"/>
    <hyperlink r:id="rId2820" ref="C941"/>
    <hyperlink r:id="rId2821" ref="AN941"/>
    <hyperlink r:id="rId2822" ref="B942"/>
    <hyperlink r:id="rId2823" ref="C942"/>
    <hyperlink r:id="rId2824" ref="AN942"/>
    <hyperlink r:id="rId2825" ref="B943"/>
    <hyperlink r:id="rId2826" ref="C943"/>
    <hyperlink r:id="rId2827" ref="AN943"/>
    <hyperlink r:id="rId2828" ref="B944"/>
    <hyperlink r:id="rId2829" ref="C944"/>
    <hyperlink r:id="rId2830" ref="AN944"/>
    <hyperlink r:id="rId2831" ref="B945"/>
    <hyperlink r:id="rId2832" ref="C945"/>
    <hyperlink r:id="rId2833" ref="AN945"/>
    <hyperlink r:id="rId2834" ref="B946"/>
    <hyperlink r:id="rId2835" ref="C946"/>
    <hyperlink r:id="rId2836" ref="AN946"/>
    <hyperlink r:id="rId2837" ref="B947"/>
    <hyperlink r:id="rId2838" ref="C947"/>
    <hyperlink r:id="rId2839" ref="AN947"/>
    <hyperlink r:id="rId2840" ref="B948"/>
    <hyperlink r:id="rId2841" ref="C948"/>
    <hyperlink r:id="rId2842" ref="AN948"/>
    <hyperlink r:id="rId2843" ref="B949"/>
    <hyperlink r:id="rId2844" ref="C949"/>
    <hyperlink r:id="rId2845" ref="AN949"/>
    <hyperlink r:id="rId2846" ref="B950"/>
    <hyperlink r:id="rId2847" ref="C950"/>
    <hyperlink r:id="rId2848" ref="AN950"/>
    <hyperlink r:id="rId2849" ref="B951"/>
    <hyperlink r:id="rId2850" ref="C951"/>
    <hyperlink r:id="rId2851" ref="AN951"/>
    <hyperlink r:id="rId2852" ref="B952"/>
    <hyperlink r:id="rId2853" ref="C952"/>
    <hyperlink r:id="rId2854" ref="AN952"/>
    <hyperlink r:id="rId2855" ref="B953"/>
    <hyperlink r:id="rId2856" ref="C953"/>
    <hyperlink r:id="rId2857" ref="AN953"/>
    <hyperlink r:id="rId2858" ref="B954"/>
    <hyperlink r:id="rId2859" ref="C954"/>
    <hyperlink r:id="rId2860" ref="AN954"/>
    <hyperlink r:id="rId2861" ref="B955"/>
    <hyperlink r:id="rId2862" ref="C955"/>
    <hyperlink r:id="rId2863" ref="AN955"/>
    <hyperlink r:id="rId2864" ref="B956"/>
    <hyperlink r:id="rId2865" ref="C956"/>
    <hyperlink r:id="rId2866" ref="AN956"/>
    <hyperlink r:id="rId2867" ref="B957"/>
    <hyperlink r:id="rId2868" ref="C957"/>
    <hyperlink r:id="rId2869" ref="AN957"/>
    <hyperlink r:id="rId2870" ref="B958"/>
    <hyperlink r:id="rId2871" ref="C958"/>
    <hyperlink r:id="rId2872" ref="AN958"/>
    <hyperlink r:id="rId2873" ref="B959"/>
    <hyperlink r:id="rId2874" ref="C959"/>
    <hyperlink r:id="rId2875" ref="AN959"/>
    <hyperlink r:id="rId2876" ref="B960"/>
    <hyperlink r:id="rId2877" ref="C960"/>
    <hyperlink r:id="rId2878" ref="AN960"/>
    <hyperlink r:id="rId2879" ref="B961"/>
    <hyperlink r:id="rId2880" ref="C961"/>
    <hyperlink r:id="rId2881" ref="AN961"/>
    <hyperlink r:id="rId2882" ref="B962"/>
    <hyperlink r:id="rId2883" ref="C962"/>
    <hyperlink r:id="rId2884" ref="AN962"/>
    <hyperlink r:id="rId2885" ref="B963"/>
    <hyperlink r:id="rId2886" ref="C963"/>
    <hyperlink r:id="rId2887" ref="AN963"/>
    <hyperlink r:id="rId2888" ref="B964"/>
    <hyperlink r:id="rId2889" ref="C964"/>
    <hyperlink r:id="rId2890" ref="AN964"/>
    <hyperlink r:id="rId2891" ref="B965"/>
    <hyperlink r:id="rId2892" ref="C965"/>
    <hyperlink r:id="rId2893" ref="AN965"/>
    <hyperlink r:id="rId2894" ref="B966"/>
    <hyperlink r:id="rId2895" ref="C966"/>
    <hyperlink r:id="rId2896" ref="AN966"/>
    <hyperlink r:id="rId2897" ref="B967"/>
    <hyperlink r:id="rId2898" ref="C967"/>
    <hyperlink r:id="rId2899" ref="AN967"/>
    <hyperlink r:id="rId2900" ref="B968"/>
    <hyperlink r:id="rId2901" ref="C968"/>
    <hyperlink r:id="rId2902" ref="AN968"/>
    <hyperlink r:id="rId2903" ref="B969"/>
    <hyperlink r:id="rId2904" ref="C969"/>
    <hyperlink r:id="rId2905" ref="AN969"/>
    <hyperlink r:id="rId2906" ref="B970"/>
    <hyperlink r:id="rId2907" ref="C970"/>
    <hyperlink r:id="rId2908" ref="AN970"/>
    <hyperlink r:id="rId2909" ref="B971"/>
    <hyperlink r:id="rId2910" ref="C971"/>
    <hyperlink r:id="rId2911" ref="AN971"/>
    <hyperlink r:id="rId2912" ref="B972"/>
    <hyperlink r:id="rId2913" ref="C972"/>
    <hyperlink r:id="rId2914" ref="AN972"/>
    <hyperlink r:id="rId2915" ref="B973"/>
    <hyperlink r:id="rId2916" ref="C973"/>
    <hyperlink r:id="rId2917" ref="AN973"/>
    <hyperlink r:id="rId2918" ref="B974"/>
    <hyperlink r:id="rId2919" ref="C974"/>
    <hyperlink r:id="rId2920" ref="AN974"/>
    <hyperlink r:id="rId2921" ref="B975"/>
    <hyperlink r:id="rId2922" ref="C975"/>
    <hyperlink r:id="rId2923" ref="AN975"/>
    <hyperlink r:id="rId2924" ref="B976"/>
    <hyperlink r:id="rId2925" ref="C976"/>
    <hyperlink r:id="rId2926" ref="AN976"/>
    <hyperlink r:id="rId2927" ref="B977"/>
    <hyperlink r:id="rId2928" ref="C977"/>
    <hyperlink r:id="rId2929" ref="AN977"/>
    <hyperlink r:id="rId2930" ref="B978"/>
    <hyperlink r:id="rId2931" ref="C978"/>
    <hyperlink r:id="rId2932" ref="AN978"/>
    <hyperlink r:id="rId2933" ref="B979"/>
    <hyperlink r:id="rId2934" ref="C979"/>
    <hyperlink r:id="rId2935" ref="AN979"/>
    <hyperlink r:id="rId2936" ref="B980"/>
    <hyperlink r:id="rId2937" ref="C980"/>
    <hyperlink r:id="rId2938" ref="AN980"/>
    <hyperlink r:id="rId2939" ref="B981"/>
    <hyperlink r:id="rId2940" ref="C981"/>
    <hyperlink r:id="rId2941" ref="AN981"/>
    <hyperlink r:id="rId2942" ref="B982"/>
    <hyperlink r:id="rId2943" ref="C982"/>
    <hyperlink r:id="rId2944" ref="AN982"/>
    <hyperlink r:id="rId2945" ref="B983"/>
    <hyperlink r:id="rId2946" ref="C983"/>
    <hyperlink r:id="rId2947" ref="AN983"/>
    <hyperlink r:id="rId2948" ref="B984"/>
    <hyperlink r:id="rId2949" ref="C984"/>
    <hyperlink r:id="rId2950" ref="AN984"/>
    <hyperlink r:id="rId2951" ref="B985"/>
    <hyperlink r:id="rId2952" ref="C985"/>
    <hyperlink r:id="rId2953" ref="AN985"/>
    <hyperlink r:id="rId2954" ref="B986"/>
    <hyperlink r:id="rId2955" ref="C986"/>
    <hyperlink r:id="rId2956" ref="AN986"/>
    <hyperlink r:id="rId2957" ref="B987"/>
    <hyperlink r:id="rId2958" ref="C987"/>
    <hyperlink r:id="rId2959" ref="AN987"/>
    <hyperlink r:id="rId2960" ref="B988"/>
    <hyperlink r:id="rId2961" ref="C988"/>
    <hyperlink r:id="rId2962" ref="AN988"/>
    <hyperlink r:id="rId2963" ref="B989"/>
    <hyperlink r:id="rId2964" ref="C989"/>
    <hyperlink r:id="rId2965" ref="AN989"/>
    <hyperlink r:id="rId2966" ref="B990"/>
    <hyperlink r:id="rId2967" ref="C990"/>
    <hyperlink r:id="rId2968" ref="AN990"/>
    <hyperlink r:id="rId2969" ref="B991"/>
    <hyperlink r:id="rId2970" ref="C991"/>
    <hyperlink r:id="rId2971" ref="AN991"/>
    <hyperlink r:id="rId2972" ref="B992"/>
    <hyperlink r:id="rId2973" ref="C992"/>
    <hyperlink r:id="rId2974" ref="AN992"/>
    <hyperlink r:id="rId2975" ref="B993"/>
    <hyperlink r:id="rId2976" ref="C993"/>
    <hyperlink r:id="rId2977" ref="AN993"/>
    <hyperlink r:id="rId2978" ref="B994"/>
    <hyperlink r:id="rId2979" ref="C994"/>
    <hyperlink r:id="rId2980" ref="AN994"/>
    <hyperlink r:id="rId2981" ref="B995"/>
    <hyperlink r:id="rId2982" ref="C995"/>
    <hyperlink r:id="rId2983" ref="AN995"/>
    <hyperlink r:id="rId2984" ref="B996"/>
    <hyperlink r:id="rId2985" ref="C996"/>
    <hyperlink r:id="rId2986" ref="AN996"/>
    <hyperlink r:id="rId2987" ref="B997"/>
    <hyperlink r:id="rId2988" ref="C997"/>
    <hyperlink r:id="rId2989" ref="AN997"/>
    <hyperlink r:id="rId2990" ref="B998"/>
    <hyperlink r:id="rId2991" ref="C998"/>
    <hyperlink r:id="rId2992" ref="AN998"/>
    <hyperlink r:id="rId2993" ref="B999"/>
    <hyperlink r:id="rId2994" ref="C999"/>
    <hyperlink r:id="rId2995" ref="AN999"/>
    <hyperlink r:id="rId2996" ref="B1000"/>
    <hyperlink r:id="rId2997" ref="C1000"/>
    <hyperlink r:id="rId2998" ref="AN1000"/>
    <hyperlink r:id="rId2999" ref="B1001"/>
    <hyperlink r:id="rId3000" ref="C1001"/>
    <hyperlink r:id="rId3001" ref="AN1001"/>
    <hyperlink r:id="rId3002" ref="B1002"/>
    <hyperlink r:id="rId3003" ref="C1002"/>
    <hyperlink r:id="rId3004" ref="AN1002"/>
    <hyperlink r:id="rId3005" ref="B1003"/>
    <hyperlink r:id="rId3006" ref="C1003"/>
    <hyperlink r:id="rId3007" ref="AN1003"/>
    <hyperlink r:id="rId3008" ref="B1004"/>
    <hyperlink r:id="rId3009" ref="C1004"/>
    <hyperlink r:id="rId3010" ref="AN1004"/>
    <hyperlink r:id="rId3011" ref="B1005"/>
    <hyperlink r:id="rId3012" ref="C1005"/>
    <hyperlink r:id="rId3013" ref="AN1005"/>
    <hyperlink r:id="rId3014" ref="B1006"/>
    <hyperlink r:id="rId3015" ref="C1006"/>
    <hyperlink r:id="rId3016" ref="AN1006"/>
    <hyperlink r:id="rId3017" ref="B1007"/>
    <hyperlink r:id="rId3018" ref="C1007"/>
    <hyperlink r:id="rId3019" ref="AN1007"/>
    <hyperlink r:id="rId3020" ref="B1008"/>
    <hyperlink r:id="rId3021" ref="C1008"/>
    <hyperlink r:id="rId3022" ref="AN1008"/>
    <hyperlink r:id="rId3023" ref="B1009"/>
    <hyperlink r:id="rId3024" ref="C1009"/>
    <hyperlink r:id="rId3025" ref="AN1009"/>
    <hyperlink r:id="rId3026" ref="B1010"/>
    <hyperlink r:id="rId3027" ref="C1010"/>
    <hyperlink r:id="rId3028" ref="AN1010"/>
    <hyperlink r:id="rId3029" ref="B1011"/>
    <hyperlink r:id="rId3030" ref="C1011"/>
    <hyperlink r:id="rId3031" ref="AN1011"/>
    <hyperlink r:id="rId3032" ref="B1012"/>
    <hyperlink r:id="rId3033" ref="C1012"/>
    <hyperlink r:id="rId3034" ref="AN1012"/>
    <hyperlink r:id="rId3035" ref="B1013"/>
    <hyperlink r:id="rId3036" ref="C1013"/>
    <hyperlink r:id="rId3037" ref="AN1013"/>
    <hyperlink r:id="rId3038" ref="B1014"/>
    <hyperlink r:id="rId3039" ref="C1014"/>
    <hyperlink r:id="rId3040" ref="AN1014"/>
    <hyperlink r:id="rId3041" ref="B1015"/>
    <hyperlink r:id="rId3042" ref="C1015"/>
    <hyperlink r:id="rId3043" ref="AN1015"/>
    <hyperlink r:id="rId3044" ref="B1016"/>
    <hyperlink r:id="rId3045" ref="C1016"/>
    <hyperlink r:id="rId3046" ref="AN1016"/>
    <hyperlink r:id="rId3047" ref="B1017"/>
    <hyperlink r:id="rId3048" ref="C1017"/>
    <hyperlink r:id="rId3049" ref="AN1017"/>
    <hyperlink r:id="rId3050" ref="B1018"/>
    <hyperlink r:id="rId3051" ref="C1018"/>
    <hyperlink r:id="rId3052" ref="AN1018"/>
    <hyperlink r:id="rId3053" ref="B1019"/>
    <hyperlink r:id="rId3054" ref="C1019"/>
    <hyperlink r:id="rId3055" ref="AN1019"/>
    <hyperlink r:id="rId3056" ref="B1020"/>
    <hyperlink r:id="rId3057" ref="C1020"/>
    <hyperlink r:id="rId3058" ref="AN1020"/>
    <hyperlink r:id="rId3059" ref="B1021"/>
    <hyperlink r:id="rId3060" ref="C1021"/>
    <hyperlink r:id="rId3061" ref="AN1021"/>
    <hyperlink r:id="rId3062" ref="B1022"/>
    <hyperlink r:id="rId3063" ref="C1022"/>
    <hyperlink r:id="rId3064" ref="AN1022"/>
    <hyperlink r:id="rId3065" ref="B1023"/>
    <hyperlink r:id="rId3066" ref="C1023"/>
    <hyperlink r:id="rId3067" ref="AN1023"/>
    <hyperlink r:id="rId3068" ref="B1024"/>
    <hyperlink r:id="rId3069" ref="C1024"/>
    <hyperlink r:id="rId3070" ref="AN1024"/>
    <hyperlink r:id="rId3071" ref="B1025"/>
    <hyperlink r:id="rId3072" ref="C1025"/>
    <hyperlink r:id="rId3073" ref="AN1025"/>
    <hyperlink r:id="rId3074" ref="B1026"/>
    <hyperlink r:id="rId3075" ref="C1026"/>
    <hyperlink r:id="rId3076" ref="AN1026"/>
    <hyperlink r:id="rId3077" ref="B1027"/>
    <hyperlink r:id="rId3078" ref="C1027"/>
    <hyperlink r:id="rId3079" ref="AN1027"/>
    <hyperlink r:id="rId3080" ref="B1028"/>
    <hyperlink r:id="rId3081" ref="C1028"/>
    <hyperlink r:id="rId3082" ref="AN1028"/>
    <hyperlink r:id="rId3083" ref="B1029"/>
    <hyperlink r:id="rId3084" ref="C1029"/>
    <hyperlink r:id="rId3085" ref="AN1029"/>
    <hyperlink r:id="rId3086" ref="B1030"/>
    <hyperlink r:id="rId3087" ref="C1030"/>
    <hyperlink r:id="rId3088" ref="AN1030"/>
    <hyperlink r:id="rId3089" ref="B1031"/>
    <hyperlink r:id="rId3090" ref="C1031"/>
    <hyperlink r:id="rId3091" ref="AN1031"/>
    <hyperlink r:id="rId3092" ref="B1032"/>
    <hyperlink r:id="rId3093" ref="C1032"/>
    <hyperlink r:id="rId3094" ref="AN1032"/>
    <hyperlink r:id="rId3095" ref="B1033"/>
    <hyperlink r:id="rId3096" ref="C1033"/>
    <hyperlink r:id="rId3097" ref="AN1033"/>
    <hyperlink r:id="rId3098" ref="B1034"/>
    <hyperlink r:id="rId3099" ref="C1034"/>
    <hyperlink r:id="rId3100" ref="AN1034"/>
    <hyperlink r:id="rId3101" ref="B1035"/>
    <hyperlink r:id="rId3102" ref="C1035"/>
    <hyperlink r:id="rId3103" ref="AN1035"/>
    <hyperlink r:id="rId3104" ref="B1036"/>
    <hyperlink r:id="rId3105" ref="C1036"/>
    <hyperlink r:id="rId3106" ref="AN1036"/>
    <hyperlink r:id="rId3107" ref="B1037"/>
    <hyperlink r:id="rId3108" ref="C1037"/>
    <hyperlink r:id="rId3109" ref="AN1037"/>
    <hyperlink r:id="rId3110" ref="B1038"/>
    <hyperlink r:id="rId3111" ref="C1038"/>
    <hyperlink r:id="rId3112" ref="AN1038"/>
    <hyperlink r:id="rId3113" ref="B1039"/>
    <hyperlink r:id="rId3114" ref="C1039"/>
    <hyperlink r:id="rId3115" ref="AN1039"/>
    <hyperlink r:id="rId3116" ref="B1040"/>
    <hyperlink r:id="rId3117" ref="C1040"/>
    <hyperlink r:id="rId3118" ref="AN1040"/>
    <hyperlink r:id="rId3119" ref="B1041"/>
    <hyperlink r:id="rId3120" ref="C1041"/>
    <hyperlink r:id="rId3121" ref="AN1041"/>
    <hyperlink r:id="rId3122" ref="B1042"/>
    <hyperlink r:id="rId3123" ref="C1042"/>
    <hyperlink r:id="rId3124" ref="AN1042"/>
    <hyperlink r:id="rId3125" ref="B1043"/>
    <hyperlink r:id="rId3126" ref="C1043"/>
    <hyperlink r:id="rId3127" ref="AN1043"/>
    <hyperlink r:id="rId3128" ref="B1044"/>
    <hyperlink r:id="rId3129" ref="C1044"/>
    <hyperlink r:id="rId3130" ref="AN1044"/>
    <hyperlink r:id="rId3131" ref="B1045"/>
    <hyperlink r:id="rId3132" ref="C1045"/>
    <hyperlink r:id="rId3133" ref="AN1045"/>
    <hyperlink r:id="rId3134" ref="B1046"/>
    <hyperlink r:id="rId3135" ref="C1046"/>
    <hyperlink r:id="rId3136" ref="AN1046"/>
    <hyperlink r:id="rId3137" ref="B1047"/>
    <hyperlink r:id="rId3138" ref="C1047"/>
    <hyperlink r:id="rId3139" ref="AN1047"/>
    <hyperlink r:id="rId3140" ref="B1048"/>
    <hyperlink r:id="rId3141" ref="C1048"/>
    <hyperlink r:id="rId3142" ref="AN1048"/>
    <hyperlink r:id="rId3143" ref="B1049"/>
    <hyperlink r:id="rId3144" ref="C1049"/>
    <hyperlink r:id="rId3145" ref="AN1049"/>
    <hyperlink r:id="rId3146" ref="B1050"/>
    <hyperlink r:id="rId3147" ref="C1050"/>
    <hyperlink r:id="rId3148" ref="AN1050"/>
    <hyperlink r:id="rId3149" ref="B1051"/>
    <hyperlink r:id="rId3150" ref="C1051"/>
    <hyperlink r:id="rId3151" ref="AN1051"/>
    <hyperlink r:id="rId3152" ref="B1052"/>
    <hyperlink r:id="rId3153" ref="C1052"/>
    <hyperlink r:id="rId3154" ref="AN1052"/>
    <hyperlink r:id="rId3155" ref="B1053"/>
    <hyperlink r:id="rId3156" ref="C1053"/>
    <hyperlink r:id="rId3157" ref="AN1053"/>
    <hyperlink r:id="rId3158" ref="B1054"/>
    <hyperlink r:id="rId3159" ref="C1054"/>
    <hyperlink r:id="rId3160" ref="AN1054"/>
    <hyperlink r:id="rId3161" ref="B1055"/>
    <hyperlink r:id="rId3162" ref="C1055"/>
    <hyperlink r:id="rId3163" ref="AN1055"/>
    <hyperlink r:id="rId3164" ref="B1056"/>
    <hyperlink r:id="rId3165" ref="C1056"/>
    <hyperlink r:id="rId3166" ref="AN1056"/>
    <hyperlink r:id="rId3167" ref="B1057"/>
    <hyperlink r:id="rId3168" ref="C1057"/>
    <hyperlink r:id="rId3169" ref="AN1057"/>
    <hyperlink r:id="rId3170" ref="B1058"/>
    <hyperlink r:id="rId3171" ref="C1058"/>
    <hyperlink r:id="rId3172" ref="AN1058"/>
    <hyperlink r:id="rId3173" ref="B1059"/>
    <hyperlink r:id="rId3174" ref="C1059"/>
    <hyperlink r:id="rId3175" ref="AN1059"/>
    <hyperlink r:id="rId3176" ref="B1060"/>
    <hyperlink r:id="rId3177" ref="C1060"/>
    <hyperlink r:id="rId3178" ref="AN1060"/>
    <hyperlink r:id="rId3179" ref="B1061"/>
    <hyperlink r:id="rId3180" ref="C1061"/>
    <hyperlink r:id="rId3181" ref="AN1061"/>
    <hyperlink r:id="rId3182" ref="B1062"/>
    <hyperlink r:id="rId3183" ref="C1062"/>
    <hyperlink r:id="rId3184" ref="AN1062"/>
    <hyperlink r:id="rId3185" ref="B1063"/>
    <hyperlink r:id="rId3186" ref="C1063"/>
    <hyperlink r:id="rId3187" ref="AN1063"/>
    <hyperlink r:id="rId3188" ref="B1064"/>
    <hyperlink r:id="rId3189" ref="C1064"/>
    <hyperlink r:id="rId3190" ref="AN1064"/>
    <hyperlink r:id="rId3191" ref="B1065"/>
    <hyperlink r:id="rId3192" ref="C1065"/>
    <hyperlink r:id="rId3193" ref="AN1065"/>
    <hyperlink r:id="rId3194" ref="B1066"/>
    <hyperlink r:id="rId3195" ref="C1066"/>
    <hyperlink r:id="rId3196" ref="AN1066"/>
    <hyperlink r:id="rId3197" ref="B1067"/>
    <hyperlink r:id="rId3198" ref="C1067"/>
    <hyperlink r:id="rId3199" ref="AN1067"/>
    <hyperlink r:id="rId3200" ref="B1068"/>
    <hyperlink r:id="rId3201" ref="C1068"/>
    <hyperlink r:id="rId3202" ref="AN1068"/>
    <hyperlink r:id="rId3203" ref="B1069"/>
    <hyperlink r:id="rId3204" ref="C1069"/>
    <hyperlink r:id="rId3205" ref="AN1069"/>
    <hyperlink r:id="rId3206" ref="B1070"/>
    <hyperlink r:id="rId3207" ref="C1070"/>
    <hyperlink r:id="rId3208" ref="AN1070"/>
    <hyperlink r:id="rId3209" ref="B1071"/>
    <hyperlink r:id="rId3210" ref="C1071"/>
    <hyperlink r:id="rId3211" ref="AN1071"/>
    <hyperlink r:id="rId3212" ref="B1072"/>
    <hyperlink r:id="rId3213" ref="C1072"/>
    <hyperlink r:id="rId3214" ref="AN1072"/>
    <hyperlink r:id="rId3215" ref="B1073"/>
    <hyperlink r:id="rId3216" ref="C1073"/>
    <hyperlink r:id="rId3217" ref="AN1073"/>
    <hyperlink r:id="rId3218" ref="B1074"/>
    <hyperlink r:id="rId3219" ref="C1074"/>
    <hyperlink r:id="rId3220" ref="AN1074"/>
    <hyperlink r:id="rId3221" ref="B1075"/>
    <hyperlink r:id="rId3222" ref="C1075"/>
    <hyperlink r:id="rId3223" ref="AN1075"/>
    <hyperlink r:id="rId3224" ref="B1076"/>
    <hyperlink r:id="rId3225" ref="C1076"/>
    <hyperlink r:id="rId3226" ref="AN1076"/>
    <hyperlink r:id="rId3227" ref="B1077"/>
    <hyperlink r:id="rId3228" ref="C1077"/>
    <hyperlink r:id="rId3229" ref="AN1077"/>
    <hyperlink r:id="rId3230" ref="B1078"/>
    <hyperlink r:id="rId3231" ref="C1078"/>
    <hyperlink r:id="rId3232" ref="AN1078"/>
    <hyperlink r:id="rId3233" ref="B1079"/>
    <hyperlink r:id="rId3234" ref="C1079"/>
    <hyperlink r:id="rId3235" ref="AN1079"/>
    <hyperlink r:id="rId3236" ref="B1080"/>
    <hyperlink r:id="rId3237" ref="C1080"/>
    <hyperlink r:id="rId3238" ref="AN1080"/>
    <hyperlink r:id="rId3239" ref="B1081"/>
    <hyperlink r:id="rId3240" ref="C1081"/>
    <hyperlink r:id="rId3241" ref="AN1081"/>
    <hyperlink r:id="rId3242" ref="B1082"/>
    <hyperlink r:id="rId3243" ref="C1082"/>
    <hyperlink r:id="rId3244" ref="AN1082"/>
    <hyperlink r:id="rId3245" ref="B1083"/>
    <hyperlink r:id="rId3246" ref="C1083"/>
    <hyperlink r:id="rId3247" ref="AN1083"/>
    <hyperlink r:id="rId3248" ref="B1084"/>
    <hyperlink r:id="rId3249" ref="C1084"/>
    <hyperlink r:id="rId3250" ref="AN1084"/>
    <hyperlink r:id="rId3251" ref="B1085"/>
    <hyperlink r:id="rId3252" ref="C1085"/>
    <hyperlink r:id="rId3253" ref="AN1085"/>
    <hyperlink r:id="rId3254" ref="B1086"/>
    <hyperlink r:id="rId3255" ref="C1086"/>
    <hyperlink r:id="rId3256" ref="AN1086"/>
    <hyperlink r:id="rId3257" ref="B1087"/>
    <hyperlink r:id="rId3258" ref="C1087"/>
    <hyperlink r:id="rId3259" ref="AN1087"/>
    <hyperlink r:id="rId3260" ref="B1088"/>
    <hyperlink r:id="rId3261" ref="C1088"/>
    <hyperlink r:id="rId3262" ref="AN1088"/>
    <hyperlink r:id="rId3263" ref="B1089"/>
    <hyperlink r:id="rId3264" ref="C1089"/>
    <hyperlink r:id="rId3265" ref="AN1089"/>
    <hyperlink r:id="rId3266" ref="B1090"/>
    <hyperlink r:id="rId3267" ref="C1090"/>
    <hyperlink r:id="rId3268" ref="AN1090"/>
    <hyperlink r:id="rId3269" ref="B1091"/>
    <hyperlink r:id="rId3270" ref="C1091"/>
    <hyperlink r:id="rId3271" ref="AN1091"/>
    <hyperlink r:id="rId3272" ref="B1092"/>
    <hyperlink r:id="rId3273" ref="C1092"/>
    <hyperlink r:id="rId3274" ref="AN1092"/>
    <hyperlink r:id="rId3275" ref="B1093"/>
    <hyperlink r:id="rId3276" ref="C1093"/>
    <hyperlink r:id="rId3277" ref="AN1093"/>
    <hyperlink r:id="rId3278" ref="B1094"/>
    <hyperlink r:id="rId3279" ref="C1094"/>
    <hyperlink r:id="rId3280" ref="AN1094"/>
    <hyperlink r:id="rId3281" ref="B1095"/>
    <hyperlink r:id="rId3282" ref="C1095"/>
    <hyperlink r:id="rId3283" ref="AN1095"/>
    <hyperlink r:id="rId3284" ref="B1096"/>
    <hyperlink r:id="rId3285" ref="C1096"/>
    <hyperlink r:id="rId3286" ref="AN1096"/>
    <hyperlink r:id="rId3287" ref="B1097"/>
    <hyperlink r:id="rId3288" ref="C1097"/>
    <hyperlink r:id="rId3289" ref="AN1097"/>
    <hyperlink r:id="rId3290" ref="B1098"/>
    <hyperlink r:id="rId3291" ref="C1098"/>
    <hyperlink r:id="rId3292" ref="AN1098"/>
    <hyperlink r:id="rId3293" ref="B1099"/>
    <hyperlink r:id="rId3294" ref="C1099"/>
    <hyperlink r:id="rId3295" ref="AN1099"/>
    <hyperlink r:id="rId3296" ref="B1100"/>
    <hyperlink r:id="rId3297" ref="C1100"/>
    <hyperlink r:id="rId3298" ref="AN1100"/>
    <hyperlink r:id="rId3299" ref="B1101"/>
    <hyperlink r:id="rId3300" ref="C1101"/>
    <hyperlink r:id="rId3301" ref="AN1101"/>
    <hyperlink r:id="rId3302" ref="B1102"/>
    <hyperlink r:id="rId3303" ref="C1102"/>
    <hyperlink r:id="rId3304" ref="AN1102"/>
    <hyperlink r:id="rId3305" ref="B1103"/>
    <hyperlink r:id="rId3306" ref="C1103"/>
    <hyperlink r:id="rId3307" ref="AN1103"/>
    <hyperlink r:id="rId3308" ref="B1104"/>
    <hyperlink r:id="rId3309" ref="C1104"/>
    <hyperlink r:id="rId3310" ref="AN1104"/>
    <hyperlink r:id="rId3311" ref="B1105"/>
    <hyperlink r:id="rId3312" ref="C1105"/>
    <hyperlink r:id="rId3313" ref="AN1105"/>
    <hyperlink r:id="rId3314" ref="B1106"/>
    <hyperlink r:id="rId3315" ref="C1106"/>
    <hyperlink r:id="rId3316" ref="AN1106"/>
    <hyperlink r:id="rId3317" ref="B1107"/>
    <hyperlink r:id="rId3318" ref="C1107"/>
    <hyperlink r:id="rId3319" ref="AN1107"/>
    <hyperlink r:id="rId3320" ref="B1108"/>
    <hyperlink r:id="rId3321" ref="C1108"/>
    <hyperlink r:id="rId3322" ref="AN1108"/>
    <hyperlink r:id="rId3323" ref="B1109"/>
    <hyperlink r:id="rId3324" ref="C1109"/>
    <hyperlink r:id="rId3325" ref="AN1109"/>
    <hyperlink r:id="rId3326" ref="B1110"/>
    <hyperlink r:id="rId3327" ref="C1110"/>
    <hyperlink r:id="rId3328" ref="AN1110"/>
    <hyperlink r:id="rId3329" ref="B1111"/>
    <hyperlink r:id="rId3330" ref="C1111"/>
    <hyperlink r:id="rId3331" ref="AN1111"/>
    <hyperlink r:id="rId3332" ref="B1112"/>
    <hyperlink r:id="rId3333" ref="C1112"/>
    <hyperlink r:id="rId3334" ref="AN1112"/>
    <hyperlink r:id="rId3335" ref="B1113"/>
    <hyperlink r:id="rId3336" ref="C1113"/>
    <hyperlink r:id="rId3337" ref="AN1113"/>
    <hyperlink r:id="rId3338" ref="B1114"/>
    <hyperlink r:id="rId3339" ref="C1114"/>
    <hyperlink r:id="rId3340" ref="AN1114"/>
    <hyperlink r:id="rId3341" ref="B1115"/>
    <hyperlink r:id="rId3342" ref="C1115"/>
    <hyperlink r:id="rId3343" ref="AN1115"/>
    <hyperlink r:id="rId3344" ref="B1116"/>
    <hyperlink r:id="rId3345" ref="C1116"/>
    <hyperlink r:id="rId3346" ref="AN1116"/>
    <hyperlink r:id="rId3347" ref="B1117"/>
    <hyperlink r:id="rId3348" ref="C1117"/>
    <hyperlink r:id="rId3349" ref="AN1117"/>
    <hyperlink r:id="rId3350" ref="B1118"/>
    <hyperlink r:id="rId3351" ref="C1118"/>
    <hyperlink r:id="rId3352" ref="AN1118"/>
    <hyperlink r:id="rId3353" ref="B1119"/>
    <hyperlink r:id="rId3354" ref="C1119"/>
    <hyperlink r:id="rId3355" ref="AN1119"/>
    <hyperlink r:id="rId3356" ref="B1120"/>
    <hyperlink r:id="rId3357" ref="C1120"/>
    <hyperlink r:id="rId3358" ref="AN1120"/>
    <hyperlink r:id="rId3359" ref="B1121"/>
    <hyperlink r:id="rId3360" ref="C1121"/>
    <hyperlink r:id="rId3361" ref="AN1121"/>
    <hyperlink r:id="rId3362" ref="B1122"/>
    <hyperlink r:id="rId3363" ref="C1122"/>
    <hyperlink r:id="rId3364" ref="AN1122"/>
    <hyperlink r:id="rId3365" ref="B1123"/>
    <hyperlink r:id="rId3366" ref="C1123"/>
    <hyperlink r:id="rId3367" ref="AN1123"/>
    <hyperlink r:id="rId3368" ref="B1124"/>
    <hyperlink r:id="rId3369" ref="C1124"/>
    <hyperlink r:id="rId3370" ref="AN1124"/>
    <hyperlink r:id="rId3371" ref="B1125"/>
    <hyperlink r:id="rId3372" ref="C1125"/>
    <hyperlink r:id="rId3373" ref="AN1125"/>
    <hyperlink r:id="rId3374" ref="B1126"/>
    <hyperlink r:id="rId3375" ref="C1126"/>
    <hyperlink r:id="rId3376" ref="AN1126"/>
    <hyperlink r:id="rId3377" ref="B1127"/>
    <hyperlink r:id="rId3378" ref="C1127"/>
    <hyperlink r:id="rId3379" ref="AN1127"/>
    <hyperlink r:id="rId3380" ref="B1128"/>
    <hyperlink r:id="rId3381" ref="C1128"/>
    <hyperlink r:id="rId3382" ref="AN1128"/>
    <hyperlink r:id="rId3383" ref="B1129"/>
    <hyperlink r:id="rId3384" ref="C1129"/>
    <hyperlink r:id="rId3385" ref="AN1129"/>
    <hyperlink r:id="rId3386" ref="B1130"/>
    <hyperlink r:id="rId3387" ref="C1130"/>
    <hyperlink r:id="rId3388" ref="AN1130"/>
    <hyperlink r:id="rId3389" ref="B1131"/>
    <hyperlink r:id="rId3390" ref="C1131"/>
    <hyperlink r:id="rId3391" ref="AN1131"/>
    <hyperlink r:id="rId3392" ref="B1132"/>
    <hyperlink r:id="rId3393" ref="C1132"/>
    <hyperlink r:id="rId3394" ref="AN1132"/>
    <hyperlink r:id="rId3395" ref="B1133"/>
    <hyperlink r:id="rId3396" ref="C1133"/>
    <hyperlink r:id="rId3397" ref="AN1133"/>
    <hyperlink r:id="rId3398" ref="B1134"/>
    <hyperlink r:id="rId3399" ref="C1134"/>
    <hyperlink r:id="rId3400" ref="AN1134"/>
    <hyperlink r:id="rId3401" ref="B1135"/>
    <hyperlink r:id="rId3402" ref="C1135"/>
    <hyperlink r:id="rId3403" ref="AN1135"/>
    <hyperlink r:id="rId3404" ref="B1136"/>
    <hyperlink r:id="rId3405" ref="C1136"/>
    <hyperlink r:id="rId3406" ref="AN1136"/>
    <hyperlink r:id="rId3407" ref="B1137"/>
    <hyperlink r:id="rId3408" ref="C1137"/>
    <hyperlink r:id="rId3409" ref="AN1137"/>
    <hyperlink r:id="rId3410" ref="B1138"/>
    <hyperlink r:id="rId3411" ref="C1138"/>
    <hyperlink r:id="rId3412" ref="AN1138"/>
    <hyperlink r:id="rId3413" ref="B1139"/>
    <hyperlink r:id="rId3414" ref="C1139"/>
    <hyperlink r:id="rId3415" ref="AN1139"/>
    <hyperlink r:id="rId3416" ref="B1140"/>
    <hyperlink r:id="rId3417" ref="C1140"/>
    <hyperlink r:id="rId3418" ref="AN1140"/>
    <hyperlink r:id="rId3419" ref="B1141"/>
    <hyperlink r:id="rId3420" ref="C1141"/>
    <hyperlink r:id="rId3421" ref="AN1141"/>
    <hyperlink r:id="rId3422" ref="B1142"/>
    <hyperlink r:id="rId3423" ref="C1142"/>
    <hyperlink r:id="rId3424" ref="AN1142"/>
    <hyperlink r:id="rId3425" ref="B1143"/>
    <hyperlink r:id="rId3426" ref="C1143"/>
    <hyperlink r:id="rId3427" ref="AN1143"/>
    <hyperlink r:id="rId3428" ref="B1144"/>
    <hyperlink r:id="rId3429" ref="C1144"/>
    <hyperlink r:id="rId3430" ref="AN1144"/>
    <hyperlink r:id="rId3431" ref="B1145"/>
    <hyperlink r:id="rId3432" ref="C1145"/>
    <hyperlink r:id="rId3433" ref="AN1145"/>
    <hyperlink r:id="rId3434" ref="B1146"/>
    <hyperlink r:id="rId3435" ref="C1146"/>
    <hyperlink r:id="rId3436" ref="AN1146"/>
    <hyperlink r:id="rId3437" ref="B1147"/>
    <hyperlink r:id="rId3438" ref="C1147"/>
    <hyperlink r:id="rId3439" ref="AN1147"/>
    <hyperlink r:id="rId3440" ref="B1148"/>
    <hyperlink r:id="rId3441" ref="C1148"/>
    <hyperlink r:id="rId3442" ref="AN1148"/>
    <hyperlink r:id="rId3443" ref="B1149"/>
    <hyperlink r:id="rId3444" ref="C1149"/>
    <hyperlink r:id="rId3445" ref="AN1149"/>
    <hyperlink r:id="rId3446" ref="B1150"/>
    <hyperlink r:id="rId3447" ref="C1150"/>
    <hyperlink r:id="rId3448" ref="AN1150"/>
    <hyperlink r:id="rId3449" ref="B1151"/>
    <hyperlink r:id="rId3450" ref="C1151"/>
    <hyperlink r:id="rId3451" ref="AN1151"/>
    <hyperlink r:id="rId3452" ref="B1152"/>
    <hyperlink r:id="rId3453" ref="C1152"/>
    <hyperlink r:id="rId3454" ref="AN1152"/>
    <hyperlink r:id="rId3455" ref="B1153"/>
    <hyperlink r:id="rId3456" ref="C1153"/>
    <hyperlink r:id="rId3457" ref="AN1153"/>
    <hyperlink r:id="rId3458" ref="B1154"/>
    <hyperlink r:id="rId3459" ref="C1154"/>
    <hyperlink r:id="rId3460" ref="AN1154"/>
    <hyperlink r:id="rId3461" ref="B1155"/>
    <hyperlink r:id="rId3462" ref="C1155"/>
    <hyperlink r:id="rId3463" ref="AN1155"/>
    <hyperlink r:id="rId3464" ref="B1156"/>
    <hyperlink r:id="rId3465" ref="C1156"/>
    <hyperlink r:id="rId3466" ref="AN1156"/>
    <hyperlink r:id="rId3467" ref="B1157"/>
    <hyperlink r:id="rId3468" ref="C1157"/>
    <hyperlink r:id="rId3469" ref="AN1157"/>
    <hyperlink r:id="rId3470" ref="B1158"/>
    <hyperlink r:id="rId3471" ref="C1158"/>
    <hyperlink r:id="rId3472" ref="AN1158"/>
    <hyperlink r:id="rId3473" ref="B1159"/>
    <hyperlink r:id="rId3474" ref="C1159"/>
    <hyperlink r:id="rId3475" ref="AN1159"/>
    <hyperlink r:id="rId3476" ref="B1160"/>
    <hyperlink r:id="rId3477" ref="C1160"/>
    <hyperlink r:id="rId3478" ref="AN1160"/>
    <hyperlink r:id="rId3479" ref="B1161"/>
    <hyperlink r:id="rId3480" ref="C1161"/>
    <hyperlink r:id="rId3481" ref="AN1161"/>
    <hyperlink r:id="rId3482" ref="B1162"/>
    <hyperlink r:id="rId3483" ref="C1162"/>
    <hyperlink r:id="rId3484" ref="AN1162"/>
    <hyperlink r:id="rId3485" ref="B1163"/>
    <hyperlink r:id="rId3486" ref="C1163"/>
    <hyperlink r:id="rId3487" ref="AN1163"/>
    <hyperlink r:id="rId3488" ref="B1164"/>
    <hyperlink r:id="rId3489" ref="C1164"/>
    <hyperlink r:id="rId3490" ref="AN1164"/>
    <hyperlink r:id="rId3491" ref="B1165"/>
    <hyperlink r:id="rId3492" ref="C1165"/>
    <hyperlink r:id="rId3493" ref="AN1165"/>
    <hyperlink r:id="rId3494" ref="B1166"/>
    <hyperlink r:id="rId3495" ref="C1166"/>
    <hyperlink r:id="rId3496" ref="AN1166"/>
    <hyperlink r:id="rId3497" ref="B1167"/>
    <hyperlink r:id="rId3498" ref="C1167"/>
    <hyperlink r:id="rId3499" ref="AN1167"/>
    <hyperlink r:id="rId3500" ref="B1168"/>
    <hyperlink r:id="rId3501" ref="C1168"/>
    <hyperlink r:id="rId3502" ref="AN1168"/>
    <hyperlink r:id="rId3503" ref="B1169"/>
    <hyperlink r:id="rId3504" ref="C1169"/>
    <hyperlink r:id="rId3505" ref="AN1169"/>
    <hyperlink r:id="rId3506" ref="B1170"/>
    <hyperlink r:id="rId3507" ref="C1170"/>
    <hyperlink r:id="rId3508" ref="AN1170"/>
    <hyperlink r:id="rId3509" ref="B1171"/>
    <hyperlink r:id="rId3510" ref="C1171"/>
    <hyperlink r:id="rId3511" ref="AN1171"/>
    <hyperlink r:id="rId3512" ref="B1172"/>
    <hyperlink r:id="rId3513" ref="C1172"/>
    <hyperlink r:id="rId3514" ref="AN1172"/>
    <hyperlink r:id="rId3515" ref="B1173"/>
    <hyperlink r:id="rId3516" ref="C1173"/>
    <hyperlink r:id="rId3517" ref="AN1173"/>
    <hyperlink r:id="rId3518" ref="B1174"/>
    <hyperlink r:id="rId3519" ref="C1174"/>
    <hyperlink r:id="rId3520" ref="AN1174"/>
    <hyperlink r:id="rId3521" ref="B1175"/>
    <hyperlink r:id="rId3522" ref="C1175"/>
    <hyperlink r:id="rId3523" ref="AN1175"/>
    <hyperlink r:id="rId3524" ref="B1176"/>
    <hyperlink r:id="rId3525" ref="C1176"/>
    <hyperlink r:id="rId3526" ref="AN1176"/>
    <hyperlink r:id="rId3527" ref="B1177"/>
    <hyperlink r:id="rId3528" ref="C1177"/>
    <hyperlink r:id="rId3529" ref="AN1177"/>
    <hyperlink r:id="rId3530" ref="B1178"/>
    <hyperlink r:id="rId3531" ref="C1178"/>
    <hyperlink r:id="rId3532" ref="AN1178"/>
    <hyperlink r:id="rId3533" ref="B1179"/>
    <hyperlink r:id="rId3534" ref="C1179"/>
    <hyperlink r:id="rId3535" ref="AN1179"/>
    <hyperlink r:id="rId3536" ref="B1180"/>
    <hyperlink r:id="rId3537" ref="C1180"/>
    <hyperlink r:id="rId3538" ref="AN1180"/>
    <hyperlink r:id="rId3539" ref="B1181"/>
    <hyperlink r:id="rId3540" ref="C1181"/>
    <hyperlink r:id="rId3541" ref="AN1181"/>
    <hyperlink r:id="rId3542" ref="B1182"/>
    <hyperlink r:id="rId3543" ref="C1182"/>
    <hyperlink r:id="rId3544" ref="AN1182"/>
    <hyperlink r:id="rId3545" ref="B1183"/>
    <hyperlink r:id="rId3546" ref="C1183"/>
    <hyperlink r:id="rId3547" ref="AN1183"/>
    <hyperlink r:id="rId3548" ref="B1184"/>
    <hyperlink r:id="rId3549" ref="C1184"/>
    <hyperlink r:id="rId3550" ref="AN1184"/>
    <hyperlink r:id="rId3551" ref="B1185"/>
    <hyperlink r:id="rId3552" ref="C1185"/>
    <hyperlink r:id="rId3553" ref="AN1185"/>
    <hyperlink r:id="rId3554" ref="B1186"/>
    <hyperlink r:id="rId3555" ref="C1186"/>
    <hyperlink r:id="rId3556" ref="AN1186"/>
    <hyperlink r:id="rId3557" ref="B1187"/>
    <hyperlink r:id="rId3558" ref="C1187"/>
    <hyperlink r:id="rId3559" ref="AN1187"/>
    <hyperlink r:id="rId3560" ref="B1188"/>
    <hyperlink r:id="rId3561" ref="C1188"/>
    <hyperlink r:id="rId3562" ref="AN1188"/>
    <hyperlink r:id="rId3563" ref="B1189"/>
    <hyperlink r:id="rId3564" ref="C1189"/>
    <hyperlink r:id="rId3565" ref="AN1189"/>
    <hyperlink r:id="rId3566" ref="B1190"/>
    <hyperlink r:id="rId3567" ref="C1190"/>
    <hyperlink r:id="rId3568" ref="AN1190"/>
    <hyperlink r:id="rId3569" ref="B1191"/>
    <hyperlink r:id="rId3570" ref="C1191"/>
    <hyperlink r:id="rId3571" ref="AN1191"/>
    <hyperlink r:id="rId3572" ref="B1192"/>
    <hyperlink r:id="rId3573" ref="C1192"/>
    <hyperlink r:id="rId3574" ref="AN1192"/>
    <hyperlink r:id="rId3575" ref="B1193"/>
    <hyperlink r:id="rId3576" ref="C1193"/>
    <hyperlink r:id="rId3577" ref="AN1193"/>
    <hyperlink r:id="rId3578" ref="B1194"/>
    <hyperlink r:id="rId3579" ref="C1194"/>
    <hyperlink r:id="rId3580" ref="AN1194"/>
    <hyperlink r:id="rId3581" ref="B1195"/>
    <hyperlink r:id="rId3582" ref="C1195"/>
    <hyperlink r:id="rId3583" ref="AN1195"/>
    <hyperlink r:id="rId3584" ref="B1196"/>
    <hyperlink r:id="rId3585" ref="C1196"/>
    <hyperlink r:id="rId3586" ref="AN1196"/>
    <hyperlink r:id="rId3587" ref="B1197"/>
    <hyperlink r:id="rId3588" ref="C1197"/>
    <hyperlink r:id="rId3589" ref="AN1197"/>
    <hyperlink r:id="rId3590" ref="B1198"/>
    <hyperlink r:id="rId3591" ref="C1198"/>
    <hyperlink r:id="rId3592" ref="AN1198"/>
    <hyperlink r:id="rId3593" ref="B1199"/>
    <hyperlink r:id="rId3594" ref="C1199"/>
    <hyperlink r:id="rId3595" ref="AN1199"/>
    <hyperlink r:id="rId3596" ref="B1200"/>
    <hyperlink r:id="rId3597" ref="C1200"/>
    <hyperlink r:id="rId3598" ref="AN1200"/>
    <hyperlink r:id="rId3599" ref="B1201"/>
    <hyperlink r:id="rId3600" ref="C1201"/>
    <hyperlink r:id="rId3601" ref="AN1201"/>
    <hyperlink r:id="rId3602" ref="B1202"/>
    <hyperlink r:id="rId3603" ref="C1202"/>
    <hyperlink r:id="rId3604" ref="AN1202"/>
    <hyperlink r:id="rId3605" ref="B1203"/>
    <hyperlink r:id="rId3606" ref="C1203"/>
    <hyperlink r:id="rId3607" ref="AN1203"/>
    <hyperlink r:id="rId3608" ref="B1204"/>
    <hyperlink r:id="rId3609" ref="C1204"/>
    <hyperlink r:id="rId3610" ref="AN1204"/>
    <hyperlink r:id="rId3611" ref="B1205"/>
    <hyperlink r:id="rId3612" ref="C1205"/>
    <hyperlink r:id="rId3613" ref="AN1205"/>
    <hyperlink r:id="rId3614" ref="B1206"/>
    <hyperlink r:id="rId3615" ref="C1206"/>
    <hyperlink r:id="rId3616" ref="AN1206"/>
    <hyperlink r:id="rId3617" ref="B1207"/>
    <hyperlink r:id="rId3618" ref="C1207"/>
    <hyperlink r:id="rId3619" ref="AN1207"/>
    <hyperlink r:id="rId3620" ref="B1208"/>
    <hyperlink r:id="rId3621" ref="C1208"/>
    <hyperlink r:id="rId3622" ref="AN1208"/>
    <hyperlink r:id="rId3623" ref="B1209"/>
    <hyperlink r:id="rId3624" ref="C1209"/>
    <hyperlink r:id="rId3625" ref="AN1209"/>
    <hyperlink r:id="rId3626" ref="B1210"/>
    <hyperlink r:id="rId3627" ref="C1210"/>
    <hyperlink r:id="rId3628" ref="AN1210"/>
    <hyperlink r:id="rId3629" ref="B1211"/>
    <hyperlink r:id="rId3630" ref="C1211"/>
    <hyperlink r:id="rId3631" ref="AN1211"/>
    <hyperlink r:id="rId3632" ref="B1212"/>
    <hyperlink r:id="rId3633" ref="C1212"/>
    <hyperlink r:id="rId3634" ref="AN1212"/>
    <hyperlink r:id="rId3635" ref="B1213"/>
    <hyperlink r:id="rId3636" ref="C1213"/>
    <hyperlink r:id="rId3637" ref="AN1213"/>
    <hyperlink r:id="rId3638" ref="B1214"/>
    <hyperlink r:id="rId3639" ref="C1214"/>
    <hyperlink r:id="rId3640" ref="AN1214"/>
    <hyperlink r:id="rId3641" ref="B1215"/>
    <hyperlink r:id="rId3642" ref="C1215"/>
    <hyperlink r:id="rId3643" ref="AN1215"/>
    <hyperlink r:id="rId3644" ref="B1216"/>
    <hyperlink r:id="rId3645" ref="C1216"/>
    <hyperlink r:id="rId3646" ref="AN1216"/>
    <hyperlink r:id="rId3647" ref="B1217"/>
    <hyperlink r:id="rId3648" ref="C1217"/>
    <hyperlink r:id="rId3649" ref="AN1217"/>
    <hyperlink r:id="rId3650" ref="B1218"/>
    <hyperlink r:id="rId3651" ref="C1218"/>
    <hyperlink r:id="rId3652" ref="AN1218"/>
    <hyperlink r:id="rId3653" ref="B1219"/>
    <hyperlink r:id="rId3654" ref="C1219"/>
    <hyperlink r:id="rId3655" ref="AN1219"/>
    <hyperlink r:id="rId3656" ref="B1220"/>
    <hyperlink r:id="rId3657" ref="C1220"/>
    <hyperlink r:id="rId3658" ref="AN1220"/>
    <hyperlink r:id="rId3659" ref="B1221"/>
    <hyperlink r:id="rId3660" ref="C1221"/>
    <hyperlink r:id="rId3661" ref="AN1221"/>
    <hyperlink r:id="rId3662" ref="B1222"/>
    <hyperlink r:id="rId3663" ref="C1222"/>
    <hyperlink r:id="rId3664" ref="AN1222"/>
    <hyperlink r:id="rId3665" ref="B1223"/>
    <hyperlink r:id="rId3666" ref="C1223"/>
    <hyperlink r:id="rId3667" ref="AN1223"/>
    <hyperlink r:id="rId3668" ref="B1224"/>
    <hyperlink r:id="rId3669" ref="C1224"/>
    <hyperlink r:id="rId3670" ref="AN1224"/>
    <hyperlink r:id="rId3671" ref="B1225"/>
    <hyperlink r:id="rId3672" ref="C1225"/>
    <hyperlink r:id="rId3673" ref="AN1225"/>
    <hyperlink r:id="rId3674" ref="B1226"/>
    <hyperlink r:id="rId3675" ref="C1226"/>
    <hyperlink r:id="rId3676" ref="AN1226"/>
    <hyperlink r:id="rId3677" ref="B1227"/>
    <hyperlink r:id="rId3678" ref="C1227"/>
    <hyperlink r:id="rId3679" ref="AN1227"/>
    <hyperlink r:id="rId3680" ref="B1228"/>
    <hyperlink r:id="rId3681" ref="C1228"/>
    <hyperlink r:id="rId3682" ref="AN1228"/>
    <hyperlink r:id="rId3683" ref="B1229"/>
    <hyperlink r:id="rId3684" ref="C1229"/>
    <hyperlink r:id="rId3685" ref="AN1229"/>
    <hyperlink r:id="rId3686" ref="B1230"/>
    <hyperlink r:id="rId3687" ref="C1230"/>
    <hyperlink r:id="rId3688" ref="AN1230"/>
    <hyperlink r:id="rId3689" ref="B1231"/>
    <hyperlink r:id="rId3690" ref="C1231"/>
    <hyperlink r:id="rId3691" ref="AN1231"/>
    <hyperlink r:id="rId3692" ref="B1232"/>
    <hyperlink r:id="rId3693" ref="C1232"/>
    <hyperlink r:id="rId3694" ref="AN1232"/>
    <hyperlink r:id="rId3695" ref="B1233"/>
    <hyperlink r:id="rId3696" ref="C1233"/>
    <hyperlink r:id="rId3697" ref="AN1233"/>
    <hyperlink r:id="rId3698" ref="B1234"/>
    <hyperlink r:id="rId3699" ref="C1234"/>
    <hyperlink r:id="rId3700" ref="AN1234"/>
    <hyperlink r:id="rId3701" ref="B1235"/>
    <hyperlink r:id="rId3702" ref="C1235"/>
    <hyperlink r:id="rId3703" ref="AN1235"/>
    <hyperlink r:id="rId3704" ref="B1236"/>
    <hyperlink r:id="rId3705" ref="C1236"/>
    <hyperlink r:id="rId3706" ref="AN1236"/>
    <hyperlink r:id="rId3707" ref="B1237"/>
    <hyperlink r:id="rId3708" ref="C1237"/>
    <hyperlink r:id="rId3709" ref="AN1237"/>
    <hyperlink r:id="rId3710" ref="B1238"/>
    <hyperlink r:id="rId3711" ref="C1238"/>
    <hyperlink r:id="rId3712" ref="AN1238"/>
    <hyperlink r:id="rId3713" ref="B1239"/>
    <hyperlink r:id="rId3714" ref="C1239"/>
    <hyperlink r:id="rId3715" ref="AN1239"/>
    <hyperlink r:id="rId3716" ref="B1240"/>
    <hyperlink r:id="rId3717" ref="C1240"/>
    <hyperlink r:id="rId3718" ref="AN1240"/>
    <hyperlink r:id="rId3719" ref="B1241"/>
    <hyperlink r:id="rId3720" ref="C1241"/>
    <hyperlink r:id="rId3721" ref="AN1241"/>
    <hyperlink r:id="rId3722" ref="B1242"/>
    <hyperlink r:id="rId3723" ref="C1242"/>
    <hyperlink r:id="rId3724" ref="AN1242"/>
    <hyperlink r:id="rId3725" ref="B1243"/>
    <hyperlink r:id="rId3726" ref="C1243"/>
    <hyperlink r:id="rId3727" ref="AN1243"/>
    <hyperlink r:id="rId3728" ref="B1244"/>
    <hyperlink r:id="rId3729" ref="C1244"/>
    <hyperlink r:id="rId3730" ref="AN1244"/>
    <hyperlink r:id="rId3731" ref="B1245"/>
    <hyperlink r:id="rId3732" ref="C1245"/>
    <hyperlink r:id="rId3733" ref="AN1245"/>
    <hyperlink r:id="rId3734" ref="B1246"/>
    <hyperlink r:id="rId3735" ref="C1246"/>
    <hyperlink r:id="rId3736" ref="AN1246"/>
    <hyperlink r:id="rId3737" ref="B1247"/>
    <hyperlink r:id="rId3738" ref="C1247"/>
    <hyperlink r:id="rId3739" ref="AN1247"/>
    <hyperlink r:id="rId3740" ref="B1248"/>
    <hyperlink r:id="rId3741" ref="C1248"/>
    <hyperlink r:id="rId3742" ref="AN1248"/>
    <hyperlink r:id="rId3743" ref="B1249"/>
    <hyperlink r:id="rId3744" ref="C1249"/>
    <hyperlink r:id="rId3745" ref="AN1249"/>
    <hyperlink r:id="rId3746" ref="B1250"/>
    <hyperlink r:id="rId3747" ref="C1250"/>
    <hyperlink r:id="rId3748" ref="AN1250"/>
    <hyperlink r:id="rId3749" ref="B1251"/>
    <hyperlink r:id="rId3750" ref="C1251"/>
    <hyperlink r:id="rId3751" ref="AN1251"/>
    <hyperlink r:id="rId3752" ref="B1252"/>
    <hyperlink r:id="rId3753" ref="C1252"/>
    <hyperlink r:id="rId3754" ref="AN1252"/>
    <hyperlink r:id="rId3755" ref="B1253"/>
    <hyperlink r:id="rId3756" ref="C1253"/>
    <hyperlink r:id="rId3757" ref="AN1253"/>
    <hyperlink r:id="rId3758" ref="B1254"/>
    <hyperlink r:id="rId3759" ref="C1254"/>
    <hyperlink r:id="rId3760" ref="AN1254"/>
    <hyperlink r:id="rId3761" ref="B1255"/>
    <hyperlink r:id="rId3762" ref="C1255"/>
    <hyperlink r:id="rId3763" ref="AN1255"/>
    <hyperlink r:id="rId3764" ref="B1256"/>
    <hyperlink r:id="rId3765" ref="C1256"/>
    <hyperlink r:id="rId3766" ref="AN1256"/>
    <hyperlink r:id="rId3767" ref="B1257"/>
    <hyperlink r:id="rId3768" ref="C1257"/>
    <hyperlink r:id="rId3769" ref="AN1257"/>
    <hyperlink r:id="rId3770" ref="B1258"/>
    <hyperlink r:id="rId3771" ref="C1258"/>
    <hyperlink r:id="rId3772" ref="AN1258"/>
    <hyperlink r:id="rId3773" ref="B1259"/>
    <hyperlink r:id="rId3774" ref="C1259"/>
    <hyperlink r:id="rId3775" ref="AN1259"/>
    <hyperlink r:id="rId3776" ref="B1260"/>
    <hyperlink r:id="rId3777" ref="C1260"/>
    <hyperlink r:id="rId3778" ref="AN1260"/>
    <hyperlink r:id="rId3779" ref="B1261"/>
    <hyperlink r:id="rId3780" ref="C1261"/>
    <hyperlink r:id="rId3781" ref="AN1261"/>
    <hyperlink r:id="rId3782" ref="B1262"/>
    <hyperlink r:id="rId3783" ref="C1262"/>
    <hyperlink r:id="rId3784" ref="AN1262"/>
    <hyperlink r:id="rId3785" ref="B1263"/>
    <hyperlink r:id="rId3786" ref="C1263"/>
    <hyperlink r:id="rId3787" ref="AN1263"/>
    <hyperlink r:id="rId3788" ref="B1264"/>
    <hyperlink r:id="rId3789" ref="C1264"/>
    <hyperlink r:id="rId3790" ref="AN1264"/>
    <hyperlink r:id="rId3791" ref="B1265"/>
    <hyperlink r:id="rId3792" ref="C1265"/>
    <hyperlink r:id="rId3793" ref="AN1265"/>
    <hyperlink r:id="rId3794" ref="B1266"/>
    <hyperlink r:id="rId3795" ref="C1266"/>
    <hyperlink r:id="rId3796" ref="AN1266"/>
    <hyperlink r:id="rId3797" ref="B1267"/>
    <hyperlink r:id="rId3798" ref="C1267"/>
    <hyperlink r:id="rId3799" ref="AN1267"/>
    <hyperlink r:id="rId3800" ref="B1268"/>
    <hyperlink r:id="rId3801" ref="C1268"/>
    <hyperlink r:id="rId3802" ref="AN1268"/>
    <hyperlink r:id="rId3803" ref="B1269"/>
    <hyperlink r:id="rId3804" ref="C1269"/>
    <hyperlink r:id="rId3805" ref="AN1269"/>
    <hyperlink r:id="rId3806" ref="B1270"/>
    <hyperlink r:id="rId3807" ref="C1270"/>
    <hyperlink r:id="rId3808" ref="AN1270"/>
    <hyperlink r:id="rId3809" ref="B1271"/>
    <hyperlink r:id="rId3810" ref="C1271"/>
    <hyperlink r:id="rId3811" ref="AN1271"/>
    <hyperlink r:id="rId3812" ref="B1272"/>
    <hyperlink r:id="rId3813" ref="C1272"/>
    <hyperlink r:id="rId3814" ref="AN1272"/>
    <hyperlink r:id="rId3815" ref="B1273"/>
    <hyperlink r:id="rId3816" ref="C1273"/>
    <hyperlink r:id="rId3817" ref="AN1273"/>
    <hyperlink r:id="rId3818" ref="B1274"/>
    <hyperlink r:id="rId3819" ref="C1274"/>
    <hyperlink r:id="rId3820" ref="AN1274"/>
    <hyperlink r:id="rId3821" ref="B1275"/>
    <hyperlink r:id="rId3822" ref="C1275"/>
    <hyperlink r:id="rId3823" ref="AN1275"/>
    <hyperlink r:id="rId3824" ref="B1276"/>
    <hyperlink r:id="rId3825" ref="C1276"/>
    <hyperlink r:id="rId3826" ref="AN1276"/>
    <hyperlink r:id="rId3827" ref="B1277"/>
    <hyperlink r:id="rId3828" ref="C1277"/>
    <hyperlink r:id="rId3829" ref="AN1277"/>
    <hyperlink r:id="rId3830" ref="B1278"/>
    <hyperlink r:id="rId3831" ref="C1278"/>
    <hyperlink r:id="rId3832" ref="AN1278"/>
    <hyperlink r:id="rId3833" ref="B1279"/>
    <hyperlink r:id="rId3834" ref="C1279"/>
    <hyperlink r:id="rId3835" ref="AN1279"/>
    <hyperlink r:id="rId3836" ref="B1280"/>
    <hyperlink r:id="rId3837" ref="C1280"/>
    <hyperlink r:id="rId3838" ref="AN1280"/>
    <hyperlink r:id="rId3839" ref="B1281"/>
    <hyperlink r:id="rId3840" ref="C1281"/>
    <hyperlink r:id="rId3841" ref="AN1281"/>
    <hyperlink r:id="rId3842" ref="B1282"/>
    <hyperlink r:id="rId3843" ref="C1282"/>
    <hyperlink r:id="rId3844" ref="AN1282"/>
    <hyperlink r:id="rId3845" ref="B1283"/>
    <hyperlink r:id="rId3846" ref="C1283"/>
    <hyperlink r:id="rId3847" ref="AN1283"/>
    <hyperlink r:id="rId3848" ref="B1284"/>
    <hyperlink r:id="rId3849" ref="C1284"/>
    <hyperlink r:id="rId3850" ref="AN1284"/>
    <hyperlink r:id="rId3851" ref="B1285"/>
    <hyperlink r:id="rId3852" ref="C1285"/>
    <hyperlink r:id="rId3853" ref="AN1285"/>
    <hyperlink r:id="rId3854" ref="B1286"/>
    <hyperlink r:id="rId3855" ref="C1286"/>
    <hyperlink r:id="rId3856" ref="AN1286"/>
    <hyperlink r:id="rId3857" ref="B1287"/>
    <hyperlink r:id="rId3858" ref="C1287"/>
    <hyperlink r:id="rId3859" ref="AN1287"/>
    <hyperlink r:id="rId3860" ref="B1288"/>
    <hyperlink r:id="rId3861" ref="C1288"/>
    <hyperlink r:id="rId3862" ref="AN1288"/>
    <hyperlink r:id="rId3863" ref="B1289"/>
    <hyperlink r:id="rId3864" ref="C1289"/>
    <hyperlink r:id="rId3865" ref="AN1289"/>
    <hyperlink r:id="rId3866" ref="B1290"/>
    <hyperlink r:id="rId3867" ref="C1290"/>
    <hyperlink r:id="rId3868" ref="AN1290"/>
    <hyperlink r:id="rId3869" ref="B1291"/>
    <hyperlink r:id="rId3870" ref="C1291"/>
    <hyperlink r:id="rId3871" ref="AN1291"/>
    <hyperlink r:id="rId3872" ref="B1292"/>
    <hyperlink r:id="rId3873" ref="C1292"/>
    <hyperlink r:id="rId3874" ref="AN1292"/>
    <hyperlink r:id="rId3875" ref="B1293"/>
    <hyperlink r:id="rId3876" ref="C1293"/>
    <hyperlink r:id="rId3877" ref="AN1293"/>
    <hyperlink r:id="rId3878" ref="B1294"/>
    <hyperlink r:id="rId3879" ref="C1294"/>
    <hyperlink r:id="rId3880" ref="AN1294"/>
    <hyperlink r:id="rId3881" ref="B1295"/>
    <hyperlink r:id="rId3882" ref="C1295"/>
    <hyperlink r:id="rId3883" ref="AN1295"/>
    <hyperlink r:id="rId3884" ref="B1296"/>
    <hyperlink r:id="rId3885" ref="C1296"/>
    <hyperlink r:id="rId3886" ref="AN1296"/>
    <hyperlink r:id="rId3887" ref="B1297"/>
    <hyperlink r:id="rId3888" ref="C1297"/>
    <hyperlink r:id="rId3889" ref="AN1297"/>
    <hyperlink r:id="rId3890" ref="B1298"/>
    <hyperlink r:id="rId3891" ref="C1298"/>
    <hyperlink r:id="rId3892" ref="AN1298"/>
    <hyperlink r:id="rId3893" ref="B1299"/>
    <hyperlink r:id="rId3894" ref="C1299"/>
    <hyperlink r:id="rId3895" ref="AN1299"/>
    <hyperlink r:id="rId3896" ref="B1300"/>
    <hyperlink r:id="rId3897" ref="C1300"/>
    <hyperlink r:id="rId3898" ref="AN1300"/>
    <hyperlink r:id="rId3899" ref="B1301"/>
    <hyperlink r:id="rId3900" ref="C1301"/>
    <hyperlink r:id="rId3901" ref="AN1301"/>
    <hyperlink r:id="rId3902" ref="B1302"/>
    <hyperlink r:id="rId3903" ref="C1302"/>
    <hyperlink r:id="rId3904" ref="AN1302"/>
    <hyperlink r:id="rId3905" ref="B1303"/>
    <hyperlink r:id="rId3906" ref="C1303"/>
    <hyperlink r:id="rId3907" ref="AN1303"/>
    <hyperlink r:id="rId3908" ref="B1304"/>
    <hyperlink r:id="rId3909" ref="C1304"/>
    <hyperlink r:id="rId3910" ref="AN1304"/>
    <hyperlink r:id="rId3911" ref="B1305"/>
    <hyperlink r:id="rId3912" ref="C1305"/>
    <hyperlink r:id="rId3913" ref="AN1305"/>
    <hyperlink r:id="rId3914" ref="B1306"/>
    <hyperlink r:id="rId3915" ref="C1306"/>
    <hyperlink r:id="rId3916" ref="AN1306"/>
    <hyperlink r:id="rId3917" ref="B1307"/>
    <hyperlink r:id="rId3918" ref="C1307"/>
    <hyperlink r:id="rId3919" ref="AN1307"/>
    <hyperlink r:id="rId3920" ref="B1308"/>
    <hyperlink r:id="rId3921" ref="C1308"/>
    <hyperlink r:id="rId3922" ref="AN1308"/>
    <hyperlink r:id="rId3923" ref="B1309"/>
    <hyperlink r:id="rId3924" ref="C1309"/>
    <hyperlink r:id="rId3925" ref="AN1309"/>
    <hyperlink r:id="rId3926" ref="B1310"/>
    <hyperlink r:id="rId3927" ref="C1310"/>
    <hyperlink r:id="rId3928" ref="AN1310"/>
    <hyperlink r:id="rId3929" ref="B1311"/>
    <hyperlink r:id="rId3930" ref="C1311"/>
    <hyperlink r:id="rId3931" ref="AN1311"/>
    <hyperlink r:id="rId3932" ref="B1312"/>
    <hyperlink r:id="rId3933" ref="C1312"/>
    <hyperlink r:id="rId3934" ref="AN1312"/>
    <hyperlink r:id="rId3935" ref="B1313"/>
    <hyperlink r:id="rId3936" ref="C1313"/>
    <hyperlink r:id="rId3937" ref="AN1313"/>
    <hyperlink r:id="rId3938" ref="B1314"/>
    <hyperlink r:id="rId3939" ref="C1314"/>
    <hyperlink r:id="rId3940" ref="AN1314"/>
    <hyperlink r:id="rId3941" ref="B1315"/>
    <hyperlink r:id="rId3942" ref="C1315"/>
    <hyperlink r:id="rId3943" ref="AN1315"/>
    <hyperlink r:id="rId3944" ref="B1316"/>
    <hyperlink r:id="rId3945" ref="C1316"/>
    <hyperlink r:id="rId3946" ref="AN1316"/>
    <hyperlink r:id="rId3947" ref="B1317"/>
    <hyperlink r:id="rId3948" ref="C1317"/>
    <hyperlink r:id="rId3949" ref="AN1317"/>
    <hyperlink r:id="rId3950" ref="B1318"/>
    <hyperlink r:id="rId3951" ref="C1318"/>
    <hyperlink r:id="rId3952" ref="AN1318"/>
    <hyperlink r:id="rId3953" ref="B1319"/>
    <hyperlink r:id="rId3954" ref="C1319"/>
    <hyperlink r:id="rId3955" ref="AN1319"/>
    <hyperlink r:id="rId3956" ref="B1320"/>
    <hyperlink r:id="rId3957" ref="C1320"/>
    <hyperlink r:id="rId3958" ref="AN1320"/>
    <hyperlink r:id="rId3959" ref="B1321"/>
    <hyperlink r:id="rId3960" ref="C1321"/>
    <hyperlink r:id="rId3961" ref="AN1321"/>
    <hyperlink r:id="rId3962" ref="B1322"/>
    <hyperlink r:id="rId3963" ref="C1322"/>
    <hyperlink r:id="rId3964" ref="AN1322"/>
    <hyperlink r:id="rId3965" ref="B1323"/>
    <hyperlink r:id="rId3966" ref="C1323"/>
    <hyperlink r:id="rId3967" ref="AN1323"/>
    <hyperlink r:id="rId3968" ref="B1324"/>
    <hyperlink r:id="rId3969" ref="C1324"/>
    <hyperlink r:id="rId3970" ref="AN1324"/>
    <hyperlink r:id="rId3971" ref="B1325"/>
    <hyperlink r:id="rId3972" ref="C1325"/>
    <hyperlink r:id="rId3973" ref="AN1325"/>
    <hyperlink r:id="rId3974" ref="B1326"/>
    <hyperlink r:id="rId3975" ref="C1326"/>
    <hyperlink r:id="rId3976" ref="AN1326"/>
    <hyperlink r:id="rId3977" ref="B1327"/>
    <hyperlink r:id="rId3978" ref="C1327"/>
    <hyperlink r:id="rId3979" ref="AN1327"/>
    <hyperlink r:id="rId3980" ref="B1328"/>
    <hyperlink r:id="rId3981" ref="C1328"/>
    <hyperlink r:id="rId3982" ref="AN1328"/>
    <hyperlink r:id="rId3983" ref="B1329"/>
    <hyperlink r:id="rId3984" ref="C1329"/>
    <hyperlink r:id="rId3985" ref="AN1329"/>
    <hyperlink r:id="rId3986" ref="B1330"/>
    <hyperlink r:id="rId3987" ref="C1330"/>
    <hyperlink r:id="rId3988" ref="AN1330"/>
    <hyperlink r:id="rId3989" ref="B1331"/>
    <hyperlink r:id="rId3990" ref="C1331"/>
    <hyperlink r:id="rId3991" ref="AN1331"/>
    <hyperlink r:id="rId3992" ref="B1332"/>
    <hyperlink r:id="rId3993" ref="C1332"/>
    <hyperlink r:id="rId3994" ref="AN1332"/>
    <hyperlink r:id="rId3995" ref="B1333"/>
    <hyperlink r:id="rId3996" ref="C1333"/>
    <hyperlink r:id="rId3997" ref="AN1333"/>
    <hyperlink r:id="rId3998" ref="B1334"/>
    <hyperlink r:id="rId3999" ref="C1334"/>
    <hyperlink r:id="rId4000" ref="AN1334"/>
    <hyperlink r:id="rId4001" ref="B1335"/>
    <hyperlink r:id="rId4002" ref="C1335"/>
    <hyperlink r:id="rId4003" ref="AN1335"/>
    <hyperlink r:id="rId4004" ref="B1336"/>
    <hyperlink r:id="rId4005" ref="C1336"/>
    <hyperlink r:id="rId4006" ref="AN1336"/>
    <hyperlink r:id="rId4007" ref="B1337"/>
    <hyperlink r:id="rId4008" ref="C1337"/>
    <hyperlink r:id="rId4009" ref="AN1337"/>
    <hyperlink r:id="rId4010" ref="B1338"/>
    <hyperlink r:id="rId4011" ref="C1338"/>
    <hyperlink r:id="rId4012" ref="AN1338"/>
    <hyperlink r:id="rId4013" ref="B1339"/>
    <hyperlink r:id="rId4014" ref="C1339"/>
    <hyperlink r:id="rId4015" ref="AN1339"/>
    <hyperlink r:id="rId4016" ref="B1340"/>
    <hyperlink r:id="rId4017" ref="C1340"/>
    <hyperlink r:id="rId4018" ref="AN1340"/>
    <hyperlink r:id="rId4019" ref="B1341"/>
    <hyperlink r:id="rId4020" ref="C1341"/>
    <hyperlink r:id="rId4021" ref="AN1341"/>
    <hyperlink r:id="rId4022" ref="B1342"/>
    <hyperlink r:id="rId4023" ref="C1342"/>
    <hyperlink r:id="rId4024" ref="AN1342"/>
    <hyperlink r:id="rId4025" ref="B1343"/>
    <hyperlink r:id="rId4026" ref="C1343"/>
    <hyperlink r:id="rId4027" ref="AN1343"/>
    <hyperlink r:id="rId4028" ref="B1344"/>
    <hyperlink r:id="rId4029" ref="C1344"/>
    <hyperlink r:id="rId4030" ref="AN1344"/>
    <hyperlink r:id="rId4031" ref="B1345"/>
    <hyperlink r:id="rId4032" ref="C1345"/>
    <hyperlink r:id="rId4033" ref="AN1345"/>
    <hyperlink r:id="rId4034" ref="B1346"/>
    <hyperlink r:id="rId4035" ref="C1346"/>
    <hyperlink r:id="rId4036" ref="AN1346"/>
    <hyperlink r:id="rId4037" ref="B1347"/>
    <hyperlink r:id="rId4038" ref="C1347"/>
    <hyperlink r:id="rId4039" ref="AN1347"/>
    <hyperlink r:id="rId4040" ref="B1348"/>
    <hyperlink r:id="rId4041" ref="C1348"/>
    <hyperlink r:id="rId4042" ref="AN1348"/>
    <hyperlink r:id="rId4043" ref="B1349"/>
    <hyperlink r:id="rId4044" ref="C1349"/>
    <hyperlink r:id="rId4045" ref="AN1349"/>
    <hyperlink r:id="rId4046" ref="B1350"/>
    <hyperlink r:id="rId4047" ref="C1350"/>
    <hyperlink r:id="rId4048" ref="AN1350"/>
    <hyperlink r:id="rId4049" ref="B1351"/>
    <hyperlink r:id="rId4050" ref="C1351"/>
    <hyperlink r:id="rId4051" ref="AN1351"/>
    <hyperlink r:id="rId4052" ref="B1352"/>
    <hyperlink r:id="rId4053" ref="C1352"/>
    <hyperlink r:id="rId4054" ref="AN1352"/>
    <hyperlink r:id="rId4055" ref="B1353"/>
    <hyperlink r:id="rId4056" ref="C1353"/>
    <hyperlink r:id="rId4057" ref="AN1353"/>
    <hyperlink r:id="rId4058" ref="B1354"/>
    <hyperlink r:id="rId4059" ref="C1354"/>
    <hyperlink r:id="rId4060" ref="AN1354"/>
    <hyperlink r:id="rId4061" ref="B1355"/>
    <hyperlink r:id="rId4062" ref="C1355"/>
    <hyperlink r:id="rId4063" ref="AN1355"/>
    <hyperlink r:id="rId4064" ref="B1356"/>
    <hyperlink r:id="rId4065" ref="C1356"/>
    <hyperlink r:id="rId4066" ref="AN1356"/>
    <hyperlink r:id="rId4067" ref="B1357"/>
    <hyperlink r:id="rId4068" ref="C1357"/>
    <hyperlink r:id="rId4069" ref="AN1357"/>
    <hyperlink r:id="rId4070" ref="B1358"/>
    <hyperlink r:id="rId4071" ref="C1358"/>
    <hyperlink r:id="rId4072" ref="AN1358"/>
    <hyperlink r:id="rId4073" ref="B1359"/>
    <hyperlink r:id="rId4074" ref="C1359"/>
    <hyperlink r:id="rId4075" ref="AN1359"/>
    <hyperlink r:id="rId4076" ref="B1360"/>
    <hyperlink r:id="rId4077" ref="C1360"/>
    <hyperlink r:id="rId4078" ref="AN1360"/>
    <hyperlink r:id="rId4079" ref="B1361"/>
    <hyperlink r:id="rId4080" ref="C1361"/>
    <hyperlink r:id="rId4081" ref="AN1361"/>
    <hyperlink r:id="rId4082" ref="B1362"/>
    <hyperlink r:id="rId4083" ref="C1362"/>
    <hyperlink r:id="rId4084" ref="AN1362"/>
    <hyperlink r:id="rId4085" ref="B1363"/>
    <hyperlink r:id="rId4086" ref="C1363"/>
    <hyperlink r:id="rId4087" ref="AN1363"/>
    <hyperlink r:id="rId4088" ref="B1364"/>
    <hyperlink r:id="rId4089" ref="C1364"/>
    <hyperlink r:id="rId4090" ref="AN1364"/>
    <hyperlink r:id="rId4091" ref="B1365"/>
    <hyperlink r:id="rId4092" ref="C1365"/>
    <hyperlink r:id="rId4093" ref="AN1365"/>
    <hyperlink r:id="rId4094" ref="B1366"/>
    <hyperlink r:id="rId4095" ref="C1366"/>
    <hyperlink r:id="rId4096" ref="AN1366"/>
    <hyperlink r:id="rId4097" ref="B1367"/>
    <hyperlink r:id="rId4098" ref="C1367"/>
    <hyperlink r:id="rId4099" ref="AN1367"/>
    <hyperlink r:id="rId4100" ref="B1368"/>
    <hyperlink r:id="rId4101" ref="C1368"/>
    <hyperlink r:id="rId4102" ref="AN1368"/>
    <hyperlink r:id="rId4103" ref="B1369"/>
    <hyperlink r:id="rId4104" ref="C1369"/>
    <hyperlink r:id="rId4105" ref="AN1369"/>
    <hyperlink r:id="rId4106" ref="B1370"/>
    <hyperlink r:id="rId4107" ref="C1370"/>
    <hyperlink r:id="rId4108" ref="AN1370"/>
    <hyperlink r:id="rId4109" ref="B1371"/>
    <hyperlink r:id="rId4110" ref="C1371"/>
    <hyperlink r:id="rId4111" ref="AN1371"/>
    <hyperlink r:id="rId4112" ref="B1372"/>
    <hyperlink r:id="rId4113" ref="C1372"/>
    <hyperlink r:id="rId4114" ref="AN1372"/>
    <hyperlink r:id="rId4115" ref="B1373"/>
    <hyperlink r:id="rId4116" ref="C1373"/>
    <hyperlink r:id="rId4117" ref="AN1373"/>
    <hyperlink r:id="rId4118" ref="B1374"/>
    <hyperlink r:id="rId4119" ref="C1374"/>
    <hyperlink r:id="rId4120" ref="AN1374"/>
    <hyperlink r:id="rId4121" ref="B1375"/>
    <hyperlink r:id="rId4122" ref="C1375"/>
    <hyperlink r:id="rId4123" ref="AN1375"/>
    <hyperlink r:id="rId4124" ref="B1376"/>
    <hyperlink r:id="rId4125" ref="C1376"/>
    <hyperlink r:id="rId4126" ref="AN1376"/>
    <hyperlink r:id="rId4127" ref="B1377"/>
    <hyperlink r:id="rId4128" ref="C1377"/>
    <hyperlink r:id="rId4129" ref="AN1377"/>
    <hyperlink r:id="rId4130" ref="B1378"/>
    <hyperlink r:id="rId4131" ref="C1378"/>
    <hyperlink r:id="rId4132" ref="AN1378"/>
    <hyperlink r:id="rId4133" ref="B1379"/>
    <hyperlink r:id="rId4134" ref="C1379"/>
    <hyperlink r:id="rId4135" ref="AN1379"/>
    <hyperlink r:id="rId4136" ref="B1380"/>
    <hyperlink r:id="rId4137" ref="C1380"/>
    <hyperlink r:id="rId4138" ref="AN1380"/>
    <hyperlink r:id="rId4139" ref="B1381"/>
    <hyperlink r:id="rId4140" ref="C1381"/>
    <hyperlink r:id="rId4141" ref="AN1381"/>
    <hyperlink r:id="rId4142" ref="B1382"/>
    <hyperlink r:id="rId4143" ref="C1382"/>
    <hyperlink r:id="rId4144" ref="AN1382"/>
    <hyperlink r:id="rId4145" ref="B1383"/>
    <hyperlink r:id="rId4146" ref="C1383"/>
    <hyperlink r:id="rId4147" ref="AN1383"/>
    <hyperlink r:id="rId4148" ref="B1384"/>
    <hyperlink r:id="rId4149" ref="C1384"/>
    <hyperlink r:id="rId4150" ref="AN1384"/>
    <hyperlink r:id="rId4151" ref="B1385"/>
    <hyperlink r:id="rId4152" ref="C1385"/>
    <hyperlink r:id="rId4153" ref="AN1385"/>
    <hyperlink r:id="rId4154" ref="B1386"/>
    <hyperlink r:id="rId4155" ref="C1386"/>
    <hyperlink r:id="rId4156" ref="AN1386"/>
    <hyperlink r:id="rId4157" ref="B1387"/>
    <hyperlink r:id="rId4158" ref="C1387"/>
    <hyperlink r:id="rId4159" ref="AN1387"/>
    <hyperlink r:id="rId4160" ref="B1388"/>
    <hyperlink r:id="rId4161" ref="C1388"/>
    <hyperlink r:id="rId4162" ref="AN1388"/>
    <hyperlink r:id="rId4163" ref="B1389"/>
    <hyperlink r:id="rId4164" ref="C1389"/>
    <hyperlink r:id="rId4165" ref="AN1389"/>
    <hyperlink r:id="rId4166" ref="B1390"/>
    <hyperlink r:id="rId4167" ref="C1390"/>
    <hyperlink r:id="rId4168" ref="AN1390"/>
    <hyperlink r:id="rId4169" ref="B1391"/>
    <hyperlink r:id="rId4170" ref="C1391"/>
    <hyperlink r:id="rId4171" ref="AN1391"/>
    <hyperlink r:id="rId4172" ref="B1392"/>
    <hyperlink r:id="rId4173" ref="C1392"/>
    <hyperlink r:id="rId4174" ref="AN1392"/>
    <hyperlink r:id="rId4175" ref="B1393"/>
    <hyperlink r:id="rId4176" ref="C1393"/>
    <hyperlink r:id="rId4177" ref="AN1393"/>
    <hyperlink r:id="rId4178" ref="B1394"/>
    <hyperlink r:id="rId4179" ref="C1394"/>
    <hyperlink r:id="rId4180" ref="AN1394"/>
    <hyperlink r:id="rId4181" ref="B1395"/>
    <hyperlink r:id="rId4182" ref="C1395"/>
    <hyperlink r:id="rId4183" ref="AN1395"/>
    <hyperlink r:id="rId4184" ref="B1396"/>
    <hyperlink r:id="rId4185" ref="C1396"/>
    <hyperlink r:id="rId4186" ref="AN1396"/>
    <hyperlink r:id="rId4187" ref="B1397"/>
    <hyperlink r:id="rId4188" ref="C1397"/>
    <hyperlink r:id="rId4189" ref="AN1397"/>
    <hyperlink r:id="rId4190" ref="B1398"/>
    <hyperlink r:id="rId4191" ref="C1398"/>
    <hyperlink r:id="rId4192" ref="AN1398"/>
    <hyperlink r:id="rId4193" ref="B1399"/>
    <hyperlink r:id="rId4194" ref="C1399"/>
    <hyperlink r:id="rId4195" ref="AN1399"/>
    <hyperlink r:id="rId4196" ref="B1400"/>
    <hyperlink r:id="rId4197" ref="C1400"/>
    <hyperlink r:id="rId4198" ref="AN1400"/>
    <hyperlink r:id="rId4199" ref="B1401"/>
    <hyperlink r:id="rId4200" ref="C1401"/>
    <hyperlink r:id="rId4201" ref="AN1401"/>
    <hyperlink r:id="rId4202" ref="B1402"/>
    <hyperlink r:id="rId4203" ref="C1402"/>
    <hyperlink r:id="rId4204" ref="AN1402"/>
    <hyperlink r:id="rId4205" ref="B1403"/>
    <hyperlink r:id="rId4206" ref="C1403"/>
    <hyperlink r:id="rId4207" ref="AN1403"/>
    <hyperlink r:id="rId4208" ref="B1404"/>
    <hyperlink r:id="rId4209" ref="C1404"/>
    <hyperlink r:id="rId4210" ref="AN1404"/>
    <hyperlink r:id="rId4211" ref="B1405"/>
    <hyperlink r:id="rId4212" ref="C1405"/>
    <hyperlink r:id="rId4213" ref="AN1405"/>
    <hyperlink r:id="rId4214" ref="B1406"/>
    <hyperlink r:id="rId4215" ref="C1406"/>
    <hyperlink r:id="rId4216" ref="AN1406"/>
    <hyperlink r:id="rId4217" ref="B1407"/>
    <hyperlink r:id="rId4218" ref="C1407"/>
    <hyperlink r:id="rId4219" ref="AN1407"/>
    <hyperlink r:id="rId4220" ref="B1408"/>
    <hyperlink r:id="rId4221" ref="C1408"/>
    <hyperlink r:id="rId4222" ref="AN1408"/>
    <hyperlink r:id="rId4223" ref="B1409"/>
    <hyperlink r:id="rId4224" ref="C1409"/>
    <hyperlink r:id="rId4225" ref="AN1409"/>
    <hyperlink r:id="rId4226" ref="B1410"/>
    <hyperlink r:id="rId4227" ref="C1410"/>
    <hyperlink r:id="rId4228" ref="AN1410"/>
    <hyperlink r:id="rId4229" ref="B1411"/>
    <hyperlink r:id="rId4230" ref="C1411"/>
    <hyperlink r:id="rId4231" ref="AN1411"/>
    <hyperlink r:id="rId4232" ref="B1412"/>
    <hyperlink r:id="rId4233" ref="C1412"/>
    <hyperlink r:id="rId4234" ref="AN1412"/>
    <hyperlink r:id="rId4235" ref="B1413"/>
    <hyperlink r:id="rId4236" ref="C1413"/>
    <hyperlink r:id="rId4237" ref="AN1413"/>
    <hyperlink r:id="rId4238" ref="B1414"/>
    <hyperlink r:id="rId4239" ref="C1414"/>
    <hyperlink r:id="rId4240" ref="AN1414"/>
    <hyperlink r:id="rId4241" ref="B1415"/>
    <hyperlink r:id="rId4242" ref="C1415"/>
    <hyperlink r:id="rId4243" ref="AN1415"/>
    <hyperlink r:id="rId4244" ref="B1416"/>
    <hyperlink r:id="rId4245" ref="C1416"/>
    <hyperlink r:id="rId4246" ref="AN1416"/>
    <hyperlink r:id="rId4247" ref="B1417"/>
    <hyperlink r:id="rId4248" ref="C1417"/>
    <hyperlink r:id="rId4249" ref="AN1417"/>
    <hyperlink r:id="rId4250" ref="B1418"/>
    <hyperlink r:id="rId4251" ref="C1418"/>
    <hyperlink r:id="rId4252" ref="AN1418"/>
    <hyperlink r:id="rId4253" ref="B1419"/>
    <hyperlink r:id="rId4254" ref="C1419"/>
    <hyperlink r:id="rId4255" ref="AN1419"/>
    <hyperlink r:id="rId4256" ref="B1420"/>
    <hyperlink r:id="rId4257" ref="C1420"/>
    <hyperlink r:id="rId4258" ref="AN1420"/>
    <hyperlink r:id="rId4259" ref="B1421"/>
    <hyperlink r:id="rId4260" ref="C1421"/>
    <hyperlink r:id="rId4261" ref="AN1421"/>
    <hyperlink r:id="rId4262" ref="B1422"/>
    <hyperlink r:id="rId4263" ref="C1422"/>
    <hyperlink r:id="rId4264" ref="AN1422"/>
    <hyperlink r:id="rId4265" ref="B1423"/>
    <hyperlink r:id="rId4266" ref="C1423"/>
    <hyperlink r:id="rId4267" ref="AN1423"/>
    <hyperlink r:id="rId4268" ref="B1424"/>
    <hyperlink r:id="rId4269" ref="C1424"/>
    <hyperlink r:id="rId4270" ref="AN1424"/>
    <hyperlink r:id="rId4271" ref="B1425"/>
    <hyperlink r:id="rId4272" ref="C1425"/>
    <hyperlink r:id="rId4273" ref="AN1425"/>
    <hyperlink r:id="rId4274" ref="B1426"/>
    <hyperlink r:id="rId4275" ref="C1426"/>
    <hyperlink r:id="rId4276" ref="AN1426"/>
    <hyperlink r:id="rId4277" ref="B1427"/>
    <hyperlink r:id="rId4278" ref="C1427"/>
    <hyperlink r:id="rId4279" ref="AN1427"/>
    <hyperlink r:id="rId4280" ref="B1428"/>
    <hyperlink r:id="rId4281" ref="C1428"/>
    <hyperlink r:id="rId4282" ref="AN1428"/>
    <hyperlink r:id="rId4283" ref="B1429"/>
    <hyperlink r:id="rId4284" ref="C1429"/>
    <hyperlink r:id="rId4285" ref="AN1429"/>
    <hyperlink r:id="rId4286" ref="B1430"/>
    <hyperlink r:id="rId4287" ref="C1430"/>
    <hyperlink r:id="rId4288" ref="AN1430"/>
    <hyperlink r:id="rId4289" ref="B1431"/>
    <hyperlink r:id="rId4290" ref="C1431"/>
    <hyperlink r:id="rId4291" ref="AN1431"/>
    <hyperlink r:id="rId4292" ref="B1432"/>
    <hyperlink r:id="rId4293" ref="C1432"/>
    <hyperlink r:id="rId4294" ref="AN1432"/>
    <hyperlink r:id="rId4295" ref="B1433"/>
    <hyperlink r:id="rId4296" ref="C1433"/>
    <hyperlink r:id="rId4297" ref="AN1433"/>
    <hyperlink r:id="rId4298" ref="B1434"/>
    <hyperlink r:id="rId4299" ref="C1434"/>
    <hyperlink r:id="rId4300" ref="AN1434"/>
    <hyperlink r:id="rId4301" ref="B1435"/>
    <hyperlink r:id="rId4302" ref="C1435"/>
    <hyperlink r:id="rId4303" ref="AN1435"/>
    <hyperlink r:id="rId4304" ref="B1436"/>
    <hyperlink r:id="rId4305" ref="C1436"/>
    <hyperlink r:id="rId4306" ref="AN1436"/>
    <hyperlink r:id="rId4307" ref="B1437"/>
    <hyperlink r:id="rId4308" ref="C1437"/>
    <hyperlink r:id="rId4309" ref="AN1437"/>
    <hyperlink r:id="rId4310" ref="B1438"/>
    <hyperlink r:id="rId4311" ref="C1438"/>
    <hyperlink r:id="rId4312" ref="AN1438"/>
    <hyperlink r:id="rId4313" ref="B1439"/>
    <hyperlink r:id="rId4314" ref="C1439"/>
    <hyperlink r:id="rId4315" ref="AN1439"/>
    <hyperlink r:id="rId4316" ref="B1440"/>
    <hyperlink r:id="rId4317" ref="C1440"/>
    <hyperlink r:id="rId4318" ref="AN1440"/>
    <hyperlink r:id="rId4319" ref="B1441"/>
    <hyperlink r:id="rId4320" ref="C1441"/>
    <hyperlink r:id="rId4321" ref="AN1441"/>
    <hyperlink r:id="rId4322" ref="B1442"/>
    <hyperlink r:id="rId4323" ref="C1442"/>
    <hyperlink r:id="rId4324" ref="AN1442"/>
    <hyperlink r:id="rId4325" ref="B1443"/>
    <hyperlink r:id="rId4326" ref="C1443"/>
    <hyperlink r:id="rId4327" ref="AN1443"/>
    <hyperlink r:id="rId4328" ref="B1444"/>
    <hyperlink r:id="rId4329" ref="C1444"/>
    <hyperlink r:id="rId4330" ref="AN1444"/>
    <hyperlink r:id="rId4331" ref="B1445"/>
    <hyperlink r:id="rId4332" ref="C1445"/>
    <hyperlink r:id="rId4333" ref="AN1445"/>
    <hyperlink r:id="rId4334" ref="B1446"/>
    <hyperlink r:id="rId4335" ref="C1446"/>
    <hyperlink r:id="rId4336" ref="AN1446"/>
    <hyperlink r:id="rId4337" ref="B1447"/>
    <hyperlink r:id="rId4338" ref="C1447"/>
    <hyperlink r:id="rId4339" ref="AN1447"/>
    <hyperlink r:id="rId4340" ref="B1448"/>
    <hyperlink r:id="rId4341" ref="C1448"/>
    <hyperlink r:id="rId4342" ref="AN1448"/>
    <hyperlink r:id="rId4343" ref="B1449"/>
    <hyperlink r:id="rId4344" ref="C1449"/>
    <hyperlink r:id="rId4345" ref="AN1449"/>
    <hyperlink r:id="rId4346" ref="B1450"/>
    <hyperlink r:id="rId4347" ref="C1450"/>
    <hyperlink r:id="rId4348" ref="AN1450"/>
    <hyperlink r:id="rId4349" ref="B1451"/>
    <hyperlink r:id="rId4350" ref="C1451"/>
    <hyperlink r:id="rId4351" ref="AN1451"/>
    <hyperlink r:id="rId4352" ref="B1452"/>
    <hyperlink r:id="rId4353" ref="C1452"/>
    <hyperlink r:id="rId4354" ref="AN1452"/>
    <hyperlink r:id="rId4355" ref="B1453"/>
    <hyperlink r:id="rId4356" ref="C1453"/>
    <hyperlink r:id="rId4357" ref="AN1453"/>
    <hyperlink r:id="rId4358" ref="B1454"/>
    <hyperlink r:id="rId4359" ref="C1454"/>
    <hyperlink r:id="rId4360" ref="AN1454"/>
    <hyperlink r:id="rId4361" ref="B1455"/>
    <hyperlink r:id="rId4362" ref="C1455"/>
    <hyperlink r:id="rId4363" ref="AN1455"/>
    <hyperlink r:id="rId4364" ref="B1456"/>
    <hyperlink r:id="rId4365" ref="C1456"/>
    <hyperlink r:id="rId4366" ref="AN1456"/>
    <hyperlink r:id="rId4367" ref="B1457"/>
    <hyperlink r:id="rId4368" ref="C1457"/>
    <hyperlink r:id="rId4369" ref="AN1457"/>
    <hyperlink r:id="rId4370" ref="B1458"/>
    <hyperlink r:id="rId4371" ref="C1458"/>
    <hyperlink r:id="rId4372" ref="AN1458"/>
    <hyperlink r:id="rId4373" ref="B1459"/>
    <hyperlink r:id="rId4374" ref="C1459"/>
    <hyperlink r:id="rId4375" ref="AN1459"/>
    <hyperlink r:id="rId4376" ref="B1460"/>
    <hyperlink r:id="rId4377" ref="C1460"/>
    <hyperlink r:id="rId4378" ref="AN1460"/>
    <hyperlink r:id="rId4379" ref="B1461"/>
    <hyperlink r:id="rId4380" ref="C1461"/>
    <hyperlink r:id="rId4381" ref="AN1461"/>
    <hyperlink r:id="rId4382" ref="B1462"/>
    <hyperlink r:id="rId4383" ref="C1462"/>
    <hyperlink r:id="rId4384" ref="AN1462"/>
    <hyperlink r:id="rId4385" ref="B1463"/>
    <hyperlink r:id="rId4386" ref="C1463"/>
    <hyperlink r:id="rId4387" ref="AN1463"/>
    <hyperlink r:id="rId4388" ref="B1464"/>
    <hyperlink r:id="rId4389" ref="C1464"/>
    <hyperlink r:id="rId4390" ref="AN1464"/>
    <hyperlink r:id="rId4391" ref="B1465"/>
    <hyperlink r:id="rId4392" ref="C1465"/>
    <hyperlink r:id="rId4393" ref="AN1465"/>
    <hyperlink r:id="rId4394" ref="B1466"/>
    <hyperlink r:id="rId4395" ref="C1466"/>
    <hyperlink r:id="rId4396" ref="AN1466"/>
    <hyperlink r:id="rId4397" ref="B1467"/>
    <hyperlink r:id="rId4398" ref="C1467"/>
    <hyperlink r:id="rId4399" ref="AN1467"/>
    <hyperlink r:id="rId4400" ref="B1468"/>
    <hyperlink r:id="rId4401" ref="C1468"/>
    <hyperlink r:id="rId4402" ref="AN1468"/>
    <hyperlink r:id="rId4403" ref="B1469"/>
    <hyperlink r:id="rId4404" ref="C1469"/>
    <hyperlink r:id="rId4405" ref="AN1469"/>
    <hyperlink r:id="rId4406" ref="B1470"/>
    <hyperlink r:id="rId4407" ref="C1470"/>
    <hyperlink r:id="rId4408" ref="AN1470"/>
    <hyperlink r:id="rId4409" ref="B1471"/>
    <hyperlink r:id="rId4410" ref="C1471"/>
    <hyperlink r:id="rId4411" ref="AN1471"/>
    <hyperlink r:id="rId4412" ref="B1472"/>
    <hyperlink r:id="rId4413" ref="C1472"/>
    <hyperlink r:id="rId4414" ref="AN1472"/>
    <hyperlink r:id="rId4415" ref="B1473"/>
    <hyperlink r:id="rId4416" ref="C1473"/>
    <hyperlink r:id="rId4417" ref="AN1473"/>
    <hyperlink r:id="rId4418" ref="B1474"/>
    <hyperlink r:id="rId4419" ref="C1474"/>
    <hyperlink r:id="rId4420" ref="AN1474"/>
    <hyperlink r:id="rId4421" ref="B1475"/>
    <hyperlink r:id="rId4422" ref="C1475"/>
    <hyperlink r:id="rId4423" ref="AN1475"/>
    <hyperlink r:id="rId4424" ref="B1476"/>
    <hyperlink r:id="rId4425" ref="C1476"/>
    <hyperlink r:id="rId4426" ref="AN1476"/>
    <hyperlink r:id="rId4427" ref="B1477"/>
    <hyperlink r:id="rId4428" ref="C1477"/>
    <hyperlink r:id="rId4429" ref="AN1477"/>
    <hyperlink r:id="rId4430" ref="B1478"/>
    <hyperlink r:id="rId4431" ref="C1478"/>
    <hyperlink r:id="rId4432" ref="AN1478"/>
    <hyperlink r:id="rId4433" ref="B1479"/>
    <hyperlink r:id="rId4434" ref="C1479"/>
    <hyperlink r:id="rId4435" ref="AN1479"/>
    <hyperlink r:id="rId4436" ref="B1480"/>
    <hyperlink r:id="rId4437" ref="C1480"/>
    <hyperlink r:id="rId4438" ref="AN1480"/>
    <hyperlink r:id="rId4439" ref="B1481"/>
    <hyperlink r:id="rId4440" ref="C1481"/>
    <hyperlink r:id="rId4441" ref="AN1481"/>
    <hyperlink r:id="rId4442" ref="B1482"/>
    <hyperlink r:id="rId4443" ref="C1482"/>
    <hyperlink r:id="rId4444" ref="AN1482"/>
    <hyperlink r:id="rId4445" ref="B1483"/>
    <hyperlink r:id="rId4446" ref="C1483"/>
    <hyperlink r:id="rId4447" ref="AN1483"/>
    <hyperlink r:id="rId4448" ref="B1484"/>
    <hyperlink r:id="rId4449" ref="C1484"/>
    <hyperlink r:id="rId4450" ref="AN1484"/>
    <hyperlink r:id="rId4451" ref="B1485"/>
    <hyperlink r:id="rId4452" ref="C1485"/>
    <hyperlink r:id="rId4453" ref="AN1485"/>
    <hyperlink r:id="rId4454" ref="B1486"/>
    <hyperlink r:id="rId4455" ref="C1486"/>
    <hyperlink r:id="rId4456" ref="AN1486"/>
    <hyperlink r:id="rId4457" ref="B1487"/>
    <hyperlink r:id="rId4458" ref="C1487"/>
    <hyperlink r:id="rId4459" ref="AN1487"/>
    <hyperlink r:id="rId4460" ref="B1488"/>
    <hyperlink r:id="rId4461" ref="C1488"/>
    <hyperlink r:id="rId4462" ref="AN1488"/>
    <hyperlink r:id="rId4463" ref="B1489"/>
    <hyperlink r:id="rId4464" ref="C1489"/>
    <hyperlink r:id="rId4465" ref="AN1489"/>
    <hyperlink r:id="rId4466" ref="B1490"/>
    <hyperlink r:id="rId4467" ref="C1490"/>
    <hyperlink r:id="rId4468" ref="AN1490"/>
    <hyperlink r:id="rId4469" ref="B1491"/>
    <hyperlink r:id="rId4470" ref="C1491"/>
    <hyperlink r:id="rId4471" ref="AN1491"/>
    <hyperlink r:id="rId4472" ref="B1492"/>
    <hyperlink r:id="rId4473" ref="C1492"/>
    <hyperlink r:id="rId4474" ref="AN1492"/>
    <hyperlink r:id="rId4475" ref="B1493"/>
    <hyperlink r:id="rId4476" ref="C1493"/>
    <hyperlink r:id="rId4477" ref="AN1493"/>
    <hyperlink r:id="rId4478" ref="B1494"/>
    <hyperlink r:id="rId4479" ref="C1494"/>
    <hyperlink r:id="rId4480" ref="AN1494"/>
    <hyperlink r:id="rId4481" ref="B1495"/>
    <hyperlink r:id="rId4482" ref="C1495"/>
    <hyperlink r:id="rId4483" ref="AN1495"/>
    <hyperlink r:id="rId4484" ref="B1496"/>
    <hyperlink r:id="rId4485" ref="C1496"/>
    <hyperlink r:id="rId4486" ref="AN1496"/>
    <hyperlink r:id="rId4487" ref="B1497"/>
    <hyperlink r:id="rId4488" ref="C1497"/>
    <hyperlink r:id="rId4489" ref="AN1497"/>
    <hyperlink r:id="rId4490" ref="B1498"/>
    <hyperlink r:id="rId4491" ref="C1498"/>
    <hyperlink r:id="rId4492" ref="AN1498"/>
    <hyperlink r:id="rId4493" ref="B1499"/>
    <hyperlink r:id="rId4494" ref="C1499"/>
    <hyperlink r:id="rId4495" ref="AN1499"/>
    <hyperlink r:id="rId4496" ref="B1500"/>
    <hyperlink r:id="rId4497" ref="C1500"/>
    <hyperlink r:id="rId4498" ref="AN1500"/>
    <hyperlink r:id="rId4499" ref="B1501"/>
    <hyperlink r:id="rId4500" ref="C1501"/>
    <hyperlink r:id="rId4501" ref="AN1501"/>
    <hyperlink r:id="rId4502" ref="B1502"/>
    <hyperlink r:id="rId4503" ref="C1502"/>
    <hyperlink r:id="rId4504" ref="AN1502"/>
    <hyperlink r:id="rId4505" ref="B1503"/>
    <hyperlink r:id="rId4506" ref="C1503"/>
    <hyperlink r:id="rId4507" ref="AN1503"/>
    <hyperlink r:id="rId4508" ref="B1504"/>
    <hyperlink r:id="rId4509" ref="C1504"/>
    <hyperlink r:id="rId4510" ref="AN1504"/>
    <hyperlink r:id="rId4511" ref="B1505"/>
    <hyperlink r:id="rId4512" ref="C1505"/>
    <hyperlink r:id="rId4513" ref="AN1505"/>
    <hyperlink r:id="rId4514" ref="B1506"/>
    <hyperlink r:id="rId4515" ref="C1506"/>
    <hyperlink r:id="rId4516" ref="AN1506"/>
    <hyperlink r:id="rId4517" ref="B1507"/>
    <hyperlink r:id="rId4518" ref="C1507"/>
    <hyperlink r:id="rId4519" ref="AN1507"/>
    <hyperlink r:id="rId4520" ref="B1508"/>
    <hyperlink r:id="rId4521" ref="C1508"/>
    <hyperlink r:id="rId4522" ref="AN1508"/>
    <hyperlink r:id="rId4523" ref="B1509"/>
    <hyperlink r:id="rId4524" ref="C1509"/>
    <hyperlink r:id="rId4525" ref="AN1509"/>
    <hyperlink r:id="rId4526" ref="B1510"/>
    <hyperlink r:id="rId4527" ref="C1510"/>
    <hyperlink r:id="rId4528" ref="AN1510"/>
    <hyperlink r:id="rId4529" ref="B1511"/>
    <hyperlink r:id="rId4530" ref="C1511"/>
    <hyperlink r:id="rId4531" ref="AN1511"/>
    <hyperlink r:id="rId4532" ref="B1512"/>
    <hyperlink r:id="rId4533" ref="C1512"/>
    <hyperlink r:id="rId4534" ref="AN1512"/>
    <hyperlink r:id="rId4535" ref="B1513"/>
    <hyperlink r:id="rId4536" ref="C1513"/>
    <hyperlink r:id="rId4537" ref="AN1513"/>
    <hyperlink r:id="rId4538" ref="B1514"/>
    <hyperlink r:id="rId4539" ref="C1514"/>
    <hyperlink r:id="rId4540" ref="AN1514"/>
    <hyperlink r:id="rId4541" ref="B1515"/>
    <hyperlink r:id="rId4542" ref="C1515"/>
    <hyperlink r:id="rId4543" ref="AN1515"/>
    <hyperlink r:id="rId4544" ref="B1516"/>
    <hyperlink r:id="rId4545" ref="C1516"/>
    <hyperlink r:id="rId4546" ref="AN1516"/>
    <hyperlink r:id="rId4547" ref="B1517"/>
    <hyperlink r:id="rId4548" ref="C1517"/>
    <hyperlink r:id="rId4549" ref="AN1517"/>
    <hyperlink r:id="rId4550" ref="B1518"/>
    <hyperlink r:id="rId4551" ref="C1518"/>
    <hyperlink r:id="rId4552" ref="AN1518"/>
    <hyperlink r:id="rId4553" ref="B1519"/>
    <hyperlink r:id="rId4554" ref="C1519"/>
    <hyperlink r:id="rId4555" ref="AN1519"/>
    <hyperlink r:id="rId4556" ref="B1520"/>
    <hyperlink r:id="rId4557" ref="C1520"/>
    <hyperlink r:id="rId4558" ref="AN1520"/>
    <hyperlink r:id="rId4559" ref="B1521"/>
    <hyperlink r:id="rId4560" ref="C1521"/>
    <hyperlink r:id="rId4561" ref="AN1521"/>
    <hyperlink r:id="rId4562" ref="B1522"/>
    <hyperlink r:id="rId4563" ref="C1522"/>
    <hyperlink r:id="rId4564" ref="AN1522"/>
    <hyperlink r:id="rId4565" ref="B1523"/>
    <hyperlink r:id="rId4566" ref="C1523"/>
    <hyperlink r:id="rId4567" ref="AN1523"/>
    <hyperlink r:id="rId4568" ref="B1524"/>
    <hyperlink r:id="rId4569" ref="C1524"/>
    <hyperlink r:id="rId4570" ref="AN1524"/>
    <hyperlink r:id="rId4571" ref="B1525"/>
    <hyperlink r:id="rId4572" ref="C1525"/>
    <hyperlink r:id="rId4573" ref="AN1525"/>
    <hyperlink r:id="rId4574" ref="B1526"/>
    <hyperlink r:id="rId4575" ref="C1526"/>
    <hyperlink r:id="rId4576" ref="AN1526"/>
    <hyperlink r:id="rId4577" ref="B1527"/>
    <hyperlink r:id="rId4578" ref="C1527"/>
    <hyperlink r:id="rId4579" ref="AN1527"/>
    <hyperlink r:id="rId4580" ref="B1528"/>
    <hyperlink r:id="rId4581" ref="C1528"/>
    <hyperlink r:id="rId4582" ref="AN1528"/>
    <hyperlink r:id="rId4583" ref="B1529"/>
    <hyperlink r:id="rId4584" ref="C1529"/>
    <hyperlink r:id="rId4585" ref="AN1529"/>
    <hyperlink r:id="rId4586" ref="B1530"/>
    <hyperlink r:id="rId4587" ref="C1530"/>
    <hyperlink r:id="rId4588" ref="AN1530"/>
    <hyperlink r:id="rId4589" ref="B1531"/>
    <hyperlink r:id="rId4590" ref="C1531"/>
    <hyperlink r:id="rId4591" ref="AN1531"/>
    <hyperlink r:id="rId4592" ref="B1532"/>
    <hyperlink r:id="rId4593" ref="C1532"/>
    <hyperlink r:id="rId4594" ref="AN1532"/>
    <hyperlink r:id="rId4595" ref="B1533"/>
    <hyperlink r:id="rId4596" ref="C1533"/>
    <hyperlink r:id="rId4597" ref="AN1533"/>
    <hyperlink r:id="rId4598" ref="B1534"/>
    <hyperlink r:id="rId4599" ref="C1534"/>
    <hyperlink r:id="rId4600" ref="AN1534"/>
    <hyperlink r:id="rId4601" ref="B1535"/>
    <hyperlink r:id="rId4602" ref="C1535"/>
    <hyperlink r:id="rId4603" ref="AN1535"/>
    <hyperlink r:id="rId4604" ref="B1536"/>
    <hyperlink r:id="rId4605" ref="C1536"/>
    <hyperlink r:id="rId4606" ref="AN1536"/>
    <hyperlink r:id="rId4607" ref="B1537"/>
    <hyperlink r:id="rId4608" ref="C1537"/>
    <hyperlink r:id="rId4609" ref="AN1537"/>
    <hyperlink r:id="rId4610" ref="B1538"/>
    <hyperlink r:id="rId4611" ref="C1538"/>
    <hyperlink r:id="rId4612" ref="AN1538"/>
    <hyperlink r:id="rId4613" ref="B1539"/>
    <hyperlink r:id="rId4614" ref="C1539"/>
    <hyperlink r:id="rId4615" ref="AN1539"/>
    <hyperlink r:id="rId4616" ref="B1540"/>
    <hyperlink r:id="rId4617" ref="C1540"/>
    <hyperlink r:id="rId4618" ref="AN1540"/>
    <hyperlink r:id="rId4619" ref="B1541"/>
    <hyperlink r:id="rId4620" ref="C1541"/>
    <hyperlink r:id="rId4621" ref="AN1541"/>
    <hyperlink r:id="rId4622" ref="B1542"/>
    <hyperlink r:id="rId4623" ref="C1542"/>
    <hyperlink r:id="rId4624" ref="AN1542"/>
    <hyperlink r:id="rId4625" ref="B1543"/>
    <hyperlink r:id="rId4626" ref="C1543"/>
    <hyperlink r:id="rId4627" ref="AN1543"/>
    <hyperlink r:id="rId4628" ref="B1544"/>
    <hyperlink r:id="rId4629" ref="C1544"/>
    <hyperlink r:id="rId4630" ref="AN1544"/>
    <hyperlink r:id="rId4631" ref="B1545"/>
    <hyperlink r:id="rId4632" ref="C1545"/>
    <hyperlink r:id="rId4633" ref="AN1545"/>
    <hyperlink r:id="rId4634" ref="B1546"/>
    <hyperlink r:id="rId4635" ref="C1546"/>
    <hyperlink r:id="rId4636" ref="AN1546"/>
    <hyperlink r:id="rId4637" ref="B1547"/>
    <hyperlink r:id="rId4638" ref="C1547"/>
    <hyperlink r:id="rId4639" ref="AN1547"/>
    <hyperlink r:id="rId4640" ref="B1548"/>
    <hyperlink r:id="rId4641" ref="C1548"/>
    <hyperlink r:id="rId4642" ref="AN1548"/>
    <hyperlink r:id="rId4643" ref="B1549"/>
    <hyperlink r:id="rId4644" ref="C1549"/>
    <hyperlink r:id="rId4645" ref="AN1549"/>
    <hyperlink r:id="rId4646" ref="B1550"/>
    <hyperlink r:id="rId4647" ref="C1550"/>
    <hyperlink r:id="rId4648" ref="AN1550"/>
    <hyperlink r:id="rId4649" ref="B1551"/>
    <hyperlink r:id="rId4650" ref="C1551"/>
    <hyperlink r:id="rId4651" ref="AN1551"/>
    <hyperlink r:id="rId4652" ref="B1552"/>
    <hyperlink r:id="rId4653" ref="C1552"/>
    <hyperlink r:id="rId4654" ref="AN1552"/>
    <hyperlink r:id="rId4655" ref="B1553"/>
    <hyperlink r:id="rId4656" ref="C1553"/>
    <hyperlink r:id="rId4657" ref="AN1553"/>
    <hyperlink r:id="rId4658" ref="B1554"/>
    <hyperlink r:id="rId4659" ref="C1554"/>
    <hyperlink r:id="rId4660" ref="AN1554"/>
    <hyperlink r:id="rId4661" ref="B1555"/>
    <hyperlink r:id="rId4662" ref="C1555"/>
    <hyperlink r:id="rId4663" ref="AN1555"/>
    <hyperlink r:id="rId4664" ref="B1556"/>
    <hyperlink r:id="rId4665" ref="C1556"/>
    <hyperlink r:id="rId4666" ref="AN1556"/>
    <hyperlink r:id="rId4667" ref="B1557"/>
    <hyperlink r:id="rId4668" ref="C1557"/>
    <hyperlink r:id="rId4669" ref="AN1557"/>
    <hyperlink r:id="rId4670" ref="B1558"/>
    <hyperlink r:id="rId4671" ref="C1558"/>
    <hyperlink r:id="rId4672" ref="AN1558"/>
    <hyperlink r:id="rId4673" ref="B1559"/>
    <hyperlink r:id="rId4674" ref="C1559"/>
    <hyperlink r:id="rId4675" ref="AN1559"/>
    <hyperlink r:id="rId4676" ref="B1560"/>
    <hyperlink r:id="rId4677" ref="C1560"/>
    <hyperlink r:id="rId4678" ref="AN1560"/>
    <hyperlink r:id="rId4679" ref="B1561"/>
    <hyperlink r:id="rId4680" ref="C1561"/>
    <hyperlink r:id="rId4681" ref="AN1561"/>
    <hyperlink r:id="rId4682" ref="B1562"/>
    <hyperlink r:id="rId4683" ref="C1562"/>
    <hyperlink r:id="rId4684" ref="AN1562"/>
    <hyperlink r:id="rId4685" ref="B1563"/>
    <hyperlink r:id="rId4686" ref="C1563"/>
    <hyperlink r:id="rId4687" ref="AN1563"/>
    <hyperlink r:id="rId4688" ref="B1564"/>
    <hyperlink r:id="rId4689" ref="C1564"/>
    <hyperlink r:id="rId4690" ref="AN1564"/>
    <hyperlink r:id="rId4691" ref="B1565"/>
    <hyperlink r:id="rId4692" ref="C1565"/>
    <hyperlink r:id="rId4693" ref="AN1565"/>
    <hyperlink r:id="rId4694" ref="B1566"/>
    <hyperlink r:id="rId4695" ref="C1566"/>
    <hyperlink r:id="rId4696" ref="AN1566"/>
    <hyperlink r:id="rId4697" ref="B1567"/>
    <hyperlink r:id="rId4698" ref="C1567"/>
    <hyperlink r:id="rId4699" ref="AN1567"/>
    <hyperlink r:id="rId4700" ref="B1568"/>
    <hyperlink r:id="rId4701" ref="C1568"/>
    <hyperlink r:id="rId4702" ref="AN1568"/>
    <hyperlink r:id="rId4703" ref="B1569"/>
    <hyperlink r:id="rId4704" ref="C1569"/>
    <hyperlink r:id="rId4705" ref="AN1569"/>
    <hyperlink r:id="rId4706" ref="B1570"/>
    <hyperlink r:id="rId4707" ref="C1570"/>
    <hyperlink r:id="rId4708" ref="AN1570"/>
    <hyperlink r:id="rId4709" ref="B1571"/>
    <hyperlink r:id="rId4710" ref="C1571"/>
    <hyperlink r:id="rId4711" ref="AN1571"/>
    <hyperlink r:id="rId4712" ref="B1572"/>
    <hyperlink r:id="rId4713" ref="C1572"/>
    <hyperlink r:id="rId4714" ref="AN1572"/>
    <hyperlink r:id="rId4715" ref="B1573"/>
    <hyperlink r:id="rId4716" ref="C1573"/>
    <hyperlink r:id="rId4717" ref="AN1573"/>
    <hyperlink r:id="rId4718" ref="B1574"/>
    <hyperlink r:id="rId4719" ref="C1574"/>
    <hyperlink r:id="rId4720" ref="AN1574"/>
    <hyperlink r:id="rId4721" ref="B1575"/>
    <hyperlink r:id="rId4722" ref="C1575"/>
    <hyperlink r:id="rId4723" ref="AN1575"/>
    <hyperlink r:id="rId4724" ref="B1576"/>
    <hyperlink r:id="rId4725" ref="C1576"/>
    <hyperlink r:id="rId4726" ref="AN1576"/>
    <hyperlink r:id="rId4727" ref="B1577"/>
    <hyperlink r:id="rId4728" ref="C1577"/>
    <hyperlink r:id="rId4729" ref="AN1577"/>
    <hyperlink r:id="rId4730" ref="B1578"/>
    <hyperlink r:id="rId4731" ref="C1578"/>
    <hyperlink r:id="rId4732" ref="AN1578"/>
    <hyperlink r:id="rId4733" ref="B1579"/>
    <hyperlink r:id="rId4734" ref="C1579"/>
    <hyperlink r:id="rId4735" ref="AN1579"/>
    <hyperlink r:id="rId4736" ref="B1580"/>
    <hyperlink r:id="rId4737" ref="C1580"/>
    <hyperlink r:id="rId4738" ref="AN1580"/>
    <hyperlink r:id="rId4739" ref="B1581"/>
    <hyperlink r:id="rId4740" ref="C1581"/>
    <hyperlink r:id="rId4741" ref="AN1581"/>
    <hyperlink r:id="rId4742" ref="B1582"/>
    <hyperlink r:id="rId4743" ref="C1582"/>
    <hyperlink r:id="rId4744" ref="AN1582"/>
    <hyperlink r:id="rId4745" ref="B1583"/>
    <hyperlink r:id="rId4746" ref="C1583"/>
    <hyperlink r:id="rId4747" ref="AN1583"/>
    <hyperlink r:id="rId4748" ref="B1584"/>
    <hyperlink r:id="rId4749" ref="C1584"/>
    <hyperlink r:id="rId4750" ref="AN1584"/>
    <hyperlink r:id="rId4751" ref="B1585"/>
    <hyperlink r:id="rId4752" ref="C1585"/>
    <hyperlink r:id="rId4753" ref="AN1585"/>
    <hyperlink r:id="rId4754" ref="B1586"/>
    <hyperlink r:id="rId4755" ref="C1586"/>
    <hyperlink r:id="rId4756" ref="AN1586"/>
    <hyperlink r:id="rId4757" ref="B1587"/>
    <hyperlink r:id="rId4758" ref="C1587"/>
    <hyperlink r:id="rId4759" ref="AN1587"/>
    <hyperlink r:id="rId4760" ref="B1588"/>
    <hyperlink r:id="rId4761" ref="C1588"/>
    <hyperlink r:id="rId4762" ref="AN1588"/>
    <hyperlink r:id="rId4763" ref="B1589"/>
    <hyperlink r:id="rId4764" ref="C1589"/>
    <hyperlink r:id="rId4765" ref="AN1589"/>
    <hyperlink r:id="rId4766" ref="B1590"/>
    <hyperlink r:id="rId4767" ref="C1590"/>
    <hyperlink r:id="rId4768" ref="AN1590"/>
    <hyperlink r:id="rId4769" ref="B1591"/>
    <hyperlink r:id="rId4770" ref="C1591"/>
    <hyperlink r:id="rId4771" ref="AN1591"/>
    <hyperlink r:id="rId4772" ref="B1592"/>
    <hyperlink r:id="rId4773" ref="C1592"/>
    <hyperlink r:id="rId4774" ref="AN1592"/>
    <hyperlink r:id="rId4775" ref="B1593"/>
    <hyperlink r:id="rId4776" ref="C1593"/>
    <hyperlink r:id="rId4777" ref="AN1593"/>
    <hyperlink r:id="rId4778" ref="B1594"/>
    <hyperlink r:id="rId4779" ref="C1594"/>
    <hyperlink r:id="rId4780" ref="AN1594"/>
    <hyperlink r:id="rId4781" ref="B1595"/>
    <hyperlink r:id="rId4782" ref="C1595"/>
    <hyperlink r:id="rId4783" ref="AN1595"/>
    <hyperlink r:id="rId4784" ref="B1596"/>
    <hyperlink r:id="rId4785" ref="C1596"/>
    <hyperlink r:id="rId4786" ref="AN1596"/>
    <hyperlink r:id="rId4787" ref="B1597"/>
    <hyperlink r:id="rId4788" ref="C1597"/>
    <hyperlink r:id="rId4789" ref="AN1597"/>
    <hyperlink r:id="rId4790" ref="B1598"/>
    <hyperlink r:id="rId4791" ref="C1598"/>
    <hyperlink r:id="rId4792" ref="AN1598"/>
    <hyperlink r:id="rId4793" ref="B1599"/>
    <hyperlink r:id="rId4794" ref="C1599"/>
    <hyperlink r:id="rId4795" ref="AN1599"/>
    <hyperlink r:id="rId4796" ref="B1600"/>
    <hyperlink r:id="rId4797" ref="C1600"/>
    <hyperlink r:id="rId4798" ref="AN1600"/>
  </hyperlinks>
  <drawing r:id="rId47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v>
      </c>
      <c r="B1" s="4" t="s">
        <v>41</v>
      </c>
    </row>
    <row r="2">
      <c r="A2" s="1" t="s">
        <v>42</v>
      </c>
      <c r="B2" s="1" t="s">
        <v>44</v>
      </c>
    </row>
    <row r="3">
      <c r="A3" s="1" t="s">
        <v>45</v>
      </c>
      <c r="B3" s="1" t="s">
        <v>46</v>
      </c>
    </row>
    <row r="4">
      <c r="A4" s="1" t="s">
        <v>47</v>
      </c>
      <c r="B4" s="1" t="s">
        <v>49</v>
      </c>
    </row>
    <row r="5">
      <c r="A5" s="1" t="s">
        <v>50</v>
      </c>
      <c r="B5" s="1" t="s">
        <v>51</v>
      </c>
    </row>
    <row r="6">
      <c r="A6" s="1" t="s">
        <v>52</v>
      </c>
      <c r="B6" s="1" t="s">
        <v>46</v>
      </c>
    </row>
    <row r="7">
      <c r="A7" s="1" t="s">
        <v>53</v>
      </c>
      <c r="B7" s="1"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3</v>
      </c>
      <c r="C1" s="1" t="s">
        <v>4</v>
      </c>
      <c r="D1" s="1" t="s">
        <v>5</v>
      </c>
      <c r="E1" s="1" t="s">
        <v>6</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row>
    <row r="2">
      <c r="A2" s="1" t="s">
        <v>31</v>
      </c>
      <c r="B2" s="1" t="s">
        <v>32</v>
      </c>
      <c r="C2" s="1" t="s">
        <v>33</v>
      </c>
      <c r="D2" s="3">
        <v>1.447283278E9</v>
      </c>
      <c r="E2" s="3">
        <v>1.0</v>
      </c>
      <c r="F2" s="3">
        <v>2.0</v>
      </c>
      <c r="G2" s="1" t="s">
        <v>35</v>
      </c>
      <c r="H2" s="1" t="s">
        <v>36</v>
      </c>
      <c r="I2" s="1" t="s">
        <v>37</v>
      </c>
      <c r="J2" s="1" t="s">
        <v>38</v>
      </c>
      <c r="K2" s="1" t="s">
        <v>39</v>
      </c>
      <c r="L2" s="1" t="s">
        <v>39</v>
      </c>
      <c r="M2" s="1" t="s">
        <v>40</v>
      </c>
      <c r="N2" s="1" t="b">
        <v>1</v>
      </c>
      <c r="O2" s="1" t="s">
        <v>43</v>
      </c>
      <c r="P2" s="1" t="b">
        <v>0</v>
      </c>
      <c r="R2" s="1" t="b">
        <v>1</v>
      </c>
      <c r="S2" s="1" t="b">
        <v>0</v>
      </c>
      <c r="X2" s="1" t="b">
        <v>0</v>
      </c>
      <c r="AA2" s="1" t="b">
        <v>0</v>
      </c>
      <c r="AC2" s="1" t="s">
        <v>48</v>
      </c>
    </row>
  </sheetData>
  <drawing r:id="rId1"/>
</worksheet>
</file>